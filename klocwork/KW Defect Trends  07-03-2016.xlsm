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185" yWindow="975" windowWidth="14175" windowHeight="4605" tabRatio="927" activeTab="1"/>
  </bookViews>
  <sheets>
    <sheet name="IPS_PGA_Win_BLL" sheetId="121" r:id="rId1"/>
    <sheet name="Summary" sheetId="35" r:id="rId2"/>
    <sheet name="BKLG" sheetId="1" r:id="rId3"/>
    <sheet name="Long BKLG" sheetId="22" r:id="rId4"/>
    <sheet name="ML Trend" sheetId="54" r:id="rId5"/>
    <sheet name="UNINIT IL" sheetId="57" r:id="rId6"/>
    <sheet name="UNINIT BLL" sheetId="66" r:id="rId7"/>
    <sheet name="New UI" sheetId="18" r:id="rId8"/>
    <sheet name="New IL" sheetId="3" r:id="rId9"/>
    <sheet name="New BLL" sheetId="2" r:id="rId10"/>
    <sheet name="BKLG UI" sheetId="38" r:id="rId11"/>
    <sheet name="BKLG IL" sheetId="37" r:id="rId12"/>
    <sheet name="BKLG BLL" sheetId="36" r:id="rId13"/>
    <sheet name="UI Leaks" sheetId="28" r:id="rId14"/>
    <sheet name="IL Leaks" sheetId="27" r:id="rId15"/>
    <sheet name="BLL Leaks" sheetId="26" r:id="rId16"/>
    <sheet name="UI Owners" sheetId="49" r:id="rId17"/>
    <sheet name="IL Owners" sheetId="51" r:id="rId18"/>
    <sheet name="BLL Owners" sheetId="50" r:id="rId19"/>
    <sheet name="SW Changes" sheetId="4" r:id="rId20"/>
    <sheet name="ROI" sheetId="5" r:id="rId21"/>
    <sheet name="BLL fixed" sheetId="6" r:id="rId22"/>
    <sheet name="False Positives" sheetId="9" r:id="rId23"/>
    <sheet name="IL fixed " sheetId="7" r:id="rId24"/>
    <sheet name="Long Term Backlog GUI" sheetId="39" r:id="rId25"/>
    <sheet name="Long Term Backlog IL" sheetId="40" r:id="rId26"/>
    <sheet name="Landslide" sheetId="53" r:id="rId27"/>
    <sheet name="IPS_PGA_UI" sheetId="122" r:id="rId28"/>
    <sheet name="Sheet32" sheetId="98" r:id="rId29"/>
  </sheets>
  <definedNames>
    <definedName name="integration_Win_BLL_baseline_backlog_20131120" localSheetId="12">'BKLG BLL'!$A$24:$C$349</definedName>
    <definedName name="integration_Win_BLL_baseline_backlog_20131216" localSheetId="18">'BLL Owners'!$A$1:$D$732</definedName>
    <definedName name="integration_Win_BLL_baseline_backlog_20131222" localSheetId="12">'BKLG BLL'!$A$24:$D$349</definedName>
    <definedName name="integration_Win_BLL_baseline_backlog_20131229" localSheetId="12">'BKLG BLL'!$A$24:$D$349</definedName>
    <definedName name="integration_Win_BLL_baseline_backlog_20140105" localSheetId="12">'BKLG BLL'!$A$24:$D$349</definedName>
    <definedName name="integration_Win_BLL_baseline_backlog_20140119" localSheetId="12">'BKLG BLL'!$A$24:$D$349</definedName>
    <definedName name="integration_Win_BLL_baseline_backlog_20140202" localSheetId="12">'BKLG BLL'!$A$24:$D$349</definedName>
    <definedName name="integration_Win_BLL_baseline_backlog_20140216" localSheetId="12">'BKLG BLL'!$A$24:$D$349</definedName>
    <definedName name="integration_Win_BLL_baseline_backlog_20140223" localSheetId="12">'BKLG BLL'!$A$24:$D$349</definedName>
    <definedName name="integration_Win_BLL_baseline_backlog_20140302" localSheetId="12">'BKLG BLL'!$A$24:$D$349</definedName>
    <definedName name="integration_Win_BLL_baseline_backlog_20140309" localSheetId="12">'BKLG BLL'!$A$24:$D$349</definedName>
    <definedName name="integration_Win_BLL_baseline_backlog_20140323" localSheetId="12">'BKLG BLL'!$A$24:$D$349</definedName>
    <definedName name="integration_Win_BLL_baseline_backlog_20140413" localSheetId="12">'BKLG BLL'!$A$24:$D$349</definedName>
    <definedName name="integration_Win_BLL_baseline_backlog_20140429" localSheetId="12">'BKLG BLL'!$A$24:$D$349</definedName>
    <definedName name="integration_Win_BLL_baseline_backlog_20140504" localSheetId="12">'BKLG BLL'!$A$24:$D$349</definedName>
    <definedName name="integration_Win_BLL_baseline_backlog_20140511" localSheetId="12">'BKLG BLL'!$A$24:$D$349</definedName>
    <definedName name="integration_Win_BLL_baseline_backlog_20140518" localSheetId="12">'BKLG BLL'!$A$24:$D$349</definedName>
    <definedName name="integration_Win_BLL_baseline_backlog_20140602" localSheetId="12">'BKLG BLL'!$A$24:$D$524</definedName>
    <definedName name="integration_Win_BLL_baseline_backlog_20140608" localSheetId="12">'BKLG BLL'!$A$24:$D$526</definedName>
    <definedName name="integration_Win_BLL_baseline_backlog_20140629" localSheetId="12">'BKLG BLL'!$A$24:$D$526</definedName>
    <definedName name="integration_Win_BLL_baseline_backlog_20140921" localSheetId="12">'BKLG BLL'!$A$24:$D$516</definedName>
    <definedName name="integration_Win_BLL_baseline_backlog_20141012" localSheetId="12">'BKLG BLL'!$A$24:$D$516</definedName>
    <definedName name="integration_Win_BLL_baseline_backlog_20141207" localSheetId="12">'BKLG BLL'!$A$24:$D$516</definedName>
    <definedName name="integration_Win_BLL_baseline_backlog_20150104" localSheetId="12">'BKLG BLL'!$A$24:$D$518</definedName>
    <definedName name="integration_Win_BLL_baseline_backlog_20150219" localSheetId="12">'BKLG BLL'!$A$24:$D$520</definedName>
    <definedName name="integration_Win_BLL_baseline_backlog_20150329" localSheetId="12">'BKLG BLL'!$A$24:$D$498</definedName>
    <definedName name="integration_Win_BLL_baseline_backlog_20150830" localSheetId="12">'BKLG BLL'!$A$24:$D$518</definedName>
    <definedName name="integration_Win_BLL_baseline_backlog_20160115" localSheetId="12">'BKLG BLL'!$A$24:$D$1350</definedName>
    <definedName name="integration_Win_BLL_baseline_backlog_20160214" localSheetId="12">'BKLG BLL'!$A$24:$D$1343</definedName>
    <definedName name="integration_Win_BLL_baseline_backlog_20160703" localSheetId="12">'BKLG BLL'!$A$24:$D$1350</definedName>
    <definedName name="integration_Win_BLL_baseline_mem_leak_20131028" localSheetId="15">'BLL Leaks'!$B$21:$B$36</definedName>
    <definedName name="integration_Win_BLL_baseline_mem_leak_20140105" localSheetId="15">'BLL Leaks'!$A$21:$C$36</definedName>
    <definedName name="integration_Win_BLL_baseline_mem_leak_20140119" localSheetId="15">'BLL Leaks'!$A$21:$C$36</definedName>
    <definedName name="integration_Win_BLL_baseline_mem_leak_20140202" localSheetId="15">'BLL Leaks'!$A$21:$C$36</definedName>
    <definedName name="integration_Win_BLL_baseline_mem_leak_20140216" localSheetId="15">'BLL Leaks'!$A$21:$C$70</definedName>
    <definedName name="integration_Win_BLL_baseline_mem_leak_20140223" localSheetId="15">'BLL Leaks'!$A$21:$C$70</definedName>
    <definedName name="integration_Win_BLL_baseline_mem_leak_20140302" localSheetId="15">'BLL Leaks'!$A$21:$C$70</definedName>
    <definedName name="integration_Win_BLL_baseline_mem_leak_20140309" localSheetId="15">'BLL Leaks'!$A$21:$C$70</definedName>
    <definedName name="integration_Win_BLL_baseline_mem_leak_20140323" localSheetId="15">'BLL Leaks'!$A$21:$C$70</definedName>
    <definedName name="integration_Win_BLL_baseline_mem_leak_20140413" localSheetId="15">'BLL Leaks'!$A$21:$C$70</definedName>
    <definedName name="integration_Win_BLL_baseline_mem_leak_20140429" localSheetId="15">'BLL Leaks'!$A$21:$C$70</definedName>
    <definedName name="integration_Win_BLL_baseline_mem_leak_20140504" localSheetId="15">'BLL Leaks'!$A$21:$C$70</definedName>
    <definedName name="integration_Win_BLL_baseline_mem_leak_20140602" localSheetId="15">'BLL Leaks'!$A$21:$C$70</definedName>
    <definedName name="integration_Win_BLL_baseline_mem_leak_20140608" localSheetId="15">'BLL Leaks'!$A$21:$C$70</definedName>
    <definedName name="integration_Win_BLL_baseline_mem_leak_20140629" localSheetId="15">'BLL Leaks'!$A$21:$C$70</definedName>
    <definedName name="integration_Win_BLL_baseline_mem_leak_20140921" localSheetId="15">'BLL Leaks'!$A$21:$C$71</definedName>
    <definedName name="integration_Win_BLL_baseline_mem_leak_20141012" localSheetId="15">'BLL Leaks'!$A$21:$C$71</definedName>
    <definedName name="integration_Win_BLL_baseline_mem_leak_20141207" localSheetId="15">'BLL Leaks'!$A$21:$C$73</definedName>
    <definedName name="integration_Win_BLL_baseline_mem_leak_20150104" localSheetId="15">'BLL Leaks'!$A$21:$C$73</definedName>
    <definedName name="integration_Win_BLL_baseline_mem_leak_20150219" localSheetId="15">'BLL Leaks'!$A$21:$C$70</definedName>
    <definedName name="integration_Win_BLL_baseline_mem_leak_20150329" localSheetId="15">'BLL Leaks'!$A$21:$C$65</definedName>
    <definedName name="integration_Win_BLL_baseline_mem_leak_20150830" localSheetId="15">'BLL Leaks'!$A$21:$C$70</definedName>
    <definedName name="integration_Win_BLL_baseline_mem_leak_20150920" localSheetId="15">'BLL Leaks'!$A$21:$C$70</definedName>
    <definedName name="integration_Win_BLL_baseline_mem_leak_20160115" localSheetId="15">'BLL Leaks'!$A$21:$C$64</definedName>
    <definedName name="integration_Win_BLL_baseline_mem_leak_20160214" localSheetId="15">'BLL Leaks'!$A$21:$C$64</definedName>
    <definedName name="integration_Win_BLL_baseline_mem_leak_20160703" localSheetId="15">'BLL Leaks'!$A$21:$C$64</definedName>
    <definedName name="integration_Win_BLL_baseline_mem_leak_20160704" localSheetId="15">'BLL Leaks'!$A$21:$C$64</definedName>
    <definedName name="integration_Win_BLL_baseline_uninit_20140602" localSheetId="12">'BKLG BLL'!$A$24:$C$349</definedName>
    <definedName name="integration_Win_BLL_baseline_uninit_20140602" localSheetId="6">'UNINIT BLL'!$A$19:$C$344</definedName>
    <definedName name="integration_Win_BLL_baseline_uninit_20140608" localSheetId="6">'UNINIT BLL'!$A$19:$C$344</definedName>
    <definedName name="integration_Win_BLL_baseline_uninit_20140629" localSheetId="6">'UNINIT BLL'!$A$19:$C$344</definedName>
    <definedName name="integration_Win_BLL_baseline_uninit_20140921" localSheetId="6">'UNINIT BLL'!$A$19:$C$344</definedName>
    <definedName name="integration_Win_BLL_baseline_uninit_20141012" localSheetId="6">'UNINIT BLL'!$A$19:$C$345</definedName>
    <definedName name="integration_Win_BLL_baseline_uninit_20141207" localSheetId="6">'UNINIT BLL'!$A$19:$C$342</definedName>
    <definedName name="integration_Win_BLL_baseline_uninit_20150104" localSheetId="6">'UNINIT BLL'!$A$19:$C$342</definedName>
    <definedName name="integration_Win_BLL_baseline_uninit_20150219" localSheetId="6">'UNINIT BLL'!$A$19:$C$342</definedName>
    <definedName name="integration_Win_BLL_baseline_uninit_20150329" localSheetId="6">'UNINIT BLL'!$A$19:$C$326</definedName>
    <definedName name="integration_Win_BLL_baseline_uninit_20150830" localSheetId="6">'UNINIT BLL'!$A$19:$C$334</definedName>
    <definedName name="integration_Win_BLL_baseline_uninit_20150920" localSheetId="6">'UNINIT BLL'!$A$19:$C$328</definedName>
    <definedName name="integration_Win_BLL_baseline_uninit_20160115" localSheetId="6">'UNINIT BLL'!$A$19:$C$479</definedName>
    <definedName name="integration_Win_BLL_baseline_uninit_20160214" localSheetId="6">'UNINIT BLL'!$A$19:$C$475</definedName>
    <definedName name="integration_Win_BLL_baseline_uninit_20160703" localSheetId="6">'UNINIT BLL'!$A$19:$C$476</definedName>
    <definedName name="integration_win_ui_backlog_20131120" localSheetId="10">'BKLG UI'!$A$21:$C$2282</definedName>
    <definedName name="integration_win_ui_backlog_20131216" localSheetId="16">'UI Owners'!$A$1:$D$3551</definedName>
    <definedName name="integration_win_ui_backlog_20131229" localSheetId="10">'BKLG UI'!$A$21:$D$2282</definedName>
    <definedName name="integration_win_ui_backlog_20140105" localSheetId="10">'BKLG UI'!$A$21:$D$2282</definedName>
    <definedName name="integration_win_ui_backlog_20140119" localSheetId="10">'BKLG UI'!$A$21:$D$2282</definedName>
    <definedName name="integration_win_ui_backlog_20140202" localSheetId="10">'BKLG UI'!$A$21:$D$2282</definedName>
    <definedName name="integration_win_ui_backlog_20140216" localSheetId="10">'BKLG UI'!$A$21:$D$2282</definedName>
    <definedName name="integration_win_ui_backlog_20140223" localSheetId="10">'BKLG UI'!$A$21:$D$2282</definedName>
    <definedName name="integration_win_ui_backlog_20140302" localSheetId="10">'BKLG UI'!$A$21:$D$2282</definedName>
    <definedName name="integration_win_ui_backlog_20140309" localSheetId="10">'BKLG UI'!$A$21:$D$2282</definedName>
    <definedName name="integration_win_ui_backlog_20140323" localSheetId="10">'BKLG UI'!$A$21:$D$2282</definedName>
    <definedName name="integration_win_ui_backlog_20140413" localSheetId="10">'BKLG UI'!$A$21:$D$2282</definedName>
    <definedName name="integration_win_ui_backlog_20140429" localSheetId="10">'BKLG UI'!$A$21:$D$2282</definedName>
    <definedName name="integration_win_ui_backlog_20140504" localSheetId="10">'BKLG UI'!$A$21:$D$2282</definedName>
    <definedName name="integration_win_ui_backlog_20140511" localSheetId="10">'BKLG UI'!$A$21:$D$2282</definedName>
    <definedName name="integration_win_ui_backlog_20140518" localSheetId="10">'BKLG UI'!$A$21:$D$2282</definedName>
    <definedName name="integration_win_ui_backlog_20140602" localSheetId="10">'BKLG UI'!$A$21:$D$2282</definedName>
    <definedName name="integration_win_ui_backlog_20140608" localSheetId="10">'BKLG UI'!$A$21:$D$2301</definedName>
    <definedName name="integration_win_ui_backlog_20140629" localSheetId="10">'BKLG UI'!$A$21:$D$2301</definedName>
    <definedName name="integration_win_ui_backlog_20140921" localSheetId="10">'BKLG UI'!$A$21:$D$2264</definedName>
    <definedName name="integration_win_ui_backlog_20140922" localSheetId="10">'BKLG UI'!$A$21:$D$2264</definedName>
    <definedName name="integration_win_ui_backlog_20141012" localSheetId="10">'BKLG UI'!$A$21:$D$2218</definedName>
    <definedName name="integration_win_ui_backlog_20141207" localSheetId="10">'BKLG UI'!$A$21:$D$2044</definedName>
    <definedName name="integration_win_ui_backlog_20150104" localSheetId="10">'BKLG UI'!$A$21:$D$2025</definedName>
    <definedName name="integration_win_ui_backlog_20150219" localSheetId="10">'BKLG UI'!$A$21:$D$2102</definedName>
    <definedName name="integration_win_ui_backlog_20150329" localSheetId="10">'BKLG UI'!$A$21:$D$1997</definedName>
    <definedName name="integration_win_ui_backlog_20150830" localSheetId="10">'BKLG UI'!$A$21:$D$2069</definedName>
    <definedName name="integration_win_ui_backlog_20150920" localSheetId="10">'BKLG UI'!$A$21:$D$2066</definedName>
    <definedName name="integration_win_ui_backlog_20160115" localSheetId="10">'BKLG UI'!$A$21:$D$4094</definedName>
    <definedName name="integration_win_ui_backlog_20160214" localSheetId="10">'BKLG UI'!$A$21:$D$4000</definedName>
    <definedName name="integration_win_ui_backlog_20160703" localSheetId="10">'BKLG UI'!$A$21:$D$3915</definedName>
    <definedName name="integration_win_ui_mem_leak_20131028" localSheetId="13">'UI Leaks'!$B$21:$B$1392</definedName>
    <definedName name="integration_win_ui_mem_leak_20131222" localSheetId="13">'UI Leaks'!$A$21:$C$1392</definedName>
    <definedName name="integration_win_ui_mem_leak_20131223" localSheetId="13">'UI Leaks'!$A$21:$C$1392</definedName>
    <definedName name="integration_win_ui_mem_leak_20131229" localSheetId="13">'UI Leaks'!$A$21:$C$1392</definedName>
    <definedName name="integration_win_ui_mem_leak_20140105" localSheetId="13">'UI Leaks'!$A$21:$C$1392</definedName>
    <definedName name="integration_win_ui_mem_leak_20140119" localSheetId="13">'UI Leaks'!$A$21:$C$1392</definedName>
    <definedName name="integration_win_ui_mem_leak_20140202" localSheetId="13">'UI Leaks'!$A$21:$C$1392</definedName>
    <definedName name="integration_win_ui_mem_leak_20140216" localSheetId="13">'UI Leaks'!$A$21:$C$1392</definedName>
    <definedName name="integration_win_ui_mem_leak_20140223" localSheetId="13">'UI Leaks'!$A$21:$C$1392</definedName>
    <definedName name="integration_win_ui_mem_leak_20140302" localSheetId="13">'UI Leaks'!$A$21:$C$1392</definedName>
    <definedName name="integration_win_ui_mem_leak_20140309" localSheetId="13">'UI Leaks'!$A$21:$C$1392</definedName>
    <definedName name="integration_win_ui_mem_leak_20140323" localSheetId="13">'UI Leaks'!$A$21:$C$1392</definedName>
    <definedName name="integration_win_ui_mem_leak_20140413" localSheetId="13">'UI Leaks'!$A$21:$C$1392</definedName>
    <definedName name="integration_win_ui_mem_leak_20140429" localSheetId="13">'UI Leaks'!$A$21:$C$1392</definedName>
    <definedName name="integration_win_ui_mem_leak_20140504" localSheetId="13">'UI Leaks'!$A$21:$C$1392</definedName>
    <definedName name="integration_win_ui_mem_leak_20140511" localSheetId="13">'UI Leaks'!$A$21:$C$1392</definedName>
    <definedName name="integration_win_ui_mem_leak_20140518" localSheetId="13">'UI Leaks'!$A$21:$C$1392</definedName>
    <definedName name="integration_win_ui_mem_leak_20140602" localSheetId="13">'UI Leaks'!$A$21:$C$1392</definedName>
    <definedName name="integration_win_ui_mem_leak_20140608" localSheetId="13">'UI Leaks'!$A$21:$C$1411</definedName>
    <definedName name="integration_win_ui_mem_leak_20140629" localSheetId="13">'UI Leaks'!$A$21:$C$1411</definedName>
    <definedName name="integration_win_ui_mem_leak_20140921" localSheetId="13">'UI Leaks'!$A$21:$C$1411</definedName>
    <definedName name="integration_win_ui_mem_leak_20140922" localSheetId="13">'UI Leaks'!$A$21:$C$1411</definedName>
    <definedName name="integration_win_ui_mem_leak_20141012" localSheetId="13">'UI Leaks'!$A$21:$C$1388</definedName>
    <definedName name="integration_win_ui_mem_leak_20141207" localSheetId="13">'UI Leaks'!$A$21:$C$1388</definedName>
    <definedName name="integration_win_ui_mem_leak_20150104" localSheetId="13">'UI Leaks'!$A$21:$C$1388</definedName>
    <definedName name="integration_win_ui_mem_leak_20150219" localSheetId="13">'UI Leaks'!$A$21:$C$1473</definedName>
    <definedName name="integration_win_ui_mem_leak_20150329" localSheetId="13">'UI Leaks'!$A$21:$C$1374</definedName>
    <definedName name="integration_win_ui_mem_leak_20150830" localSheetId="13">'UI Leaks'!$A$21:$C$1421</definedName>
    <definedName name="integration_win_ui_mem_leak_20150920" localSheetId="13">'UI Leaks'!$A$21:$C$1423</definedName>
    <definedName name="integration_win_ui_mem_leak_20160115" localSheetId="13">'UI Leaks'!$A$21:$C$876</definedName>
    <definedName name="integration_win_ui_mem_leak_20160214" localSheetId="13">'UI Leaks'!$A$21:$C$853</definedName>
    <definedName name="integration_win_ui_mem_leak_20160703" localSheetId="13">'UI Leaks'!$A$21:$C$816</definedName>
    <definedName name="integration_x86_baseline_backlog_20131120" localSheetId="11">'BKLG IL'!$A$25:$C$2105</definedName>
    <definedName name="integration_x86_baseline_backlog_20131216" localSheetId="17">'IL Owners'!$A$1:$D$2901</definedName>
    <definedName name="integration_x86_baseline_backlog_20131222" localSheetId="11">'BKLG IL'!$A$25:$D$2105</definedName>
    <definedName name="integration_x86_baseline_backlog_20131229" localSheetId="11">'BKLG IL'!$A$25:$D$2105</definedName>
    <definedName name="integration_x86_baseline_backlog_20140105" localSheetId="11">'BKLG IL'!$A$25:$D$2105</definedName>
    <definedName name="integration_x86_baseline_backlog_20140119" localSheetId="11">'BKLG IL'!$A$25:$D$2105</definedName>
    <definedName name="integration_x86_baseline_backlog_20140202" localSheetId="11">'BKLG IL'!$A$25:$D$2105</definedName>
    <definedName name="integration_x86_baseline_backlog_20140216" localSheetId="11">'BKLG IL'!$A$25:$D$2105</definedName>
    <definedName name="integration_x86_baseline_backlog_20140223" localSheetId="11">'BKLG IL'!$A$25:$D$2105</definedName>
    <definedName name="integration_x86_baseline_backlog_20140302" localSheetId="11">'BKLG IL'!$A$25:$D$2105</definedName>
    <definedName name="integration_x86_baseline_backlog_20140309" localSheetId="11">'BKLG IL'!$A$25:$D$2105</definedName>
    <definedName name="integration_x86_baseline_backlog_20140323" localSheetId="11">'BKLG IL'!$A$25:$D$2105</definedName>
    <definedName name="integration_x86_baseline_backlog_20140413" localSheetId="11">'BKLG IL'!$A$25:$D$2105</definedName>
    <definedName name="integration_x86_baseline_backlog_20140429" localSheetId="11">'BKLG IL'!$A$25:$D$2105</definedName>
    <definedName name="integration_x86_baseline_backlog_20140504" localSheetId="11">'BKLG IL'!$A$25:$D$2105</definedName>
    <definedName name="integration_x86_baseline_backlog_20140511" localSheetId="11">'BKLG IL'!$A$25:$D$2105</definedName>
    <definedName name="integration_x86_baseline_backlog_20140518" localSheetId="11">'BKLG IL'!$A$25:$D$2105</definedName>
    <definedName name="integration_x86_baseline_backlog_20140602" localSheetId="11">'BKLG IL'!$A$25:$D$2105</definedName>
    <definedName name="integration_x86_baseline_backlog_20140608" localSheetId="11">'BKLG IL'!$A$25:$D$2105</definedName>
    <definedName name="integration_x86_baseline_backlog_20140629" localSheetId="11">'BKLG IL'!$A$25:$D$2105</definedName>
    <definedName name="integration_x86_baseline_backlog_20140921" localSheetId="11">'BKLG IL'!$A$25:$D$1943</definedName>
    <definedName name="integration_x86_baseline_backlog_20141012" localSheetId="11">'BKLG IL'!$A$25:$D$1946</definedName>
    <definedName name="integration_x86_baseline_backlog_20141207" localSheetId="11">'BKLG IL'!$A$25:$D$1947</definedName>
    <definedName name="integration_x86_baseline_backlog_20150104" localSheetId="11">'BKLG IL'!$A$25:$D$1955</definedName>
    <definedName name="integration_x86_baseline_backlog_20150219" localSheetId="11">'BKLG IL'!$A$25:$D$1955</definedName>
    <definedName name="integration_x86_baseline_backlog_20150329" localSheetId="11">'BKLG IL'!$A$25:$D$1961</definedName>
    <definedName name="integration_x86_baseline_backlog_20150830" localSheetId="11">'BKLG IL'!$A$25:$D$1961</definedName>
    <definedName name="integration_x86_baseline_backlog_20150920" localSheetId="11">'BKLG IL'!$A$25:$D$1958</definedName>
    <definedName name="integration_x86_baseline_backlog_20150921" localSheetId="11">'BKLG IL'!$A$25:$D$1958</definedName>
    <definedName name="integration_x86_baseline_backlog_20160115" localSheetId="11">'BKLG IL'!$A$25:$D$5405</definedName>
    <definedName name="integration_x86_baseline_backlog_20160214" localSheetId="11">'BKLG IL'!$A$25:$D$5379</definedName>
    <definedName name="integration_x86_baseline_backlog_20160703" localSheetId="11">'BKLG IL'!$A$25:$D$5464</definedName>
    <definedName name="integration_x86_baseline_mem_leak_20131028" localSheetId="14">'IL Leaks'!$B$20:$B$30</definedName>
    <definedName name="integration_x86_baseline_mem_leak_20131222" localSheetId="14">'IL Leaks'!$A$20:$C$30</definedName>
    <definedName name="integration_x86_baseline_mem_leak_20140119" localSheetId="14">'IL Leaks'!$A$20:$C$30</definedName>
    <definedName name="integration_x86_baseline_mem_leak_20140202" localSheetId="14">'IL Leaks'!$A$20:$C$30</definedName>
    <definedName name="integration_x86_baseline_mem_leak_20140216" localSheetId="14">'IL Leaks'!$A$20:$C$30</definedName>
    <definedName name="integration_x86_baseline_mem_leak_20140223" localSheetId="14">'IL Leaks'!$A$20:$C$30</definedName>
    <definedName name="integration_x86_baseline_mem_leak_20140302" localSheetId="14">'IL Leaks'!$A$20:$C$30</definedName>
    <definedName name="integration_x86_baseline_mem_leak_20140309" localSheetId="14">'IL Leaks'!$A$20:$C$30</definedName>
    <definedName name="integration_x86_baseline_mem_leak_20140323" localSheetId="14">'IL Leaks'!$A$20:$C$30</definedName>
    <definedName name="integration_x86_baseline_mem_leak_20140413" localSheetId="14">'IL Leaks'!$A$20:$C$30</definedName>
    <definedName name="integration_x86_baseline_mem_leak_20140429" localSheetId="14">'IL Leaks'!$A$20:$C$30</definedName>
    <definedName name="integration_x86_baseline_mem_leak_20140504" localSheetId="14">'IL Leaks'!$A$20:$C$30</definedName>
    <definedName name="integration_x86_baseline_mem_leak_20140602" localSheetId="14">'IL Leaks'!$A$20:$C$31</definedName>
    <definedName name="integration_x86_baseline_mem_leak_20140608" localSheetId="14">'IL Leaks'!$A$20:$C$31</definedName>
    <definedName name="integration_x86_baseline_mem_leak_20140629" localSheetId="14">'IL Leaks'!$A$20:$C$31</definedName>
    <definedName name="integration_x86_baseline_mem_leak_20140921" localSheetId="14">'IL Leaks'!$A$20:$C$31</definedName>
    <definedName name="integration_x86_baseline_mem_leak_20141012" localSheetId="14">'IL Leaks'!$A$20:$C$33</definedName>
    <definedName name="integration_x86_baseline_mem_leak_20141207" localSheetId="14">'IL Leaks'!$A$20:$C$33</definedName>
    <definedName name="integration_x86_baseline_mem_leak_20150104" localSheetId="14">'IL Leaks'!$A$20:$C$38</definedName>
    <definedName name="integration_x86_baseline_mem_leak_20150219" localSheetId="14">'IL Leaks'!$A$20:$C$33</definedName>
    <definedName name="integration_x86_baseline_mem_leak_20150329" localSheetId="14">'IL Leaks'!$A$20:$C$33</definedName>
    <definedName name="integration_x86_baseline_mem_leak_20150830" localSheetId="14">'IL Leaks'!$A$20:$C$35</definedName>
    <definedName name="integration_x86_baseline_mem_leak_20150920" localSheetId="14">'IL Leaks'!$A$20:$C$35</definedName>
    <definedName name="integration_x86_baseline_mem_leak_20160115" localSheetId="14">'IL Leaks'!$A$20:$C$194</definedName>
    <definedName name="integration_x86_baseline_mem_leak_20160214" localSheetId="14">'IL Leaks'!$A$20:$C$188</definedName>
    <definedName name="integration_x86_baseline_mem_leak_20160703" localSheetId="14">'IL Leaks'!$A$20:$C$189</definedName>
    <definedName name="integration_x86_baseline_uninit_20140602" localSheetId="5">'UNINIT IL'!$A$22:$C$915</definedName>
    <definedName name="integration_x86_baseline_uninit_20140608" localSheetId="5">'UNINIT IL'!$A$22:$C$915</definedName>
    <definedName name="integration_x86_baseline_uninit_20140629" localSheetId="5">'UNINIT IL'!$A$22:$C$915</definedName>
    <definedName name="integration_x86_baseline_uninit_20140921" localSheetId="5">'UNINIT IL'!$A$22:$C$879</definedName>
    <definedName name="integration_x86_baseline_uninit_20141012" localSheetId="5">'UNINIT IL'!$A$22:$C$881</definedName>
    <definedName name="integration_x86_baseline_uninit_20141207" localSheetId="5">'UNINIT IL'!$A$22:$C$875</definedName>
    <definedName name="integration_x86_baseline_uninit_20150104" localSheetId="5">'UNINIT IL'!$A$22:$C$875</definedName>
    <definedName name="integration_x86_baseline_uninit_20150219" localSheetId="5">'UNINIT IL'!$A$22:$C$878</definedName>
    <definedName name="integration_x86_baseline_uninit_20150329" localSheetId="5">'UNINIT IL'!$A$22:$C$878</definedName>
    <definedName name="integration_x86_baseline_uninit_20150830" localSheetId="5">'UNINIT IL'!$A$22:$C$860</definedName>
    <definedName name="integration_x86_baseline_uninit_20150920" localSheetId="5">'UNINIT IL'!$A$22:$C$859</definedName>
    <definedName name="integration_x86_baseline_uninit_20160115" localSheetId="5">'UNINIT IL'!$A$22:$C$1251</definedName>
    <definedName name="integration_x86_baseline_uninit_20160214" localSheetId="5">'UNINIT IL'!$A$22:$C$1238</definedName>
    <definedName name="integration_x86_baseline_uninit_20160703" localSheetId="5">'UNINIT IL'!$A$22:$C$1290</definedName>
    <definedName name="integration_x86_baseline_uninit_20160704" localSheetId="5">'UNINIT IL'!$A$22:$C$1290</definedName>
    <definedName name="kw_integration_Win_BLL_baseline_diff_integration_20121209_2_vs_integration_2013113" localSheetId="9">'New BLL'!#REF!</definedName>
    <definedName name="kw_integration_Win_BLL_baseline_diff_integration_20121209_2_vs_integration_2013203" localSheetId="9">'New BLL'!#REF!</definedName>
    <definedName name="kw_integration_Win_BLL_baseline_diff_integration_20121209_2_vs_integration_2013210" localSheetId="9">'New BLL'!#REF!</definedName>
    <definedName name="kw_integration_Win_BLL_baseline_diff_integration_20121209_2_vs_integration_2013310" localSheetId="9">'New BLL'!#REF!</definedName>
    <definedName name="kw_integration_Win_BLL_baseline_diff_integration_20121209_2_vs_integration_2013317" localSheetId="9">'New BLL'!#REF!</definedName>
    <definedName name="kw_integration_Win_BLL_baseline_diff_integration_20121209_2_vs_integration_2013324" localSheetId="9">'New BLL'!#REF!</definedName>
    <definedName name="kw_integration_Win_BLL_baseline_diff_integration_20121209_2_vs_integration_2013331" localSheetId="9">'New BLL'!#REF!</definedName>
    <definedName name="kw_integration_Win_BLL_baseline_diff_integration_2013630_vs_integration_2013728" localSheetId="9">'New BLL'!$B$14</definedName>
    <definedName name="kw_integration_Win_BLL_baseline_diff_integration_2013630_vs_integration_2013804" localSheetId="9">'New BLL'!$B$14:$B$16</definedName>
    <definedName name="kw_integration_Win_BLL_baseline_diff_integration_2013630_vs_integration_2014_05_30" localSheetId="9">'New BLL'!$A$14:$C$67</definedName>
    <definedName name="kw_integration_Win_BLL_baseline_diff_integration_2014105_vs_integration_2014_01_19_1" localSheetId="9">'New BLL'!$A$14:$C$16</definedName>
    <definedName name="kw_integration_Win_BLL_baseline_diff_integration_2014105_vs_integration_2014_01_31_1" localSheetId="9">'New BLL'!$A$14:$C$16</definedName>
    <definedName name="kw_integration_Win_BLL_baseline_diff_integration_2014105_vs_integration_2014_02_13_1" localSheetId="9">'New BLL'!$A$14:$C$58</definedName>
    <definedName name="kw_integration_Win_BLL_baseline_diff_integration_2014105_vs_integration_2014_02_22_1" localSheetId="9">'New BLL'!$A$14:$C$58</definedName>
    <definedName name="kw_integration_Win_BLL_baseline_diff_integration_2014105_vs_integration_2014_03_02_1" localSheetId="9">'New BLL'!$A$14:$C$58</definedName>
    <definedName name="kw_integration_Win_BLL_baseline_diff_integration_2014105_vs_integration_2014_03_22" localSheetId="9">'New BLL'!$A$14:$C$58</definedName>
    <definedName name="kw_integration_Win_BLL_baseline_diff_integration_2014105_vs_integration_2014_04_12_1" localSheetId="9">'New BLL'!$A$14:$C$58</definedName>
    <definedName name="kw_integration_Win_BLL_baseline_diff_integration_2014105_vs_integration_2014_04_26" localSheetId="9">'New BLL'!$A$14:$C$58</definedName>
    <definedName name="kw_integration_Win_BLL_baseline_diff_integration_2014105_vs_integration_2014_05_04" localSheetId="9">'New BLL'!$A$14:$C$58</definedName>
    <definedName name="kw_integration_Win_BLL_baseline_diff_integration_2014105_vs_integration_2014_05_11_1" localSheetId="9">'New BLL'!$A$14:$C$59</definedName>
    <definedName name="kw_integration_Win_BLL_baseline_diff_integration_2014105_vs_integration_2014_05_18_1" localSheetId="9">'New BLL'!$A$14:$C$60</definedName>
    <definedName name="kw_integration_Win_BLL_baseline_diff_integration_2014105_vs_integration_2014_06_07_1" localSheetId="9">'New BLL'!$A$14:$C$67</definedName>
    <definedName name="kw_integration_Win_BLL_baseline_diff_integration_2014105_vs_integration_2014_06_28_1" localSheetId="9">'New BLL'!$A$14:$C$67</definedName>
    <definedName name="kw_integration_Win_BLL_baseline_diff_integration_2014105_vs_integration_2014_07_05_1" localSheetId="9">'New BLL'!$A$14:$C$67</definedName>
    <definedName name="kw_integration_Win_BLL_baseline_diff_integration_2014105_vs_integration_2014_08_02" localSheetId="12">'BKLG BLL'!$A$24:$D$515</definedName>
    <definedName name="kw_integration_Win_BLL_baseline_diff_integration_2014105_vs_integration_2014_08_02" localSheetId="11">'BKLG IL'!$A$25:$D$1942</definedName>
    <definedName name="kw_integration_Win_BLL_baseline_diff_integration_2014105_vs_integration_2014_08_02" localSheetId="10">'BKLG UI'!$A$2199:$D$4474</definedName>
    <definedName name="kw_integration_Win_BLL_baseline_diff_integration_2014105_vs_integration_2014_08_02" localSheetId="15">'BLL Leaks'!$A$21:$C$71</definedName>
    <definedName name="kw_integration_Win_BLL_baseline_diff_integration_2014105_vs_integration_2014_08_02" localSheetId="14">'IL Leaks'!$A$20:$C$31</definedName>
    <definedName name="kw_integration_Win_BLL_baseline_diff_integration_2014105_vs_integration_2014_08_02" localSheetId="9">'New BLL'!$A$14:$C$65</definedName>
    <definedName name="kw_integration_Win_BLL_baseline_diff_integration_2014105_vs_integration_2014_08_02" localSheetId="8">'New IL'!$A$14:$C$33</definedName>
    <definedName name="kw_integration_Win_BLL_baseline_diff_integration_2014105_vs_integration_2014_08_02" localSheetId="7">'New UI'!$A$19:$C$188</definedName>
    <definedName name="kw_integration_Win_BLL_baseline_diff_integration_2014105_vs_integration_2014_08_02" localSheetId="13">'UI Leaks'!$A$21:$C$1417</definedName>
    <definedName name="kw_integration_Win_BLL_baseline_diff_integration_2014105_vs_integration_2014_08_02" localSheetId="6">'UNINIT BLL'!$A$19:$C$344</definedName>
    <definedName name="kw_integration_Win_BLL_baseline_diff_integration_2014105_vs_integration_2014_08_02" localSheetId="5">'UNINIT IL'!$A$22:$C$880</definedName>
    <definedName name="kw_integration_Win_BLL_baseline_diff_integration_2014105_vs_integration_2014_08_02_1" localSheetId="12">'BKLG BLL'!$A$24:$D$515</definedName>
    <definedName name="kw_integration_Win_BLL_baseline_diff_integration_2014105_vs_integration_2014_08_02_1" localSheetId="11">'BKLG IL'!$A$25:$D$1952</definedName>
    <definedName name="kw_integration_Win_BLL_baseline_diff_integration_2014105_vs_integration_2014_08_02_1" localSheetId="10">'BKLG UI'!$A$21:$D$2296</definedName>
    <definedName name="kw_integration_Win_BLL_baseline_diff_integration_2014105_vs_integration_2014_08_02_1" localSheetId="15">'BLL Leaks'!$A$21:$C$71</definedName>
    <definedName name="kw_integration_Win_BLL_baseline_diff_integration_2014105_vs_integration_2014_08_02_1" localSheetId="14">'IL Leaks'!$A$20:$C$31</definedName>
    <definedName name="kw_integration_Win_BLL_baseline_diff_integration_2014105_vs_integration_2014_08_02_1" localSheetId="9">'New BLL'!$A$14:$C$64</definedName>
    <definedName name="kw_integration_Win_BLL_baseline_diff_integration_2014105_vs_integration_2014_08_02_1" localSheetId="8">'New IL'!$A$14:$C$43</definedName>
    <definedName name="kw_integration_Win_BLL_baseline_diff_integration_2014105_vs_integration_2014_08_02_1" localSheetId="7">'New UI'!$A$19:$C$195</definedName>
    <definedName name="kw_integration_Win_BLL_baseline_diff_integration_2014105_vs_integration_2014_08_02_1" localSheetId="13">'UI Leaks'!$A$21:$C$1426</definedName>
    <definedName name="kw_integration_Win_BLL_baseline_diff_integration_2014105_vs_integration_2014_08_02_1" localSheetId="6">'UNINIT BLL'!$A$19:$C$344</definedName>
    <definedName name="kw_integration_Win_BLL_baseline_diff_integration_2014105_vs_integration_2014_08_02_1" localSheetId="5">'UNINIT IL'!$A$22:$C$873</definedName>
    <definedName name="kw_integration_Win_BLL_baseline_diff_integration_2014105_vs_integration_2014_08_02_2" localSheetId="12">'BKLG BLL'!$A$24:$D$516</definedName>
    <definedName name="kw_integration_Win_BLL_baseline_diff_integration_2014105_vs_integration_2014_08_02_2" localSheetId="11">'BKLG IL'!$A$25:$D$1892</definedName>
    <definedName name="kw_integration_Win_BLL_baseline_diff_integration_2014105_vs_integration_2014_08_02_2" localSheetId="10">'BKLG UI'!$A$21:$D$2303</definedName>
    <definedName name="kw_integration_Win_BLL_baseline_diff_integration_2014105_vs_integration_2014_08_02_2" localSheetId="15">'BLL Leaks'!$A$21:$C$71</definedName>
    <definedName name="kw_integration_Win_BLL_baseline_diff_integration_2014105_vs_integration_2014_08_02_2" localSheetId="14">'IL Leaks'!$A$20:$C$31</definedName>
    <definedName name="kw_integration_Win_BLL_baseline_diff_integration_2014105_vs_integration_2014_08_02_2" localSheetId="9">'New BLL'!$A$14:$C$66</definedName>
    <definedName name="kw_integration_Win_BLL_baseline_diff_integration_2014105_vs_integration_2014_08_02_2" localSheetId="8">'New IL'!$A$14:$C$32</definedName>
    <definedName name="kw_integration_Win_BLL_baseline_diff_integration_2014105_vs_integration_2014_08_02_2" localSheetId="7">'New UI'!$A$19:$C$200</definedName>
    <definedName name="kw_integration_Win_BLL_baseline_diff_integration_2014105_vs_integration_2014_08_02_2" localSheetId="13">'UI Leaks'!$A$21:$C$1425</definedName>
    <definedName name="kw_integration_Win_BLL_baseline_diff_integration_2014105_vs_integration_2014_08_02_2" localSheetId="6">'UNINIT BLL'!$A$19:$C$344</definedName>
    <definedName name="kw_integration_Win_BLL_baseline_diff_integration_2014105_vs_integration_2014_08_02_2" localSheetId="5">'UNINIT IL'!$A$22:$C$830</definedName>
    <definedName name="kw_integration_Win_BLL_baseline_diff_integration_2014105_vs_integration_2014_08_02_3" localSheetId="11">'BKLG IL'!$A$25:$D$1892</definedName>
    <definedName name="kw_integration_Win_BLL_baseline_diff_integration_2014105_vs_integration_2014_08_02_3" localSheetId="10">'BKLG UI'!$A$21:$D$2308</definedName>
    <definedName name="kw_integration_Win_BLL_baseline_diff_integration_2014105_vs_integration_2014_08_02_3" localSheetId="14">'IL Leaks'!$A$20:$C$31</definedName>
    <definedName name="kw_integration_Win_BLL_baseline_diff_integration_2014105_vs_integration_2014_08_02_3" localSheetId="8">'New IL'!$A$14:$C$32</definedName>
    <definedName name="kw_integration_Win_BLL_baseline_diff_integration_2014105_vs_integration_2014_09_20" localSheetId="9">'New BLL'!$A$14:$C$66</definedName>
    <definedName name="kw_integration_Win_BLL_baseline_diff_integration_2014105_vs_integration_2014_10_12" localSheetId="9">'New BLL'!$A$14:$C$69</definedName>
    <definedName name="kw_integration_Win_BLL_baseline_diff_integration_2014105_vs_integration_2014_12_05" localSheetId="9">'New BLL'!$A$14:$C$68</definedName>
    <definedName name="kw_integration_Win_BLL_baseline_diff_integration_2014105_vs_integration_2014_12_05_1" localSheetId="9">'New BLL'!$A$14:$C$68</definedName>
    <definedName name="kw_integration_Win_BLL_baseline_diff_integration_2014105_vs_integration_2015_01_04" localSheetId="9">'New BLL'!$A$14:$C$70</definedName>
    <definedName name="kw_integration_Win_BLL_baseline_diff_integration_2015_02_15_vs_integration_2015_03_27" localSheetId="9">'New BLL'!$A$14:$C$17</definedName>
    <definedName name="kw_integration_Win_BLL_baseline_diff_integration_2015_02_15_vs_integration_2015_08_30" localSheetId="9">'New BLL'!$A$14:$C$37</definedName>
    <definedName name="kw_integration_Win_BLL_baseline_diff_integration_2015_02_15_vs_integration_2015_09_20" localSheetId="9">'New BLL'!$A$14:$C$39</definedName>
    <definedName name="kw_integration_Win_BLL_baseline_diff_integration_2015_12_23_vs_integration_2016_01_14" localSheetId="9">'New BLL'!$A$14:$C$61</definedName>
    <definedName name="kw_integration_Win_BLL_baseline_diff_integration_2015_12_23_vs_integration_2016_02_13" localSheetId="9">'New BLL'!$A$14:$C$82</definedName>
    <definedName name="kw_integration_Win_BLL_baseline_diff_integration_2015_12_23_vs_integration_2016_07_03" localSheetId="9">'New BLL'!$A$14:$C$118</definedName>
    <definedName name="kw_integration_win_ui_diff_integration_ui_2013114_vs_integration_2013202" localSheetId="7">'New UI'!#REF!</definedName>
    <definedName name="kw_integration_win_ui_diff_integration_ui_2013114_vs_integration_ui_2013209" localSheetId="7">'New UI'!#REF!</definedName>
    <definedName name="kw_integration_win_ui_diff_integration_ui_2013114_vs_integration_ui_2013223" localSheetId="7">'New UI'!#REF!</definedName>
    <definedName name="kw_integration_win_ui_diff_integration_ui_2013114_vs_integration_ui_2013302" localSheetId="7">'New UI'!#REF!</definedName>
    <definedName name="kw_integration_win_ui_diff_integration_ui_2013114_vs_integration_ui_2013316" localSheetId="7">'New UI'!#REF!</definedName>
    <definedName name="kw_integration_win_ui_diff_integration_ui_2013114_vs_integration_ui_2013323" localSheetId="7">'New UI'!#REF!</definedName>
    <definedName name="kw_integration_win_ui_diff_integration_ui_2013114_vs_integration_ui_2013330" localSheetId="7">'New UI'!#REF!</definedName>
    <definedName name="kw_integration_win_ui_diff_integration_ui_2013114_vs_integration_ui_2013415" localSheetId="7">'New UI'!$B$19:$B$19</definedName>
    <definedName name="kw_integration_win_ui_diff_integration_ui_2013114_vs_integration_ui_2013420" localSheetId="7">'New UI'!$B$19:$B$19</definedName>
    <definedName name="kw_integration_win_ui_diff_integration_ui_2013114_vs_integration_ui_2013427" localSheetId="7">'New UI'!$B$19:$B$19</definedName>
    <definedName name="kw_integration_win_ui_diff_integration_ui_2013114_vs_integration_ui_2013504" localSheetId="7">'New UI'!$B$19:$B$19</definedName>
    <definedName name="kw_integration_win_ui_diff_integration_ui_2013114_vs_integration_ui_2013511" localSheetId="7">'New UI'!$B$19:$B$19</definedName>
    <definedName name="kw_integration_win_ui_diff_integration_ui_2013114_vs_integration_ui_2013518" localSheetId="7">'New UI'!$B$19:$B$19</definedName>
    <definedName name="kw_integration_win_ui_diff_integration_ui_2013114_vs_integration_ui_2013525" localSheetId="7">'New UI'!$B$19:$B$19</definedName>
    <definedName name="kw_integration_win_ui_diff_integration_ui_2013114_vs_integration_ui_2013601" localSheetId="7">'New UI'!$B$19:$B$19</definedName>
    <definedName name="kw_integration_win_ui_diff_integration_ui_2013114_vs_integration_ui_2013608" localSheetId="7">'New UI'!$B$19:$B$19</definedName>
    <definedName name="kw_integration_win_ui_diff_integration_ui_2013114_vs_integration_ui_2013615" localSheetId="7">'New UI'!$B$19:$B$19</definedName>
    <definedName name="kw_integration_win_ui_diff_integration_ui_2013114_vs_integration_ui_2013622" localSheetId="7">'New UI'!$B$19:$B$19</definedName>
    <definedName name="kw_integration_win_ui_diff_integration_ui_2013114_vs_integration_ui_2013629" localSheetId="7">'New UI'!$B$19:$B$19</definedName>
    <definedName name="kw_integration_win_ui_diff_integration_ui_2013629_vs_integration_ui_2013713" localSheetId="7">'New UI'!$B$19:$B$27</definedName>
    <definedName name="kw_integration_win_ui_diff_integration_ui_2013629_vs_integration_ui_2013727" localSheetId="7">'New UI'!$B$19:$B$29</definedName>
    <definedName name="kw_integration_win_ui_diff_integration_ui_2013629_vs_integration_ui_2013804" localSheetId="7">'New UI'!$B$19:$B$29</definedName>
    <definedName name="kw_integration_win_ui_diff_integration_ui_2013629_vs_integration_ui_2014_05_30_1" localSheetId="7">'New UI'!$A$19:$C$182</definedName>
    <definedName name="kw_integration_win_ui_diff_integration_ui_2013629_vs_integration_ui_2014104" localSheetId="7">'New UI'!$A$19:$C$29</definedName>
    <definedName name="kw_integration_win_ui_diff_integration_ui_2014105_vs_integration_ui_2014_01_19" localSheetId="7">'New UI'!$A$19:$C$29</definedName>
    <definedName name="kw_integration_win_ui_diff_integration_ui_2014105_vs_integration_ui_2014_01_31" localSheetId="7">'New UI'!$A$19:$C$34</definedName>
    <definedName name="kw_integration_win_ui_diff_integration_ui_2014105_vs_integration_ui_2014_02_13_1" localSheetId="7">'New UI'!$A$19:$C$156</definedName>
    <definedName name="kw_integration_win_ui_diff_integration_ui_2014105_vs_integration_ui_2014_02_22_1" localSheetId="7">'New UI'!$A$19:$C$156</definedName>
    <definedName name="kw_integration_win_ui_diff_integration_ui_2014105_vs_integration_ui_2014_03_02_1" localSheetId="7">'New UI'!$A$19:$C$156</definedName>
    <definedName name="kw_integration_win_ui_diff_integration_ui_2014105_vs_integration_ui_2014_03_08" localSheetId="7">'New UI'!$A$19:$C$156</definedName>
    <definedName name="kw_integration_win_ui_diff_integration_ui_2014105_vs_integration_ui_2014_03_22_1" localSheetId="7">'New UI'!$A$19:$C$156</definedName>
    <definedName name="kw_integration_win_ui_diff_integration_ui_2014105_vs_integration_ui_2014_04_12_1" localSheetId="7">'New UI'!$A$19:$C$156</definedName>
    <definedName name="kw_integration_win_ui_diff_integration_ui_2014105_vs_integration_ui_2014_04_26" localSheetId="7">'New UI'!$A$19:$C$156</definedName>
    <definedName name="kw_integration_win_ui_diff_integration_ui_2014105_vs_integration_ui_2014_05_04" localSheetId="7">'New UI'!$A$19:$C$156</definedName>
    <definedName name="kw_integration_win_ui_diff_integration_ui_2014105_vs_integration_ui_2014_05_11_1" localSheetId="7">'New UI'!$A$19:$C$159</definedName>
    <definedName name="kw_integration_win_ui_diff_integration_ui_2014105_vs_integration_ui_2014_05_18" localSheetId="7">'New UI'!$A$19:$C$159</definedName>
    <definedName name="kw_integration_win_ui_diff_integration_ui_2014105_vs_integration_ui_2014_06_07" localSheetId="7">'New UI'!$A$19:$C$182</definedName>
    <definedName name="kw_integration_win_ui_diff_integration_ui_2014105_vs_integration_ui_2014_06_28" localSheetId="7">'New UI'!$A$19:$C$182</definedName>
    <definedName name="kw_integration_win_ui_diff_integration_ui_2014105_vs_integration_ui_2014_07_05" localSheetId="11">'BKLG IL'!$A$25:$D$2106</definedName>
    <definedName name="kw_integration_win_ui_diff_integration_ui_2014105_vs_integration_ui_2014_07_05" localSheetId="10">'BKLG UI'!$A$21:$D$2310</definedName>
    <definedName name="kw_integration_win_ui_diff_integration_ui_2014105_vs_integration_ui_2014_07_05" localSheetId="15">'BLL Leaks'!$A$21:$C$70</definedName>
    <definedName name="kw_integration_win_ui_diff_integration_ui_2014105_vs_integration_ui_2014_07_05" localSheetId="7">'New UI'!$A$19:$C$191</definedName>
    <definedName name="kw_integration_win_ui_diff_integration_ui_2014105_vs_integration_ui_2014_07_05" localSheetId="6">'UNINIT BLL'!$A$19:$C$343</definedName>
    <definedName name="kw_integration_win_ui_diff_integration_ui_2014105_vs_integration_ui_2014_07_05" localSheetId="5">'UNINIT IL'!$A$22:$C$917</definedName>
    <definedName name="kw_integration_win_ui_diff_integration_ui_2014105_vs_integration_ui_2014_07_05_1" localSheetId="12">'BKLG BLL'!$A$24:$D$524</definedName>
    <definedName name="kw_integration_win_ui_diff_integration_ui_2014105_vs_integration_ui_2014_07_05_1" localSheetId="11">'BKLG IL'!$A$25:$D$2106</definedName>
    <definedName name="kw_integration_win_ui_diff_integration_ui_2014105_vs_integration_ui_2014_07_05_1" localSheetId="14">'IL Leaks'!$A$20:$C$31</definedName>
    <definedName name="kw_integration_win_ui_diff_integration_ui_2014105_vs_integration_ui_2014_07_05_1" localSheetId="13">'UI Leaks'!$A$21:$C$1416</definedName>
    <definedName name="kw_integration_win_ui_diff_integration_ui_2014105_vs_integration_ui_2014_09_20" localSheetId="7">'New UI'!$A$19:$C$200</definedName>
    <definedName name="kw_integration_win_ui_diff_integration_ui_2014105_vs_integration_ui_2014_09_20_1" localSheetId="7">'New UI'!$A$19:$C$200</definedName>
    <definedName name="kw_integration_win_ui_diff_integration_ui_2014105_vs_integration_ui_2014_10_12" localSheetId="7">'New UI'!$A$19:$C$200</definedName>
    <definedName name="kw_integration_win_ui_diff_integration_ui_2014105_vs_integration_ui_2014_12_05" localSheetId="7">'New UI'!$A$19:$C$200</definedName>
    <definedName name="kw_integration_win_ui_diff_integration_ui_2014105_vs_integration_ui_2015_01_04" localSheetId="7">'New UI'!$A$19:$C$216</definedName>
    <definedName name="kw_integration_win_ui_diff_integration_ui_2015_02_15_vs_integration_ui_2015_02_19" localSheetId="7">'New UI'!$A$19:$C$56</definedName>
    <definedName name="kw_integration_win_ui_diff_integration_ui_2015_02_15_vs_integration_ui_2015_02_19_1" localSheetId="7">'New UI'!$A$19:$C$56</definedName>
    <definedName name="kw_integration_win_ui_diff_integration_ui_2015_02_15_vs_integration_ui_2015_03_28_1" localSheetId="7">'New UI'!$A$19:$C$35</definedName>
    <definedName name="kw_integration_win_ui_diff_integration_ui_2015_02_15_vs_integration_ui_2015_08_30" localSheetId="7">'New UI'!$A$19:$C$115</definedName>
    <definedName name="kw_integration_win_ui_diff_integration_ui_2015_02_15_vs_integration_ui_2015_09_20" localSheetId="10">'BKLG UI'!$A$21:$C$114</definedName>
    <definedName name="kw_integration_win_ui_diff_integration_ui_2015_02_15_vs_integration_ui_2015_09_20" localSheetId="7">'New UI'!$A$19:$C$112</definedName>
    <definedName name="kw_integration_win_ui_diff_integration_ui_2015_02_15_vs_integration_ui_2015_09_20_1" localSheetId="7">'New UI'!$A$19:$C$112</definedName>
    <definedName name="kw_integration_win_ui_diff_integration_ui_2015_10_11_vs_integration_ui_2016_01_14" localSheetId="7">'New UI'!$A$19:$C$96</definedName>
    <definedName name="kw_integration_win_ui_diff_integration_ui_2015_10_11_vs_integration_ui_2016_02_13" localSheetId="7">'New UI'!$A$19:$C$137</definedName>
    <definedName name="kw_integration_win_ui_diff_integration_ui_2015_10_11_vs_integration_ui_2016_07_03" localSheetId="7">'New UI'!$A$19:$C$157</definedName>
    <definedName name="kw_integration_x86_baseline_diff_integration_2012_12_9_3_vs_integration_2013_1_14" localSheetId="8">'New IL'!#REF!</definedName>
    <definedName name="kw_integration_x86_baseline_diff_integration_2012_12_9_3_vs_integration_2013_1_21" localSheetId="8">'New IL'!#REF!</definedName>
    <definedName name="kw_integration_x86_baseline_diff_integration_2012_12_9_3_vs_integration_2013_1_7" localSheetId="8">'New IL'!#REF!</definedName>
    <definedName name="kw_integration_x86_baseline_diff_integration_2012_12_9_3_vs_integration_2013_2_10" localSheetId="8">'New IL'!#REF!</definedName>
    <definedName name="kw_integration_x86_baseline_diff_integration_2012_12_9_3_vs_integration_2013_2_24" localSheetId="8">'New IL'!#REF!</definedName>
    <definedName name="kw_integration_x86_baseline_diff_integration_2012_12_9_3_vs_integration_2013_2_3" localSheetId="8">'New IL'!#REF!</definedName>
    <definedName name="kw_integration_x86_baseline_diff_integration_2012_12_9_3_vs_integration_2013_3_10" localSheetId="8">'New IL'!#REF!</definedName>
    <definedName name="kw_integration_x86_baseline_diff_integration_2012_12_9_3_vs_integration_2013_3_17" localSheetId="8">'New IL'!#REF!</definedName>
    <definedName name="kw_integration_x86_baseline_diff_integration_2012_12_9_3_vs_integration_2013_3_25" localSheetId="8">'New IL'!#REF!</definedName>
    <definedName name="kw_integration_x86_baseline_diff_integration_2012_12_9_3_vs_integration_2013_3_3" localSheetId="8">'New IL'!#REF!</definedName>
    <definedName name="kw_integration_x86_baseline_diff_integration_2012_12_9_3_vs_integration_2013_3_31" localSheetId="8">'New IL'!#REF!</definedName>
    <definedName name="kw_integration_x86_baseline_diff_integration_2012_12_9_3_vs_integration_2013_4_16" localSheetId="8">'New IL'!#REF!</definedName>
    <definedName name="kw_integration_x86_baseline_diff_integration_2012_12_9_3_vs_integration_2013_4_21" localSheetId="8">'New IL'!#REF!</definedName>
    <definedName name="kw_integration_x86_baseline_diff_integration_2012_12_9_3_vs_integration_2013_4_28" localSheetId="8">'New IL'!#REF!</definedName>
    <definedName name="kw_integration_x86_baseline_diff_integration_2012_12_9_3_vs_integration_2013_4_6" localSheetId="8">'New IL'!#REF!</definedName>
    <definedName name="kw_integration_x86_baseline_diff_integration_2012_12_9_3_vs_integration_2013_5_12" localSheetId="8">'New IL'!#REF!</definedName>
    <definedName name="kw_integration_x86_baseline_diff_integration_2012_12_9_3_vs_integration_2013_5_19" localSheetId="8">'New IL'!#REF!</definedName>
    <definedName name="kw_integration_x86_baseline_diff_integration_2012_12_9_3_vs_integration_2013_5_26" localSheetId="8">'New IL'!#REF!</definedName>
    <definedName name="kw_integration_x86_baseline_diff_integration_2012_12_9_3_vs_integration_2013_5_5" localSheetId="8">'New IL'!#REF!</definedName>
    <definedName name="kw_integration_x86_baseline_diff_integration_2012_12_9_3_vs_integration_2013_6_16" localSheetId="8">'New IL'!#REF!</definedName>
    <definedName name="kw_integration_x86_baseline_diff_integration_2012_12_9_3_vs_integration_2013_6_2" localSheetId="8">'New IL'!#REF!</definedName>
    <definedName name="kw_integration_x86_baseline_diff_integration_2012_12_9_3_vs_integration_2013_6_23" localSheetId="8">'New IL'!#REF!</definedName>
    <definedName name="kw_integration_x86_baseline_diff_integration_2012_12_9_3_vs_integration_2013_6_30" localSheetId="8">'New IL'!#REF!</definedName>
    <definedName name="kw_integration_x86_baseline_diff_integration_2012_12_9_3_vs_integration_2013_6_9" localSheetId="8">'New IL'!#REF!</definedName>
    <definedName name="kw_integration_x86_baseline_diff_integration_2013_6_30_vs_integration_2013_12_21" localSheetId="8">'New IL'!$A$14:$C$34</definedName>
    <definedName name="kw_integration_x86_baseline_diff_integration_2013_6_30_vs_integration_2013_12_29" localSheetId="8">'New IL'!$A$14:$C$34</definedName>
    <definedName name="kw_integration_x86_baseline_diff_integration_2013_6_30_vs_integration_2013_7_14" localSheetId="8">'New IL'!#REF!</definedName>
    <definedName name="kw_integration_x86_baseline_diff_integration_2013_6_30_vs_integration_2013_7_28" localSheetId="8">'New IL'!#REF!</definedName>
    <definedName name="kw_integration_x86_baseline_diff_integration_2013_6_30_vs_integration_2013_7_7" localSheetId="8">'New IL'!#REF!</definedName>
    <definedName name="kw_integration_x86_baseline_diff_integration_2013_6_30_vs_integration_2013_8_4" localSheetId="8">'New IL'!#REF!</definedName>
    <definedName name="kw_integration_x86_baseline_diff_integration_2013_6_30_vs_integration_2014_06_01" localSheetId="8">'New IL'!$A$14:$C$34</definedName>
    <definedName name="kw_integration_x86_baseline_diff_integration_2013_6_30_vs_integration_2014_1_5" localSheetId="8">'New IL'!$A$14:$C$34</definedName>
    <definedName name="kw_integration_x86_baseline_diff_integration_2014_1_5_vs_integration_2014_01_18_1" localSheetId="8">'New IL'!$A$14:$C$34</definedName>
    <definedName name="kw_integration_x86_baseline_diff_integration_2014_1_5_vs_integration_2014_02_02_1" localSheetId="8">'New IL'!$A$14:$C$34</definedName>
    <definedName name="kw_integration_x86_baseline_diff_integration_2014_1_5_vs_integration_2014_02_16" localSheetId="8">'New IL'!$A$14:$C$34</definedName>
    <definedName name="kw_integration_x86_baseline_diff_integration_2014_1_5_vs_integration_2014_02_23_1" localSheetId="8">'New IL'!$A$14:$C$34</definedName>
    <definedName name="kw_integration_x86_baseline_diff_integration_2014_1_5_vs_integration_2014_03_02_1" localSheetId="8">'New IL'!$A$14:$C$34</definedName>
    <definedName name="kw_integration_x86_baseline_diff_integration_2014_1_5_vs_integration_2014_03_09_1" localSheetId="8">'New IL'!$A$14:$C$34</definedName>
    <definedName name="kw_integration_x86_baseline_diff_integration_2014_1_5_vs_integration_2014_03_23" localSheetId="8">'New IL'!$A$14:$C$34</definedName>
    <definedName name="kw_integration_x86_baseline_diff_integration_2014_1_5_vs_integration_2014_04_29" localSheetId="8">'New IL'!$A$14:$C$34</definedName>
    <definedName name="kw_integration_x86_baseline_diff_integration_2014_1_5_vs_integration_2014_05_04_1" localSheetId="8">'New IL'!$A$14:$C$34</definedName>
    <definedName name="kw_integration_x86_baseline_diff_integration_2014_1_5_vs_integration_2014_05_11" localSheetId="8">'New IL'!$A$14:$C$34</definedName>
    <definedName name="kw_integration_x86_baseline_diff_integration_2014_1_5_vs_integration_2014_05_18_1" localSheetId="8">'New IL'!$A$14:$C$34</definedName>
    <definedName name="kw_integration_x86_baseline_diff_integration_2014_1_5_vs_integration_2014_06_08_1" localSheetId="8">'New IL'!$A$14:$C$34</definedName>
    <definedName name="kw_integration_x86_baseline_diff_integration_2014_1_5_vs_integration_2014_06_29" localSheetId="8">'New IL'!$A$14:$C$34</definedName>
    <definedName name="kw_integration_x86_baseline_diff_integration_2014_1_5_vs_integration_2014_07_20" localSheetId="12">'BKLG BLL'!$A$24:$D$519</definedName>
    <definedName name="kw_integration_x86_baseline_diff_integration_2014_1_5_vs_integration_2014_07_20" localSheetId="11">'BKLG IL'!$A$25:$D$2121</definedName>
    <definedName name="kw_integration_x86_baseline_diff_integration_2014_1_5_vs_integration_2014_07_20" localSheetId="15">'BLL Leaks'!$A$21:$C$71</definedName>
    <definedName name="kw_integration_x86_baseline_diff_integration_2014_1_5_vs_integration_2014_07_20" localSheetId="14">'IL Leaks'!$A$20:$C$31</definedName>
    <definedName name="kw_integration_x86_baseline_diff_integration_2014_1_5_vs_integration_2014_07_20" localSheetId="9">'New BLL'!$A$14:$C$63</definedName>
    <definedName name="kw_integration_x86_baseline_diff_integration_2014_1_5_vs_integration_2014_07_20" localSheetId="13">'UI Leaks'!$A$21:$C$1405</definedName>
    <definedName name="kw_integration_x86_baseline_diff_integration_2014_1_5_vs_integration_2014_07_20" localSheetId="6">'UNINIT BLL'!$A$19:$C$344</definedName>
    <definedName name="kw_integration_x86_baseline_diff_integration_2014_1_5_vs_integration_2014_07_20" localSheetId="5">'UNINIT IL'!$A$22:$C$932</definedName>
    <definedName name="kw_integration_x86_baseline_diff_integration_2014_1_5_vs_integration_2014_07_20_1" localSheetId="10">'BKLG UI'!$A$21:$D$2279</definedName>
    <definedName name="kw_integration_x86_baseline_diff_integration_2014_1_5_vs_integration_2014_07_20_1" localSheetId="8">'New IL'!$A$14:$C$58</definedName>
    <definedName name="kw_integration_x86_baseline_diff_integration_2014_1_5_vs_integration_2014_07_20_2" localSheetId="10">'BKLG UI'!$A$21:$D$2279</definedName>
    <definedName name="kw_integration_x86_baseline_diff_integration_2014_1_5_vs_integration_2014_09_21" localSheetId="9">'New BLL'!$A$14:$C$86</definedName>
    <definedName name="kw_integration_x86_baseline_diff_integration_2014_1_5_vs_integration_2014_09_21_1" localSheetId="8">'New IL'!$A$14:$C$86</definedName>
    <definedName name="kw_integration_x86_baseline_diff_integration_2014_1_5_vs_integration_2014_10_12" localSheetId="8">'New IL'!$A$14:$C$94</definedName>
    <definedName name="kw_integration_x86_baseline_diff_integration_2014_1_5_vs_integration_2014_12_07" localSheetId="8">'New IL'!$A$14:$C$95</definedName>
    <definedName name="kw_integration_x86_baseline_diff_integration_2014_1_5_vs_integration_2014_12_07_1" localSheetId="8">'New IL'!$A$14:$C$95</definedName>
    <definedName name="kw_integration_x86_baseline_diff_integration_2014_1_5_vs_integration_2014_12_07_2" localSheetId="8">'New IL'!$A$14:$C$95</definedName>
    <definedName name="kw_integration_x86_baseline_diff_integration_2014_1_5_vs_integration_2014_12_07_3" localSheetId="8">'New IL'!$A$14:$C$95</definedName>
    <definedName name="kw_integration_x86_baseline_diff_integration_2014_1_5_vs_integration_2015_01_04" localSheetId="8">'New IL'!$A$14:$C$103</definedName>
    <definedName name="kw_integration_x86_baseline_diff_integration_2015_01_29_vs_integration_2015_02_19" localSheetId="8">'New IL'!$A$14:$C$16</definedName>
    <definedName name="kw_integration_x86_baseline_diff_integration_2015_01_29_vs_integration_2015_03_28" localSheetId="8">'New IL'!$A$14:$C$26</definedName>
    <definedName name="kw_integration_x86_baseline_diff_integration_2015_01_29_vs_integration_2015_08_30_1" localSheetId="8">'New IL'!$A$14:$C$61</definedName>
    <definedName name="kw_integration_x86_baseline_diff_integration_2015_01_29_vs_integration_2015_09_20_1" localSheetId="8">'New IL'!$A$14:$C$60</definedName>
    <definedName name="kw_integration_x86_baseline_diff_integration_2015_12_27_vs_integration_2016_02_14" localSheetId="8">'New IL'!$A$14:$C$25</definedName>
    <definedName name="kw_integration_x86_baseline_diff_integration_2015_12_27_vs_integration_2016_07_03" localSheetId="8">'New IL'!$A$14:$C$156</definedName>
  </definedNames>
  <calcPr calcId="145621" concurrentCalc="0"/>
</workbook>
</file>

<file path=xl/calcChain.xml><?xml version="1.0" encoding="utf-8"?>
<calcChain xmlns="http://schemas.openxmlformats.org/spreadsheetml/2006/main">
  <c r="E6" i="122" l="1"/>
  <c r="E7" i="122"/>
  <c r="E8" i="122"/>
  <c r="E9" i="122"/>
  <c r="E10" i="122"/>
  <c r="E11" i="122"/>
  <c r="E12" i="122"/>
  <c r="E13" i="122"/>
  <c r="E14" i="122"/>
  <c r="E15" i="122"/>
  <c r="E5" i="122"/>
  <c r="J15" i="122"/>
  <c r="J14" i="122"/>
  <c r="J13" i="122"/>
  <c r="J12" i="122"/>
  <c r="J11" i="122"/>
  <c r="J10" i="122"/>
  <c r="J9" i="122"/>
  <c r="J8" i="122"/>
  <c r="J7" i="122"/>
  <c r="J6" i="122"/>
  <c r="J5" i="122"/>
  <c r="J14" i="121"/>
  <c r="J13" i="121"/>
  <c r="J12" i="121"/>
  <c r="J11" i="121"/>
  <c r="J10" i="121"/>
  <c r="J9" i="121"/>
  <c r="J8" i="121"/>
  <c r="J7" i="121"/>
  <c r="J6" i="121"/>
  <c r="J5" i="121"/>
  <c r="J15" i="121"/>
  <c r="AF24" i="1"/>
  <c r="AF26" i="1"/>
  <c r="AF25" i="1"/>
  <c r="AF23" i="1"/>
  <c r="AF21" i="1"/>
  <c r="AF19" i="1"/>
  <c r="A5" i="3"/>
  <c r="A6" i="3"/>
  <c r="A7" i="3"/>
  <c r="A8" i="3"/>
  <c r="A10" i="3"/>
  <c r="C8" i="35"/>
  <c r="AE7" i="54"/>
  <c r="AE8" i="54"/>
  <c r="DG27" i="22"/>
  <c r="DG28" i="22"/>
  <c r="AE24" i="1"/>
  <c r="AE26" i="1"/>
  <c r="AE25" i="1"/>
  <c r="AE23" i="1"/>
  <c r="AE21" i="1"/>
  <c r="AE19" i="1"/>
  <c r="AD7" i="54"/>
  <c r="AD8" i="54"/>
  <c r="DF27" i="22"/>
  <c r="DF28" i="22"/>
  <c r="AD24" i="1"/>
  <c r="AD26" i="1"/>
  <c r="AD25" i="1"/>
  <c r="AD23" i="1"/>
  <c r="AD21" i="1"/>
  <c r="AD19" i="1"/>
  <c r="AC7" i="54"/>
  <c r="AC8" i="54"/>
  <c r="DE27" i="22"/>
  <c r="DE28" i="22"/>
  <c r="AC24" i="1"/>
  <c r="AC26" i="1"/>
  <c r="AC25" i="1"/>
  <c r="AC23" i="1"/>
  <c r="AC21" i="1"/>
  <c r="AC19" i="1"/>
  <c r="AA7" i="54"/>
  <c r="AB7" i="54"/>
  <c r="AB8" i="54"/>
  <c r="DD27" i="22"/>
  <c r="DD28" i="22"/>
  <c r="D31" i="1"/>
  <c r="D30" i="1"/>
  <c r="D29" i="1"/>
  <c r="AB26" i="1"/>
  <c r="AB25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C24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4" i="1"/>
  <c r="AA26" i="1"/>
  <c r="AB24" i="1"/>
  <c r="AB23" i="1"/>
  <c r="AB21" i="1"/>
  <c r="AB19" i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8" i="28"/>
  <c r="D29" i="35"/>
  <c r="DC27" i="22"/>
  <c r="DC28" i="22"/>
  <c r="Z7" i="54"/>
  <c r="C7" i="54"/>
  <c r="Z8" i="54"/>
  <c r="DB27" i="22"/>
  <c r="DB28" i="22"/>
  <c r="A4" i="38"/>
  <c r="A5" i="38"/>
  <c r="A6" i="38"/>
  <c r="A7" i="38"/>
  <c r="A8" i="38"/>
  <c r="A9" i="38"/>
  <c r="A10" i="38"/>
  <c r="A11" i="38"/>
  <c r="A12" i="38"/>
  <c r="A13" i="38"/>
  <c r="A14" i="38"/>
  <c r="A15" i="38"/>
  <c r="A16" i="38"/>
  <c r="A18" i="38"/>
  <c r="C20" i="38"/>
  <c r="Y7" i="54"/>
  <c r="Y8" i="54"/>
  <c r="DA27" i="22"/>
  <c r="DA28" i="22"/>
  <c r="DA30" i="22"/>
  <c r="X7" i="54"/>
  <c r="X8" i="54"/>
  <c r="CZ27" i="22"/>
  <c r="CZ28" i="22"/>
  <c r="CZ30" i="22"/>
  <c r="A4" i="26"/>
  <c r="A5" i="26"/>
  <c r="A6" i="26"/>
  <c r="A7" i="26"/>
  <c r="A8" i="26"/>
  <c r="A9" i="26"/>
  <c r="A10" i="26"/>
  <c r="A11" i="26"/>
  <c r="A12" i="26"/>
  <c r="A13" i="26"/>
  <c r="A14" i="26"/>
  <c r="A15" i="26"/>
  <c r="A16" i="26"/>
  <c r="A18" i="26"/>
  <c r="D31" i="35"/>
  <c r="A4" i="27"/>
  <c r="A5" i="27"/>
  <c r="A6" i="27"/>
  <c r="A7" i="27"/>
  <c r="A8" i="27"/>
  <c r="A9" i="27"/>
  <c r="A10" i="27"/>
  <c r="A11" i="27"/>
  <c r="A12" i="27"/>
  <c r="A13" i="27"/>
  <c r="A14" i="27"/>
  <c r="A15" i="27"/>
  <c r="A17" i="27"/>
  <c r="D30" i="35"/>
  <c r="A4" i="36"/>
  <c r="A5" i="36"/>
  <c r="A6" i="36"/>
  <c r="A7" i="36"/>
  <c r="A8" i="36"/>
  <c r="A9" i="36"/>
  <c r="A10" i="36"/>
  <c r="A11" i="36"/>
  <c r="A12" i="36"/>
  <c r="A13" i="36"/>
  <c r="A14" i="36"/>
  <c r="A15" i="36"/>
  <c r="A16" i="36"/>
  <c r="A17" i="36"/>
  <c r="A18" i="36"/>
  <c r="A19" i="36"/>
  <c r="A21" i="36"/>
  <c r="D24" i="35"/>
  <c r="A4" i="37"/>
  <c r="A5" i="37"/>
  <c r="A6" i="37"/>
  <c r="A7" i="37"/>
  <c r="A8" i="37"/>
  <c r="A9" i="37"/>
  <c r="A10" i="37"/>
  <c r="A11" i="37"/>
  <c r="A12" i="37"/>
  <c r="A13" i="37"/>
  <c r="A14" i="37"/>
  <c r="A15" i="37"/>
  <c r="A16" i="37"/>
  <c r="A17" i="37"/>
  <c r="A18" i="37"/>
  <c r="A19" i="37"/>
  <c r="A20" i="37"/>
  <c r="A22" i="37"/>
  <c r="D23" i="35"/>
  <c r="D22" i="35"/>
  <c r="A4" i="66"/>
  <c r="A5" i="66"/>
  <c r="A6" i="66"/>
  <c r="A7" i="66"/>
  <c r="A8" i="66"/>
  <c r="A9" i="66"/>
  <c r="A10" i="66"/>
  <c r="A11" i="66"/>
  <c r="A12" i="66"/>
  <c r="A13" i="66"/>
  <c r="A14" i="66"/>
  <c r="A16" i="66"/>
  <c r="C16" i="35"/>
  <c r="A5" i="57"/>
  <c r="A6" i="57"/>
  <c r="A7" i="57"/>
  <c r="A8" i="57"/>
  <c r="A9" i="57"/>
  <c r="A10" i="57"/>
  <c r="A11" i="57"/>
  <c r="A12" i="57"/>
  <c r="A13" i="57"/>
  <c r="A14" i="57"/>
  <c r="A15" i="57"/>
  <c r="A17" i="57"/>
  <c r="C15" i="35"/>
  <c r="A4" i="2"/>
  <c r="A5" i="2"/>
  <c r="A6" i="2"/>
  <c r="A7" i="2"/>
  <c r="A8" i="2"/>
  <c r="A9" i="2"/>
  <c r="A11" i="2"/>
  <c r="C9" i="35"/>
  <c r="A5" i="18"/>
  <c r="A6" i="18"/>
  <c r="A7" i="18"/>
  <c r="A8" i="18"/>
  <c r="A9" i="18"/>
  <c r="A10" i="18"/>
  <c r="A11" i="18"/>
  <c r="A12" i="18"/>
  <c r="A13" i="18"/>
  <c r="A14" i="18"/>
  <c r="A16" i="18"/>
  <c r="C7" i="35"/>
  <c r="W7" i="54"/>
  <c r="W8" i="54"/>
  <c r="CY27" i="22"/>
  <c r="CY28" i="22"/>
  <c r="CY30" i="22"/>
  <c r="E31" i="35"/>
  <c r="F31" i="35"/>
  <c r="G31" i="35"/>
  <c r="V7" i="54"/>
  <c r="V8" i="54"/>
  <c r="CX27" i="22"/>
  <c r="CX28" i="22"/>
  <c r="CX30" i="22"/>
  <c r="U7" i="54"/>
  <c r="U8" i="54"/>
  <c r="CW27" i="22"/>
  <c r="CW28" i="22"/>
  <c r="CW30" i="22"/>
  <c r="CV27" i="22"/>
  <c r="CV28" i="22"/>
  <c r="CV30" i="22"/>
  <c r="T7" i="54"/>
  <c r="T8" i="54"/>
  <c r="S7" i="54"/>
  <c r="S8" i="54"/>
  <c r="CU27" i="22"/>
  <c r="CU28" i="22"/>
  <c r="CU30" i="22"/>
  <c r="A18" i="57"/>
  <c r="R7" i="54"/>
  <c r="R8" i="54"/>
  <c r="CT28" i="22"/>
  <c r="CT30" i="22"/>
  <c r="CT27" i="22"/>
  <c r="Q7" i="54"/>
  <c r="Q8" i="54"/>
  <c r="CS27" i="22"/>
  <c r="CS28" i="22"/>
  <c r="CS30" i="22"/>
  <c r="P7" i="54"/>
  <c r="P8" i="54"/>
  <c r="CR27" i="22"/>
  <c r="CR28" i="22"/>
  <c r="CR30" i="22"/>
  <c r="C17" i="35"/>
  <c r="D17" i="35"/>
  <c r="E17" i="35"/>
  <c r="E16" i="35"/>
  <c r="E15" i="35"/>
  <c r="E14" i="35"/>
  <c r="C17" i="66"/>
  <c r="A11" i="3"/>
  <c r="E13" i="54"/>
  <c r="F13" i="54"/>
  <c r="E12" i="54"/>
  <c r="F12" i="54"/>
  <c r="E14" i="54"/>
  <c r="F14" i="54"/>
  <c r="O7" i="54"/>
  <c r="CQ27" i="22"/>
  <c r="CQ28" i="22"/>
  <c r="CQ30" i="22"/>
  <c r="CP27" i="22"/>
  <c r="CP28" i="22"/>
  <c r="CP30" i="22"/>
  <c r="D15" i="54"/>
  <c r="C15" i="54"/>
  <c r="E15" i="54"/>
  <c r="F15" i="54"/>
  <c r="N7" i="54"/>
  <c r="M7" i="54"/>
  <c r="CO27" i="22"/>
  <c r="CO28" i="22"/>
  <c r="CO30" i="22"/>
  <c r="L7" i="54"/>
  <c r="CN27" i="22"/>
  <c r="CN28" i="22"/>
  <c r="CN30" i="22"/>
  <c r="E30" i="35"/>
  <c r="F30" i="35"/>
  <c r="G30" i="35"/>
  <c r="M5" i="53"/>
  <c r="N5" i="53"/>
  <c r="O5" i="53"/>
  <c r="P5" i="53"/>
  <c r="Q5" i="53"/>
  <c r="L5" i="53"/>
  <c r="K7" i="54"/>
  <c r="K8" i="54"/>
  <c r="CM27" i="22"/>
  <c r="CM28" i="22"/>
  <c r="CM30" i="22"/>
  <c r="CL27" i="22"/>
  <c r="J7" i="54"/>
  <c r="C18" i="18"/>
  <c r="I7" i="54"/>
  <c r="CK27" i="22"/>
  <c r="CK28" i="22"/>
  <c r="H7" i="54"/>
  <c r="CJ27" i="22"/>
  <c r="G7" i="54"/>
  <c r="CI27" i="22"/>
  <c r="F7" i="54"/>
  <c r="CH27" i="22"/>
  <c r="E20" i="38"/>
  <c r="E7" i="54"/>
  <c r="CG27" i="22"/>
  <c r="CG28" i="22"/>
  <c r="CG30" i="22"/>
  <c r="D32" i="35"/>
  <c r="E32" i="35"/>
  <c r="F32" i="35"/>
  <c r="H31" i="35"/>
  <c r="E29" i="35"/>
  <c r="F29" i="35"/>
  <c r="G29" i="35"/>
  <c r="E23" i="35"/>
  <c r="F23" i="35"/>
  <c r="E24" i="35"/>
  <c r="F24" i="35"/>
  <c r="E22" i="35"/>
  <c r="F22" i="35"/>
  <c r="H22" i="35"/>
  <c r="G22" i="35"/>
  <c r="D25" i="35"/>
  <c r="C25" i="35"/>
  <c r="E25" i="35"/>
  <c r="F25" i="35"/>
  <c r="E8" i="35"/>
  <c r="E9" i="35"/>
  <c r="E7" i="35"/>
  <c r="D10" i="35"/>
  <c r="C10" i="35"/>
  <c r="E10" i="35"/>
  <c r="D19" i="27"/>
  <c r="D7" i="54"/>
  <c r="E8" i="54"/>
  <c r="CF27" i="22"/>
  <c r="CF28" i="22"/>
  <c r="F15" i="38"/>
  <c r="E22" i="36"/>
  <c r="CE27" i="22"/>
  <c r="C26" i="1"/>
  <c r="CD27" i="22"/>
  <c r="CD28" i="22"/>
  <c r="CD30" i="22"/>
  <c r="CC27" i="22"/>
  <c r="E5" i="53"/>
  <c r="F5" i="53"/>
  <c r="G5" i="53"/>
  <c r="H5" i="53"/>
  <c r="I5" i="53"/>
  <c r="J5" i="53"/>
  <c r="D5" i="53"/>
  <c r="CB27" i="22"/>
  <c r="CA27" i="22"/>
  <c r="D46" i="40"/>
  <c r="AZ24" i="40"/>
  <c r="D45" i="40"/>
  <c r="D44" i="40"/>
  <c r="D42" i="40"/>
  <c r="D41" i="40"/>
  <c r="AH24" i="40"/>
  <c r="C32" i="40"/>
  <c r="BP24" i="40"/>
  <c r="BN24" i="40"/>
  <c r="BM24" i="40"/>
  <c r="AO24" i="40"/>
  <c r="AM24" i="40"/>
  <c r="D29" i="40"/>
  <c r="S21" i="40"/>
  <c r="R21" i="40"/>
  <c r="BK20" i="40"/>
  <c r="BJ20" i="40"/>
  <c r="BI20" i="40"/>
  <c r="BH20" i="40"/>
  <c r="BG20" i="40"/>
  <c r="BF20" i="40"/>
  <c r="BE20" i="40"/>
  <c r="BD20" i="40"/>
  <c r="BC20" i="40"/>
  <c r="BB20" i="40"/>
  <c r="BA20" i="40"/>
  <c r="AZ20" i="40"/>
  <c r="AY20" i="40"/>
  <c r="AX20" i="40"/>
  <c r="AW20" i="40"/>
  <c r="AV20" i="40"/>
  <c r="AU20" i="40"/>
  <c r="AT20" i="40"/>
  <c r="AS20" i="40"/>
  <c r="AR20" i="40"/>
  <c r="AQ20" i="40"/>
  <c r="AP20" i="40"/>
  <c r="AO20" i="40"/>
  <c r="AN20" i="40"/>
  <c r="AM20" i="40"/>
  <c r="AL20" i="40"/>
  <c r="AK20" i="40"/>
  <c r="AJ20" i="40"/>
  <c r="AI20" i="40"/>
  <c r="AH20" i="40"/>
  <c r="AG20" i="40"/>
  <c r="AF20" i="40"/>
  <c r="AE20" i="40"/>
  <c r="AD20" i="40"/>
  <c r="AC20" i="40"/>
  <c r="AB20" i="40"/>
  <c r="AA20" i="40"/>
  <c r="Z20" i="40"/>
  <c r="Y20" i="40"/>
  <c r="X20" i="40"/>
  <c r="X21" i="40"/>
  <c r="W20" i="40"/>
  <c r="V20" i="40"/>
  <c r="U20" i="40"/>
  <c r="T20" i="40"/>
  <c r="S20" i="40"/>
  <c r="R20" i="40"/>
  <c r="Q20" i="40"/>
  <c r="P20" i="40"/>
  <c r="O20" i="40"/>
  <c r="N20" i="40"/>
  <c r="M20" i="40"/>
  <c r="L20" i="40"/>
  <c r="K20" i="40"/>
  <c r="J20" i="40"/>
  <c r="I20" i="40"/>
  <c r="H20" i="40"/>
  <c r="H21" i="40"/>
  <c r="G20" i="40"/>
  <c r="F20" i="40"/>
  <c r="E20" i="40"/>
  <c r="D20" i="40"/>
  <c r="C20" i="40"/>
  <c r="AS21" i="40"/>
  <c r="C20" i="39"/>
  <c r="Y21" i="39"/>
  <c r="D20" i="39"/>
  <c r="E20" i="39"/>
  <c r="F20" i="39"/>
  <c r="G20" i="39"/>
  <c r="H20" i="39"/>
  <c r="I20" i="39"/>
  <c r="J20" i="39"/>
  <c r="K20" i="39"/>
  <c r="L20" i="39"/>
  <c r="M20" i="39"/>
  <c r="N20" i="39"/>
  <c r="O20" i="39"/>
  <c r="P20" i="39"/>
  <c r="Q20" i="39"/>
  <c r="R20" i="39"/>
  <c r="S20" i="39"/>
  <c r="T20" i="39"/>
  <c r="U20" i="39"/>
  <c r="V20" i="39"/>
  <c r="W20" i="39"/>
  <c r="X20" i="39"/>
  <c r="Y20" i="39"/>
  <c r="Z20" i="39"/>
  <c r="AA20" i="39"/>
  <c r="AB20" i="39"/>
  <c r="AC20" i="39"/>
  <c r="AD20" i="39"/>
  <c r="AE20" i="39"/>
  <c r="AF20" i="39"/>
  <c r="AG20" i="39"/>
  <c r="AH20" i="39"/>
  <c r="AI20" i="39"/>
  <c r="AJ20" i="39"/>
  <c r="AK20" i="39"/>
  <c r="AL20" i="39"/>
  <c r="AM20" i="39"/>
  <c r="AN20" i="39"/>
  <c r="AO20" i="39"/>
  <c r="AP20" i="39"/>
  <c r="AQ20" i="39"/>
  <c r="AR20" i="39"/>
  <c r="AS20" i="39"/>
  <c r="AT20" i="39"/>
  <c r="AU20" i="39"/>
  <c r="AV20" i="39"/>
  <c r="AW20" i="39"/>
  <c r="AX20" i="39"/>
  <c r="AY20" i="39"/>
  <c r="AZ20" i="39"/>
  <c r="BA20" i="39"/>
  <c r="BB20" i="39"/>
  <c r="BC20" i="39"/>
  <c r="BD20" i="39"/>
  <c r="BE20" i="39"/>
  <c r="BF20" i="39"/>
  <c r="BG20" i="39"/>
  <c r="BH20" i="39"/>
  <c r="BI20" i="39"/>
  <c r="BJ20" i="39"/>
  <c r="X21" i="39"/>
  <c r="AR21" i="39"/>
  <c r="C24" i="39"/>
  <c r="D29" i="39"/>
  <c r="G24" i="39"/>
  <c r="K24" i="39"/>
  <c r="L24" i="39"/>
  <c r="P24" i="39"/>
  <c r="T24" i="39"/>
  <c r="U24" i="39"/>
  <c r="Z24" i="39"/>
  <c r="AC24" i="39"/>
  <c r="AD24" i="39"/>
  <c r="AI24" i="39"/>
  <c r="AL24" i="39"/>
  <c r="AM24" i="39"/>
  <c r="AR24" i="39"/>
  <c r="AU24" i="39"/>
  <c r="AV24" i="39"/>
  <c r="AX24" i="39"/>
  <c r="AZ24" i="39"/>
  <c r="BA24" i="39"/>
  <c r="BC24" i="39"/>
  <c r="BD24" i="39"/>
  <c r="BF24" i="39"/>
  <c r="BG24" i="39"/>
  <c r="BJ24" i="39"/>
  <c r="D30" i="39"/>
  <c r="D31" i="39"/>
  <c r="C32" i="39"/>
  <c r="D32" i="39"/>
  <c r="D41" i="39"/>
  <c r="D42" i="39"/>
  <c r="D44" i="39"/>
  <c r="I24" i="39"/>
  <c r="D45" i="39"/>
  <c r="D46" i="39"/>
  <c r="BY24" i="39"/>
  <c r="BX24" i="39"/>
  <c r="BW24" i="39"/>
  <c r="BV24" i="39"/>
  <c r="BS24" i="39"/>
  <c r="BR24" i="39"/>
  <c r="BO24" i="39"/>
  <c r="BN24" i="39"/>
  <c r="BM24" i="39"/>
  <c r="BK24" i="39"/>
  <c r="BK20" i="39"/>
  <c r="K24" i="40"/>
  <c r="AG24" i="40"/>
  <c r="AG21" i="40"/>
  <c r="AJ21" i="40"/>
  <c r="AZ21" i="40"/>
  <c r="AH21" i="40"/>
  <c r="E21" i="40"/>
  <c r="BI21" i="40"/>
  <c r="AI21" i="40"/>
  <c r="AQ24" i="40"/>
  <c r="AU21" i="40"/>
  <c r="BE24" i="40"/>
  <c r="G21" i="40"/>
  <c r="BK21" i="40"/>
  <c r="AY21" i="40"/>
  <c r="BF24" i="40"/>
  <c r="R24" i="40"/>
  <c r="S24" i="40"/>
  <c r="U24" i="40"/>
  <c r="W24" i="40"/>
  <c r="AR24" i="40"/>
  <c r="BS24" i="40"/>
  <c r="G24" i="40"/>
  <c r="AB24" i="40"/>
  <c r="AY24" i="40"/>
  <c r="BX24" i="40"/>
  <c r="Q21" i="40"/>
  <c r="I24" i="40"/>
  <c r="AC24" i="40"/>
  <c r="L24" i="40"/>
  <c r="BJ21" i="40"/>
  <c r="BB21" i="40"/>
  <c r="AT21" i="40"/>
  <c r="AL21" i="40"/>
  <c r="AD21" i="40"/>
  <c r="V21" i="40"/>
  <c r="N21" i="40"/>
  <c r="F21" i="40"/>
  <c r="BG21" i="40"/>
  <c r="AX21" i="40"/>
  <c r="AO21" i="40"/>
  <c r="AF21" i="40"/>
  <c r="W21" i="40"/>
  <c r="M21" i="40"/>
  <c r="D21" i="40"/>
  <c r="BF21" i="40"/>
  <c r="AW21" i="40"/>
  <c r="AN21" i="40"/>
  <c r="AE21" i="40"/>
  <c r="U21" i="40"/>
  <c r="L21" i="40"/>
  <c r="BE21" i="40"/>
  <c r="AV21" i="40"/>
  <c r="AM21" i="40"/>
  <c r="AC21" i="40"/>
  <c r="T21" i="40"/>
  <c r="K21" i="40"/>
  <c r="I21" i="40"/>
  <c r="Y21" i="40"/>
  <c r="AK21" i="40"/>
  <c r="BA21" i="40"/>
  <c r="J21" i="40"/>
  <c r="Z21" i="40"/>
  <c r="AP21" i="40"/>
  <c r="BC21" i="40"/>
  <c r="O21" i="40"/>
  <c r="AA21" i="40"/>
  <c r="AQ21" i="40"/>
  <c r="BD21" i="40"/>
  <c r="P21" i="40"/>
  <c r="AB21" i="40"/>
  <c r="AR21" i="40"/>
  <c r="BH21" i="40"/>
  <c r="BT24" i="40"/>
  <c r="BL24" i="40"/>
  <c r="BD24" i="40"/>
  <c r="AV24" i="40"/>
  <c r="AN24" i="40"/>
  <c r="AF24" i="40"/>
  <c r="X24" i="40"/>
  <c r="P24" i="40"/>
  <c r="H24" i="40"/>
  <c r="BR24" i="40"/>
  <c r="BJ24" i="40"/>
  <c r="BB24" i="40"/>
  <c r="AT24" i="40"/>
  <c r="AL24" i="40"/>
  <c r="AD24" i="40"/>
  <c r="V24" i="40"/>
  <c r="N24" i="40"/>
  <c r="F24" i="40"/>
  <c r="BY24" i="40"/>
  <c r="BQ24" i="40"/>
  <c r="BI24" i="40"/>
  <c r="BA24" i="40"/>
  <c r="AS24" i="40"/>
  <c r="C24" i="40"/>
  <c r="M24" i="40"/>
  <c r="Y24" i="40"/>
  <c r="AI24" i="40"/>
  <c r="AU24" i="40"/>
  <c r="BG24" i="40"/>
  <c r="BU24" i="40"/>
  <c r="D24" i="40"/>
  <c r="O24" i="40"/>
  <c r="Z24" i="40"/>
  <c r="AJ24" i="40"/>
  <c r="AW24" i="40"/>
  <c r="BH24" i="40"/>
  <c r="BV24" i="40"/>
  <c r="E24" i="40"/>
  <c r="Q24" i="40"/>
  <c r="AA24" i="40"/>
  <c r="AK24" i="40"/>
  <c r="AX24" i="40"/>
  <c r="BK24" i="40"/>
  <c r="BW24" i="40"/>
  <c r="D31" i="40"/>
  <c r="J24" i="40"/>
  <c r="T24" i="40"/>
  <c r="AE24" i="40"/>
  <c r="AP24" i="40"/>
  <c r="BC24" i="40"/>
  <c r="BO24" i="40"/>
  <c r="T21" i="39"/>
  <c r="AT24" i="39"/>
  <c r="AK24" i="39"/>
  <c r="AB24" i="39"/>
  <c r="S24" i="39"/>
  <c r="J24" i="39"/>
  <c r="BG21" i="39"/>
  <c r="AJ21" i="39"/>
  <c r="R21" i="39"/>
  <c r="BP24" i="39"/>
  <c r="BB24" i="39"/>
  <c r="AS24" i="39"/>
  <c r="AJ24" i="39"/>
  <c r="AA24" i="39"/>
  <c r="R24" i="39"/>
  <c r="H24" i="39"/>
  <c r="BF21" i="39"/>
  <c r="AI21" i="39"/>
  <c r="Q21" i="39"/>
  <c r="AQ21" i="39"/>
  <c r="BE21" i="39"/>
  <c r="D21" i="39"/>
  <c r="AX21" i="39"/>
  <c r="BH21" i="39"/>
  <c r="AH21" i="39"/>
  <c r="BI24" i="39"/>
  <c r="AQ24" i="39"/>
  <c r="AH24" i="39"/>
  <c r="X24" i="39"/>
  <c r="O24" i="39"/>
  <c r="F24" i="39"/>
  <c r="AG21" i="39"/>
  <c r="BK21" i="39"/>
  <c r="BU24" i="39"/>
  <c r="BH24" i="39"/>
  <c r="AY24" i="39"/>
  <c r="AP24" i="39"/>
  <c r="AF24" i="39"/>
  <c r="W24" i="39"/>
  <c r="N24" i="39"/>
  <c r="E24" i="39"/>
  <c r="AW21" i="39"/>
  <c r="AF21" i="39"/>
  <c r="AN24" i="39"/>
  <c r="AE24" i="39"/>
  <c r="V24" i="39"/>
  <c r="M24" i="39"/>
  <c r="D24" i="39"/>
  <c r="AV21" i="39"/>
  <c r="I21" i="39"/>
  <c r="J21" i="39"/>
  <c r="K21" i="39"/>
  <c r="S21" i="39"/>
  <c r="E21" i="39"/>
  <c r="M21" i="39"/>
  <c r="U21" i="39"/>
  <c r="AC21" i="39"/>
  <c r="AK21" i="39"/>
  <c r="AS21" i="39"/>
  <c r="BA21" i="39"/>
  <c r="BI21" i="39"/>
  <c r="F21" i="39"/>
  <c r="N21" i="39"/>
  <c r="V21" i="39"/>
  <c r="AD21" i="39"/>
  <c r="AL21" i="39"/>
  <c r="AT21" i="39"/>
  <c r="BB21" i="39"/>
  <c r="BJ21" i="39"/>
  <c r="G21" i="39"/>
  <c r="O21" i="39"/>
  <c r="W21" i="39"/>
  <c r="AE21" i="39"/>
  <c r="AM21" i="39"/>
  <c r="AU21" i="39"/>
  <c r="BC21" i="39"/>
  <c r="BD21" i="39"/>
  <c r="AP21" i="39"/>
  <c r="AB21" i="39"/>
  <c r="P21" i="39"/>
  <c r="AZ21" i="39"/>
  <c r="AO21" i="39"/>
  <c r="AA21" i="39"/>
  <c r="L21" i="39"/>
  <c r="AY21" i="39"/>
  <c r="AN21" i="39"/>
  <c r="Z21" i="39"/>
  <c r="H21" i="39"/>
  <c r="BE24" i="39"/>
  <c r="AW24" i="39"/>
  <c r="AO24" i="39"/>
  <c r="AG24" i="39"/>
  <c r="Y24" i="39"/>
  <c r="Q24" i="39"/>
  <c r="BL24" i="39"/>
  <c r="BT24" i="39"/>
  <c r="BQ24" i="39"/>
  <c r="D30" i="40"/>
  <c r="D32" i="40"/>
  <c r="C35" i="22"/>
  <c r="BZ27" i="22"/>
  <c r="BZ28" i="22"/>
  <c r="BZ30" i="22"/>
  <c r="BZ27" i="39"/>
  <c r="BY25" i="22"/>
  <c r="BX25" i="22"/>
  <c r="BW25" i="22"/>
  <c r="BV25" i="22"/>
  <c r="BU25" i="22"/>
  <c r="BT25" i="22"/>
  <c r="BS25" i="22"/>
  <c r="BR25" i="22"/>
  <c r="BQ25" i="22"/>
  <c r="BP25" i="22"/>
  <c r="BO25" i="22"/>
  <c r="BN25" i="22"/>
  <c r="BM25" i="22"/>
  <c r="BL25" i="22"/>
  <c r="BK25" i="22"/>
  <c r="BJ25" i="22"/>
  <c r="BI25" i="22"/>
  <c r="BH25" i="22"/>
  <c r="BG25" i="22"/>
  <c r="BF25" i="22"/>
  <c r="BE25" i="22"/>
  <c r="BD25" i="22"/>
  <c r="BC25" i="22"/>
  <c r="BB25" i="22"/>
  <c r="BA25" i="22"/>
  <c r="AZ25" i="22"/>
  <c r="AY25" i="22"/>
  <c r="AX25" i="22"/>
  <c r="AW25" i="22"/>
  <c r="AV25" i="22"/>
  <c r="AU25" i="22"/>
  <c r="AT25" i="22"/>
  <c r="AS25" i="22"/>
  <c r="AR25" i="22"/>
  <c r="AQ25" i="22"/>
  <c r="AP25" i="22"/>
  <c r="AO25" i="22"/>
  <c r="AN25" i="22"/>
  <c r="AM25" i="22"/>
  <c r="AL25" i="22"/>
  <c r="AK25" i="22"/>
  <c r="AJ25" i="22"/>
  <c r="AI25" i="22"/>
  <c r="AH25" i="22"/>
  <c r="AG25" i="22"/>
  <c r="AF25" i="22"/>
  <c r="AE25" i="22"/>
  <c r="AD25" i="22"/>
  <c r="AC25" i="22"/>
  <c r="AB25" i="22"/>
  <c r="AA25" i="22"/>
  <c r="Z25" i="22"/>
  <c r="Y25" i="22"/>
  <c r="X25" i="22"/>
  <c r="W25" i="22"/>
  <c r="V25" i="22"/>
  <c r="U25" i="22"/>
  <c r="T25" i="22"/>
  <c r="S25" i="22"/>
  <c r="R25" i="22"/>
  <c r="Q25" i="22"/>
  <c r="P25" i="22"/>
  <c r="O25" i="22"/>
  <c r="N25" i="22"/>
  <c r="M25" i="22"/>
  <c r="L25" i="22"/>
  <c r="K25" i="22"/>
  <c r="J25" i="22"/>
  <c r="H25" i="22"/>
  <c r="G25" i="22"/>
  <c r="F25" i="22"/>
  <c r="E25" i="22"/>
  <c r="D25" i="22"/>
  <c r="C25" i="22"/>
  <c r="D49" i="22"/>
  <c r="D47" i="22"/>
  <c r="BX24" i="22"/>
  <c r="D48" i="22"/>
  <c r="BQ26" i="22"/>
  <c r="BJ26" i="22"/>
  <c r="BI26" i="22"/>
  <c r="BX26" i="22"/>
  <c r="BY26" i="22"/>
  <c r="BR26" i="22"/>
  <c r="AS26" i="22"/>
  <c r="AL26" i="22"/>
  <c r="AK26" i="22"/>
  <c r="AD26" i="22"/>
  <c r="U26" i="22"/>
  <c r="U27" i="22"/>
  <c r="F26" i="22"/>
  <c r="F27" i="22"/>
  <c r="F28" i="22"/>
  <c r="BY24" i="22"/>
  <c r="BV24" i="22"/>
  <c r="BU24" i="22"/>
  <c r="BT24" i="22"/>
  <c r="BS24" i="22"/>
  <c r="BR24" i="22"/>
  <c r="BQ24" i="22"/>
  <c r="BN24" i="22"/>
  <c r="BM24" i="22"/>
  <c r="BL24" i="22"/>
  <c r="BK24" i="22"/>
  <c r="BJ24" i="22"/>
  <c r="BI24" i="22"/>
  <c r="BF24" i="22"/>
  <c r="BE24" i="22"/>
  <c r="BD24" i="22"/>
  <c r="BC24" i="22"/>
  <c r="BB24" i="22"/>
  <c r="BA24" i="22"/>
  <c r="AV24" i="22"/>
  <c r="AW24" i="22"/>
  <c r="AX24" i="22"/>
  <c r="AY24" i="22"/>
  <c r="AZ24" i="22"/>
  <c r="AO24" i="22"/>
  <c r="AR24" i="22"/>
  <c r="AS24" i="22"/>
  <c r="AL24" i="22"/>
  <c r="AM24" i="22"/>
  <c r="AN24" i="22"/>
  <c r="AB24" i="22"/>
  <c r="AE24" i="22"/>
  <c r="AF24" i="22"/>
  <c r="AG24" i="22"/>
  <c r="AH24" i="22"/>
  <c r="AI24" i="22"/>
  <c r="AJ24" i="22"/>
  <c r="Y24" i="22"/>
  <c r="Z24" i="22"/>
  <c r="AA24" i="22"/>
  <c r="W24" i="22"/>
  <c r="V24" i="22"/>
  <c r="U24" i="22"/>
  <c r="R24" i="22"/>
  <c r="Q24" i="22"/>
  <c r="P24" i="22"/>
  <c r="O24" i="22"/>
  <c r="N24" i="22"/>
  <c r="M24" i="22"/>
  <c r="J24" i="22"/>
  <c r="I24" i="22"/>
  <c r="H24" i="22"/>
  <c r="G24" i="22"/>
  <c r="F24" i="22"/>
  <c r="C24" i="22"/>
  <c r="BZ27" i="40"/>
  <c r="E24" i="22"/>
  <c r="K24" i="22"/>
  <c r="S24" i="22"/>
  <c r="X24" i="22"/>
  <c r="AD24" i="22"/>
  <c r="AQ24" i="22"/>
  <c r="AU24" i="22"/>
  <c r="BG24" i="22"/>
  <c r="BO24" i="22"/>
  <c r="BW24" i="22"/>
  <c r="D24" i="22"/>
  <c r="L24" i="22"/>
  <c r="T24" i="22"/>
  <c r="AK24" i="22"/>
  <c r="AC24" i="22"/>
  <c r="AP24" i="22"/>
  <c r="AT24" i="22"/>
  <c r="BH24" i="22"/>
  <c r="BP24" i="22"/>
  <c r="AT26" i="22"/>
  <c r="E26" i="22"/>
  <c r="E27" i="22"/>
  <c r="E28" i="22"/>
  <c r="M26" i="22"/>
  <c r="BA26" i="22"/>
  <c r="N26" i="22"/>
  <c r="V26" i="22"/>
  <c r="V27" i="22"/>
  <c r="BB26" i="22"/>
  <c r="AC26" i="22"/>
  <c r="G26" i="22"/>
  <c r="O26" i="22"/>
  <c r="O27" i="22"/>
  <c r="W26" i="22"/>
  <c r="AE26" i="22"/>
  <c r="AM26" i="22"/>
  <c r="AU26" i="22"/>
  <c r="BC26" i="22"/>
  <c r="BK26" i="22"/>
  <c r="BS26" i="22"/>
  <c r="H26" i="22"/>
  <c r="H27" i="22"/>
  <c r="P26" i="22"/>
  <c r="X26" i="22"/>
  <c r="X27" i="22"/>
  <c r="X28" i="22"/>
  <c r="AF26" i="22"/>
  <c r="AN26" i="22"/>
  <c r="AV26" i="22"/>
  <c r="BD26" i="22"/>
  <c r="BL26" i="22"/>
  <c r="BT26" i="22"/>
  <c r="I26" i="22"/>
  <c r="Q26" i="22"/>
  <c r="Y26" i="22"/>
  <c r="Y27" i="22"/>
  <c r="AG26" i="22"/>
  <c r="AO26" i="22"/>
  <c r="AW26" i="22"/>
  <c r="BE26" i="22"/>
  <c r="BM26" i="22"/>
  <c r="BU26" i="22"/>
  <c r="BY27" i="22"/>
  <c r="J26" i="22"/>
  <c r="R26" i="22"/>
  <c r="R27" i="22"/>
  <c r="R28" i="22"/>
  <c r="Z26" i="22"/>
  <c r="AH26" i="22"/>
  <c r="AP26" i="22"/>
  <c r="AX26" i="22"/>
  <c r="BF26" i="22"/>
  <c r="BN26" i="22"/>
  <c r="BV26" i="22"/>
  <c r="C26" i="22"/>
  <c r="K26" i="22"/>
  <c r="S26" i="22"/>
  <c r="AA26" i="22"/>
  <c r="AI26" i="22"/>
  <c r="AQ26" i="22"/>
  <c r="AY26" i="22"/>
  <c r="BG26" i="22"/>
  <c r="BO26" i="22"/>
  <c r="BW26" i="22"/>
  <c r="D26" i="22"/>
  <c r="L26" i="22"/>
  <c r="T26" i="22"/>
  <c r="AB26" i="22"/>
  <c r="AJ26" i="22"/>
  <c r="AJ27" i="22"/>
  <c r="AJ28" i="22"/>
  <c r="AR26" i="22"/>
  <c r="AZ26" i="22"/>
  <c r="BH26" i="22"/>
  <c r="BP26" i="22"/>
  <c r="C24" i="37"/>
  <c r="C22" i="36"/>
  <c r="BX27" i="22"/>
  <c r="BW27" i="22"/>
  <c r="BV27" i="22"/>
  <c r="BU27" i="22"/>
  <c r="BU28" i="22"/>
  <c r="C19" i="27"/>
  <c r="C20" i="26"/>
  <c r="C20" i="28"/>
  <c r="BT27" i="22"/>
  <c r="BS27" i="22"/>
  <c r="BR27" i="22"/>
  <c r="D32" i="22"/>
  <c r="BQ27" i="22"/>
  <c r="BP27" i="22"/>
  <c r="BO27" i="22"/>
  <c r="E32" i="1"/>
  <c r="BN27" i="22"/>
  <c r="BM27" i="22"/>
  <c r="D44" i="22"/>
  <c r="D45" i="22"/>
  <c r="AK27" i="22"/>
  <c r="AL27" i="22"/>
  <c r="AM27" i="22"/>
  <c r="AN27" i="22"/>
  <c r="AN28" i="22"/>
  <c r="AO27" i="22"/>
  <c r="AP27" i="22"/>
  <c r="AQ27" i="22"/>
  <c r="AR27" i="22"/>
  <c r="AS27" i="22"/>
  <c r="AS28" i="22"/>
  <c r="AT27" i="22"/>
  <c r="AU27" i="22"/>
  <c r="AV27" i="22"/>
  <c r="AV28" i="22"/>
  <c r="AW27" i="22"/>
  <c r="AX27" i="22"/>
  <c r="AY27" i="22"/>
  <c r="AZ27" i="22"/>
  <c r="BA27" i="22"/>
  <c r="BB27" i="22"/>
  <c r="BC27" i="22"/>
  <c r="BD27" i="22"/>
  <c r="BE27" i="22"/>
  <c r="BF27" i="22"/>
  <c r="BG27" i="22"/>
  <c r="BH27" i="22"/>
  <c r="BI27" i="22"/>
  <c r="BI28" i="22"/>
  <c r="BJ27" i="22"/>
  <c r="BK27" i="22"/>
  <c r="BL27" i="22"/>
  <c r="C20" i="22"/>
  <c r="G31" i="1"/>
  <c r="BK20" i="22"/>
  <c r="BK21" i="22"/>
  <c r="BJ20" i="22"/>
  <c r="BJ21" i="22"/>
  <c r="BI20" i="22"/>
  <c r="BI21" i="22"/>
  <c r="BH20" i="22"/>
  <c r="BG20" i="22"/>
  <c r="BF20" i="22"/>
  <c r="BF21" i="22"/>
  <c r="BE20" i="22"/>
  <c r="BD20" i="22"/>
  <c r="BC20" i="22"/>
  <c r="BB20" i="22"/>
  <c r="BA20" i="22"/>
  <c r="BA21" i="22"/>
  <c r="AZ20" i="22"/>
  <c r="AY20" i="22"/>
  <c r="AX20" i="22"/>
  <c r="AX21" i="22"/>
  <c r="AW20" i="22"/>
  <c r="AV20" i="22"/>
  <c r="AU20" i="22"/>
  <c r="AU21" i="22"/>
  <c r="AT20" i="22"/>
  <c r="AS20" i="22"/>
  <c r="AS21" i="22"/>
  <c r="AR20" i="22"/>
  <c r="AR21" i="22"/>
  <c r="AQ20" i="22"/>
  <c r="AQ21" i="22"/>
  <c r="AP20" i="22"/>
  <c r="AP21" i="22"/>
  <c r="AO20" i="22"/>
  <c r="AN20" i="22"/>
  <c r="AN21" i="22"/>
  <c r="AM20" i="22"/>
  <c r="AM21" i="22"/>
  <c r="AL20" i="22"/>
  <c r="AK20" i="22"/>
  <c r="AK21" i="22"/>
  <c r="AJ20" i="22"/>
  <c r="AI20" i="22"/>
  <c r="AH20" i="22"/>
  <c r="AG20" i="22"/>
  <c r="AF20" i="22"/>
  <c r="AE20" i="22"/>
  <c r="AD20" i="22"/>
  <c r="AC20" i="22"/>
  <c r="AB20" i="22"/>
  <c r="AA20" i="22"/>
  <c r="Z20" i="22"/>
  <c r="Z21" i="22"/>
  <c r="Y20" i="22"/>
  <c r="X20" i="22"/>
  <c r="W20" i="22"/>
  <c r="W21" i="22"/>
  <c r="V20" i="22"/>
  <c r="U20" i="22"/>
  <c r="U21" i="22"/>
  <c r="T20" i="22"/>
  <c r="S20" i="22"/>
  <c r="R20" i="22"/>
  <c r="R21" i="22"/>
  <c r="Q20" i="22"/>
  <c r="P20" i="22"/>
  <c r="P21" i="22"/>
  <c r="O20" i="22"/>
  <c r="N20" i="22"/>
  <c r="N21" i="22"/>
  <c r="M20" i="22"/>
  <c r="L20" i="22"/>
  <c r="K20" i="22"/>
  <c r="K21" i="22"/>
  <c r="J20" i="22"/>
  <c r="I20" i="22"/>
  <c r="H20" i="22"/>
  <c r="G20" i="22"/>
  <c r="F20" i="22"/>
  <c r="E20" i="22"/>
  <c r="E21" i="22"/>
  <c r="D20" i="22"/>
  <c r="C12" i="2"/>
  <c r="F31" i="1"/>
  <c r="H31" i="1"/>
  <c r="F30" i="1"/>
  <c r="H30" i="1"/>
  <c r="B7" i="5"/>
  <c r="B5" i="9"/>
  <c r="A29" i="7"/>
  <c r="A22" i="7"/>
  <c r="A29" i="6"/>
  <c r="A22" i="6"/>
  <c r="B3" i="5"/>
  <c r="C28" i="4"/>
  <c r="C32" i="1"/>
  <c r="M27" i="22"/>
  <c r="G30" i="1"/>
  <c r="F29" i="1"/>
  <c r="D34" i="22"/>
  <c r="D21" i="22"/>
  <c r="AI27" i="22"/>
  <c r="D33" i="22"/>
  <c r="AB27" i="22"/>
  <c r="J21" i="22"/>
  <c r="I25" i="22"/>
  <c r="AF27" i="22"/>
  <c r="V21" i="22"/>
  <c r="AD21" i="22"/>
  <c r="AL21" i="22"/>
  <c r="AT21" i="22"/>
  <c r="BB21" i="22"/>
  <c r="G27" i="22"/>
  <c r="O21" i="22"/>
  <c r="AE21" i="22"/>
  <c r="BC21" i="22"/>
  <c r="L21" i="22"/>
  <c r="F21" i="22"/>
  <c r="S21" i="22"/>
  <c r="AH21" i="22"/>
  <c r="G21" i="22"/>
  <c r="T21" i="22"/>
  <c r="AA21" i="22"/>
  <c r="AI21" i="22"/>
  <c r="AY21" i="22"/>
  <c r="BG21" i="22"/>
  <c r="AG27" i="22"/>
  <c r="AC27" i="22"/>
  <c r="AC28" i="22"/>
  <c r="P27" i="22"/>
  <c r="L27" i="22"/>
  <c r="H21" i="22"/>
  <c r="T27" i="22"/>
  <c r="S27" i="22"/>
  <c r="X21" i="22"/>
  <c r="AB21" i="22"/>
  <c r="AF21" i="22"/>
  <c r="AJ21" i="22"/>
  <c r="AV21" i="22"/>
  <c r="AZ21" i="22"/>
  <c r="BD21" i="22"/>
  <c r="BH21" i="22"/>
  <c r="AH27" i="22"/>
  <c r="Z27" i="22"/>
  <c r="Z28" i="22"/>
  <c r="I21" i="22"/>
  <c r="M21" i="22"/>
  <c r="Q21" i="22"/>
  <c r="Y21" i="22"/>
  <c r="AC21" i="22"/>
  <c r="AG21" i="22"/>
  <c r="AO21" i="22"/>
  <c r="AW21" i="22"/>
  <c r="BE21" i="22"/>
  <c r="AE27" i="22"/>
  <c r="AE28" i="22"/>
  <c r="I27" i="22"/>
  <c r="K27" i="22"/>
  <c r="K28" i="22"/>
  <c r="W27" i="22"/>
  <c r="W28" i="22"/>
  <c r="AA27" i="22"/>
  <c r="AD27" i="22"/>
  <c r="AD28" i="22"/>
  <c r="C27" i="22"/>
  <c r="CL28" i="22"/>
  <c r="BS28" i="22"/>
  <c r="BN28" i="22"/>
  <c r="D27" i="22"/>
  <c r="D28" i="22"/>
  <c r="J27" i="22"/>
  <c r="J28" i="22"/>
  <c r="N27" i="22"/>
  <c r="N28" i="22"/>
  <c r="Q27" i="22"/>
  <c r="Q28" i="22"/>
  <c r="G29" i="1"/>
  <c r="D32" i="1"/>
  <c r="BM28" i="22"/>
  <c r="AU28" i="22"/>
  <c r="AF28" i="22"/>
  <c r="AX28" i="22"/>
  <c r="BD28" i="22"/>
  <c r="AM28" i="22"/>
  <c r="AL28" i="22"/>
  <c r="AH28" i="22"/>
  <c r="S28" i="22"/>
  <c r="AO28" i="22"/>
  <c r="L28" i="22"/>
  <c r="T28" i="22"/>
  <c r="AZ28" i="22"/>
  <c r="BH28" i="22"/>
  <c r="AP28" i="22"/>
  <c r="AQ28" i="22"/>
  <c r="AT28" i="22"/>
  <c r="AR28" i="22"/>
  <c r="BY28" i="22"/>
  <c r="BT28" i="22"/>
  <c r="I28" i="22"/>
  <c r="BV28" i="22"/>
  <c r="BJ28" i="22"/>
  <c r="BA28" i="22"/>
  <c r="BE28" i="22"/>
  <c r="BO28" i="22"/>
  <c r="BB28" i="22"/>
  <c r="AB28" i="22"/>
  <c r="BF28" i="22"/>
  <c r="AW28" i="22"/>
  <c r="BP28" i="22"/>
  <c r="CF30" i="22"/>
  <c r="CK30" i="22"/>
  <c r="H28" i="22"/>
  <c r="P28" i="22"/>
  <c r="BW28" i="22"/>
  <c r="O28" i="22"/>
  <c r="U28" i="22"/>
  <c r="BG28" i="22"/>
  <c r="AI28" i="22"/>
  <c r="BK28" i="22"/>
  <c r="V28" i="22"/>
  <c r="BQ28" i="22"/>
  <c r="Y28" i="22"/>
  <c r="CA28" i="22"/>
  <c r="CA30" i="22"/>
  <c r="CE28" i="22"/>
  <c r="CE30" i="22"/>
  <c r="BL28" i="22"/>
  <c r="AK28" i="22"/>
  <c r="BX28" i="22"/>
  <c r="G28" i="22"/>
  <c r="M28" i="22"/>
  <c r="AY28" i="22"/>
  <c r="CL30" i="22"/>
  <c r="AG28" i="22"/>
  <c r="BC28" i="22"/>
  <c r="BR28" i="22"/>
  <c r="CB28" i="22"/>
  <c r="CB30" i="22"/>
  <c r="CJ28" i="22"/>
  <c r="CJ30" i="22"/>
  <c r="CC28" i="22"/>
  <c r="CC30" i="22"/>
  <c r="CH28" i="22"/>
  <c r="CH30" i="22"/>
  <c r="AA28" i="22"/>
  <c r="CI28" i="22"/>
  <c r="CI30" i="22"/>
  <c r="H30" i="35"/>
  <c r="G8" i="54"/>
  <c r="F8" i="54"/>
  <c r="H8" i="54"/>
  <c r="D8" i="54"/>
  <c r="I8" i="54"/>
  <c r="O8" i="54"/>
  <c r="N8" i="54"/>
  <c r="M8" i="54"/>
  <c r="L8" i="54"/>
  <c r="J8" i="54"/>
  <c r="G23" i="35"/>
  <c r="H23" i="35"/>
  <c r="D35" i="22"/>
  <c r="D19" i="26"/>
  <c r="F32" i="1"/>
  <c r="H32" i="1"/>
  <c r="G32" i="1"/>
  <c r="H29" i="1"/>
  <c r="G32" i="35"/>
  <c r="H32" i="35"/>
  <c r="H29" i="35"/>
  <c r="H24" i="35"/>
  <c r="G24" i="35"/>
  <c r="G25" i="35"/>
  <c r="H25" i="35"/>
  <c r="D22" i="37"/>
</calcChain>
</file>

<file path=xl/connections.xml><?xml version="1.0" encoding="utf-8"?>
<connections xmlns="http://schemas.openxmlformats.org/spreadsheetml/2006/main">
  <connection id="1" name="integration_Win_BLL_baseline_backlog_20131120" type="6" refreshedVersion="4" background="1" saveData="1">
    <textPr codePage="437" sourceFile="C:\Users\mhornbeek\Documents\Tools\Klocwork\Results\integration_Win_BLL_baseline_backlog_20131120.csv" tab="0" semicolon="1">
      <textFields count="3">
        <textField type="text"/>
        <textField/>
        <textField/>
      </textFields>
    </textPr>
  </connection>
  <connection id="2" name="integration_Win_BLL_baseline_backlog_20131216" type="6" refreshedVersion="4" background="1" saveData="1">
    <textPr codePage="437" sourceFile="C:\Users\mhornbeek\Documents\Tools\Klocwork\Results\integration_Win_BLL_baseline_backlog_20131216.csv" tab="0" semicolon="1">
      <textFields count="4">
        <textField type="text"/>
        <textField/>
        <textField/>
        <textField/>
      </textFields>
    </textPr>
  </connection>
  <connection id="3" name="integration_Win_BLL_baseline_backlog_201312221" type="6" refreshedVersion="4" background="1" saveData="1">
    <textPr codePage="437" sourceFile="C:\Users\mhornbeek\Documents\Tools\Klocwork\Results\integration_Win_BLL_baseline_backlog_20131222.csv" tab="0" semicolon="1">
      <textFields count="4">
        <textField type="text"/>
        <textField/>
        <textField/>
        <textField/>
      </textFields>
    </textPr>
  </connection>
  <connection id="4" name="integration_Win_BLL_baseline_backlog_201312291" type="6" refreshedVersion="4" background="1" saveData="1">
    <textPr codePage="437" sourceFile="C:\Users\mhornbeek\Documents\Tools\Klocwork\Results\integration_Win_BLL_baseline_backlog_20131229.csv" tab="0" semicolon="1">
      <textFields count="4">
        <textField type="text"/>
        <textField/>
        <textField/>
        <textField/>
      </textFields>
    </textPr>
  </connection>
  <connection id="5" name="integration_Win_BLL_baseline_backlog_201401051" type="6" refreshedVersion="4" background="1" saveData="1">
    <textPr codePage="437" sourceFile="C:\Users\mhornbeek\Documents\Tools\Klocwork\Results\integration_Win_BLL_baseline_backlog_20140105.csv" tab="0" semicolon="1">
      <textFields count="4">
        <textField type="text"/>
        <textField/>
        <textField/>
        <textField/>
      </textFields>
    </textPr>
  </connection>
  <connection id="6" name="integration_Win_BLL_baseline_backlog_201401191" type="6" refreshedVersion="4" background="1" saveData="1">
    <textPr codePage="437" sourceFile="C:\Users\mhornbeek\Documents\Tools\Klocwork\Results\integration_Win_BLL_baseline_backlog_20140119.csv" tab="0" semicolon="1">
      <textFields count="4">
        <textField/>
        <textField/>
        <textField/>
        <textField/>
      </textFields>
    </textPr>
  </connection>
  <connection id="7" name="integration_Win_BLL_baseline_backlog_201402021" type="6" refreshedVersion="4" background="1" saveData="1">
    <textPr codePage="437" sourceFile="C:\Users\mhornbeek\Documents\Tools\Klocwork\Results\integration_Win_BLL_baseline_backlog_20140202.csv" tab="0" semicolon="1">
      <textFields count="4">
        <textField type="text"/>
        <textField/>
        <textField/>
        <textField/>
      </textFields>
    </textPr>
  </connection>
  <connection id="8" name="integration_Win_BLL_baseline_backlog_201402161" type="6" refreshedVersion="4" background="1" saveData="1">
    <textPr codePage="437" sourceFile="C:\Users\mhornbeek\Documents\Tools\Klocwork\Results\integration_Win_BLL_baseline_backlog_20140216.csv" tab="0" semicolon="1">
      <textFields count="4">
        <textField type="text"/>
        <textField/>
        <textField/>
        <textField/>
      </textFields>
    </textPr>
  </connection>
  <connection id="9" name="integration_Win_BLL_baseline_backlog_201402231" type="6" refreshedVersion="4" background="1" saveData="1">
    <textPr codePage="437" sourceFile="C:\Users\mhornbeek\Documents\Tools\Klocwork\Results\integration_Win_BLL_baseline_backlog_20140223.csv" tab="0" semicolon="1">
      <textFields count="4">
        <textField type="text"/>
        <textField/>
        <textField/>
        <textField/>
      </textFields>
    </textPr>
  </connection>
  <connection id="10" name="integration_Win_BLL_baseline_backlog_201403021" type="6" refreshedVersion="4" background="1" saveData="1">
    <textPr codePage="437" sourceFile="C:\Users\mhornbeek\Documents\Tools\Klocwork\Results\integration_Win_BLL_baseline_backlog_20140302.csv" tab="0" semicolon="1">
      <textFields count="4">
        <textField type="text"/>
        <textField/>
        <textField/>
        <textField/>
      </textFields>
    </textPr>
  </connection>
  <connection id="11" name="integration_Win_BLL_baseline_backlog_201403091" type="6" refreshedVersion="4" background="1" saveData="1">
    <textPr codePage="437" sourceFile="C:\Users\mhornbeek\Documents\Tools\Klocwork\Results\integration_Win_BLL_baseline_backlog_20140309.csv" tab="0" semicolon="1">
      <textFields count="4">
        <textField type="text"/>
        <textField/>
        <textField/>
        <textField/>
      </textFields>
    </textPr>
  </connection>
  <connection id="12" name="integration_Win_BLL_baseline_backlog_201403231" type="6" refreshedVersion="4" background="1" saveData="1">
    <textPr codePage="437" sourceFile="C:\Users\mhornbeek\Documents\Tools\Klocwork\Results\integration_Win_BLL_baseline_backlog_20140323.csv" tab="0" semicolon="1">
      <textFields count="4">
        <textField type="text"/>
        <textField/>
        <textField/>
        <textField/>
      </textFields>
    </textPr>
  </connection>
  <connection id="13" name="integration_Win_BLL_baseline_backlog_201404131" type="6" refreshedVersion="4" background="1" saveData="1">
    <textPr codePage="437" sourceFile="C:\Users\mhornbeek\Documents\Tools\Klocwork\Results\integration_Win_BLL_baseline_backlog_20140413.csv" tab="0" semicolon="1">
      <textFields count="4">
        <textField type="text"/>
        <textField/>
        <textField/>
        <textField/>
      </textFields>
    </textPr>
  </connection>
  <connection id="14" name="integration_Win_BLL_baseline_backlog_201404291" type="6" refreshedVersion="4" background="1" saveData="1">
    <textPr codePage="437" sourceFile="C:\Users\mhornbeek\Documents\Tools\Klocwork\Results\integration_Win_BLL_baseline_backlog_20140429.csv" tab="0" semicolon="1">
      <textFields count="4">
        <textField type="text"/>
        <textField/>
        <textField/>
        <textField/>
      </textFields>
    </textPr>
  </connection>
  <connection id="15" name="integration_Win_BLL_baseline_backlog_201405041" type="6" refreshedVersion="4" background="1" saveData="1">
    <textPr codePage="437" sourceFile="C:\Users\mhornbeek\Documents\Tools\Klocwork\Results\integration_Win_BLL_baseline_backlog_20140504.csv" tab="0" semicolon="1">
      <textFields count="4">
        <textField type="text"/>
        <textField/>
        <textField/>
        <textField/>
      </textFields>
    </textPr>
  </connection>
  <connection id="16" name="integration_Win_BLL_baseline_backlog_201405111" type="6" refreshedVersion="4" background="1" saveData="1">
    <textPr codePage="437" sourceFile="C:\Users\mhornbeek\Documents\Tools\Klocwork\Results\integration_Win_BLL_baseline_backlog_20140511.csv" tab="0" semicolon="1">
      <textFields count="4">
        <textField type="text"/>
        <textField/>
        <textField/>
        <textField/>
      </textFields>
    </textPr>
  </connection>
  <connection id="17" name="integration_Win_BLL_baseline_backlog_201405181" type="6" refreshedVersion="4" background="1" saveData="1">
    <textPr codePage="437" sourceFile="C:\Users\mhornbeek\Documents\Tools\Klocwork\Results\integration_Win_BLL_baseline_backlog_20140518.csv" tab="0" semicolon="1">
      <textFields count="4">
        <textField type="text"/>
        <textField/>
        <textField/>
        <textField/>
      </textFields>
    </textPr>
  </connection>
  <connection id="18" name="integration_Win_BLL_baseline_backlog_201406021" type="6" refreshedVersion="4" background="1" saveData="1">
    <textPr codePage="437" sourceFile="C:\Users\mhornbeek\Documents\Tools\Klocwork\Results\integration_Win_BLL_baseline_backlog_20140602.csv" tab="0" semicolon="1">
      <textFields count="4">
        <textField type="text"/>
        <textField/>
        <textField/>
        <textField/>
      </textFields>
    </textPr>
  </connection>
  <connection id="19" name="integration_Win_BLL_baseline_backlog_201406081" type="6" refreshedVersion="4" background="1" saveData="1">
    <textPr codePage="437" sourceFile="C:\Users\mhornbeek\Documents\Tools\Klocwork\Results\integration_Win_BLL_baseline_backlog_20140608.csv" tab="0" semicolon="1">
      <textFields count="4">
        <textField type="text"/>
        <textField/>
        <textField/>
        <textField/>
      </textFields>
    </textPr>
  </connection>
  <connection id="20" name="integration_Win_BLL_baseline_backlog_201406291" type="6" refreshedVersion="4" background="1" saveData="1">
    <textPr codePage="437" sourceFile="C:\Users\mhornbeek\Documents\Tools\Klocwork\Results\integration_Win_BLL_baseline_backlog_20140629.csv" tab="0" semicolon="1">
      <textFields count="4">
        <textField type="text"/>
        <textField/>
        <textField/>
        <textField/>
      </textFields>
    </textPr>
  </connection>
  <connection id="21" name="integration_Win_BLL_baseline_backlog_201407062" type="6" refreshedVersion="4" background="1" saveData="1">
    <textPr prompt="0" codePage="437" sourceFile="C:\Users\songkamong\Documents\Spirent's Stuff\Klocwork_Report\2014-07-06\raw_data\integration_Win_BLL_baseline_backlog_20140706.csv" tab="0" semicolon="1">
      <textFields count="3">
        <textField/>
        <textField/>
        <textField/>
      </textFields>
    </textPr>
  </connection>
  <connection id="22" name="integration_Win_BLL_baseline_backlog_201407201" type="6" refreshedVersion="4" background="1" saveData="1">
    <textPr prompt="0" codePage="437" sourceFile="C:\Users\songkamong\Documents\Spirent's Stuff\Klocwork_Report\2014-07-21\raw_data\integration_Win_BLL_baseline_backlog_20140720.csv" tab="0" semicolon="1">
      <textFields count="3">
        <textField/>
        <textField/>
        <textField/>
      </textFields>
    </textPr>
  </connection>
  <connection id="23" name="integration_Win_BLL_baseline_backlog_201408171" type="6" refreshedVersion="4" background="1" saveData="1">
    <textPr prompt="0" codePage="437" sourceFile="C:\Users\songkamong\Documents\Spirent's Stuff\Klocwork_Report\2014-08-20\raw_data\integration_Win_BLL_baseline_backlog_20140817.csv" tab="0" semicolon="1">
      <textFields count="3">
        <textField/>
        <textField/>
        <textField/>
      </textFields>
    </textPr>
  </connection>
  <connection id="24" name="integration_Win_BLL_baseline_backlog_201408172" type="6" refreshedVersion="4" background="1" saveData="1">
    <textPr prompt="0" codePage="437" sourceFile="C:\Users\songkamong\Documents\Spirent's Stuff\Klocwork_Report\2014-08-20\raw_data\integration_Win_BLL_baseline_backlog_20140817.csv" tab="0" semicolon="1">
      <textFields count="3">
        <textField/>
        <textField/>
        <textField/>
      </textFields>
    </textPr>
  </connection>
  <connection id="25" name="integration_Win_BLL_baseline_backlog_201409071" type="6" refreshedVersion="4" background="1" saveData="1">
    <textPr prompt="0" codePage="437" sourceFile="C:\Users\songkamong\Documents\Spirent's Stuff\Klocwork_Report\2014-09-10\raw_data\integration_Win_BLL_baseline_backlog_20140907.csv" tab="0" semicolon="1">
      <textFields count="3">
        <textField/>
        <textField/>
        <textField/>
      </textFields>
    </textPr>
  </connection>
  <connection id="26" name="integration_Win_BLL_baseline_backlog_201409211" type="6" refreshedVersion="4" background="1" saveData="1">
    <textPr prompt="0" codePage="437" sourceFile="integration_Win_BLL_baseline_backlog_20140921.csv" tab="0" semicolon="1">
      <textFields count="3">
        <textField/>
        <textField/>
        <textField/>
      </textFields>
    </textPr>
  </connection>
  <connection id="27" name="integration_Win_BLL_baseline_backlog_201410122" type="6" refreshedVersion="4" background="1" saveData="1">
    <textPr prompt="0" codePage="437" sourceFile="integration_Win_BLL_baseline_backlog_20141012.csv" tab="0" semicolon="1">
      <textFields count="3">
        <textField/>
        <textField/>
        <textField/>
      </textFields>
    </textPr>
  </connection>
  <connection id="28" name="integration_Win_BLL_baseline_backlog_201412071" type="6" refreshedVersion="4" background="1" saveData="1">
    <textPr prompt="0" codePage="437" sourceFile="integration_Win_BLL_baseline_backlog_20141207.csv" tab="0" semicolon="1">
      <textFields count="3">
        <textField/>
        <textField/>
        <textField/>
      </textFields>
    </textPr>
  </connection>
  <connection id="29" name="integration_Win_BLL_baseline_backlog_201501041" type="6" refreshedVersion="4" background="1" saveData="1">
    <textPr prompt="0" codePage="437" sourceFile="integration_Win_BLL_baseline_backlog_20150104.csv" tab="0" semicolon="1">
      <textFields count="3">
        <textField/>
        <textField/>
        <textField/>
      </textFields>
    </textPr>
  </connection>
  <connection id="30" name="integration_Win_BLL_baseline_backlog_201502191" type="6" refreshedVersion="4" background="1" saveData="1">
    <textPr prompt="0" codePage="437" sourceFile="integration_Win_BLL_baseline_backlog_20150219.csv" tab="0" semicolon="1">
      <textFields count="3">
        <textField/>
        <textField/>
        <textField/>
      </textFields>
    </textPr>
  </connection>
  <connection id="31" name="integration_Win_BLL_baseline_backlog_201503291" type="6" refreshedVersion="4" background="1" saveData="1">
    <textPr prompt="0" codePage="437" sourceFile="integration_Win_BLL_baseline_backlog_20150329.csv" tab="0" semicolon="1">
      <textFields count="3">
        <textField/>
        <textField/>
        <textField/>
      </textFields>
    </textPr>
  </connection>
  <connection id="32" name="integration_Win_BLL_baseline_backlog_201508301" type="6" refreshedVersion="4" background="1" saveData="1">
    <textPr prompt="0" codePage="437" sourceFile="integration_Win_BLL_baseline_backlog_20150830.csv" tab="0" semicolon="1">
      <textFields count="3">
        <textField/>
        <textField/>
        <textField/>
      </textFields>
    </textPr>
  </connection>
  <connection id="33" name="integration_Win_BLL_baseline_backlog_201601151" type="6" refreshedVersion="4" background="1" saveData="1">
    <textPr prompt="0" codePage="437" sourceFile="integration_Win_BLL_baseline_backlog_20160115.csv" tab="0" semicolon="1">
      <textFields count="3">
        <textField/>
        <textField/>
        <textField/>
      </textFields>
    </textPr>
  </connection>
  <connection id="34" name="integration_Win_BLL_baseline_backlog_201602141" type="6" refreshedVersion="4" background="1" saveData="1">
    <textPr prompt="0" codePage="437" sourceFile="integration_Win_BLL_baseline_backlog_20160214.csv" tab="0" semicolon="1">
      <textFields count="3">
        <textField/>
        <textField/>
        <textField/>
      </textFields>
    </textPr>
  </connection>
  <connection id="35" name="integration_Win_BLL_baseline_backlog_201607031" type="6" refreshedVersion="4" background="1" saveData="1">
    <textPr prompt="0" codePage="437" sourceFile="integration_Win_BLL_baseline_backlog_20160703.csv" tab="0" semicolon="1">
      <textFields count="3">
        <textField/>
        <textField/>
        <textField/>
      </textFields>
    </textPr>
  </connection>
  <connection id="36" name="integration_Win_BLL_baseline_mem_leak_20131028" type="6" refreshedVersion="4" background="1" saveData="1">
    <textPr codePage="437" sourceFile="C:\Users\mhornbeek\Documents\Tools\Klocwork\Results\integration_Win_BLL_baseline_mem_leak_20131028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integration_Win_BLL_baseline_mem_leak_201401051" type="6" refreshedVersion="4" background="1" saveData="1">
    <textPr codePage="437" sourceFile="C:\Users\mhornbeek\Documents\Tools\Klocwork\Results\integration_Win_BLL_baseline_mem_leak_20140105.csv" tab="0" semicolon="1">
      <textFields count="3">
        <textField type="text"/>
        <textField/>
        <textField/>
      </textFields>
    </textPr>
  </connection>
  <connection id="38" name="integration_Win_BLL_baseline_mem_leak_201401191" type="6" refreshedVersion="4" background="1" saveData="1">
    <textPr codePage="437" sourceFile="C:\Users\mhornbeek\Documents\Tools\Klocwork\Results\integration_Win_BLL_baseline_mem_leak_20140119.csv" tab="0" semicolon="1">
      <textFields count="3">
        <textField/>
        <textField/>
        <textField/>
      </textFields>
    </textPr>
  </connection>
  <connection id="39" name="integration_Win_BLL_baseline_mem_leak_201402021" type="6" refreshedVersion="4" background="1" saveData="1">
    <textPr codePage="437" sourceFile="C:\Users\mhornbeek\Documents\Tools\Klocwork\Results\integration_Win_BLL_baseline_mem_leak_20140202.csv" tab="0" semicolon="1">
      <textFields count="3">
        <textField type="text"/>
        <textField/>
        <textField/>
      </textFields>
    </textPr>
  </connection>
  <connection id="40" name="integration_Win_BLL_baseline_mem_leak_201402161" type="6" refreshedVersion="4" background="1" saveData="1">
    <textPr codePage="437" sourceFile="C:\Users\mhornbeek\Documents\Tools\Klocwork\Results\integration_Win_BLL_baseline_mem_leak_20140216.csv" tab="0" semicolon="1">
      <textFields count="3">
        <textField type="text"/>
        <textField/>
        <textField/>
      </textFields>
    </textPr>
  </connection>
  <connection id="41" name="integration_Win_BLL_baseline_mem_leak_201402231" type="6" refreshedVersion="4" background="1" saveData="1">
    <textPr codePage="437" sourceFile="C:\Users\mhornbeek\Documents\Tools\Klocwork\Results\integration_Win_BLL_baseline_mem_leak_20140223.csv" tab="0" semicolon="1">
      <textFields count="3">
        <textField type="text"/>
        <textField/>
        <textField/>
      </textFields>
    </textPr>
  </connection>
  <connection id="42" name="integration_Win_BLL_baseline_mem_leak_201403021" type="6" refreshedVersion="4" background="1" saveData="1">
    <textPr codePage="437" sourceFile="C:\Users\mhornbeek\Documents\Tools\Klocwork\Results\integration_Win_BLL_baseline_mem_leak_20140302.csv" tab="0" semicolon="1">
      <textFields count="3">
        <textField type="text"/>
        <textField/>
        <textField/>
      </textFields>
    </textPr>
  </connection>
  <connection id="43" name="integration_Win_BLL_baseline_mem_leak_201403091" type="6" refreshedVersion="4" background="1" saveData="1">
    <textPr codePage="437" sourceFile="C:\Users\mhornbeek\Documents\Tools\Klocwork\Results\integration_Win_BLL_baseline_mem_leak_20140309.csv" tab="0" semicolon="1">
      <textFields count="3">
        <textField type="text"/>
        <textField/>
        <textField/>
      </textFields>
    </textPr>
  </connection>
  <connection id="44" name="integration_Win_BLL_baseline_mem_leak_201403231" type="6" refreshedVersion="4" background="1" saveData="1">
    <textPr codePage="437" sourceFile="C:\Users\mhornbeek\Documents\Tools\Klocwork\Results\integration_Win_BLL_baseline_mem_leak_20140323.csv" tab="0" semicolon="1">
      <textFields count="3">
        <textField type="text"/>
        <textField/>
        <textField/>
      </textFields>
    </textPr>
  </connection>
  <connection id="45" name="integration_Win_BLL_baseline_mem_leak_201404131" type="6" refreshedVersion="4" background="1" saveData="1">
    <textPr codePage="437" sourceFile="C:\Users\mhornbeek\Documents\Tools\Klocwork\Results\integration_Win_BLL_baseline_mem_leak_20140413.csv" tab="0" semicolon="1">
      <textFields count="3">
        <textField type="text"/>
        <textField/>
        <textField/>
      </textFields>
    </textPr>
  </connection>
  <connection id="46" name="integration_Win_BLL_baseline_mem_leak_201404291" type="6" refreshedVersion="4" background="1" saveData="1">
    <textPr codePage="437" sourceFile="C:\Users\mhornbeek\Documents\Tools\Klocwork\Results\integration_Win_BLL_baseline_mem_leak_20140429.csv" tab="0" semicolon="1">
      <textFields count="3">
        <textField type="text"/>
        <textField/>
        <textField/>
      </textFields>
    </textPr>
  </connection>
  <connection id="47" name="integration_Win_BLL_baseline_mem_leak_201405041" type="6" refreshedVersion="4" background="1" saveData="1">
    <textPr codePage="437" sourceFile="C:\Users\mhornbeek\Documents\Tools\Klocwork\Results\integration_Win_BLL_baseline_mem_leak_20140504.csv" tab="0" semicolon="1">
      <textFields count="3">
        <textField type="text"/>
        <textField/>
        <textField/>
      </textFields>
    </textPr>
  </connection>
  <connection id="48" name="integration_Win_BLL_baseline_mem_leak_201406021" type="6" refreshedVersion="4" background="1" saveData="1">
    <textPr codePage="437" sourceFile="C:\Users\mhornbeek\Documents\Tools\Klocwork\Results\integration_Win_BLL_baseline_mem_leak_20140602.csv" tab="0" semicolon="1">
      <textFields count="3">
        <textField type="text"/>
        <textField/>
        <textField/>
      </textFields>
    </textPr>
  </connection>
  <connection id="49" name="integration_Win_BLL_baseline_mem_leak_201406081" type="6" refreshedVersion="4" background="1" saveData="1">
    <textPr codePage="437" sourceFile="C:\Users\mhornbeek\Documents\Tools\Klocwork\Results\integration_Win_BLL_baseline_mem_leak_20140608.csv" tab="0" semicolon="1">
      <textFields count="3">
        <textField type="text"/>
        <textField/>
        <textField/>
      </textFields>
    </textPr>
  </connection>
  <connection id="50" name="integration_Win_BLL_baseline_mem_leak_201406291" type="6" refreshedVersion="4" background="1" saveData="1">
    <textPr codePage="437" sourceFile="C:\Users\mhornbeek\Documents\Tools\Klocwork\Results\integration_Win_BLL_baseline_mem_leak_20140629.csv" tab="0" semicolon="1">
      <textFields count="3">
        <textField type="text"/>
        <textField/>
        <textField/>
      </textFields>
    </textPr>
  </connection>
  <connection id="51" name="integration_Win_BLL_baseline_mem_leak_201407061" type="6" refreshedVersion="4" background="1" saveData="1">
    <textPr prompt="0" codePage="437" sourceFile="C:\Users\songkamong\Documents\Spirent's Stuff\Klocwork_Report\2014-07-06\raw_data\integration_Win_BLL_baseline_mem_leak_20140706.csv" tab="0" semicolon="1">
      <textFields count="3">
        <textField/>
        <textField/>
        <textField/>
      </textFields>
    </textPr>
  </connection>
  <connection id="52" name="integration_Win_BLL_baseline_mem_leak_201407201" type="6" refreshedVersion="4" background="1" saveData="1">
    <textPr prompt="0" codePage="437" sourceFile="C:\Users\songkamong\Documents\Spirent's Stuff\Klocwork_Report\2014-07-21\raw_data\integration_Win_BLL_baseline_mem_leak_20140720.csv" tab="0" semicolon="1">
      <textFields count="3">
        <textField/>
        <textField/>
        <textField/>
      </textFields>
    </textPr>
  </connection>
  <connection id="53" name="integration_Win_BLL_baseline_mem_leak_201408031" type="6" refreshedVersion="4" background="1" saveData="1">
    <textPr prompt="0" codePage="437" sourceFile="C:\Users\songkamong\Documents\Spirent's Stuff\Klocwork_Report\2014-08-07\raw_data\integration_Win_BLL_baseline_mem_leak_20140803.csv" tab="0" semicolon="1">
      <textFields count="3">
        <textField/>
        <textField/>
        <textField/>
      </textFields>
    </textPr>
  </connection>
  <connection id="54" name="integration_Win_BLL_baseline_mem_leak_201408171" type="6" refreshedVersion="4" background="1" saveData="1">
    <textPr prompt="0" codePage="437" sourceFile="C:\Users\songkamong\Documents\Spirent's Stuff\Klocwork_Report\2014-08-20\raw_data\integration_Win_BLL_baseline_mem_leak_20140817.csv" tab="0" semicolon="1">
      <textFields count="3">
        <textField/>
        <textField/>
        <textField/>
      </textFields>
    </textPr>
  </connection>
  <connection id="55" name="integration_Win_BLL_baseline_mem_leak_201409071" type="6" refreshedVersion="4" background="1" saveData="1">
    <textPr prompt="0" codePage="437" sourceFile="C:\Users\songkamong\Documents\Spirent's Stuff\Klocwork_Report\2014-09-10\raw_data\integration_Win_BLL_baseline_mem_leak_20140907.csv" tab="0" semicolon="1">
      <textFields count="3">
        <textField/>
        <textField/>
        <textField/>
      </textFields>
    </textPr>
  </connection>
  <connection id="56" name="integration_Win_BLL_baseline_mem_leak_201409211" type="6" refreshedVersion="4" background="1" saveData="1">
    <textPr prompt="0" codePage="437" sourceFile="integration_Win_BLL_baseline_mem_leak_20140921.csv" tab="0" semicolon="1">
      <textFields count="3">
        <textField/>
        <textField/>
        <textField/>
      </textFields>
    </textPr>
  </connection>
  <connection id="57" name="integration_Win_BLL_baseline_mem_leak_201410121" type="6" refreshedVersion="4" background="1" saveData="1">
    <textPr prompt="0" codePage="437" sourceFile="integration_Win_BLL_baseline_mem_leak_20141012.csv" tab="0" semicolon="1">
      <textFields count="3">
        <textField/>
        <textField/>
        <textField/>
      </textFields>
    </textPr>
  </connection>
  <connection id="58" name="integration_Win_BLL_baseline_mem_leak_201412071" type="6" refreshedVersion="4" background="1" saveData="1">
    <textPr prompt="0" codePage="437" sourceFile="integration_Win_BLL_baseline_mem_leak_20141207.csv" tab="0" semicolon="1">
      <textFields count="3">
        <textField/>
        <textField/>
        <textField/>
      </textFields>
    </textPr>
  </connection>
  <connection id="59" name="integration_Win_BLL_baseline_mem_leak_201501041" type="6" refreshedVersion="4" background="1" saveData="1">
    <textPr prompt="0" codePage="437" sourceFile="integration_Win_BLL_baseline_mem_leak_20150104.csv" tab="0" semicolon="1">
      <textFields count="3">
        <textField/>
        <textField/>
        <textField/>
      </textFields>
    </textPr>
  </connection>
  <connection id="60" name="integration_Win_BLL_baseline_mem_leak_201502191" type="6" refreshedVersion="4" background="1" saveData="1">
    <textPr prompt="0" codePage="437" sourceFile="integration_Win_BLL_baseline_mem_leak_20150219.csv" tab="0" semicolon="1">
      <textFields count="3">
        <textField/>
        <textField/>
        <textField/>
      </textFields>
    </textPr>
  </connection>
  <connection id="61" name="integration_Win_BLL_baseline_mem_leak_201503291" type="6" refreshedVersion="4" background="1" saveData="1">
    <textPr prompt="0" codePage="437" sourceFile="integration_Win_BLL_baseline_mem_leak_20150329.csv" tab="0" semicolon="1">
      <textFields count="3">
        <textField/>
        <textField/>
        <textField/>
      </textFields>
    </textPr>
  </connection>
  <connection id="62" name="integration_Win_BLL_baseline_mem_leak_201508301" type="6" refreshedVersion="4" background="1" saveData="1">
    <textPr prompt="0" codePage="437" sourceFile="integration_Win_BLL_baseline_mem_leak_20150830.csv" tab="0" semicolon="1">
      <textFields count="3">
        <textField/>
        <textField/>
        <textField/>
      </textFields>
    </textPr>
  </connection>
  <connection id="63" name="integration_Win_BLL_baseline_mem_leak_201509201" type="6" refreshedVersion="4" background="1" saveData="1">
    <textPr prompt="0" codePage="437" sourceFile="integration_Win_BLL_baseline_mem_leak_20150920.csv" tab="0" semicolon="1">
      <textFields count="3">
        <textField/>
        <textField/>
        <textField/>
      </textFields>
    </textPr>
  </connection>
  <connection id="64" name="integration_Win_BLL_baseline_mem_leak_201601151" type="6" refreshedVersion="4" background="1" saveData="1">
    <textPr prompt="0" codePage="437" sourceFile="integration_Win_BLL_baseline_mem_leak_20160115.csv" tab="0" semicolon="1">
      <textFields count="3">
        <textField/>
        <textField/>
        <textField/>
      </textFields>
    </textPr>
  </connection>
  <connection id="65" name="integration_Win_BLL_baseline_mem_leak_201602141" type="6" refreshedVersion="4" background="1" saveData="1">
    <textPr prompt="0" codePage="437" sourceFile="integration_Win_BLL_baseline_mem_leak_20160214.csv" tab="0" semicolon="1">
      <textFields count="3">
        <textField/>
        <textField/>
        <textField/>
      </textFields>
    </textPr>
  </connection>
  <connection id="66" name="integration_Win_BLL_baseline_mem_leak_201607031" type="6" refreshedVersion="4" background="1" saveData="1">
    <textPr prompt="0" codePage="437" sourceFile="integration_Win_BLL_baseline_mem_leak_20160703.csv" tab="0" semicolon="1">
      <textFields count="3">
        <textField/>
        <textField/>
        <textField/>
      </textFields>
    </textPr>
  </connection>
  <connection id="67" name="integration_Win_BLL_baseline_mem_leak_201607032" type="6" refreshedVersion="4" background="1" saveData="1">
    <textPr prompt="0" codePage="437" sourceFile="integration_Win_BLL_baseline_mem_leak_20160703.csv" tab="0" semicolon="1">
      <textFields count="3">
        <textField/>
        <textField/>
        <textField/>
      </textFields>
    </textPr>
  </connection>
  <connection id="68" name="integration_Win_BLL_baseline_uninit_20140602" type="6" refreshedVersion="4" background="1" saveData="1">
    <textPr codePage="437" sourceFile="C:\Users\mhornbeek\Documents\Tools\Klocwork\Results\integration_Win_BLL_baseline_uninit_20140602.csv" tab="0" semicolon="1">
      <textFields count="3">
        <textField type="text"/>
        <textField/>
        <textField/>
      </textFields>
    </textPr>
  </connection>
  <connection id="69" name="integration_Win_BLL_baseline_uninit_201406022" type="6" refreshedVersion="4" background="1" saveData="1">
    <textPr codePage="437" sourceFile="C:\Users\mhornbeek\Documents\Tools\Klocwork\Results\integration_Win_BLL_baseline_uninit_20140602.csv" tab="0" semicolon="1">
      <textFields count="3">
        <textField type="text"/>
        <textField/>
        <textField/>
      </textFields>
    </textPr>
  </connection>
  <connection id="70" name="integration_Win_BLL_baseline_uninit_201406081" type="6" refreshedVersion="4" background="1" saveData="1">
    <textPr codePage="437" sourceFile="C:\Users\mhornbeek\Documents\Tools\Klocwork\Results\integration_Win_BLL_baseline_uninit_20140608.csv" tab="0" semicolon="1">
      <textFields count="3">
        <textField type="text"/>
        <textField/>
        <textField/>
      </textFields>
    </textPr>
  </connection>
  <connection id="71" name="integration_Win_BLL_baseline_uninit_201406291" type="6" refreshedVersion="4" background="1" saveData="1">
    <textPr codePage="437" sourceFile="C:\Users\mhornbeek\Documents\Tools\Klocwork\Results\integration_Win_BLL_baseline_uninit_20140629.csv" tab="0" semicolon="1">
      <textFields count="3">
        <textField type="text"/>
        <textField/>
        <textField/>
      </textFields>
    </textPr>
  </connection>
  <connection id="72" name="integration_Win_BLL_baseline_uninit_201407061" type="6" refreshedVersion="4" background="1" saveData="1">
    <textPr prompt="0" codePage="437" sourceFile="C:\Users\songkamong\Documents\Spirent's Stuff\Klocwork_Report\2014-07-06\raw_data\integration_Win_BLL_baseline_uninit_20140706.csv" tab="0" semicolon="1">
      <textFields count="3">
        <textField/>
        <textField/>
        <textField/>
      </textFields>
    </textPr>
  </connection>
  <connection id="73" name="integration_Win_BLL_baseline_uninit_201407201" type="6" refreshedVersion="4" background="1" saveData="1">
    <textPr prompt="0" codePage="437" sourceFile="C:\Users\songkamong\Documents\Spirent's Stuff\Klocwork_Report\2014-07-21\raw_data\integration_Win_BLL_baseline_uninit_20140720.csv" tab="0" semicolon="1">
      <textFields count="3">
        <textField/>
        <textField/>
        <textField/>
      </textFields>
    </textPr>
  </connection>
  <connection id="74" name="integration_Win_BLL_baseline_uninit_201408031" type="6" refreshedVersion="4" background="1" saveData="1">
    <textPr prompt="0" codePage="437" sourceFile="C:\Users\songkamong\Documents\Spirent's Stuff\Klocwork_Report\2014-08-07\raw_data\integration_Win_BLL_baseline_uninit_20140803.csv" tab="0" semicolon="1">
      <textFields count="3">
        <textField/>
        <textField/>
        <textField/>
      </textFields>
    </textPr>
  </connection>
  <connection id="75" name="integration_Win_BLL_baseline_uninit_201408171" type="6" refreshedVersion="4" background="1" saveData="1">
    <textPr prompt="0" codePage="437" sourceFile="C:\Users\songkamong\Documents\Spirent's Stuff\Klocwork_Report\2014-08-20\raw_data\integration_Win_BLL_baseline_uninit_20140817.csv" tab="0" semicolon="1">
      <textFields count="3">
        <textField/>
        <textField/>
        <textField/>
      </textFields>
    </textPr>
  </connection>
  <connection id="76" name="integration_Win_BLL_baseline_uninit_201409071" type="6" refreshedVersion="4" background="1" saveData="1">
    <textPr prompt="0" codePage="437" sourceFile="C:\Users\songkamong\Documents\Spirent's Stuff\Klocwork_Report\2014-09-10\raw_data\integration_Win_BLL_baseline_uninit_20140907.csv" tab="0" semicolon="1">
      <textFields count="3">
        <textField/>
        <textField/>
        <textField/>
      </textFields>
    </textPr>
  </connection>
  <connection id="77" name="integration_Win_BLL_baseline_uninit_201409211" type="6" refreshedVersion="4" background="1" saveData="1">
    <textPr prompt="0" codePage="437" sourceFile="integration_Win_BLL_baseline_uninit_20140921.csv" tab="0" semicolon="1">
      <textFields count="3">
        <textField/>
        <textField/>
        <textField/>
      </textFields>
    </textPr>
  </connection>
  <connection id="78" name="integration_Win_BLL_baseline_uninit_201410121" type="6" refreshedVersion="4" background="1" saveData="1">
    <textPr prompt="0" codePage="437" sourceFile="integration_Win_BLL_baseline_uninit_20141012.csv" tab="0" semicolon="1">
      <textFields count="3">
        <textField/>
        <textField/>
        <textField/>
      </textFields>
    </textPr>
  </connection>
  <connection id="79" name="integration_Win_BLL_baseline_uninit_201412071" type="6" refreshedVersion="4" background="1" saveData="1">
    <textPr prompt="0" codePage="437" sourceFile="integration_Win_BLL_baseline_uninit_20141207.csv" tab="0" semicolon="1">
      <textFields count="3">
        <textField/>
        <textField/>
        <textField/>
      </textFields>
    </textPr>
  </connection>
  <connection id="80" name="integration_Win_BLL_baseline_uninit_201501041" type="6" refreshedVersion="4" background="1" saveData="1">
    <textPr prompt="0" codePage="437" sourceFile="integration_Win_BLL_baseline_uninit_20150104.csv" tab="0" semicolon="1">
      <textFields count="3">
        <textField/>
        <textField/>
        <textField/>
      </textFields>
    </textPr>
  </connection>
  <connection id="81" name="integration_Win_BLL_baseline_uninit_201502191" type="6" refreshedVersion="4" background="1" saveData="1">
    <textPr prompt="0" codePage="437" sourceFile="integration_Win_BLL_baseline_uninit_20150219.csv" tab="0" semicolon="1">
      <textFields count="3">
        <textField/>
        <textField/>
        <textField/>
      </textFields>
    </textPr>
  </connection>
  <connection id="82" name="integration_Win_BLL_baseline_uninit_201503291" type="6" refreshedVersion="4" background="1" saveData="1">
    <textPr prompt="0" codePage="437" sourceFile="integration_Win_BLL_baseline_uninit_20150329.csv" tab="0" semicolon="1">
      <textFields count="3">
        <textField/>
        <textField/>
        <textField/>
      </textFields>
    </textPr>
  </connection>
  <connection id="83" name="integration_Win_BLL_baseline_uninit_201508301" type="6" refreshedVersion="4" background="1" saveData="1">
    <textPr prompt="0" codePage="437" sourceFile="integration_Win_BLL_baseline_uninit_20150830.csv" tab="0" semicolon="1">
      <textFields count="3">
        <textField/>
        <textField/>
        <textField/>
      </textFields>
    </textPr>
  </connection>
  <connection id="84" name="integration_Win_BLL_baseline_uninit_201509201" type="6" refreshedVersion="4" background="1" saveData="1">
    <textPr prompt="0" codePage="437" sourceFile="integration_Win_BLL_baseline_uninit_20150920.csv" tab="0" semicolon="1">
      <textFields count="3">
        <textField/>
        <textField/>
        <textField/>
      </textFields>
    </textPr>
  </connection>
  <connection id="85" name="integration_Win_BLL_baseline_uninit_201601151" type="6" refreshedVersion="4" background="1" saveData="1">
    <textPr prompt="0" codePage="437" sourceFile="integration_Win_BLL_baseline_uninit_20160115.csv" tab="0" semicolon="1">
      <textFields count="3">
        <textField/>
        <textField/>
        <textField/>
      </textFields>
    </textPr>
  </connection>
  <connection id="86" name="integration_Win_BLL_baseline_uninit_201602142" type="6" refreshedVersion="4" background="1" saveData="1">
    <textPr prompt="0" codePage="437" sourceFile="integration_Win_BLL_baseline_uninit_20160214.csv" tab="0" semicolon="1">
      <textFields count="3">
        <textField/>
        <textField/>
        <textField/>
      </textFields>
    </textPr>
  </connection>
  <connection id="87" name="integration_Win_BLL_baseline_uninit_201607031" type="6" refreshedVersion="4" background="1" saveData="1">
    <textPr prompt="0" codePage="437" sourceFile="integration_Win_BLL_baseline_uninit_20160703.csv" tab="0" semicolon="1">
      <textFields count="3">
        <textField/>
        <textField/>
        <textField/>
      </textFields>
    </textPr>
  </connection>
  <connection id="88" name="integration_win_ui_backlog_20131120" type="6" refreshedVersion="4" background="1" saveData="1">
    <textPr codePage="437" sourceFile="C:\Users\mhornbeek\Documents\Tools\Klocwork\Results\integration_win_ui_backlog_20131120.csv" tab="0" semicolon="1">
      <textFields count="3">
        <textField type="text"/>
        <textField/>
        <textField/>
      </textFields>
    </textPr>
  </connection>
  <connection id="89" name="integration_win_ui_backlog_20131216" type="6" refreshedVersion="4" background="1" saveData="1">
    <textPr codePage="437" sourceFile="C:\Users\mhornbeek\Documents\Tools\Klocwork\Results\integration_win_ui_backlog_20131216.csv" tab="0" semicolon="1">
      <textFields count="4">
        <textField type="text"/>
        <textField/>
        <textField/>
        <textField/>
      </textFields>
    </textPr>
  </connection>
  <connection id="90" name="integration_win_ui_backlog_201312291" type="6" refreshedVersion="4" background="1" saveData="1">
    <textPr codePage="437" sourceFile="C:\Users\mhornbeek\Documents\Tools\Klocwork\Results\integration_win_ui_backlog_20131229.csv" tab="0" semicolon="1">
      <textFields count="4">
        <textField type="text"/>
        <textField/>
        <textField/>
        <textField/>
      </textFields>
    </textPr>
  </connection>
  <connection id="91" name="integration_win_ui_backlog_201401051" type="6" refreshedVersion="4" background="1" saveData="1">
    <textPr codePage="437" sourceFile="C:\Users\mhornbeek\Documents\Tools\Klocwork\Results\integration_win_ui_backlog_20140105.csv" tab="0" semicolon="1">
      <textFields count="4">
        <textField type="text"/>
        <textField/>
        <textField/>
        <textField/>
      </textFields>
    </textPr>
  </connection>
  <connection id="92" name="integration_win_ui_backlog_201401191" type="6" refreshedVersion="4" background="1" saveData="1">
    <textPr codePage="437" sourceFile="C:\Users\mhornbeek\Documents\Tools\Klocwork\Results\integration_win_ui_backlog_20140119.csv" tab="0" semicolon="1">
      <textFields count="4">
        <textField/>
        <textField/>
        <textField/>
        <textField/>
      </textFields>
    </textPr>
  </connection>
  <connection id="93" name="integration_win_ui_backlog_201402021" type="6" refreshedVersion="4" background="1" saveData="1">
    <textPr codePage="437" sourceFile="C:\Users\mhornbeek\Documents\Tools\Klocwork\Results\integration_win_ui_backlog_20140202.csv" tab="0" semicolon="1">
      <textFields count="4">
        <textField type="text"/>
        <textField/>
        <textField/>
        <textField/>
      </textFields>
    </textPr>
  </connection>
  <connection id="94" name="integration_win_ui_backlog_201402161" type="6" refreshedVersion="4" background="1" saveData="1">
    <textPr codePage="437" sourceFile="C:\Users\mhornbeek\Documents\Tools\Klocwork\Results\integration_win_ui_backlog_20140216.csv" tab="0" semicolon="1">
      <textFields count="4">
        <textField type="text"/>
        <textField/>
        <textField/>
        <textField/>
      </textFields>
    </textPr>
  </connection>
  <connection id="95" name="integration_win_ui_backlog_201402231" type="6" refreshedVersion="4" background="1" saveData="1">
    <textPr codePage="437" sourceFile="C:\Users\mhornbeek\Documents\Tools\Klocwork\Results\integration_win_ui_backlog_20140223.csv" tab="0" semicolon="1">
      <textFields count="4">
        <textField type="text"/>
        <textField/>
        <textField/>
        <textField/>
      </textFields>
    </textPr>
  </connection>
  <connection id="96" name="integration_win_ui_backlog_201403021" type="6" refreshedVersion="4" background="1" saveData="1">
    <textPr codePage="437" sourceFile="C:\Users\mhornbeek\Documents\Tools\Klocwork\Results\integration_win_ui_backlog_20140302.csv" tab="0" semicolon="1">
      <textFields count="4">
        <textField type="text"/>
        <textField/>
        <textField/>
        <textField/>
      </textFields>
    </textPr>
  </connection>
  <connection id="97" name="integration_win_ui_backlog_201403091" type="6" refreshedVersion="4" background="1" saveData="1">
    <textPr codePage="437" sourceFile="C:\Users\mhornbeek\Documents\Tools\Klocwork\Results\integration_win_ui_backlog_20140309.csv" tab="0" semicolon="1">
      <textFields count="4">
        <textField type="text"/>
        <textField/>
        <textField/>
        <textField/>
      </textFields>
    </textPr>
  </connection>
  <connection id="98" name="integration_win_ui_backlog_201403231" type="6" refreshedVersion="4" background="1" saveData="1">
    <textPr codePage="437" sourceFile="C:\Users\mhornbeek\Documents\Tools\Klocwork\Results\integration_win_ui_backlog_20140323.csv" tab="0" semicolon="1">
      <textFields count="4">
        <textField type="text"/>
        <textField/>
        <textField/>
        <textField/>
      </textFields>
    </textPr>
  </connection>
  <connection id="99" name="integration_win_ui_backlog_201404131" type="6" refreshedVersion="4" background="1" saveData="1">
    <textPr codePage="437" sourceFile="C:\Users\mhornbeek\Documents\Tools\Klocwork\Results\integration_win_ui_backlog_20140413.csv" tab="0" semicolon="1">
      <textFields count="4">
        <textField type="text"/>
        <textField/>
        <textField/>
        <textField/>
      </textFields>
    </textPr>
  </connection>
  <connection id="100" name="integration_win_ui_backlog_201404291" type="6" refreshedVersion="4" background="1" saveData="1">
    <textPr codePage="437" sourceFile="C:\Users\mhornbeek\Documents\Tools\Klocwork\Results\integration_win_ui_backlog_20140429.csv" tab="0" semicolon="1">
      <textFields count="4">
        <textField type="text"/>
        <textField/>
        <textField/>
        <textField/>
      </textFields>
    </textPr>
  </connection>
  <connection id="101" name="integration_win_ui_backlog_201405041" type="6" refreshedVersion="4" background="1" saveData="1">
    <textPr codePage="437" sourceFile="C:\Users\mhornbeek\Documents\Tools\Klocwork\Results\integration_win_ui_backlog_20140504.csv" tab="0" semicolon="1">
      <textFields count="4">
        <textField type="text"/>
        <textField/>
        <textField/>
        <textField/>
      </textFields>
    </textPr>
  </connection>
  <connection id="102" name="integration_win_ui_backlog_201405111" type="6" refreshedVersion="4" background="1" saveData="1">
    <textPr codePage="437" sourceFile="C:\Users\mhornbeek\Documents\Tools\Klocwork\Results\integration_win_ui_backlog_20140511.csv" tab="0" semicolon="1">
      <textFields count="4">
        <textField type="text"/>
        <textField/>
        <textField/>
        <textField/>
      </textFields>
    </textPr>
  </connection>
  <connection id="103" name="integration_win_ui_backlog_201405181" type="6" refreshedVersion="4" background="1" saveData="1">
    <textPr codePage="437" sourceFile="C:\Users\mhornbeek\Documents\Tools\Klocwork\Results\integration_win_ui_backlog_20140518.csv" tab="0" semicolon="1">
      <textFields count="4">
        <textField type="text"/>
        <textField/>
        <textField/>
        <textField/>
      </textFields>
    </textPr>
  </connection>
  <connection id="104" name="integration_win_ui_backlog_201406021" type="6" refreshedVersion="4" background="1" saveData="1">
    <textPr codePage="437" sourceFile="C:\Users\mhornbeek\Documents\Tools\Klocwork\Results\integration_win_ui_backlog_20140602.csv" tab="0" semicolon="1">
      <textFields count="4">
        <textField type="text"/>
        <textField/>
        <textField/>
        <textField/>
      </textFields>
    </textPr>
  </connection>
  <connection id="105" name="integration_win_ui_backlog_201406081" type="6" refreshedVersion="4" background="1" saveData="1">
    <textPr codePage="437" sourceFile="C:\Users\mhornbeek\Documents\Tools\Klocwork\Results\integration_win_ui_backlog_20140608.csv" tab="0" semicolon="1">
      <textFields count="4">
        <textField type="text"/>
        <textField/>
        <textField/>
        <textField/>
      </textFields>
    </textPr>
  </connection>
  <connection id="106" name="integration_win_ui_backlog_201406291" type="6" refreshedVersion="4" background="1" saveData="1">
    <textPr codePage="437" sourceFile="C:\Users\mhornbeek\Documents\Tools\Klocwork\Results\integration_win_ui_backlog_20140629.csv" tab="0" semicolon="1">
      <textFields count="4">
        <textField type="text"/>
        <textField/>
        <textField/>
        <textField/>
      </textFields>
    </textPr>
  </connection>
  <connection id="107" name="integration_win_ui_backlog_201407061" type="6" refreshedVersion="4" background="1" saveData="1">
    <textPr prompt="0" codePage="437" sourceFile="C:\Users\songkamong\Documents\Spirent's Stuff\Klocwork_Report\2014-07-06\raw_data\integration_win_ui_backlog_20140706.csv" tab="0" semicolon="1">
      <textFields count="3">
        <textField/>
        <textField/>
        <textField/>
      </textFields>
    </textPr>
  </connection>
  <connection id="108" name="integration_win_ui_backlog_201407202" type="6" refreshedVersion="4" background="1" saveData="1">
    <textPr prompt="0" codePage="437" sourceFile="C:\Users\songkamong\Documents\Spirent's Stuff\Klocwork_Report\2014-07-21\raw_data\integration_win_ui_backlog_20140720.csv" tab="0" semicolon="1">
      <textFields count="3">
        <textField/>
        <textField/>
        <textField/>
      </textFields>
    </textPr>
  </connection>
  <connection id="109" name="integration_win_ui_backlog_201407203" type="6" refreshedVersion="4" background="1" saveData="1">
    <textPr prompt="0" codePage="437" sourceFile="C:\Users\songkamong\Documents\Spirent's Stuff\Klocwork_Report\2014-07-21\raw_data\integration_win_ui_backlog_20140720.csv" tab="0" semicolon="1">
      <textFields count="3">
        <textField/>
        <textField/>
        <textField/>
      </textFields>
    </textPr>
  </connection>
  <connection id="110" name="integration_win_ui_backlog_201408031" type="6" refreshedVersion="4" background="1" saveData="1">
    <textPr prompt="0" codePage="437" sourceFile="C:\Users\songkamong\Documents\Spirent's Stuff\Klocwork_Report\2014-08-07\raw_data\integration_win_ui_backlog_20140803.csv" tab="0" semicolon="1">
      <textFields count="3">
        <textField/>
        <textField/>
        <textField/>
      </textFields>
    </textPr>
  </connection>
  <connection id="111" name="integration_win_ui_backlog_201408032" type="6" refreshedVersion="4" background="1" saveData="1">
    <textPr prompt="0" codePage="437" sourceFile="C:\Users\songkamong\Documents\Spirent's Stuff\Klocwork_Report\2014-08-07\raw_data\integration_win_ui_backlog_20140803.csv" tab="0" semicolon="1">
      <textFields count="3">
        <textField/>
        <textField/>
        <textField/>
      </textFields>
    </textPr>
  </connection>
  <connection id="112" name="integration_win_ui_backlog_201408171" type="6" refreshedVersion="4" background="1" saveData="1">
    <textPr prompt="0" codePage="437" sourceFile="C:\Users\songkamong\Documents\Spirent's Stuff\Klocwork_Report\2014-08-20\raw_data\integration_win_ui_backlog_20140817.csv" tab="0" semicolon="1">
      <textFields count="3">
        <textField/>
        <textField/>
        <textField/>
      </textFields>
    </textPr>
  </connection>
  <connection id="113" name="integration_win_ui_backlog_201409071" type="6" refreshedVersion="4" background="1" saveData="1">
    <textPr prompt="0" codePage="437" sourceFile="C:\Users\songkamong\Documents\Spirent's Stuff\Klocwork_Report\2014-09-10\raw_data\integration_win_ui_backlog_20140907.csv" tab="0" semicolon="1">
      <textFields count="3">
        <textField/>
        <textField/>
        <textField/>
      </textFields>
    </textPr>
  </connection>
  <connection id="114" name="integration_win_ui_backlog_201409211" type="6" refreshedVersion="4" background="1" saveData="1">
    <textPr prompt="0" codePage="437" sourceFile="integration_win_ui_backlog_20140921.csv" tab="0" semicolon="1">
      <textFields count="3">
        <textField/>
        <textField/>
        <textField/>
      </textFields>
    </textPr>
  </connection>
  <connection id="115" name="integration_win_ui_backlog_201409212" type="6" refreshedVersion="4" background="1" saveData="1">
    <textPr prompt="0" codePage="437" sourceFile="integration_win_ui_backlog_20140921.csv" tab="0" semicolon="1">
      <textFields count="3">
        <textField/>
        <textField/>
        <textField/>
      </textFields>
    </textPr>
  </connection>
  <connection id="116" name="integration_win_ui_backlog_201410121" type="6" refreshedVersion="4" background="1" saveData="1">
    <textPr prompt="0" codePage="437" sourceFile="integration_win_ui_backlog_20141012.csv" tab="0" semicolon="1">
      <textFields count="3">
        <textField/>
        <textField/>
        <textField/>
      </textFields>
    </textPr>
  </connection>
  <connection id="117" name="integration_win_ui_backlog_201412072" type="6" refreshedVersion="4" background="1" saveData="1">
    <textPr prompt="0" codePage="437" sourceFile="integration_win_ui_backlog_20141207.csv" tab="0" semicolon="1">
      <textFields count="3">
        <textField/>
        <textField/>
        <textField/>
      </textFields>
    </textPr>
  </connection>
  <connection id="118" name="integration_win_ui_backlog_201501041" type="6" refreshedVersion="4" background="1" saveData="1">
    <textPr prompt="0" codePage="437" sourceFile="integration_win_ui_backlog_20150104.csv" tab="0" semicolon="1">
      <textFields count="3">
        <textField/>
        <textField/>
        <textField/>
      </textFields>
    </textPr>
  </connection>
  <connection id="119" name="integration_win_ui_backlog_201502191" type="6" refreshedVersion="4" background="1" saveData="1">
    <textPr prompt="0" codePage="437" sourceFile="integration_win_ui_backlog_20150219.csv" tab="0" semicolon="1">
      <textFields count="3">
        <textField/>
        <textField/>
        <textField/>
      </textFields>
    </textPr>
  </connection>
  <connection id="120" name="integration_win_ui_backlog_201503291" type="6" refreshedVersion="4" background="1" saveData="1">
    <textPr prompt="0" codePage="437" sourceFile="integration_win_ui_backlog_20150329.csv" tab="0" semicolon="1">
      <textFields count="3">
        <textField/>
        <textField/>
        <textField/>
      </textFields>
    </textPr>
  </connection>
  <connection id="121" name="integration_win_ui_backlog_201508301" type="6" refreshedVersion="4" background="1" saveData="1">
    <textPr prompt="0" codePage="437" sourceFile="integration_win_ui_backlog_20150830.csv" tab="0" semicolon="1">
      <textFields count="3">
        <textField/>
        <textField/>
        <textField/>
      </textFields>
    </textPr>
  </connection>
  <connection id="122" name="integration_win_ui_backlog_201509201" type="6" refreshedVersion="4" background="1" saveData="1">
    <textPr prompt="0" codePage="437" sourceFile="integration_win_ui_backlog_20150920.csv" tab="0" semicolon="1">
      <textFields count="3">
        <textField/>
        <textField/>
        <textField/>
      </textFields>
    </textPr>
  </connection>
  <connection id="123" name="integration_win_ui_backlog_201601151" type="6" refreshedVersion="4" background="1" saveData="1">
    <textPr prompt="0" codePage="437" sourceFile="integration_win_ui_backlog_20160115.csv" tab="0" semicolon="1">
      <textFields count="3">
        <textField/>
        <textField/>
        <textField/>
      </textFields>
    </textPr>
  </connection>
  <connection id="124" name="integration_win_ui_backlog_201602141" type="6" refreshedVersion="4" background="1" saveData="1">
    <textPr prompt="0" codePage="437" sourceFile="integration_win_ui_backlog_20160214.csv" tab="0" semicolon="1">
      <textFields count="3">
        <textField/>
        <textField/>
        <textField/>
      </textFields>
    </textPr>
  </connection>
  <connection id="125" name="integration_win_ui_backlog_201607031" type="6" refreshedVersion="4" background="1" saveData="1">
    <textPr prompt="0" codePage="437" sourceFile="integration_win_ui_backlog_20160703.csv" tab="0" semicolon="1">
      <textFields count="3">
        <textField/>
        <textField/>
        <textField/>
      </textFields>
    </textPr>
  </connection>
  <connection id="126" name="integration_win_ui_mem_leak_20131028" type="6" refreshedVersion="4" background="1" saveData="1">
    <textPr codePage="437" sourceFile="C:\Users\mhornbeek\Documents\Tools\Klocwork\Results\integration_win_ui_mem_leak_20131028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name="integration_win_ui_mem_leak_201312221" type="6" refreshedVersion="4" background="1" saveData="1">
    <textPr codePage="437" sourceFile="C:\Users\mhornbeek\Documents\Tools\Klocwork\Results\integration_win_ui_mem_leak_20131222.csv" tab="0" semicolon="1">
      <textFields count="3">
        <textField type="text"/>
        <textField/>
        <textField/>
      </textFields>
    </textPr>
  </connection>
  <connection id="128" name="integration_win_ui_mem_leak_201312222" type="6" refreshedVersion="4" background="1" saveData="1">
    <textPr codePage="437" sourceFile="C:\Users\mhornbeek\Documents\Tools\Klocwork\Results\integration_win_ui_mem_leak_20131222.csv" tab="0" semicolon="1">
      <textFields count="3">
        <textField type="text"/>
        <textField/>
        <textField/>
      </textFields>
    </textPr>
  </connection>
  <connection id="129" name="integration_win_ui_mem_leak_201312291" type="6" refreshedVersion="4" background="1" saveData="1">
    <textPr codePage="437" sourceFile="C:\Users\mhornbeek\Documents\Tools\Klocwork\Results\integration_win_ui_mem_leak_20131229.csv" tab="0" semicolon="1">
      <textFields count="3">
        <textField type="text"/>
        <textField/>
        <textField/>
      </textFields>
    </textPr>
  </connection>
  <connection id="130" name="integration_win_ui_mem_leak_201401051" type="6" refreshedVersion="4" background="1" saveData="1">
    <textPr codePage="437" sourceFile="C:\Users\mhornbeek\Documents\Tools\Klocwork\Results\integration_win_ui_mem_leak_20140105.csv" tab="0" semicolon="1">
      <textFields count="3">
        <textField type="text"/>
        <textField/>
        <textField/>
      </textFields>
    </textPr>
  </connection>
  <connection id="131" name="integration_win_ui_mem_leak_201401191" type="6" refreshedVersion="4" background="1" saveData="1">
    <textPr codePage="437" sourceFile="C:\Users\mhornbeek\Documents\Tools\Klocwork\Results\integration_win_ui_mem_leak_20140119.csv" tab="0" semicolon="1">
      <textFields count="3">
        <textField/>
        <textField/>
        <textField/>
      </textFields>
    </textPr>
  </connection>
  <connection id="132" name="integration_win_ui_mem_leak_201402022" type="6" refreshedVersion="4" background="1" saveData="1">
    <textPr codePage="437" sourceFile="C:\Users\mhornbeek\Documents\Tools\Klocwork\Results\integration_win_ui_mem_leak_20140202.csv" tab="0" semicolon="1">
      <textFields count="3">
        <textField type="text"/>
        <textField/>
        <textField/>
      </textFields>
    </textPr>
  </connection>
  <connection id="133" name="integration_win_ui_mem_leak_201402161" type="6" refreshedVersion="4" background="1" saveData="1">
    <textPr codePage="437" sourceFile="C:\Users\mhornbeek\Documents\Tools\Klocwork\Results\integration_win_ui_mem_leak_20140216.csv" tab="0" semicolon="1">
      <textFields count="3">
        <textField type="text"/>
        <textField/>
        <textField/>
      </textFields>
    </textPr>
  </connection>
  <connection id="134" name="integration_win_ui_mem_leak_201402231" type="6" refreshedVersion="4" background="1" saveData="1">
    <textPr codePage="437" sourceFile="C:\Users\mhornbeek\Documents\Tools\Klocwork\Results\integration_win_ui_mem_leak_20140223.csv" tab="0" semicolon="1">
      <textFields count="3">
        <textField type="text"/>
        <textField/>
        <textField/>
      </textFields>
    </textPr>
  </connection>
  <connection id="135" name="integration_win_ui_mem_leak_201403021" type="6" refreshedVersion="4" background="1" saveData="1">
    <textPr codePage="437" sourceFile="C:\Users\mhornbeek\Documents\Tools\Klocwork\Results\integration_win_ui_mem_leak_20140302.csv" tab="0" semicolon="1">
      <textFields count="3">
        <textField type="text"/>
        <textField/>
        <textField/>
      </textFields>
    </textPr>
  </connection>
  <connection id="136" name="integration_win_ui_mem_leak_201403091" type="6" refreshedVersion="4" background="1" saveData="1">
    <textPr codePage="437" sourceFile="C:\Users\mhornbeek\Documents\Tools\Klocwork\Results\integration_win_ui_mem_leak_20140309.csv" tab="0" semicolon="1">
      <textFields count="3">
        <textField type="text"/>
        <textField/>
        <textField/>
      </textFields>
    </textPr>
  </connection>
  <connection id="137" name="integration_win_ui_mem_leak_201403231" type="6" refreshedVersion="4" background="1" saveData="1">
    <textPr codePage="437" sourceFile="C:\Users\mhornbeek\Documents\Tools\Klocwork\Results\integration_win_ui_mem_leak_20140323.csv" tab="0" semicolon="1">
      <textFields count="3">
        <textField type="text"/>
        <textField/>
        <textField/>
      </textFields>
    </textPr>
  </connection>
  <connection id="138" name="integration_win_ui_mem_leak_201404131" type="6" refreshedVersion="4" background="1" saveData="1">
    <textPr codePage="437" sourceFile="C:\Users\mhornbeek\Documents\Tools\Klocwork\Results\integration_win_ui_mem_leak_20140413.csv" tab="0" semicolon="1">
      <textFields count="3">
        <textField type="text"/>
        <textField/>
        <textField/>
      </textFields>
    </textPr>
  </connection>
  <connection id="139" name="integration_win_ui_mem_leak_201404291" type="6" refreshedVersion="4" background="1" saveData="1">
    <textPr codePage="437" sourceFile="C:\Users\mhornbeek\Documents\Tools\Klocwork\Results\integration_win_ui_mem_leak_20140429.csv" tab="0" semicolon="1">
      <textFields count="3">
        <textField type="text"/>
        <textField/>
        <textField/>
      </textFields>
    </textPr>
  </connection>
  <connection id="140" name="integration_win_ui_mem_leak_201405041" type="6" refreshedVersion="4" background="1" saveData="1">
    <textPr codePage="437" sourceFile="C:\Users\mhornbeek\Documents\Tools\Klocwork\Results\integration_win_ui_mem_leak_20140504.csv" tab="0" semicolon="1">
      <textFields count="3">
        <textField type="text"/>
        <textField/>
        <textField/>
      </textFields>
    </textPr>
  </connection>
  <connection id="141" name="integration_win_ui_mem_leak_201405111" type="6" refreshedVersion="4" background="1" saveData="1">
    <textPr codePage="437" sourceFile="C:\Users\mhornbeek\Documents\Tools\Klocwork\Results\integration_win_ui_mem_leak_20140511.csv" tab="0" semicolon="1">
      <textFields count="3">
        <textField type="text"/>
        <textField/>
        <textField/>
      </textFields>
    </textPr>
  </connection>
  <connection id="142" name="integration_win_ui_mem_leak_201405181" type="6" refreshedVersion="4" background="1" saveData="1">
    <textPr codePage="437" sourceFile="C:\Users\mhornbeek\Documents\Tools\Klocwork\Results\integration_win_ui_mem_leak_20140518.csv" tab="0" semicolon="1">
      <textFields count="3">
        <textField type="text"/>
        <textField/>
        <textField/>
      </textFields>
    </textPr>
  </connection>
  <connection id="143" name="integration_win_ui_mem_leak_201406021" type="6" refreshedVersion="4" background="1" saveData="1">
    <textPr codePage="437" sourceFile="C:\Users\mhornbeek\Documents\Tools\Klocwork\Results\integration_win_ui_mem_leak_20140602.csv" tab="0" semicolon="1">
      <textFields count="3">
        <textField type="text"/>
        <textField/>
        <textField/>
      </textFields>
    </textPr>
  </connection>
  <connection id="144" name="integration_win_ui_mem_leak_201406081" type="6" refreshedVersion="4" background="1" saveData="1">
    <textPr codePage="437" sourceFile="C:\Users\mhornbeek\Documents\Tools\Klocwork\Results\integration_win_ui_mem_leak_20140608.csv" tab="0" semicolon="1">
      <textFields count="3">
        <textField type="text"/>
        <textField/>
        <textField/>
      </textFields>
    </textPr>
  </connection>
  <connection id="145" name="integration_win_ui_mem_leak_201406291" type="6" refreshedVersion="4" background="1" saveData="1">
    <textPr codePage="437" sourceFile="C:\Users\mhornbeek\Documents\Tools\Klocwork\Results\integration_win_ui_mem_leak_20140629.csv" tab="0" semicolon="1">
      <textFields count="3">
        <textField type="text"/>
        <textField/>
        <textField/>
      </textFields>
    </textPr>
  </connection>
  <connection id="146" name="integration_win_ui_mem_leak_201407061" type="6" refreshedVersion="4" background="1" saveData="1">
    <textPr prompt="0" codePage="437" sourceFile="C:\Users\songkamong\Documents\Spirent's Stuff\Klocwork_Report\2014-07-06\raw_data\integration_win_ui_mem_leak_20140706.csv" tab="0" semicolon="1">
      <textFields count="3">
        <textField/>
        <textField/>
        <textField/>
      </textFields>
    </textPr>
  </connection>
  <connection id="147" name="integration_win_ui_mem_leak_201407201" type="6" refreshedVersion="4" background="1" saveData="1">
    <textPr prompt="0" codePage="437" sourceFile="C:\Users\songkamong\Documents\Spirent's Stuff\Klocwork_Report\2014-07-21\raw_data\integration_win_ui_mem_leak_20140720.csv" tab="0" semicolon="1">
      <textFields count="3">
        <textField/>
        <textField/>
        <textField/>
      </textFields>
    </textPr>
  </connection>
  <connection id="148" name="integration_win_ui_mem_leak_201408031" type="6" refreshedVersion="4" background="1" saveData="1">
    <textPr prompt="0" codePage="437" sourceFile="C:\Users\songkamong\Documents\Spirent's Stuff\Klocwork_Report\2014-08-07\raw_data\integration_win_ui_mem_leak_20140803.csv" tab="0" semicolon="1">
      <textFields count="3">
        <textField/>
        <textField/>
        <textField/>
      </textFields>
    </textPr>
  </connection>
  <connection id="149" name="integration_win_ui_mem_leak_201408171" type="6" refreshedVersion="4" background="1" saveData="1">
    <textPr prompt="0" codePage="437" sourceFile="C:\Users\songkamong\Documents\Spirent's Stuff\Klocwork_Report\2014-08-20\raw_data\integration_win_ui_mem_leak_20140817.csv" tab="0" semicolon="1">
      <textFields count="3">
        <textField/>
        <textField/>
        <textField/>
      </textFields>
    </textPr>
  </connection>
  <connection id="150" name="integration_win_ui_mem_leak_201409071" type="6" refreshedVersion="4" background="1" saveData="1">
    <textPr prompt="0" codePage="437" sourceFile="C:\Users\songkamong\Documents\Spirent's Stuff\Klocwork_Report\2014-09-10\raw_data\integration_win_ui_mem_leak_20140907.csv" tab="0" semicolon="1">
      <textFields count="3">
        <textField/>
        <textField/>
        <textField/>
      </textFields>
    </textPr>
  </connection>
  <connection id="151" name="integration_win_ui_mem_leak_201409211" type="6" refreshedVersion="4" background="1" saveData="1">
    <textPr prompt="0" codePage="437" sourceFile="integration_win_ui_mem_leak_20140921.csv" tab="0" semicolon="1">
      <textFields count="3">
        <textField/>
        <textField/>
        <textField/>
      </textFields>
    </textPr>
  </connection>
  <connection id="152" name="integration_win_ui_mem_leak_201409212" type="6" refreshedVersion="4" background="1" saveData="1">
    <textPr prompt="0" codePage="437" sourceFile="integration_win_ui_mem_leak_20140921.csv" tab="0" semicolon="1">
      <textFields count="3">
        <textField/>
        <textField/>
        <textField/>
      </textFields>
    </textPr>
  </connection>
  <connection id="153" name="integration_win_ui_mem_leak_201410121" type="6" refreshedVersion="4" background="1" saveData="1">
    <textPr prompt="0" codePage="437" sourceFile="integration_win_ui_mem_leak_20141012.csv" tab="0" semicolon="1">
      <textFields count="3">
        <textField/>
        <textField/>
        <textField/>
      </textFields>
    </textPr>
  </connection>
  <connection id="154" name="integration_win_ui_mem_leak_201412071" type="6" refreshedVersion="4" background="1" saveData="1">
    <textPr prompt="0" codePage="437" sourceFile="integration_win_ui_mem_leak_20141207.csv" tab="0" semicolon="1">
      <textFields count="3">
        <textField/>
        <textField/>
        <textField/>
      </textFields>
    </textPr>
  </connection>
  <connection id="155" name="integration_win_ui_mem_leak_201501041" type="6" refreshedVersion="4" background="1" saveData="1">
    <textPr prompt="0" codePage="437" sourceFile="integration_win_ui_mem_leak_20150104.csv" tab="0" semicolon="1">
      <textFields count="3">
        <textField/>
        <textField/>
        <textField/>
      </textFields>
    </textPr>
  </connection>
  <connection id="156" name="integration_win_ui_mem_leak_201502191" type="6" refreshedVersion="4" background="1" saveData="1">
    <textPr prompt="0" codePage="437" sourceFile="integration_win_ui_mem_leak_20150219.csv" tab="0" semicolon="1">
      <textFields count="3">
        <textField/>
        <textField/>
        <textField/>
      </textFields>
    </textPr>
  </connection>
  <connection id="157" name="integration_win_ui_mem_leak_201503291" type="6" refreshedVersion="4" background="1" saveData="1">
    <textPr prompt="0" codePage="437" sourceFile="integration_win_ui_mem_leak_20150329.csv" tab="0" semicolon="1">
      <textFields count="3">
        <textField/>
        <textField/>
        <textField/>
      </textFields>
    </textPr>
  </connection>
  <connection id="158" name="integration_win_ui_mem_leak_201508301" type="6" refreshedVersion="4" background="1" saveData="1">
    <textPr prompt="0" codePage="437" sourceFile="integration_win_ui_mem_leak_20150830.csv" tab="0" semicolon="1">
      <textFields count="3">
        <textField/>
        <textField/>
        <textField/>
      </textFields>
    </textPr>
  </connection>
  <connection id="159" name="integration_win_ui_mem_leak_201509201" type="6" refreshedVersion="4" background="1" saveData="1">
    <textPr prompt="0" codePage="437" sourceFile="integration_win_ui_mem_leak_20150920.csv" tab="0" semicolon="1">
      <textFields count="3">
        <textField/>
        <textField/>
        <textField/>
      </textFields>
    </textPr>
  </connection>
  <connection id="160" name="integration_win_ui_mem_leak_201601151" type="6" refreshedVersion="4" background="1" saveData="1">
    <textPr prompt="0" codePage="437" sourceFile="integration_win_ui_mem_leak_20160115.csv" tab="0" semicolon="1">
      <textFields count="3">
        <textField/>
        <textField/>
        <textField/>
      </textFields>
    </textPr>
  </connection>
  <connection id="161" name="integration_win_ui_mem_leak_201602141" type="6" refreshedVersion="4" background="1" saveData="1">
    <textPr prompt="0" codePage="437" sourceFile="integration_win_ui_mem_leak_20160214.csv" tab="0" semicolon="1">
      <textFields count="3">
        <textField/>
        <textField/>
        <textField/>
      </textFields>
    </textPr>
  </connection>
  <connection id="162" name="integration_win_ui_mem_leak_201607031" type="6" refreshedVersion="4" background="1" saveData="1">
    <textPr prompt="0" codePage="437" sourceFile="integration_win_ui_mem_leak_20160703.csv" tab="0" semicolon="1">
      <textFields count="3">
        <textField/>
        <textField/>
        <textField/>
      </textFields>
    </textPr>
  </connection>
  <connection id="163" name="integration_x86_baseline_backlog_20131120" type="6" refreshedVersion="4" background="1" saveData="1">
    <textPr codePage="437" sourceFile="C:\Users\mhornbeek\Documents\Tools\Klocwork\Results\integration_x86_baseline_backlog_20131120.csv" tab="0" semicolon="1">
      <textFields count="3">
        <textField type="text"/>
        <textField/>
        <textField/>
      </textFields>
    </textPr>
  </connection>
  <connection id="164" name="integration_x86_baseline_backlog_20131216" type="6" refreshedVersion="4" background="1" saveData="1">
    <textPr codePage="437" sourceFile="C:\Users\mhornbeek\Documents\Tools\Klocwork\Results\integration_x86_baseline_backlog_20131216.csv" tab="0" semicolon="1">
      <textFields count="4">
        <textField type="text"/>
        <textField/>
        <textField/>
        <textField/>
      </textFields>
    </textPr>
  </connection>
  <connection id="165" name="integration_x86_baseline_backlog_201312221" type="6" refreshedVersion="4" background="1" saveData="1">
    <textPr codePage="437" sourceFile="C:\Users\mhornbeek\Documents\Tools\Klocwork\Results\integration_x86_baseline_backlog_20131222.csv" tab="0" semicolon="1">
      <textFields count="4">
        <textField type="text"/>
        <textField/>
        <textField/>
        <textField/>
      </textFields>
    </textPr>
  </connection>
  <connection id="166" name="integration_x86_baseline_backlog_201312291" type="6" refreshedVersion="4" background="1" saveData="1">
    <textPr codePage="437" sourceFile="C:\Users\mhornbeek\Documents\Tools\Klocwork\Results\integration_x86_baseline_backlog_20131229.csv" tab="0" semicolon="1">
      <textFields count="4">
        <textField type="text"/>
        <textField/>
        <textField/>
        <textField/>
      </textFields>
    </textPr>
  </connection>
  <connection id="167" name="integration_x86_baseline_backlog_201401051" type="6" refreshedVersion="4" background="1" saveData="1">
    <textPr codePage="437" sourceFile="C:\Users\mhornbeek\Documents\Tools\Klocwork\Results\integration_x86_baseline_backlog_20140105.csv" tab="0" semicolon="1">
      <textFields count="4">
        <textField type="text"/>
        <textField/>
        <textField/>
        <textField/>
      </textFields>
    </textPr>
  </connection>
  <connection id="168" name="integration_x86_baseline_backlog_201401191" type="6" refreshedVersion="4" background="1" saveData="1">
    <textPr codePage="437" sourceFile="C:\Users\mhornbeek\Documents\Tools\Klocwork\Results\integration_x86_baseline_backlog_20140119.csv" tab="0" semicolon="1">
      <textFields count="4">
        <textField/>
        <textField/>
        <textField/>
        <textField/>
      </textFields>
    </textPr>
  </connection>
  <connection id="169" name="integration_x86_baseline_backlog_201402021" type="6" refreshedVersion="4" background="1" saveData="1">
    <textPr codePage="437" sourceFile="C:\Users\mhornbeek\Documents\Tools\Klocwork\Results\integration_x86_baseline_backlog_20140202.csv" tab="0" semicolon="1">
      <textFields count="4">
        <textField type="text"/>
        <textField/>
        <textField/>
        <textField/>
      </textFields>
    </textPr>
  </connection>
  <connection id="170" name="integration_x86_baseline_backlog_201402162" type="6" refreshedVersion="4" background="1" saveData="1">
    <textPr codePage="437" sourceFile="C:\Users\mhornbeek\Documents\Tools\Klocwork\Results\integration_x86_baseline_backlog_20140216.csv" tab="0" semicolon="1">
      <textFields count="4">
        <textField type="text"/>
        <textField/>
        <textField/>
        <textField/>
      </textFields>
    </textPr>
  </connection>
  <connection id="171" name="integration_x86_baseline_backlog_201402231" type="6" refreshedVersion="4" background="1" saveData="1">
    <textPr codePage="437" sourceFile="C:\Users\mhornbeek\Documents\Tools\Klocwork\Results\integration_x86_baseline_backlog_20140223.csv" tab="0" semicolon="1">
      <textFields count="4">
        <textField type="text"/>
        <textField/>
        <textField/>
        <textField/>
      </textFields>
    </textPr>
  </connection>
  <connection id="172" name="integration_x86_baseline_backlog_201403021" type="6" refreshedVersion="4" background="1" saveData="1">
    <textPr codePage="437" sourceFile="C:\Users\mhornbeek\Documents\Tools\Klocwork\Results\integration_x86_baseline_backlog_20140302.csv" tab="0" semicolon="1">
      <textFields count="4">
        <textField type="text"/>
        <textField/>
        <textField/>
        <textField/>
      </textFields>
    </textPr>
  </connection>
  <connection id="173" name="integration_x86_baseline_backlog_201403091" type="6" refreshedVersion="4" background="1" saveData="1">
    <textPr codePage="437" sourceFile="C:\Users\mhornbeek\Documents\Tools\Klocwork\Results\integration_x86_baseline_backlog_20140309.csv" tab="0" semicolon="1">
      <textFields count="4">
        <textField type="text"/>
        <textField/>
        <textField/>
        <textField/>
      </textFields>
    </textPr>
  </connection>
  <connection id="174" name="integration_x86_baseline_backlog_201403231" type="6" refreshedVersion="4" background="1" saveData="1">
    <textPr codePage="437" sourceFile="C:\Users\mhornbeek\Documents\Tools\Klocwork\Results\integration_x86_baseline_backlog_20140323.csv" tab="0" semicolon="1">
      <textFields count="4">
        <textField type="text"/>
        <textField/>
        <textField/>
        <textField/>
      </textFields>
    </textPr>
  </connection>
  <connection id="175" name="integration_x86_baseline_backlog_201404131" type="6" refreshedVersion="4" background="1" saveData="1">
    <textPr codePage="437" sourceFile="C:\Users\mhornbeek\Documents\Tools\Klocwork\Results\integration_x86_baseline_backlog_20140413.csv" tab="0" semicolon="1">
      <textFields count="4">
        <textField type="text"/>
        <textField/>
        <textField/>
        <textField/>
      </textFields>
    </textPr>
  </connection>
  <connection id="176" name="integration_x86_baseline_backlog_201404291" type="6" refreshedVersion="4" background="1" saveData="1">
    <textPr codePage="437" sourceFile="C:\Users\mhornbeek\Documents\Tools\Klocwork\Results\integration_x86_baseline_backlog_20140429.csv" tab="0" semicolon="1">
      <textFields count="4">
        <textField type="text"/>
        <textField/>
        <textField/>
        <textField/>
      </textFields>
    </textPr>
  </connection>
  <connection id="177" name="integration_x86_baseline_backlog_201405041" type="6" refreshedVersion="4" background="1" saveData="1">
    <textPr codePage="437" sourceFile="C:\Users\mhornbeek\Documents\Tools\Klocwork\Results\integration_x86_baseline_backlog_20140504.csv" tab="0" semicolon="1">
      <textFields count="4">
        <textField type="text"/>
        <textField/>
        <textField/>
        <textField/>
      </textFields>
    </textPr>
  </connection>
  <connection id="178" name="integration_x86_baseline_backlog_201405111" type="6" refreshedVersion="4" background="1" saveData="1">
    <textPr codePage="437" sourceFile="C:\Users\mhornbeek\Documents\Tools\Klocwork\Results\integration_x86_baseline_backlog_20140511.csv" tab="0" semicolon="1">
      <textFields count="4">
        <textField type="text"/>
        <textField/>
        <textField/>
        <textField/>
      </textFields>
    </textPr>
  </connection>
  <connection id="179" name="integration_x86_baseline_backlog_201405181" type="6" refreshedVersion="4" background="1" saveData="1">
    <textPr codePage="437" sourceFile="C:\Users\mhornbeek\Documents\Tools\Klocwork\Results\integration_x86_baseline_backlog_20140518.csv" tab="0" semicolon="1">
      <textFields count="4">
        <textField type="text"/>
        <textField/>
        <textField/>
        <textField/>
      </textFields>
    </textPr>
  </connection>
  <connection id="180" name="integration_x86_baseline_backlog_201406021" type="6" refreshedVersion="4" background="1" saveData="1">
    <textPr codePage="437" sourceFile="C:\Users\mhornbeek\Documents\Tools\Klocwork\Results\integration_x86_baseline_backlog_20140602.csv" tab="0" semicolon="1">
      <textFields count="4">
        <textField type="text"/>
        <textField/>
        <textField/>
        <textField/>
      </textFields>
    </textPr>
  </connection>
  <connection id="181" name="integration_x86_baseline_backlog_201406081" type="6" refreshedVersion="4" background="1" saveData="1">
    <textPr codePage="437" sourceFile="C:\Users\mhornbeek\Documents\Tools\Klocwork\Results\integration_x86_baseline_backlog_20140608.csv" tab="0" semicolon="1">
      <textFields count="4">
        <textField type="text"/>
        <textField/>
        <textField/>
        <textField/>
      </textFields>
    </textPr>
  </connection>
  <connection id="182" name="integration_x86_baseline_backlog_201406291" type="6" refreshedVersion="4" background="1" saveData="1">
    <textPr codePage="437" sourceFile="C:\Users\mhornbeek\Documents\Tools\Klocwork\Results\integration_x86_baseline_backlog_20140629.csv" tab="0" semicolon="1">
      <textFields count="4">
        <textField type="text"/>
        <textField/>
        <textField/>
        <textField/>
      </textFields>
    </textPr>
  </connection>
  <connection id="183" name="integration_x86_baseline_backlog_201407061" type="6" refreshedVersion="4" background="1" saveData="1">
    <textPr prompt="0" codePage="437" sourceFile="C:\Users\songkamong\Documents\Spirent's Stuff\Klocwork_Report\2014-07-06\raw_data\integration_x86_baseline_backlog_20140706.csv" tab="0" semicolon="1">
      <textFields count="3">
        <textField/>
        <textField/>
        <textField/>
      </textFields>
    </textPr>
  </connection>
  <connection id="184" name="integration_x86_baseline_backlog_201407062" type="6" refreshedVersion="4" background="1" saveData="1">
    <textPr prompt="0" codePage="437" sourceFile="C:\Users\songkamong\Documents\Spirent's Stuff\Klocwork_Report\2014-07-06\raw_data\integration_x86_baseline_backlog_20140706.csv" tab="0" semicolon="1">
      <textFields count="3">
        <textField/>
        <textField/>
        <textField/>
      </textFields>
    </textPr>
  </connection>
  <connection id="185" name="integration_x86_baseline_backlog_201407201" type="6" refreshedVersion="4" background="1" saveData="1">
    <textPr prompt="0" codePage="437" sourceFile="C:\Users\songkamong\Documents\Spirent's Stuff\Klocwork_Report\2014-07-21\raw_data\integration_x86_baseline_backlog_20140720.csv" tab="0" semicolon="1">
      <textFields count="3">
        <textField/>
        <textField/>
        <textField/>
      </textFields>
    </textPr>
  </connection>
  <connection id="186" name="integration_x86_baseline_backlog_201408031" type="6" refreshedVersion="4" background="1" saveData="1">
    <textPr prompt="0" codePage="437" sourceFile="C:\Users\songkamong\Documents\Spirent's Stuff\Klocwork_Report\2014-08-07\raw_data\integration_x86_baseline_backlog_20140803.csv" tab="0" semicolon="1">
      <textFields count="3">
        <textField/>
        <textField/>
        <textField/>
      </textFields>
    </textPr>
  </connection>
  <connection id="187" name="integration_x86_baseline_backlog_201408171" type="6" refreshedVersion="4" background="1" saveData="1">
    <textPr prompt="0" codePage="437" sourceFile="C:\Users\songkamong\Documents\Spirent's Stuff\Klocwork_Report\2014-08-20\raw_data\integration_x86_baseline_backlog_20140817.csv" tab="0" semicolon="1">
      <textFields count="3">
        <textField/>
        <textField/>
        <textField/>
      </textFields>
    </textPr>
  </connection>
  <connection id="188" name="integration_x86_baseline_backlog_201409071" type="6" refreshedVersion="4" background="1" saveData="1">
    <textPr prompt="0" codePage="437" sourceFile="C:\Users\songkamong\Documents\Spirent's Stuff\Klocwork_Report\2014-09-10\raw_data\integration_x86_baseline_backlog_20140907.csv" tab="0" semicolon="1">
      <textFields count="3">
        <textField/>
        <textField/>
        <textField/>
      </textFields>
    </textPr>
  </connection>
  <connection id="189" name="integration_x86_baseline_backlog_201409072" type="6" refreshedVersion="4" background="1" saveData="1">
    <textPr prompt="0" codePage="437" sourceFile="C:\Users\songkamong\Documents\Spirent's Stuff\Klocwork_Report\2014-09-10\raw_data\integration_x86_baseline_backlog_20140907.csv" tab="0" semicolon="1">
      <textFields count="3">
        <textField/>
        <textField/>
        <textField/>
      </textFields>
    </textPr>
  </connection>
  <connection id="190" name="integration_x86_baseline_backlog_201409211" type="6" refreshedVersion="4" background="1" saveData="1">
    <textPr prompt="0" codePage="437" sourceFile="integration_x86_baseline_backlog_20140921.csv" tab="0" semicolon="1">
      <textFields count="3">
        <textField/>
        <textField/>
        <textField/>
      </textFields>
    </textPr>
  </connection>
  <connection id="191" name="integration_x86_baseline_backlog_201410121" type="6" refreshedVersion="4" background="1" saveData="1">
    <textPr prompt="0" codePage="437" sourceFile="integration_x86_baseline_backlog_20141012.csv" tab="0" semicolon="1">
      <textFields count="3">
        <textField/>
        <textField/>
        <textField/>
      </textFields>
    </textPr>
  </connection>
  <connection id="192" name="integration_x86_baseline_backlog_201412071" type="6" refreshedVersion="4" background="1" saveData="1">
    <textPr prompt="0" codePage="437" sourceFile="integration_x86_baseline_backlog_20141207.csv" tab="0" semicolon="1">
      <textFields count="3">
        <textField/>
        <textField/>
        <textField/>
      </textFields>
    </textPr>
  </connection>
  <connection id="193" name="integration_x86_baseline_backlog_201501041" type="6" refreshedVersion="4" background="1" saveData="1">
    <textPr prompt="0" codePage="437" sourceFile="integration_x86_baseline_backlog_20150104.csv" tab="0" semicolon="1">
      <textFields count="3">
        <textField/>
        <textField/>
        <textField/>
      </textFields>
    </textPr>
  </connection>
  <connection id="194" name="integration_x86_baseline_backlog_201502191" type="6" refreshedVersion="4" background="1" saveData="1">
    <textPr prompt="0" codePage="437" sourceFile="integration_x86_baseline_backlog_20150219.csv" tab="0" semicolon="1">
      <textFields count="3">
        <textField/>
        <textField/>
        <textField/>
      </textFields>
    </textPr>
  </connection>
  <connection id="195" name="integration_x86_baseline_backlog_201503291" type="6" refreshedVersion="4" background="1" saveData="1">
    <textPr prompt="0" codePage="437" sourceFile="integration_x86_baseline_backlog_20150329.csv" tab="0" semicolon="1">
      <textFields count="3">
        <textField/>
        <textField/>
        <textField/>
      </textFields>
    </textPr>
  </connection>
  <connection id="196" name="integration_x86_baseline_backlog_201508301" type="6" refreshedVersion="4" background="1" saveData="1">
    <textPr prompt="0" codePage="437" sourceFile="integration_x86_baseline_backlog_20150830.csv" tab="0" semicolon="1">
      <textFields count="3">
        <textField/>
        <textField/>
        <textField/>
      </textFields>
    </textPr>
  </connection>
  <connection id="197" name="integration_x86_baseline_backlog_201509201" type="6" refreshedVersion="4" background="1" saveData="1">
    <textPr prompt="0" codePage="437" sourceFile="integration_x86_baseline_backlog_20150920.csv" tab="0" semicolon="1">
      <textFields count="3">
        <textField/>
        <textField/>
        <textField/>
      </textFields>
    </textPr>
  </connection>
  <connection id="198" name="integration_x86_baseline_backlog_201509202" type="6" refreshedVersion="4" background="1" saveData="1">
    <textPr prompt="0" codePage="437" sourceFile="integration_x86_baseline_backlog_20150920.csv" tab="0" semicolon="1">
      <textFields count="3">
        <textField/>
        <textField/>
        <textField/>
      </textFields>
    </textPr>
  </connection>
  <connection id="199" name="integration_x86_baseline_backlog_201601151" type="6" refreshedVersion="4" background="1" saveData="1">
    <textPr prompt="0" codePage="437" sourceFile="integration_x86_baseline_backlog_20160115.csv" tab="0" semicolon="1">
      <textFields count="3">
        <textField/>
        <textField/>
        <textField/>
      </textFields>
    </textPr>
  </connection>
  <connection id="200" name="integration_x86_baseline_backlog_201602141" type="6" refreshedVersion="4" background="1" saveData="1">
    <textPr prompt="0" codePage="437" sourceFile="integration_x86_baseline_backlog_20160214.csv" tab="0" semicolon="1">
      <textFields count="3">
        <textField/>
        <textField/>
        <textField/>
      </textFields>
    </textPr>
  </connection>
  <connection id="201" name="integration_x86_baseline_backlog_201607031" type="6" refreshedVersion="4" background="1" saveData="1">
    <textPr prompt="0" codePage="437" sourceFile="integration_x86_baseline_backlog_20160703.csv" tab="0" semicolon="1">
      <textFields count="3">
        <textField/>
        <textField/>
        <textField/>
      </textFields>
    </textPr>
  </connection>
  <connection id="202" name="integration_x86_baseline_mem_leak_20131028" type="6" refreshedVersion="4" background="1" saveData="1">
    <textPr codePage="437" sourceFile="C:\Users\mhornbeek\Documents\Tools\Klocwork\Results\integration_x86_baseline_mem_leak_20131028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name="integration_x86_baseline_mem_leak_201312221" type="6" refreshedVersion="4" background="1" saveData="1">
    <textPr codePage="437" sourceFile="C:\Users\mhornbeek\Documents\Tools\Klocwork\Results\integration_x86_baseline_mem_leak_20131222.csv" tab="0" semicolon="1">
      <textFields count="3">
        <textField type="text"/>
        <textField/>
        <textField/>
      </textFields>
    </textPr>
  </connection>
  <connection id="204" name="integration_x86_baseline_mem_leak_201401191" type="6" refreshedVersion="4" background="1" saveData="1">
    <textPr codePage="437" sourceFile="C:\Users\mhornbeek\Documents\Tools\Klocwork\Results\integration_x86_baseline_mem_leak_20140119.csv" tab="0" semicolon="1">
      <textFields count="3">
        <textField/>
        <textField/>
        <textField/>
      </textFields>
    </textPr>
  </connection>
  <connection id="205" name="integration_x86_baseline_mem_leak_201402021" type="6" refreshedVersion="4" background="1" saveData="1">
    <textPr codePage="437" sourceFile="C:\Users\mhornbeek\Documents\Tools\Klocwork\Results\integration_x86_baseline_mem_leak_20140202.csv" tab="0" semicolon="1">
      <textFields count="3">
        <textField type="text"/>
        <textField/>
        <textField/>
      </textFields>
    </textPr>
  </connection>
  <connection id="206" name="integration_x86_baseline_mem_leak_201402161" type="6" refreshedVersion="4" background="1" saveData="1">
    <textPr codePage="437" sourceFile="C:\Users\mhornbeek\Documents\Tools\Klocwork\Results\integration_x86_baseline_mem_leak_20140216.csv" tab="0" semicolon="1">
      <textFields count="3">
        <textField type="text"/>
        <textField/>
        <textField/>
      </textFields>
    </textPr>
  </connection>
  <connection id="207" name="integration_x86_baseline_mem_leak_201402231" type="6" refreshedVersion="4" background="1" saveData="1">
    <textPr codePage="437" sourceFile="C:\Users\mhornbeek\Documents\Tools\Klocwork\Results\integration_x86_baseline_mem_leak_20140223.csv" tab="0" semicolon="1">
      <textFields count="3">
        <textField type="text"/>
        <textField/>
        <textField/>
      </textFields>
    </textPr>
  </connection>
  <connection id="208" name="integration_x86_baseline_mem_leak_201403021" type="6" refreshedVersion="4" background="1" saveData="1">
    <textPr codePage="437" sourceFile="C:\Users\mhornbeek\Documents\Tools\Klocwork\Results\integration_x86_baseline_mem_leak_20140302.csv" tab="0" semicolon="1">
      <textFields count="3">
        <textField type="text"/>
        <textField/>
        <textField/>
      </textFields>
    </textPr>
  </connection>
  <connection id="209" name="integration_x86_baseline_mem_leak_201403091" type="6" refreshedVersion="4" background="1" saveData="1">
    <textPr codePage="437" sourceFile="C:\Users\mhornbeek\Documents\Tools\Klocwork\Results\integration_x86_baseline_mem_leak_20140309.csv" tab="0" semicolon="1">
      <textFields count="3">
        <textField type="text"/>
        <textField/>
        <textField/>
      </textFields>
    </textPr>
  </connection>
  <connection id="210" name="integration_x86_baseline_mem_leak_201403231" type="6" refreshedVersion="4" background="1" saveData="1">
    <textPr codePage="437" sourceFile="C:\Users\mhornbeek\Documents\Tools\Klocwork\Results\integration_x86_baseline_mem_leak_20140323.csv" tab="0" semicolon="1">
      <textFields count="3">
        <textField type="text"/>
        <textField/>
        <textField/>
      </textFields>
    </textPr>
  </connection>
  <connection id="211" name="integration_x86_baseline_mem_leak_201404131" type="6" refreshedVersion="4" background="1" saveData="1">
    <textPr codePage="437" sourceFile="C:\Users\mhornbeek\Documents\Tools\Klocwork\Results\integration_x86_baseline_mem_leak_20140413.csv" tab="0" semicolon="1">
      <textFields count="3">
        <textField type="text"/>
        <textField/>
        <textField/>
      </textFields>
    </textPr>
  </connection>
  <connection id="212" name="integration_x86_baseline_mem_leak_201404291" type="6" refreshedVersion="4" background="1" saveData="1">
    <textPr codePage="437" sourceFile="C:\Users\mhornbeek\Documents\Tools\Klocwork\Results\integration_x86_baseline_mem_leak_20140429.csv" tab="0" semicolon="1">
      <textFields count="3">
        <textField type="text"/>
        <textField/>
        <textField/>
      </textFields>
    </textPr>
  </connection>
  <connection id="213" name="integration_x86_baseline_mem_leak_201405041" type="6" refreshedVersion="4" background="1" saveData="1">
    <textPr codePage="437" sourceFile="C:\Users\mhornbeek\Documents\Tools\Klocwork\Results\integration_x86_baseline_mem_leak_20140504.csv" tab="0" semicolon="1">
      <textFields count="3">
        <textField type="text"/>
        <textField/>
        <textField/>
      </textFields>
    </textPr>
  </connection>
  <connection id="214" name="integration_x86_baseline_mem_leak_201406021" type="6" refreshedVersion="4" background="1" saveData="1">
    <textPr codePage="437" sourceFile="C:\Users\mhornbeek\Documents\Tools\Klocwork\Results\integration_x86_baseline_mem_leak_20140602.csv" tab="0" semicolon="1">
      <textFields count="3">
        <textField type="text"/>
        <textField/>
        <textField/>
      </textFields>
    </textPr>
  </connection>
  <connection id="215" name="integration_x86_baseline_mem_leak_201406081" type="6" refreshedVersion="4" background="1" saveData="1">
    <textPr codePage="437" sourceFile="C:\Users\mhornbeek\Documents\Tools\Klocwork\Results\integration_x86_baseline_mem_leak_20140608.csv" tab="0" semicolon="1">
      <textFields count="3">
        <textField type="text"/>
        <textField/>
        <textField/>
      </textFields>
    </textPr>
  </connection>
  <connection id="216" name="integration_x86_baseline_mem_leak_201406291" type="6" refreshedVersion="4" background="1" saveData="1">
    <textPr codePage="437" sourceFile="C:\Users\mhornbeek\Documents\Tools\Klocwork\Results\integration_x86_baseline_mem_leak_20140629.csv" tab="0" semicolon="1">
      <textFields count="3">
        <textField type="text"/>
        <textField/>
        <textField/>
      </textFields>
    </textPr>
  </connection>
  <connection id="217" name="integration_x86_baseline_mem_leak_201407062" type="6" refreshedVersion="4" background="1" saveData="1">
    <textPr prompt="0" codePage="437" sourceFile="C:\Users\songkamong\Documents\Spirent's Stuff\Klocwork_Report\2014-07-06\raw_data\integration_x86_baseline_mem_leak_20140706.csv" tab="0" semicolon="1">
      <textFields count="3">
        <textField/>
        <textField/>
        <textField/>
      </textFields>
    </textPr>
  </connection>
  <connection id="218" name="integration_x86_baseline_mem_leak_201407201" type="6" refreshedVersion="4" background="1" saveData="1">
    <textPr prompt="0" codePage="437" sourceFile="C:\Users\songkamong\Documents\Spirent's Stuff\Klocwork_Report\2014-07-21\raw_data\integration_x86_baseline_mem_leak_20140720.csv" tab="0" semicolon="1">
      <textFields count="3">
        <textField/>
        <textField/>
        <textField/>
      </textFields>
    </textPr>
  </connection>
  <connection id="219" name="integration_x86_baseline_mem_leak_201408031" type="6" refreshedVersion="4" background="1" saveData="1">
    <textPr prompt="0" codePage="437" sourceFile="C:\Users\songkamong\Documents\Spirent's Stuff\Klocwork_Report\2014-08-07\raw_data\integration_x86_baseline_mem_leak_20140803.csv" tab="0" semicolon="1">
      <textFields count="3">
        <textField/>
        <textField/>
        <textField/>
      </textFields>
    </textPr>
  </connection>
  <connection id="220" name="integration_x86_baseline_mem_leak_201408171" type="6" refreshedVersion="4" background="1" saveData="1">
    <textPr prompt="0" codePage="437" sourceFile="C:\Users\songkamong\Documents\Spirent's Stuff\Klocwork_Report\2014-08-20\raw_data\integration_x86_baseline_mem_leak_20140817.csv" tab="0" semicolon="1">
      <textFields count="3">
        <textField/>
        <textField/>
        <textField/>
      </textFields>
    </textPr>
  </connection>
  <connection id="221" name="integration_x86_baseline_mem_leak_201408172" type="6" refreshedVersion="4" background="1" saveData="1">
    <textPr prompt="0" codePage="437" sourceFile="C:\Users\songkamong\Documents\Spirent's Stuff\Klocwork_Report\2014-08-20\raw_data\integration_x86_baseline_mem_leak_20140817.csv" tab="0" semicolon="1">
      <textFields count="3">
        <textField/>
        <textField/>
        <textField/>
      </textFields>
    </textPr>
  </connection>
  <connection id="222" name="integration_x86_baseline_mem_leak_201409071" type="6" refreshedVersion="4" background="1" saveData="1">
    <textPr prompt="0" codePage="437" sourceFile="C:\Users\songkamong\Documents\Spirent's Stuff\Klocwork_Report\2014-09-10\raw_data\integration_x86_baseline_mem_leak_20140907.csv" tab="0" semicolon="1">
      <textFields count="3">
        <textField/>
        <textField/>
        <textField/>
      </textFields>
    </textPr>
  </connection>
  <connection id="223" name="integration_x86_baseline_mem_leak_201409211" type="6" refreshedVersion="4" background="1" saveData="1">
    <textPr prompt="0" codePage="437" sourceFile="integration_x86_baseline_mem_leak_20140921.csv" tab="0" semicolon="1">
      <textFields count="3">
        <textField/>
        <textField/>
        <textField/>
      </textFields>
    </textPr>
  </connection>
  <connection id="224" name="integration_x86_baseline_mem_leak_201410121" type="6" refreshedVersion="4" background="1" saveData="1">
    <textPr prompt="0" codePage="437" sourceFile="integration_x86_baseline_mem_leak_20141012.csv" tab="0" semicolon="1">
      <textFields count="3">
        <textField/>
        <textField/>
        <textField/>
      </textFields>
    </textPr>
  </connection>
  <connection id="225" name="integration_x86_baseline_mem_leak_201412071" type="6" refreshedVersion="4" background="1" saveData="1">
    <textPr prompt="0" codePage="437" sourceFile="integration_x86_baseline_mem_leak_20141207.csv" tab="0" semicolon="1">
      <textFields count="3">
        <textField/>
        <textField/>
        <textField/>
      </textFields>
    </textPr>
  </connection>
  <connection id="226" name="integration_x86_baseline_mem_leak_201501041" type="6" refreshedVersion="4" background="1" saveData="1">
    <textPr prompt="0" codePage="437" sourceFile="integration_x86_baseline_mem_leak_20150104.csv" tab="0" semicolon="1">
      <textFields count="3">
        <textField/>
        <textField/>
        <textField/>
      </textFields>
    </textPr>
  </connection>
  <connection id="227" name="integration_x86_baseline_mem_leak_201502191" type="6" refreshedVersion="4" background="1" saveData="1">
    <textPr prompt="0" codePage="437" sourceFile="integration_x86_baseline_mem_leak_20150219.csv" tab="0" semicolon="1">
      <textFields count="3">
        <textField/>
        <textField/>
        <textField/>
      </textFields>
    </textPr>
  </connection>
  <connection id="228" name="integration_x86_baseline_mem_leak_201503291" type="6" refreshedVersion="4" background="1" saveData="1">
    <textPr prompt="0" codePage="437" sourceFile="integration_x86_baseline_mem_leak_20150329.csv" tab="0" semicolon="1">
      <textFields count="3">
        <textField/>
        <textField/>
        <textField/>
      </textFields>
    </textPr>
  </connection>
  <connection id="229" name="integration_x86_baseline_mem_leak_201508301" type="6" refreshedVersion="4" background="1" saveData="1">
    <textPr prompt="0" codePage="437" sourceFile="integration_x86_baseline_mem_leak_20150830.csv" tab="0" semicolon="1">
      <textFields count="3">
        <textField/>
        <textField/>
        <textField/>
      </textFields>
    </textPr>
  </connection>
  <connection id="230" name="integration_x86_baseline_mem_leak_201509201" type="6" refreshedVersion="4" background="1" saveData="1">
    <textPr prompt="0" codePage="437" sourceFile="integration_x86_baseline_mem_leak_20150920.csv" tab="0" semicolon="1">
      <textFields count="3">
        <textField/>
        <textField/>
        <textField/>
      </textFields>
    </textPr>
  </connection>
  <connection id="231" name="integration_x86_baseline_mem_leak_201601151" type="6" refreshedVersion="4" background="1" saveData="1">
    <textPr prompt="0" codePage="437" sourceFile="integration_x86_baseline_mem_leak_20160115.csv" tab="0" semicolon="1">
      <textFields count="3">
        <textField/>
        <textField/>
        <textField/>
      </textFields>
    </textPr>
  </connection>
  <connection id="232" name="integration_x86_baseline_mem_leak_201602142" type="6" refreshedVersion="4" background="1" saveData="1">
    <textPr prompt="0" codePage="437" sourceFile="integration_x86_baseline_mem_leak_20160214.csv" tab="0" semicolon="1">
      <textFields count="3">
        <textField/>
        <textField/>
        <textField/>
      </textFields>
    </textPr>
  </connection>
  <connection id="233" name="integration_x86_baseline_mem_leak_201607031" type="6" refreshedVersion="4" background="1" saveData="1">
    <textPr prompt="0" codePage="437" sourceFile="integration_x86_baseline_mem_leak_20160703.csv" tab="0" semicolon="1">
      <textFields count="3">
        <textField/>
        <textField/>
        <textField/>
      </textFields>
    </textPr>
  </connection>
  <connection id="234" name="integration_x86_baseline_uninit_20140602" type="6" refreshedVersion="4" background="1" saveData="1">
    <textPr codePage="437" sourceFile="C:\Users\mhornbeek\Documents\Tools\Klocwork\Results\integration_x86_baseline_uninit_20140602.csv" tab="0" semicolon="1">
      <textFields count="3">
        <textField type="text"/>
        <textField/>
        <textField/>
      </textFields>
    </textPr>
  </connection>
  <connection id="235" name="integration_x86_baseline_uninit_201406081" type="6" refreshedVersion="4" background="1" saveData="1">
    <textPr codePage="437" sourceFile="C:\Users\mhornbeek\Documents\Tools\Klocwork\Results\integration_x86_baseline_uninit_20140608.csv" tab="0" semicolon="1">
      <textFields count="3">
        <textField type="text"/>
        <textField/>
        <textField/>
      </textFields>
    </textPr>
  </connection>
  <connection id="236" name="integration_x86_baseline_uninit_201406291" type="6" refreshedVersion="4" background="1" saveData="1">
    <textPr codePage="437" sourceFile="C:\Users\mhornbeek\Documents\Tools\Klocwork\Results\integration_x86_baseline_uninit_20140629.csv" tab="0" semicolon="1">
      <textFields count="3">
        <textField type="text"/>
        <textField/>
        <textField/>
      </textFields>
    </textPr>
  </connection>
  <connection id="237" name="integration_x86_baseline_uninit_201407061" type="6" refreshedVersion="4" background="1" saveData="1">
    <textPr prompt="0" codePage="437" sourceFile="C:\Users\songkamong\Documents\Spirent's Stuff\Klocwork_Report\2014-07-06\raw_data\integration_x86_baseline_uninit_20140706.csv" tab="0" semicolon="1">
      <textFields count="3">
        <textField/>
        <textField/>
        <textField/>
      </textFields>
    </textPr>
  </connection>
  <connection id="238" name="integration_x86_baseline_uninit_201407201" type="6" refreshedVersion="4" background="1" saveData="1">
    <textPr prompt="0" codePage="437" sourceFile="C:\Users\songkamong\Documents\Spirent's Stuff\Klocwork_Report\2014-07-21\raw_data\integration_x86_baseline_uninit_20140720.csv" tab="0" semicolon="1">
      <textFields count="3">
        <textField/>
        <textField/>
        <textField/>
      </textFields>
    </textPr>
  </connection>
  <connection id="239" name="integration_x86_baseline_uninit_201408031" type="6" refreshedVersion="4" background="1" saveData="1">
    <textPr prompt="0" codePage="437" sourceFile="C:\Users\songkamong\Documents\Spirent's Stuff\Klocwork_Report\2014-08-07\raw_data\integration_x86_baseline_uninit_20140803.csv" tab="0" semicolon="1">
      <textFields count="3">
        <textField/>
        <textField/>
        <textField/>
      </textFields>
    </textPr>
  </connection>
  <connection id="240" name="integration_x86_baseline_uninit_201408171" type="6" refreshedVersion="4" background="1" saveData="1">
    <textPr prompt="0" codePage="437" sourceFile="C:\Users\songkamong\Documents\Spirent's Stuff\Klocwork_Report\2014-08-20\raw_data\integration_x86_baseline_uninit_20140817.csv" tab="0" semicolon="1">
      <textFields count="3">
        <textField/>
        <textField/>
        <textField/>
      </textFields>
    </textPr>
  </connection>
  <connection id="241" name="integration_x86_baseline_uninit_201409071" type="6" refreshedVersion="4" background="1" saveData="1">
    <textPr prompt="0" codePage="437" sourceFile="C:\Users\songkamong\Documents\Spirent's Stuff\Klocwork_Report\2014-09-10\raw_data\integration_x86_baseline_uninit_20140907.csv" tab="0" semicolon="1">
      <textFields count="3">
        <textField/>
        <textField/>
        <textField/>
      </textFields>
    </textPr>
  </connection>
  <connection id="242" name="integration_x86_baseline_uninit_201409211" type="6" refreshedVersion="4" background="1" saveData="1">
    <textPr prompt="0" codePage="437" sourceFile="integration_x86_baseline_uninit_20140921.csv" tab="0" semicolon="1">
      <textFields count="3">
        <textField/>
        <textField/>
        <textField/>
      </textFields>
    </textPr>
  </connection>
  <connection id="243" name="integration_x86_baseline_uninit_201410121" type="6" refreshedVersion="4" background="1" saveData="1">
    <textPr prompt="0" codePage="437" sourceFile="integration_x86_baseline_uninit_20141012.csv" tab="0" semicolon="1">
      <textFields count="3">
        <textField/>
        <textField/>
        <textField/>
      </textFields>
    </textPr>
  </connection>
  <connection id="244" name="integration_x86_baseline_uninit_201412071" type="6" refreshedVersion="4" background="1" saveData="1">
    <textPr prompt="0" codePage="437" sourceFile="integration_x86_baseline_uninit_20141207.csv" tab="0" semicolon="1">
      <textFields count="3">
        <textField/>
        <textField/>
        <textField/>
      </textFields>
    </textPr>
  </connection>
  <connection id="245" name="integration_x86_baseline_uninit_201501041" type="6" refreshedVersion="4" background="1" saveData="1">
    <textPr prompt="0" codePage="437" sourceFile="integration_x86_baseline_uninit_20150104.csv" tab="0" semicolon="1">
      <textFields count="3">
        <textField/>
        <textField/>
        <textField/>
      </textFields>
    </textPr>
  </connection>
  <connection id="246" name="integration_x86_baseline_uninit_201502191" type="6" refreshedVersion="4" background="1" saveData="1">
    <textPr prompt="0" codePage="437" sourceFile="integration_x86_baseline_uninit_20150219.csv" tab="0" semicolon="1">
      <textFields count="3">
        <textField/>
        <textField/>
        <textField/>
      </textFields>
    </textPr>
  </connection>
  <connection id="247" name="integration_x86_baseline_uninit_201503291" type="6" refreshedVersion="4" background="1" saveData="1">
    <textPr prompt="0" codePage="437" sourceFile="integration_x86_baseline_uninit_20150329.csv" tab="0" semicolon="1">
      <textFields count="3">
        <textField/>
        <textField/>
        <textField/>
      </textFields>
    </textPr>
  </connection>
  <connection id="248" name="integration_x86_baseline_uninit_201508301" type="6" refreshedVersion="4" background="1" saveData="1">
    <textPr prompt="0" codePage="437" sourceFile="integration_x86_baseline_uninit_20150830.csv" tab="0" semicolon="1">
      <textFields count="3">
        <textField/>
        <textField/>
        <textField/>
      </textFields>
    </textPr>
  </connection>
  <connection id="249" name="integration_x86_baseline_uninit_201509201" type="6" refreshedVersion="4" background="1" saveData="1">
    <textPr prompt="0" codePage="437" sourceFile="integration_x86_baseline_uninit_20150920.csv" tab="0" semicolon="1">
      <textFields count="3">
        <textField/>
        <textField/>
        <textField/>
      </textFields>
    </textPr>
  </connection>
  <connection id="250" name="integration_x86_baseline_uninit_201601151" type="6" refreshedVersion="4" background="1" saveData="1">
    <textPr prompt="0" codePage="437" sourceFile="integration_x86_baseline_uninit_20160115.csv" tab="0" semicolon="1">
      <textFields count="3">
        <textField/>
        <textField/>
        <textField/>
      </textFields>
    </textPr>
  </connection>
  <connection id="251" name="integration_x86_baseline_uninit_201602142" type="6" refreshedVersion="4" background="1" saveData="1">
    <textPr prompt="0" codePage="437" sourceFile="integration_x86_baseline_uninit_20160214.csv" tab="0" semicolon="1">
      <textFields count="3">
        <textField/>
        <textField/>
        <textField/>
      </textFields>
    </textPr>
  </connection>
  <connection id="252" name="integration_x86_baseline_uninit_201607031" type="6" refreshedVersion="4" background="1" saveData="1">
    <textPr prompt="0" codePage="437" sourceFile="integration_x86_baseline_uninit_20160703.csv" tab="0" semicolon="1">
      <textFields count="3">
        <textField/>
        <textField/>
        <textField/>
      </textFields>
    </textPr>
  </connection>
  <connection id="253" name="integration_x86_baseline_uninit_201607032" type="6" refreshedVersion="4" background="1" saveData="1">
    <textPr prompt="0" codePage="437" sourceFile="integration_x86_baseline_uninit_20160703.csv" tab="0" semicolon="1">
      <textFields count="3">
        <textField/>
        <textField/>
        <textField/>
      </textFields>
    </textPr>
  </connection>
  <connection id="254" name="kw_integration_Win_BLL_baseline_diff_integration_20121209_2_vs_integration_20131131" type="6" refreshedVersion="4" background="1" saveData="1">
    <textPr codePage="437" sourceFile="C:\Users\mhornbeek\Documents\Tools\Klocwork\Results\kw_integration_Win_BLL_baseline_diff_integration_20121209_2_vs_integration_2013113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5" name="kw_integration_Win_BLL_baseline_diff_integration_20121209_2_vs_integration_20132031" type="6" refreshedVersion="4" background="1" saveData="1">
    <textPr codePage="437" sourceFile="C:\Users\mhornbeek\Documents\Tools\Klocwork\Results\kw_integration_Win_BLL_baseline_diff_integration_20121209_2_vs_integration_2013203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6" name="kw_integration_Win_BLL_baseline_diff_integration_20121209_2_vs_integration_20132101" type="6" refreshedVersion="4" background="1" saveData="1">
    <textPr codePage="437" sourceFile="C:\Users\mhornbeek\Documents\Tools\Klocwork\Results\kw_integration_Win_BLL_baseline_diff_integration_20121209_2_vs_integration_2013210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7" name="kw_integration_Win_BLL_baseline_diff_integration_20121209_2_vs_integration_20133101" type="6" refreshedVersion="4" background="1" saveData="1">
    <textPr codePage="437" sourceFile="C:\Users\mhornbeek\Documents\Tools\Klocwork\Results\kw_integration_Win_BLL_baseline_diff_integration_20121209_2_vs_integration_2013310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8" name="kw_integration_Win_BLL_baseline_diff_integration_20121209_2_vs_integration_20133171" type="6" refreshedVersion="4" background="1" saveData="1">
    <textPr codePage="437" sourceFile="C:\Users\mhornbeek\Documents\Tools\Klocwork\Results\kw_integration_Win_BLL_baseline_diff_integration_20121209_2_vs_integration_2013317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9" name="kw_integration_Win_BLL_baseline_diff_integration_20121209_2_vs_integration_20133241" type="6" refreshedVersion="4" background="1" saveData="1">
    <textPr codePage="437" sourceFile="C:\Users\mhornbeek\Documents\Tools\Klocwork\Results\kw_integration_Win_BLL_baseline_diff_integration_20121209_2_vs_integration_2013324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0" name="kw_integration_Win_BLL_baseline_diff_integration_20121209_2_vs_integration_20133311" type="6" refreshedVersion="4" background="1" saveData="1">
    <textPr codePage="437" sourceFile="C:\Users\mhornbeek\Documents\Tools\Klocwork\Results\kw_integration_Win_BLL_baseline_diff_integration_20121209_2_vs_integration_2013331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1" name="kw_integration_Win_BLL_baseline_diff_integration_2013630_vs_integration_20137281" type="6" refreshedVersion="4" background="1" saveData="1">
    <textPr codePage="437" sourceFile="C:\Users\mhornbeek\Documents\Tools\Klocwork\Results\kw_integration_Win_BLL_baseline_diff_integration_2013630_vs_integration_2013728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2" name="kw_integration_Win_BLL_baseline_diff_integration_2013630_vs_integration_20138041" type="6" refreshedVersion="4" background="1" saveData="1">
    <textPr codePage="437" sourceFile="C:\Users\mhornbeek\Documents\Tools\Klocwork\Results\kw_integration_Win_BLL_baseline_diff_integration_2013630_vs_integration_2013804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3" name="kw_integration_Win_BLL_baseline_diff_integration_2013630_vs_integration_2014-05-301" type="6" refreshedVersion="4" background="1" saveData="1">
    <textPr codePage="437" sourceFile="C:\Users\mhornbeek\Documents\Tools\Klocwork\Results\kw_integration_Win_BLL_baseline_diff_integration_2013630_vs_integration_2014-05-30.csv" tab="0" semicolon="1">
      <textFields count="3">
        <textField type="text"/>
        <textField/>
        <textField/>
      </textFields>
    </textPr>
  </connection>
  <connection id="264" name="kw_integration_Win_BLL_baseline_diff_integration_2014105_vs_integration_2014-01-191" type="6" refreshedVersion="4" background="1" saveData="1">
    <textPr codePage="437" sourceFile="C:\Users\mhornbeek\Documents\Tools\Klocwork\Results\kw_integration_Win_BLL_baseline_diff_integration_2014105_vs_integration_2014-01-19.csv" tab="0" semicolon="1">
      <textFields count="3">
        <textField/>
        <textField/>
        <textField/>
      </textFields>
    </textPr>
  </connection>
  <connection id="265" name="kw_integration_Win_BLL_baseline_diff_integration_2014105_vs_integration_2014-01-311" type="6" refreshedVersion="4" background="1" saveData="1">
    <textPr codePage="437" sourceFile="C:\Users\mhornbeek\Documents\Tools\Klocwork\Results\kw_integration_Win_BLL_baseline_diff_integration_2014105_vs_integration_2014-01-31.csv" tab="0" semicolon="1">
      <textFields count="3">
        <textField type="text"/>
        <textField/>
        <textField/>
      </textFields>
    </textPr>
  </connection>
  <connection id="266" name="kw_integration_Win_BLL_baseline_diff_integration_2014105_vs_integration_2014-02-131" type="6" refreshedVersion="4" background="1" saveData="1">
    <textPr codePage="437" sourceFile="C:\Users\mhornbeek\Documents\Tools\Klocwork\Results\kw_integration_Win_BLL_baseline_diff_integration_2014105_vs_integration_2014-02-13.csv" tab="0" semicolon="1">
      <textFields count="3">
        <textField type="text"/>
        <textField/>
        <textField/>
      </textFields>
    </textPr>
  </connection>
  <connection id="267" name="kw_integration_Win_BLL_baseline_diff_integration_2014105_vs_integration_2014-02-221" type="6" refreshedVersion="4" background="1" saveData="1">
    <textPr codePage="437" sourceFile="C:\Users\mhornbeek\Documents\Tools\Klocwork\Results\kw_integration_Win_BLL_baseline_diff_integration_2014105_vs_integration_2014-02-22.csv" tab="0" semicolon="1">
      <textFields count="3">
        <textField type="text"/>
        <textField/>
        <textField/>
      </textFields>
    </textPr>
  </connection>
  <connection id="268" name="kw_integration_Win_BLL_baseline_diff_integration_2014105_vs_integration_2014-03-021" type="6" refreshedVersion="4" background="1" saveData="1">
    <textPr codePage="437" sourceFile="C:\Users\mhornbeek\Documents\Tools\Klocwork\Results\kw_integration_Win_BLL_baseline_diff_integration_2014105_vs_integration_2014-03-02.csv" tab="0" semicolon="1">
      <textFields count="3">
        <textField type="text"/>
        <textField/>
        <textField/>
      </textFields>
    </textPr>
  </connection>
  <connection id="269" name="kw_integration_Win_BLL_baseline_diff_integration_2014105_vs_integration_2014-03-221" type="6" refreshedVersion="4" background="1" saveData="1">
    <textPr codePage="437" sourceFile="C:\Users\mhornbeek\Documents\Tools\Klocwork\Results\kw_integration_Win_BLL_baseline_diff_integration_2014105_vs_integration_2014-03-22.csv" tab="0" semicolon="1">
      <textFields count="3">
        <textField type="text"/>
        <textField/>
        <textField/>
      </textFields>
    </textPr>
  </connection>
  <connection id="270" name="kw_integration_Win_BLL_baseline_diff_integration_2014105_vs_integration_2014-04-121" type="6" refreshedVersion="4" background="1" saveData="1">
    <textPr codePage="437" sourceFile="C:\Users\mhornbeek\Documents\Tools\Klocwork\Results\kw_integration_Win_BLL_baseline_diff_integration_2014105_vs_integration_2014-04-12.csv" tab="0" semicolon="1">
      <textFields count="3">
        <textField type="text"/>
        <textField/>
        <textField/>
      </textFields>
    </textPr>
  </connection>
  <connection id="271" name="kw_integration_Win_BLL_baseline_diff_integration_2014105_vs_integration_2014-04-261" type="6" refreshedVersion="4" background="1" saveData="1">
    <textPr codePage="437" sourceFile="C:\Users\mhornbeek\Documents\Tools\Klocwork\Results\kw_integration_Win_BLL_baseline_diff_integration_2014105_vs_integration_2014-04-26.csv" tab="0" semicolon="1">
      <textFields count="3">
        <textField type="text"/>
        <textField/>
        <textField/>
      </textFields>
    </textPr>
  </connection>
  <connection id="272" name="kw_integration_Win_BLL_baseline_diff_integration_2014105_vs_integration_2014-05-041" type="6" refreshedVersion="4" background="1" saveData="1">
    <textPr codePage="437" sourceFile="C:\Users\mhornbeek\Documents\Tools\Klocwork\Results\kw_integration_Win_BLL_baseline_diff_integration_2014105_vs_integration_2014-05-04.csv" tab="0" semicolon="1">
      <textFields count="3">
        <textField type="text"/>
        <textField/>
        <textField/>
      </textFields>
    </textPr>
  </connection>
  <connection id="273" name="kw_integration_Win_BLL_baseline_diff_integration_2014105_vs_integration_2014-05-111" type="6" refreshedVersion="4" background="1" saveData="1">
    <textPr codePage="437" sourceFile="C:\Users\mhornbeek\Documents\Tools\Klocwork\Results\kw_integration_Win_BLL_baseline_diff_integration_2014105_vs_integration_2014-05-11.csv" tab="0" semicolon="1">
      <textFields count="3">
        <textField type="text"/>
        <textField/>
        <textField/>
      </textFields>
    </textPr>
  </connection>
  <connection id="274" name="kw_integration_Win_BLL_baseline_diff_integration_2014105_vs_integration_2014-05-182" type="6" refreshedVersion="4" background="1" saveData="1">
    <textPr codePage="437" sourceFile="C:\Users\mhornbeek\Documents\Tools\Klocwork\Results\kw_integration_Win_BLL_baseline_diff_integration_2014105_vs_integration_2014-05-18.csv" tab="0" semicolon="1">
      <textFields count="3">
        <textField type="text"/>
        <textField/>
        <textField/>
      </textFields>
    </textPr>
  </connection>
  <connection id="275" name="kw_integration_Win_BLL_baseline_diff_integration_2014105_vs_integration_2014-06-071" type="6" refreshedVersion="4" background="1" saveData="1">
    <textPr codePage="437" sourceFile="C:\Users\mhornbeek\Documents\Tools\Klocwork\Results\kw_integration_Win_BLL_baseline_diff_integration_2014105_vs_integration_2014-06-07.csv" tab="0" semicolon="1">
      <textFields count="3">
        <textField type="text"/>
        <textField/>
        <textField/>
      </textFields>
    </textPr>
  </connection>
  <connection id="276" name="kw_integration_Win_BLL_baseline_diff_integration_2014105_vs_integration_2014-06-281" type="6" refreshedVersion="4" background="1" saveData="1">
    <textPr codePage="437" sourceFile="C:\Users\mhornbeek\Documents\Tools\Klocwork\Results\kw_integration_Win_BLL_baseline_diff_integration_2014105_vs_integration_2014-06-28.csv" tab="0" semicolon="1">
      <textFields count="3">
        <textField type="text"/>
        <textField/>
        <textField/>
      </textFields>
    </textPr>
  </connection>
  <connection id="277" name="kw_integration_Win_BLL_baseline_diff_integration_2014105_vs_integration_2014-07-051" type="6" refreshedVersion="4" background="1" saveData="1">
    <textPr codePage="437" sourceFile="C:\Users\songkamong\Documents\Spirent's Stuff\Klocwork_Report\2014-07-06\raw_data\kw_integration_Win_BLL_baseline_diff_integration_2014105_vs_integration_2014-07-05.csv" tab="0" semicolon="1">
      <textFields count="3">
        <textField/>
        <textField/>
        <textField/>
      </textFields>
    </textPr>
  </connection>
  <connection id="278" name="kw_integration_Win_BLL_baseline_diff_integration_2014105_vs_integration_2014-07-161" type="6" refreshedVersion="4" background="1" saveData="1">
    <textPr prompt="0" codePage="437" sourceFile="C:\Users\songkamong\Documents\Spirent's Stuff\Klocwork_Report\2014-07-21\raw_data\kw_integration_Win_BLL_baseline_diff_integration_2014105_vs_integration_2014-07-16.csv" tab="0" semicolon="1">
      <textFields count="3">
        <textField/>
        <textField/>
        <textField/>
      </textFields>
    </textPr>
  </connection>
  <connection id="279" name="kw_integration_Win_BLL_baseline_diff_integration_2014105_vs_integration_2014-08-021" type="6" refreshedVersion="4" background="1" saveData="1">
    <textPr codePage="437" sourceFile="C:\Users\songkamong\Documents\Spirent's Stuff\Klocwork_Report\2014-08-07\raw_data\kw_integration_Win_BLL_baseline_diff_integration_2014105_vs_integration_2014-08-02.csv" tab="0" semicolon="1">
      <textFields count="3">
        <textField/>
        <textField/>
        <textField/>
      </textFields>
    </textPr>
  </connection>
  <connection id="280" name="kw_integration_Win_BLL_baseline_diff_integration_2014105_vs_integration_2014-08-171" type="6" refreshedVersion="4" background="1" saveData="1">
    <textPr prompt="0" codePage="437" sourceFile="C:\Users\songkamong\Documents\Spirent's Stuff\Klocwork_Report\2014-08-20\raw_data\kw_integration_Win_BLL_baseline_diff_integration_2014105_vs_integration_2014-08-17.csv" tab="0" semicolon="1">
      <textFields count="3">
        <textField/>
        <textField/>
        <textField/>
      </textFields>
    </textPr>
  </connection>
  <connection id="281" name="kw_integration_Win_BLL_baseline_diff_integration_2014105_vs_integration_2014-09-07" type="6" refreshedVersion="0" background="1">
    <textPr prompt="0" sourceFile="C:\Users\songkamong\Documents\Spirent's Stuff\Klocwork_Report\2014-08-20\raw_data\kw_integration_Win_BLL_baseline_diff_integration_2014105_vs_integration_2014-09-07.csv">
      <textFields>
        <textField/>
      </textFields>
    </textPr>
  </connection>
  <connection id="282" name="kw_integration_Win_BLL_baseline_diff_integration_2014105_vs_integration_2014-09-0711" type="6" refreshedVersion="4" background="1" saveData="1">
    <textPr prompt="0" codePage="437" sourceFile="C:\Users\songkamong\Documents\Spirent's Stuff\Klocwork_Report\2014-09-10\raw_data\kw_integration_Win_BLL_baseline_diff_integration_2014105_vs_integration_2014-09-07.csv" tab="0" semicolon="1">
      <textFields count="3">
        <textField/>
        <textField/>
        <textField/>
      </textFields>
    </textPr>
  </connection>
  <connection id="283" name="kw_integration_Win_BLL_baseline_diff_integration_2014105_vs_integration_2014-09-201" type="6" refreshedVersion="4" background="1" saveData="1">
    <textPr prompt="0" codePage="437" sourceFile="kw_integration_Win_BLL_baseline_diff_integration_2014105_vs_integration_2014-09-20.csv" tab="0" semicolon="1">
      <textFields count="3">
        <textField/>
        <textField/>
        <textField/>
      </textFields>
    </textPr>
  </connection>
  <connection id="284" name="kw_integration_Win_BLL_baseline_diff_integration_2014105_vs_integration_2014-10-121" type="6" refreshedVersion="4" background="1" saveData="1">
    <textPr prompt="0" codePage="437" sourceFile="kw_integration_Win_BLL_baseline_diff_integration_2014105_vs_integration_2014-10-12.csv" tab="0" semicolon="1">
      <textFields count="3">
        <textField/>
        <textField/>
        <textField/>
      </textFields>
    </textPr>
  </connection>
  <connection id="285" name="kw_integration_Win_BLL_baseline_diff_integration_2014105_vs_integration_2014-12-051" type="6" refreshedVersion="4" background="1" saveData="1">
    <textPr prompt="0" codePage="437" sourceFile="kw_integration_Win_BLL_baseline_diff_integration_2014105_vs_integration_2014-12-05.csv" tab="0" semicolon="1">
      <textFields count="3">
        <textField/>
        <textField/>
        <textField/>
      </textFields>
    </textPr>
  </connection>
  <connection id="286" name="kw_integration_Win_BLL_baseline_diff_integration_2014105_vs_integration_2014-12-052" type="6" refreshedVersion="4" background="1" saveData="1">
    <textPr prompt="0" codePage="437" sourceFile="kw_integration_Win_BLL_baseline_diff_integration_2014105_vs_integration_2014-12-05.csv" tab="0" semicolon="1">
      <textFields count="3">
        <textField/>
        <textField/>
        <textField/>
      </textFields>
    </textPr>
  </connection>
  <connection id="287" name="kw_integration_Win_BLL_baseline_diff_integration_2014105_vs_integration_2015-01-041" type="6" refreshedVersion="4" background="1" saveData="1">
    <textPr prompt="0" codePage="437" sourceFile="kw_integration_Win_BLL_baseline_diff_integration_2014105_vs_integration_2015-01-04.csv" tab="0" semicolon="1">
      <textFields count="3">
        <textField/>
        <textField/>
        <textField/>
      </textFields>
    </textPr>
  </connection>
  <connection id="288" name="kw_integration_Win_BLL_baseline_diff_integration_2015-02-15_vs_integration_2015-02-19" type="6" refreshedVersion="0" background="1">
    <textPr prompt="0" sourceFile="kw_integration_Win_BLL_baseline_diff_integration_2015-02-15_vs_integration_2015-02-19.csv">
      <textFields>
        <textField/>
      </textFields>
    </textPr>
  </connection>
  <connection id="289" name="kw_integration_Win_BLL_baseline_diff_integration_2015-02-15_vs_integration_2015-03-271" type="6" refreshedVersion="4" background="1" saveData="1">
    <textPr prompt="0" codePage="437" sourceFile="kw_integration_Win_BLL_baseline_diff_integration_2015-02-15_vs_integration_2015-03-27.csv" tab="0" semicolon="1">
      <textFields count="3">
        <textField/>
        <textField/>
        <textField/>
      </textFields>
    </textPr>
  </connection>
  <connection id="290" name="kw_integration_Win_BLL_baseline_diff_integration_2015-02-15_vs_integration_2015-08-301" type="6" refreshedVersion="4" background="1" saveData="1">
    <textPr prompt="0" codePage="437" sourceFile="kw_integration_Win_BLL_baseline_diff_integration_2015-02-15_vs_integration_2015-08-30.csv" tab="0" semicolon="1">
      <textFields count="3">
        <textField/>
        <textField/>
        <textField/>
      </textFields>
    </textPr>
  </connection>
  <connection id="291" name="kw_integration_Win_BLL_baseline_diff_integration_2015-02-15_vs_integration_2015-09-201" type="6" refreshedVersion="4" background="1" saveData="1">
    <textPr prompt="0" codePage="437" sourceFile="kw_integration_Win_BLL_baseline_diff_integration_2015-02-15_vs_integration_2015-09-20.csv" tab="0" semicolon="1">
      <textFields count="3">
        <textField/>
        <textField/>
        <textField/>
      </textFields>
    </textPr>
  </connection>
  <connection id="292" name="kw_integration_Win_BLL_baseline_diff_integration_2015-12-23_vs_integration_2016-01-141" type="6" refreshedVersion="4" background="1" saveData="1">
    <textPr prompt="0" codePage="437" sourceFile="kw_integration_Win_BLL_baseline_diff_integration_2015-12-23_vs_integration_2016-01-14.csv" tab="0" semicolon="1">
      <textFields count="3">
        <textField/>
        <textField/>
        <textField/>
      </textFields>
    </textPr>
  </connection>
  <connection id="293" name="kw_integration_Win_BLL_baseline_diff_integration_2015-12-23_vs_integration_2016-02-131" type="6" refreshedVersion="4" background="1" saveData="1">
    <textPr prompt="0" codePage="437" sourceFile="kw_integration_Win_BLL_baseline_diff_integration_2015-12-23_vs_integration_2016-02-13.csv" tab="0" semicolon="1">
      <textFields count="3">
        <textField/>
        <textField/>
        <textField/>
      </textFields>
    </textPr>
  </connection>
  <connection id="294" name="kw_integration_Win_BLL_baseline_diff_integration_2015-12-23_vs_integration_2016-07-031" type="6" refreshedVersion="4" background="1" saveData="1">
    <textPr prompt="0" codePage="437" sourceFile="kw_integration_Win_BLL_baseline_diff_integration_2015-12-23_vs_integration_2016-07-03.csv" tab="0" semicolon="1">
      <textFields count="3">
        <textField/>
        <textField/>
        <textField/>
      </textFields>
    </textPr>
  </connection>
  <connection id="295" name="kw_integration_win_ui_2013_1_10" type="6" refreshedVersion="4" background="1" saveData="1">
    <textPr codePage="437" sourceFile="C:\Users\mhornbeek\Documents\Tools\Klocwork\Results\kw_integration_win_ui_2013_1_10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6" name="kw_integration_win_ui_diff_integration_ui_2013114_vs_integration_2013202" type="6" refreshedVersion="4" background="1" saveData="1">
    <textPr codePage="437" sourceFile="C:\Users\mhornbeek\Documents\Tools\Klocwork\Results\kw_integration_win_ui_diff_integration_ui_2013114_vs_integration_2013202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7" name="kw_integration_win_ui_diff_integration_ui_2013114_vs_integration_ui_20132091" type="6" refreshedVersion="4" background="1" saveData="1">
    <textPr codePage="437" sourceFile="C:\Users\mhornbeek\Documents\Tools\Klocwork\Results\kw_integration_win_ui_diff_integration_ui_2013114_vs_integration_ui_2013209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8" name="kw_integration_win_ui_diff_integration_ui_2013114_vs_integration_ui_20132231" type="6" refreshedVersion="4" background="1" saveData="1">
    <textPr codePage="437" sourceFile="C:\Users\mhornbeek\Documents\Tools\Klocwork\Results\kw_integration_win_ui_diff_integration_ui_2013114_vs_integration_ui_2013223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9" name="kw_integration_win_ui_diff_integration_ui_2013114_vs_integration_ui_20133021" type="6" refreshedVersion="4" background="1" saveData="1">
    <textPr codePage="437" sourceFile="C:\Users\mhornbeek\Documents\Tools\Klocwork\Results\kw_integration_win_ui_diff_integration_ui_2013114_vs_integration_ui_2013302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0" name="kw_integration_win_ui_diff_integration_ui_2013114_vs_integration_ui_20133161" type="6" refreshedVersion="4" background="1" saveData="1">
    <textPr codePage="437" sourceFile="C:\Users\mhornbeek\Documents\Tools\Klocwork\Results\kw_integration_win_ui_diff_integration_ui_2013114_vs_integration_ui_2013316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1" name="kw_integration_win_ui_diff_integration_ui_2013114_vs_integration_ui_20133231" type="6" refreshedVersion="4" background="1" saveData="1">
    <textPr codePage="437" sourceFile="C:\Users\mhornbeek\Documents\Tools\Klocwork\Results\kw_integration_win_ui_diff_integration_ui_2013114_vs_integration_ui_2013323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2" name="kw_integration_win_ui_diff_integration_ui_2013114_vs_integration_ui_20133301" type="6" refreshedVersion="4" background="1" saveData="1">
    <textPr codePage="437" sourceFile="C:\Users\mhornbeek\Documents\Tools\Klocwork\Results\kw_integration_win_ui_diff_integration_ui_2013114_vs_integration_ui_2013330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3" name="kw_integration_win_ui_diff_integration_ui_2013114_vs_integration_ui_20134151" type="6" refreshedVersion="4" background="1" saveData="1">
    <textPr codePage="437" sourceFile="C:\Users\mhornbeek\Documents\Tools\Klocwork\Results\kw_integration_win_ui_diff_integration_ui_2013114_vs_integration_ui_2013415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4" name="kw_integration_win_ui_diff_integration_ui_2013114_vs_integration_ui_20134201" type="6" refreshedVersion="4" background="1" saveData="1">
    <textPr codePage="437" sourceFile="C:\Users\mhornbeek\Documents\Tools\Klocwork\Results\kw_integration_win_ui_diff_integration_ui_2013114_vs_integration_ui_2013420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5" name="kw_integration_win_ui_diff_integration_ui_2013114_vs_integration_ui_20134271" type="6" refreshedVersion="4" background="1" saveData="1">
    <textPr codePage="437" sourceFile="C:\Users\mhornbeek\Documents\Tools\Klocwork\Results\kw_integration_win_ui_diff_integration_ui_2013114_vs_integration_ui_2013427.csv" tab="0" semicolon="1">
      <textFields count="1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6" name="kw_integration_win_ui_diff_integration_ui_2013114_vs_integration_ui_20135041" type="6" refreshedVersion="4" background="1" saveData="1">
    <textPr codePage="437" sourceFile="C:\Users\mhornbeek\Documents\Tools\Klocwork\Results\kw_integration_win_ui_diff_integration_ui_2013114_vs_integration_ui_2013504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7" name="kw_integration_win_ui_diff_integration_ui_2013114_vs_integration_ui_20135111" type="6" refreshedVersion="4" background="1" saveData="1">
    <textPr codePage="437" sourceFile="C:\Users\mhornbeek\Documents\Tools\Klocwork\Results\kw_integration_win_ui_diff_integration_ui_2013114_vs_integration_ui_2013511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8" name="kw_integration_win_ui_diff_integration_ui_2013114_vs_integration_ui_20135181" type="6" refreshedVersion="4" background="1" saveData="1">
    <textPr codePage="437" sourceFile="C:\Users\mhornbeek\Documents\Tools\Klocwork\Results\kw_integration_win_ui_diff_integration_ui_2013114_vs_integration_ui_2013518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9" name="kw_integration_win_ui_diff_integration_ui_2013114_vs_integration_ui_20135251" type="6" refreshedVersion="4" background="1" saveData="1">
    <textPr codePage="437" sourceFile="C:\Users\mhornbeek\Documents\Tools\Klocwork\Results\kw_integration_win_ui_diff_integration_ui_2013114_vs_integration_ui_2013525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0" name="kw_integration_win_ui_diff_integration_ui_2013114_vs_integration_ui_20136011" type="6" refreshedVersion="4" background="1" saveData="1">
    <textPr codePage="437" sourceFile="C:\Users\mhornbeek\Documents\Tools\Klocwork\Results\kw_integration_win_ui_diff_integration_ui_2013114_vs_integration_ui_2013601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1" name="kw_integration_win_ui_diff_integration_ui_2013114_vs_integration_ui_20136081" type="6" refreshedVersion="4" background="1" saveData="1">
    <textPr codePage="437" sourceFile="C:\Users\mhornbeek\Documents\Tools\Klocwork\Results\kw_integration_win_ui_diff_integration_ui_2013114_vs_integration_ui_2013608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2" name="kw_integration_win_ui_diff_integration_ui_2013114_vs_integration_ui_20136151" type="6" refreshedVersion="4" background="1" saveData="1">
    <textPr codePage="437" sourceFile="C:\Users\mhornbeek\Documents\Tools\Klocwork\Results\kw_integration_win_ui_diff_integration_ui_2013114_vs_integration_ui_2013615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3" name="kw_integration_win_ui_diff_integration_ui_2013114_vs_integration_ui_20136221" type="6" refreshedVersion="4" background="1" saveData="1">
    <textPr codePage="437" sourceFile="C:\Users\mhornbeek\Documents\Tools\Klocwork\Results\kw_integration_win_ui_diff_integration_ui_2013114_vs_integration_ui_2013622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4" name="kw_integration_win_ui_diff_integration_ui_2013114_vs_integration_ui_20136291" type="6" refreshedVersion="4" background="1" saveData="1">
    <textPr codePage="437" sourceFile="C:\Users\mhornbeek\Documents\Tools\Klocwork\Results\kw_integration_win_ui_diff_integration_ui_2013114_vs_integration_ui_2013629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5" name="kw_integration_win_ui_diff_integration_ui_2013629_vs_integration_ui_20137132" type="6" refreshedVersion="4" background="1" saveData="1">
    <textPr codePage="437" sourceFile="C:\Users\mhornbeek\Documents\Tools\Klocwork\Results\kw_integration_win_ui_diff_integration_ui_2013629_vs_integration_ui_2013713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6" name="kw_integration_win_ui_diff_integration_ui_2013629_vs_integration_ui_20137271" type="6" refreshedVersion="4" background="1" saveData="1">
    <textPr codePage="437" sourceFile="C:\Users\mhornbeek\Documents\Tools\Klocwork\Results\kw_integration_win_ui_diff_integration_ui_2013629_vs_integration_ui_2013727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7" name="kw_integration_win_ui_diff_integration_ui_2013629_vs_integration_ui_20138041" type="6" refreshedVersion="4" background="1" saveData="1">
    <textPr codePage="437" sourceFile="C:\Users\mhornbeek\Documents\Tools\Klocwork\Results\kw_integration_win_ui_diff_integration_ui_2013629_vs_integration_ui_2013804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8" name="kw_integration_win_ui_diff_integration_ui_2013629_vs_integration_ui_2014-05-302" type="6" refreshedVersion="4" background="1" saveData="1">
    <textPr codePage="437" sourceFile="C:\Users\mhornbeek\Documents\Tools\Klocwork\Results\kw_integration_win_ui_diff_integration_ui_2013629_vs_integration_ui_2014-05-30.csv" tab="0" semicolon="1">
      <textFields count="3">
        <textField type="text"/>
        <textField/>
        <textField/>
      </textFields>
    </textPr>
  </connection>
  <connection id="319" name="kw_integration_win_ui_diff_integration_ui_2013629_vs_integration_ui_20141041" type="6" refreshedVersion="4" background="1" saveData="1">
    <textPr codePage="437" sourceFile="C:\Users\mhornbeek\Documents\Tools\Klocwork\Results\kw_integration_win_ui_diff_integration_ui_2013629_vs_integration_ui_2014104.csv" tab="0" semicolon="1">
      <textFields count="3">
        <textField type="text"/>
        <textField/>
        <textField/>
      </textFields>
    </textPr>
  </connection>
  <connection id="320" name="kw_integration_win_ui_diff_integration_ui_2014105_vs_integration_ui_2014-01-191" type="6" refreshedVersion="4" background="1" saveData="1">
    <textPr codePage="437" sourceFile="C:\Users\mhornbeek\Documents\Tools\Klocwork\Results\kw_integration_win_ui_diff_integration_ui_2014105_vs_integration_ui_2014-01-19.csv" tab="0" semicolon="1">
      <textFields count="3">
        <textField/>
        <textField/>
        <textField/>
      </textFields>
    </textPr>
  </connection>
  <connection id="321" name="kw_integration_win_ui_diff_integration_ui_2014105_vs_integration_ui_2014-01-311" type="6" refreshedVersion="4" background="1" saveData="1">
    <textPr codePage="437" sourceFile="C:\Users\mhornbeek\Documents\Tools\Klocwork\Results\kw_integration_win_ui_diff_integration_ui_2014105_vs_integration_ui_2014-01-31.csv" tab="0" semicolon="1">
      <textFields count="3">
        <textField type="text"/>
        <textField/>
        <textField/>
      </textFields>
    </textPr>
  </connection>
  <connection id="322" name="kw_integration_win_ui_diff_integration_ui_2014105_vs_integration_ui_2014-02-131" type="6" refreshedVersion="4" background="1" saveData="1">
    <textPr codePage="437" sourceFile="C:\Users\mhornbeek\Documents\Tools\Klocwork\Results\kw_integration_win_ui_diff_integration_ui_2014105_vs_integration_ui_2014-02-13.csv" tab="0" semicolon="1">
      <textFields count="3">
        <textField type="text"/>
        <textField/>
        <textField/>
      </textFields>
    </textPr>
  </connection>
  <connection id="323" name="kw_integration_win_ui_diff_integration_ui_2014105_vs_integration_ui_2014-02-221" type="6" refreshedVersion="4" background="1" saveData="1">
    <textPr codePage="437" sourceFile="C:\Users\mhornbeek\Documents\Tools\Klocwork\Results\kw_integration_win_ui_diff_integration_ui_2014105_vs_integration_ui_2014-02-22.csv" tab="0" semicolon="1">
      <textFields count="3">
        <textField type="text"/>
        <textField/>
        <textField/>
      </textFields>
    </textPr>
  </connection>
  <connection id="324" name="kw_integration_win_ui_diff_integration_ui_2014105_vs_integration_ui_2014-03-021" type="6" refreshedVersion="4" background="1" saveData="1">
    <textPr codePage="437" sourceFile="C:\Users\mhornbeek\Documents\Tools\Klocwork\Results\kw_integration_win_ui_diff_integration_ui_2014105_vs_integration_ui_2014-03-02.csv" tab="0" semicolon="1">
      <textFields count="3">
        <textField type="text"/>
        <textField/>
        <textField/>
      </textFields>
    </textPr>
  </connection>
  <connection id="325" name="kw_integration_win_ui_diff_integration_ui_2014105_vs_integration_ui_2014-03-081" type="6" refreshedVersion="4" background="1" saveData="1">
    <textPr codePage="437" sourceFile="C:\Users\mhornbeek\Documents\Tools\Klocwork\Results\kw_integration_win_ui_diff_integration_ui_2014105_vs_integration_ui_2014-03-08.csv" tab="0" semicolon="1">
      <textFields count="3">
        <textField type="text"/>
        <textField/>
        <textField/>
      </textFields>
    </textPr>
  </connection>
  <connection id="326" name="kw_integration_win_ui_diff_integration_ui_2014105_vs_integration_ui_2014-03-221" type="6" refreshedVersion="4" background="1" saveData="1">
    <textPr codePage="437" sourceFile="C:\Users\mhornbeek\Documents\Tools\Klocwork\Results\kw_integration_win_ui_diff_integration_ui_2014105_vs_integration_ui_2014-03-22.csv" tab="0" semicolon="1">
      <textFields count="3">
        <textField type="text"/>
        <textField/>
        <textField/>
      </textFields>
    </textPr>
  </connection>
  <connection id="327" name="kw_integration_win_ui_diff_integration_ui_2014105_vs_integration_ui_2014-04-121" type="6" refreshedVersion="4" background="1" saveData="1">
    <textPr codePage="437" sourceFile="C:\Users\mhornbeek\Documents\Tools\Klocwork\Results\kw_integration_win_ui_diff_integration_ui_2014105_vs_integration_ui_2014-04-12.csv" tab="0" semicolon="1">
      <textFields count="3">
        <textField type="text"/>
        <textField/>
        <textField/>
      </textFields>
    </textPr>
  </connection>
  <connection id="328" name="kw_integration_win_ui_diff_integration_ui_2014105_vs_integration_ui_2014-04-261" type="6" refreshedVersion="4" background="1" saveData="1">
    <textPr codePage="437" sourceFile="C:\Users\mhornbeek\Documents\Tools\Klocwork\Results\kw_integration_win_ui_diff_integration_ui_2014105_vs_integration_ui_2014-04-26.csv" tab="0" semicolon="1">
      <textFields count="3">
        <textField type="text"/>
        <textField/>
        <textField/>
      </textFields>
    </textPr>
  </connection>
  <connection id="329" name="kw_integration_win_ui_diff_integration_ui_2014105_vs_integration_ui_2014-05-041" type="6" refreshedVersion="4" background="1" saveData="1">
    <textPr codePage="437" sourceFile="C:\Users\mhornbeek\Documents\Tools\Klocwork\Results\kw_integration_win_ui_diff_integration_ui_2014105_vs_integration_ui_2014-05-04.csv" tab="0" semicolon="1">
      <textFields count="3">
        <textField type="text"/>
        <textField/>
        <textField/>
      </textFields>
    </textPr>
  </connection>
  <connection id="330" name="kw_integration_win_ui_diff_integration_ui_2014105_vs_integration_ui_2014-05-111" type="6" refreshedVersion="4" background="1" saveData="1">
    <textPr codePage="437" sourceFile="C:\Users\mhornbeek\Documents\Tools\Klocwork\Results\kw_integration_win_ui_diff_integration_ui_2014105_vs_integration_ui_2014-05-11.csv" tab="0" semicolon="1">
      <textFields count="3">
        <textField type="text"/>
        <textField/>
        <textField/>
      </textFields>
    </textPr>
  </connection>
  <connection id="331" name="kw_integration_win_ui_diff_integration_ui_2014105_vs_integration_ui_2014-05-181" type="6" refreshedVersion="4" background="1" saveData="1">
    <textPr codePage="437" sourceFile="C:\Users\mhornbeek\Documents\Tools\Klocwork\Results\kw_integration_win_ui_diff_integration_ui_2014105_vs_integration_ui_2014-05-18.csv" tab="0" semicolon="1">
      <textFields count="3">
        <textField type="text"/>
        <textField/>
        <textField/>
      </textFields>
    </textPr>
  </connection>
  <connection id="332" name="kw_integration_win_ui_diff_integration_ui_2014105_vs_integration_ui_2014-06-071" type="6" refreshedVersion="4" background="1" saveData="1">
    <textPr codePage="437" sourceFile="C:\Users\mhornbeek\Documents\Tools\Klocwork\Results\kw_integration_win_ui_diff_integration_ui_2014105_vs_integration_ui_2014-06-07.csv" tab="0" semicolon="1">
      <textFields count="3">
        <textField type="text"/>
        <textField/>
        <textField/>
      </textFields>
    </textPr>
  </connection>
  <connection id="333" name="kw_integration_win_ui_diff_integration_ui_2014105_vs_integration_ui_2014-06-281" type="6" refreshedVersion="4" background="1" saveData="1">
    <textPr codePage="437" sourceFile="C:\Users\mhornbeek\Documents\Tools\Klocwork\Results\kw_integration_win_ui_diff_integration_ui_2014105_vs_integration_ui_2014-06-28.csv" tab="0" semicolon="1">
      <textFields count="3">
        <textField type="text"/>
        <textField/>
        <textField/>
      </textFields>
    </textPr>
  </connection>
  <connection id="334" name="kw_integration_win_ui_diff_integration_ui_2014105_vs_integration_ui_2014-07-051" type="6" refreshedVersion="4" background="1" saveData="1">
    <textPr codePage="437" sourceFile="C:\Users\songkamong\Documents\Spirent's Stuff\Klocwork_Report\2014-07-06\raw_data\kw_integration_win_ui_diff_integration_ui_2014105_vs_integration_ui_2014-07-05.csv" tab="0" semicolon="1">
      <textFields count="3">
        <textField/>
        <textField/>
        <textField/>
      </textFields>
    </textPr>
  </connection>
  <connection id="335" name="kw_integration_win_ui_diff_integration_ui_2014105_vs_integration_ui_2014-08-021" type="6" refreshedVersion="4" background="1" saveData="1">
    <textPr prompt="0" codePage="437" sourceFile="C:\Users\songkamong\Documents\Spirent's Stuff\Klocwork_Report\2014-08-07\raw_data\kw_integration_win_ui_diff_integration_ui_2014105_vs_integration_ui_2014-08-02.csv" tab="0" semicolon="1">
      <textFields count="3">
        <textField/>
        <textField/>
        <textField/>
      </textFields>
    </textPr>
  </connection>
  <connection id="336" name="kw_integration_win_ui_diff_integration_ui_2014105_vs_integration_ui_2014-08-171" type="6" refreshedVersion="4" background="1" saveData="1">
    <textPr prompt="0" codePage="437" sourceFile="C:\Users\songkamong\Documents\Spirent's Stuff\Klocwork_Report\2014-08-20\raw_data\kw_integration_win_ui_diff_integration_ui_2014105_vs_integration_ui_2014-08-17.csv" tab="0" semicolon="1">
      <textFields count="3">
        <textField/>
        <textField/>
        <textField/>
      </textFields>
    </textPr>
  </connection>
  <connection id="337" name="kw_integration_win_ui_diff_integration_ui_2014105_vs_integration_ui_2014-09-071" type="6" refreshedVersion="4" background="1" saveData="1">
    <textPr prompt="0" codePage="437" sourceFile="C:\Users\songkamong\Documents\Spirent's Stuff\Klocwork_Report\2014-09-10\raw_data\kw_integration_win_ui_diff_integration_ui_2014105_vs_integration_ui_2014-09-07.csv" tab="0" semicolon="1">
      <textFields count="3">
        <textField/>
        <textField/>
        <textField/>
      </textFields>
    </textPr>
  </connection>
  <connection id="338" name="kw_integration_win_ui_diff_integration_ui_2014105_vs_integration_ui_2014-09-201" type="6" refreshedVersion="4" background="1" saveData="1">
    <textPr prompt="0" codePage="437" sourceFile="kw_integration_win_ui_diff_integration_ui_2014105_vs_integration_ui_2014-09-20.csv" tab="0" semicolon="1">
      <textFields count="3">
        <textField/>
        <textField/>
        <textField/>
      </textFields>
    </textPr>
  </connection>
  <connection id="339" name="kw_integration_win_ui_diff_integration_ui_2014105_vs_integration_ui_2014-09-202" type="6" refreshedVersion="4" background="1" saveData="1">
    <textPr prompt="0" codePage="437" sourceFile="kw_integration_win_ui_diff_integration_ui_2014105_vs_integration_ui_2014-09-20.csv" tab="0" semicolon="1">
      <textFields count="3">
        <textField/>
        <textField/>
        <textField/>
      </textFields>
    </textPr>
  </connection>
  <connection id="340" name="kw_integration_win_ui_diff_integration_ui_2014105_vs_integration_ui_2014-10-121" type="6" refreshedVersion="4" background="1" saveData="1">
    <textPr prompt="0" codePage="437" sourceFile="kw_integration_win_ui_diff_integration_ui_2014105_vs_integration_ui_2014-10-12.csv" tab="0" semicolon="1">
      <textFields count="3">
        <textField/>
        <textField/>
        <textField/>
      </textFields>
    </textPr>
  </connection>
  <connection id="341" name="kw_integration_win_ui_diff_integration_ui_2014105_vs_integration_ui_2014-12-051" type="6" refreshedVersion="4" background="1" saveData="1">
    <textPr prompt="0" codePage="437" sourceFile="kw_integration_win_ui_diff_integration_ui_2014105_vs_integration_ui_2014-12-05.csv" tab="0" semicolon="1">
      <textFields count="3">
        <textField/>
        <textField/>
        <textField/>
      </textFields>
    </textPr>
  </connection>
  <connection id="342" name="kw_integration_win_ui_diff_integration_ui_2014105_vs_integration_ui_2015-01-041" type="6" refreshedVersion="4" background="1" saveData="1">
    <textPr prompt="0" codePage="437" sourceFile="kw_integration_win_ui_diff_integration_ui_2014105_vs_integration_ui_2015-01-04.csv" tab="0" semicolon="1">
      <textFields count="3">
        <textField/>
        <textField/>
        <textField/>
      </textFields>
    </textPr>
  </connection>
  <connection id="343" name="kw_integration_win_ui_diff_integration_ui_2015-02-15_vs_integration_ui_2015-02-191" type="6" refreshedVersion="4" background="1" saveData="1">
    <textPr prompt="0" codePage="437" sourceFile="kw_integration_win_ui_diff_integration_ui_2015-02-15_vs_integration_ui_2015-02-19.csv" tab="0" semicolon="1">
      <textFields count="3">
        <textField/>
        <textField/>
        <textField/>
      </textFields>
    </textPr>
  </connection>
  <connection id="344" name="kw_integration_win_ui_diff_integration_ui_2015-02-15_vs_integration_ui_2015-02-1911" type="6" refreshedVersion="4" background="1" saveData="1">
    <textPr codePage="437" sourceFile="C:\Users\songkamong\Documents\Spirent's Stuff\Klocwork_Report\2015-02-18\raw_data\kw_integration_win_ui_diff_integration_ui_2015-02-15_vs_integration_ui_2015-02-19.csv" tab="0" semicolon="1">
      <textFields count="3">
        <textField/>
        <textField/>
        <textField/>
      </textFields>
    </textPr>
  </connection>
  <connection id="345" name="kw_integration_win_ui_diff_integration_ui_2015-02-15_vs_integration_ui_2015-03-281" type="6" refreshedVersion="4" background="1" saveData="1">
    <textPr prompt="0" codePage="437" sourceFile="kw_integration_win_ui_diff_integration_ui_2015-02-15_vs_integration_ui_2015-03-28.csv" tab="0" semicolon="1">
      <textFields count="3">
        <textField/>
        <textField/>
        <textField/>
      </textFields>
    </textPr>
  </connection>
  <connection id="346" name="kw_integration_win_ui_diff_integration_ui_2015-02-15_vs_integration_ui_2015-08-301" type="6" refreshedVersion="4" background="1" saveData="1">
    <textPr prompt="0" codePage="437" sourceFile="kw_integration_win_ui_diff_integration_ui_2015-02-15_vs_integration_ui_2015-08-30.csv" tab="0" semicolon="1">
      <textFields count="3">
        <textField/>
        <textField/>
        <textField/>
      </textFields>
    </textPr>
  </connection>
  <connection id="347" name="kw_integration_win_ui_diff_integration_ui_2015-02-15_vs_integration_ui_2015-09-201" type="6" refreshedVersion="4" background="1" saveData="1">
    <textPr prompt="0" codePage="437" sourceFile="kw_integration_win_ui_diff_integration_ui_2015-02-15_vs_integration_ui_2015-09-20.csv" tab="0" semicolon="1">
      <textFields count="3">
        <textField/>
        <textField/>
        <textField/>
      </textFields>
    </textPr>
  </connection>
  <connection id="348" name="kw_integration_win_ui_diff_integration_ui_2015-02-15_vs_integration_ui_2015-09-202" type="6" refreshedVersion="4" background="1" saveData="1">
    <textPr prompt="0" codePage="437" sourceFile="kw_integration_win_ui_diff_integration_ui_2015-02-15_vs_integration_ui_2015-09-20.csv" tab="0" semicolon="1">
      <textFields count="3">
        <textField/>
        <textField/>
        <textField/>
      </textFields>
    </textPr>
  </connection>
  <connection id="349" name="kw_integration_win_ui_diff_integration_ui_2015-02-15_vs_integration_ui_2015-09-203" type="6" refreshedVersion="4" background="1" saveData="1">
    <textPr prompt="0" codePage="437" sourceFile="kw_integration_win_ui_diff_integration_ui_2015-02-15_vs_integration_ui_2015-09-20.csv" tab="0" semicolon="1">
      <textFields count="3">
        <textField/>
        <textField/>
        <textField/>
      </textFields>
    </textPr>
  </connection>
  <connection id="350" name="kw_integration_win_ui_diff_integration_ui_2015-10-11_vs_integration_ui_2016-01-141" type="6" refreshedVersion="4" background="1" saveData="1">
    <textPr prompt="0" codePage="437" sourceFile="kw_integration_win_ui_diff_integration_ui_2015-10-11_vs_integration_ui_2016-01-14.csv" tab="0" semicolon="1">
      <textFields count="3">
        <textField/>
        <textField/>
        <textField/>
      </textFields>
    </textPr>
  </connection>
  <connection id="351" name="kw_integration_win_ui_diff_integration_ui_2015-10-11_vs_integration_ui_2016-02-131" type="6" refreshedVersion="4" background="1" saveData="1">
    <textPr prompt="0" codePage="437" sourceFile="kw_integration_win_ui_diff_integration_ui_2015-10-11_vs_integration_ui_2016-02-13.csv" tab="0" semicolon="1">
      <textFields count="3">
        <textField/>
        <textField/>
        <textField/>
      </textFields>
    </textPr>
  </connection>
  <connection id="352" name="kw_integration_win_ui_diff_integration_ui_2015-10-11_vs_integration_ui_2016-07-031" type="6" refreshedVersion="4" background="1" saveData="1">
    <textPr prompt="0" codePage="437" sourceFile="kw_integration_win_ui_diff_integration_ui_2015-10-11_vs_integration_ui_2016-07-03.csv" tab="0" semicolon="1">
      <textFields count="3">
        <textField/>
        <textField/>
        <textField/>
      </textFields>
    </textPr>
  </connection>
  <connection id="353" name="kw_integration_x86_baseline_diff_integration_2012_12_9_3_vs_integration_2013_1_142" type="6" refreshedVersion="4" background="1" saveData="1">
    <textPr codePage="437" sourceFile="C:\Users\mhornbeek\Documents\Tools\Klocwork\Results\kw_integration_x86_baseline_diff_integration_2012_12_9_3_vs_integration_2013_1_14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4" name="kw_integration_x86_baseline_diff_integration_2012_12_9_3_vs_integration_2013_1_211" type="6" refreshedVersion="4" background="1" saveData="1">
    <textPr codePage="437" sourceFile="C:\Users\mhornbeek\Documents\Tools\Klocwork\Results\kw_integration_x86_baseline_diff_integration_2012_12_9_3_vs_integration_2013_1_21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5" name="kw_integration_x86_baseline_diff_integration_2012_12_9_3_vs_integration_2013_1_71" type="6" refreshedVersion="4" background="1" saveData="1">
    <textPr codePage="437" sourceFile="C:\Users\mhornbeek\Documents\Tools\Klocwork\Results\kw_integration_x86_baseline_diff_integration_2012_12_9_3_vs_integration_2013_1_7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6" name="kw_integration_x86_baseline_diff_integration_2012_12_9_3_vs_integration_2013_2_101" type="6" refreshedVersion="4" background="1" saveData="1">
    <textPr codePage="437" sourceFile="C:\Users\mhornbeek\Documents\Tools\Klocwork\Results\kw_integration_x86_baseline_diff_integration_2012_12_9_3_vs_integration_2013_2_10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7" name="kw_integration_x86_baseline_diff_integration_2012_12_9_3_vs_integration_2013_2_241" type="6" refreshedVersion="4" background="1" saveData="1">
    <textPr codePage="437" sourceFile="C:\Users\mhornbeek\Documents\Tools\Klocwork\Results\kw_integration_x86_baseline_diff_integration_2012_12_9_3_vs_integration_2013_2_24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8" name="kw_integration_x86_baseline_diff_integration_2012_12_9_3_vs_integration_2013_2_31" type="6" refreshedVersion="4" background="1" saveData="1">
    <textPr codePage="437" sourceFile="C:\Users\mhornbeek\Documents\Tools\Klocwork\Results\kw_integration_x86_baseline_diff_integration_2012_12_9_3_vs_integration_2013_2_3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9" name="kw_integration_x86_baseline_diff_integration_2012_12_9_3_vs_integration_2013_3_101" type="6" refreshedVersion="4" background="1" saveData="1">
    <textPr codePage="437" sourceFile="C:\Users\mhornbeek\Documents\Tools\Klocwork\Results\kw_integration_x86_baseline_diff_integration_2012_12_9_3_vs_integration_2013_3_10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0" name="kw_integration_x86_baseline_diff_integration_2012_12_9_3_vs_integration_2013_3_171" type="6" refreshedVersion="4" background="1" saveData="1">
    <textPr codePage="437" sourceFile="C:\Users\mhornbeek\Documents\Tools\Klocwork\Results\kw_integration_x86_baseline_diff_integration_2012_12_9_3_vs_integration_2013_3_17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1" name="kw_integration_x86_baseline_diff_integration_2012_12_9_3_vs_integration_2013_3_251" type="6" refreshedVersion="4" background="1" saveData="1">
    <textPr codePage="437" sourceFile="C:\Users\mhornbeek\Documents\Tools\Klocwork\Results\kw_integration_x86_baseline_diff_integration_2012_12_9_3_vs_integration_2013_3_25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2" name="kw_integration_x86_baseline_diff_integration_2012_12_9_3_vs_integration_2013_3_31" type="6" refreshedVersion="4" background="1" saveData="1">
    <textPr codePage="437" sourceFile="C:\Users\mhornbeek\Documents\Tools\Klocwork\Results\kw_integration_x86_baseline_diff_integration_2012_12_9_3_vs_integration_2013_3_3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3" name="kw_integration_x86_baseline_diff_integration_2012_12_9_3_vs_integration_2013_3_3111" type="6" refreshedVersion="4" background="1" saveData="1">
    <textPr codePage="437" sourceFile="C:\Users\mhornbeek\Documents\Tools\Klocwork\Results\kw_integration_x86_baseline_diff_integration_2012_12_9_3_vs_integration_2013_3_31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4" name="kw_integration_x86_baseline_diff_integration_2012_12_9_3_vs_integration_2013_4_161" type="6" refreshedVersion="4" background="1" saveData="1">
    <textPr codePage="437" sourceFile="C:\Users\mhornbeek\Documents\Tools\Klocwork\Results\kw_integration_x86_baseline_diff_integration_2012_12_9_3_vs_integration_2013_4_16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5" name="kw_integration_x86_baseline_diff_integration_2012_12_9_3_vs_integration_2013_4_211" type="6" refreshedVersion="4" background="1" saveData="1">
    <textPr codePage="437" sourceFile="C:\Users\mhornbeek\Documents\Tools\Klocwork\Results\kw_integration_x86_baseline_diff_integration_2012_12_9_3_vs_integration_2013_4_21.csv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6" name="kw_integration_x86_baseline_diff_integration_2012_12_9_3_vs_integration_2013_4_281" type="6" refreshedVersion="4" background="1" saveData="1">
    <textPr codePage="437" sourceFile="C:\Users\mhornbeek\Documents\Tools\Klocwork\Results\kw_integration_x86_baseline_diff_integration_2012_12_9_3_vs_integration_2013_4_28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7" name="kw_integration_x86_baseline_diff_integration_2012_12_9_3_vs_integration_2013_4_61" type="6" refreshedVersion="4" background="1" saveData="1">
    <textPr codePage="437" sourceFile="C:\Users\mhornbeek\Documents\Tools\Klocwork\Results\kw_integration_x86_baseline_diff_integration_2012_12_9_3_vs_integration_2013_4_6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8" name="kw_integration_x86_baseline_diff_integration_2012_12_9_3_vs_integration_2013_5_121" type="6" refreshedVersion="4" background="1" saveData="1">
    <textPr codePage="437" sourceFile="C:\Users\mhornbeek\Documents\Tools\Klocwork\Results\kw_integration_x86_baseline_diff_integration_2012_12_9_3_vs_integration_2013_5_12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9" name="kw_integration_x86_baseline_diff_integration_2012_12_9_3_vs_integration_2013_5_191" type="6" refreshedVersion="4" background="1" saveData="1">
    <textPr codePage="437" sourceFile="C:\Users\mhornbeek\Documents\Tools\Klocwork\Results\kw_integration_x86_baseline_diff_integration_2012_12_9_3_vs_integration_2013_5_19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0" name="kw_integration_x86_baseline_diff_integration_2012_12_9_3_vs_integration_2013_5_261" type="6" refreshedVersion="4" background="1" saveData="1">
    <textPr codePage="437" sourceFile="C:\Users\mhornbeek\Documents\Tools\Klocwork\Results\kw_integration_x86_baseline_diff_integration_2012_12_9_3_vs_integration_2013_5_26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1" name="kw_integration_x86_baseline_diff_integration_2012_12_9_3_vs_integration_2013_5_51" type="6" refreshedVersion="4" background="1" saveData="1">
    <textPr codePage="437" sourceFile="C:\Users\mhornbeek\Documents\Tools\Klocwork\Results\kw_integration_x86_baseline_diff_integration_2012_12_9_3_vs_integration_2013_5_5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2" name="kw_integration_x86_baseline_diff_integration_2012_12_9_3_vs_integration_2013_6_161" type="6" refreshedVersion="4" background="1" saveData="1">
    <textPr codePage="437" sourceFile="C:\Users\mhornbeek\Documents\Tools\Klocwork\Results\kw_integration_x86_baseline_diff_integration_2012_12_9_3_vs_integration_2013_6_16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3" name="kw_integration_x86_baseline_diff_integration_2012_12_9_3_vs_integration_2013_6_21" type="6" refreshedVersion="4" background="1" saveData="1">
    <textPr codePage="437" sourceFile="C:\Users\mhornbeek\Documents\Tools\Klocwork\Results\kw_integration_x86_baseline_diff_integration_2012_12_9_3_vs_integration_2013_6_2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4" name="kw_integration_x86_baseline_diff_integration_2012_12_9_3_vs_integration_2013_6_231" type="6" refreshedVersion="4" background="1" saveData="1">
    <textPr codePage="437" sourceFile="C:\Users\mhornbeek\Documents\Tools\Klocwork\Results\kw_integration_x86_baseline_diff_integration_2012_12_9_3_vs_integration_2013_6_23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5" name="kw_integration_x86_baseline_diff_integration_2012_12_9_3_vs_integration_2013_6_301" type="6" refreshedVersion="4" background="1" saveData="1">
    <textPr codePage="437" sourceFile="C:\Users\mhornbeek\Documents\Tools\Klocwork\Results\kw_integration_x86_baseline_diff_integration_2012_12_9_3_vs_integration_2013_6_30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6" name="kw_integration_x86_baseline_diff_integration_2012_12_9_3_vs_integration_2013_6_91" type="6" refreshedVersion="4" background="1" saveData="1">
    <textPr codePage="437" sourceFile="C:\Users\mhornbeek\Documents\Tools\Klocwork\Results\kw_integration_x86_baseline_diff_integration_2012_12_9_3_vs_integration_2013_6_9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7" name="kw_integration_x86_baseline_diff_integration_2013_6_30_vs_integration_2013_12_211" type="6" refreshedVersion="4" background="1" saveData="1">
    <textPr codePage="437" sourceFile="C:\Users\mhornbeek\Documents\Tools\Klocwork\Results\kw_integration_x86_baseline_diff_integration_2013_6_30_vs_integration_2013_12_21.csv" tab="0" semicolon="1">
      <textFields count="3">
        <textField type="text"/>
        <textField/>
        <textField/>
      </textFields>
    </textPr>
  </connection>
  <connection id="378" name="kw_integration_x86_baseline_diff_integration_2013_6_30_vs_integration_2013_12_291" type="6" refreshedVersion="4" background="1" saveData="1">
    <textPr codePage="437" sourceFile="C:\Users\mhornbeek\Documents\Tools\Klocwork\Results\kw_integration_x86_baseline_diff_integration_2013_6_30_vs_integration_2013_12_29.csv" tab="0" semicolon="1">
      <textFields count="3">
        <textField type="text"/>
        <textField/>
        <textField/>
      </textFields>
    </textPr>
  </connection>
  <connection id="379" name="kw_integration_x86_baseline_diff_integration_2013_6_30_vs_integration_2013_7_141" type="6" refreshedVersion="4" background="1" saveData="1">
    <textPr codePage="437" sourceFile="C:\Users\mhornbeek\Documents\Tools\Klocwork\Results\kw_integration_x86_baseline_diff_integration_2013_6_30_vs_integration_2013_7_14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0" name="kw_integration_x86_baseline_diff_integration_2013_6_30_vs_integration_2013_7_281" type="6" refreshedVersion="4" background="1" saveData="1">
    <textPr codePage="437" sourceFile="C:\Users\mhornbeek\Documents\Tools\Klocwork\Results\kw_integration_x86_baseline_diff_integration_2013_6_30_vs_integration_2013_7_28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1" name="kw_integration_x86_baseline_diff_integration_2013_6_30_vs_integration_2013_7_71" type="6" refreshedVersion="4" background="1" saveData="1">
    <textPr codePage="437" sourceFile="C:\Users\mhornbeek\Documents\Tools\Klocwork\Results\kw_integration_x86_baseline_diff_integration_2013_6_30_vs_integration_2013_7_7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2" name="kw_integration_x86_baseline_diff_integration_2013_6_30_vs_integration_2013_8_41" type="6" refreshedVersion="4" background="1" saveData="1">
    <textPr codePage="437" sourceFile="C:\Users\mhornbeek\Documents\Tools\Klocwork\Results\kw_integration_x86_baseline_diff_integration_2013_6_30_vs_integration_2013_8_4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3" name="kw_integration_x86_baseline_diff_integration_2013_6_30_vs_integration_2014_1_51" type="6" refreshedVersion="4" background="1" saveData="1">
    <textPr codePage="437" sourceFile="C:\Users\mhornbeek\Documents\Tools\Klocwork\Results\kw_integration_x86_baseline_diff_integration_2013_6_30_vs_integration_2014_1_5.csv" tab="0" semicolon="1">
      <textFields count="3">
        <textField type="text"/>
        <textField/>
        <textField/>
      </textFields>
    </textPr>
  </connection>
  <connection id="384" name="kw_integration_x86_baseline_diff_integration_2013_6_30_vs_integration_2014-06-011" type="6" refreshedVersion="4" background="1" saveData="1">
    <textPr codePage="437" sourceFile="C:\Users\mhornbeek\Documents\Tools\Klocwork\Results\kw_integration_x86_baseline_diff_integration_2013_6_30_vs_integration_2014-06-01.csv" tab="0" semicolon="1">
      <textFields count="3">
        <textField type="text"/>
        <textField/>
        <textField/>
      </textFields>
    </textPr>
  </connection>
  <connection id="385" name="kw_integration_x86_baseline_diff_integration_2014_1_5_vs_integration_2014-01-181" type="6" refreshedVersion="4" background="1" saveData="1">
    <textPr codePage="437" sourceFile="C:\Users\mhornbeek\Documents\Tools\Klocwork\Results\kw_integration_x86_baseline_diff_integration_2014_1_5_vs_integration_2014-01-18.csv" tab="0" semicolon="1">
      <textFields count="3">
        <textField/>
        <textField/>
        <textField/>
      </textFields>
    </textPr>
  </connection>
  <connection id="386" name="kw_integration_x86_baseline_diff_integration_2014_1_5_vs_integration_2014-02-021" type="6" refreshedVersion="4" background="1" saveData="1">
    <textPr codePage="437" sourceFile="C:\Users\mhornbeek\Documents\Tools\Klocwork\Results\kw_integration_x86_baseline_diff_integration_2014_1_5_vs_integration_2014-02-02.csv" tab="0" semicolon="1">
      <textFields count="3">
        <textField type="text"/>
        <textField/>
        <textField/>
      </textFields>
    </textPr>
  </connection>
  <connection id="387" name="kw_integration_x86_baseline_diff_integration_2014_1_5_vs_integration_2014-02-161" type="6" refreshedVersion="4" background="1" saveData="1">
    <textPr codePage="437" sourceFile="C:\Users\mhornbeek\Documents\Tools\Klocwork\Results\kw_integration_x86_baseline_diff_integration_2014_1_5_vs_integration_2014-02-16.csv" tab="0" semicolon="1">
      <textFields count="3">
        <textField type="text"/>
        <textField/>
        <textField/>
      </textFields>
    </textPr>
  </connection>
  <connection id="388" name="kw_integration_x86_baseline_diff_integration_2014_1_5_vs_integration_2014-02-231" type="6" refreshedVersion="4" background="1" saveData="1">
    <textPr codePage="437" sourceFile="C:\Users\mhornbeek\Documents\Tools\Klocwork\Results\kw_integration_x86_baseline_diff_integration_2014_1_5_vs_integration_2014-02-23.csv" tab="0" semicolon="1">
      <textFields count="3">
        <textField type="text"/>
        <textField/>
        <textField/>
      </textFields>
    </textPr>
  </connection>
  <connection id="389" name="kw_integration_x86_baseline_diff_integration_2014_1_5_vs_integration_2014-03-021" type="6" refreshedVersion="4" background="1" saveData="1">
    <textPr codePage="437" sourceFile="C:\Users\mhornbeek\Documents\Tools\Klocwork\Results\kw_integration_x86_baseline_diff_integration_2014_1_5_vs_integration_2014-03-02.csv" tab="0" semicolon="1">
      <textFields count="3">
        <textField type="text"/>
        <textField/>
        <textField/>
      </textFields>
    </textPr>
  </connection>
  <connection id="390" name="kw_integration_x86_baseline_diff_integration_2014_1_5_vs_integration_2014-03-091" type="6" refreshedVersion="4" background="1" saveData="1">
    <textPr codePage="437" sourceFile="C:\Users\mhornbeek\Documents\Tools\Klocwork\Results\kw_integration_x86_baseline_diff_integration_2014_1_5_vs_integration_2014-03-09.csv" tab="0" semicolon="1">
      <textFields count="3">
        <textField type="text"/>
        <textField/>
        <textField/>
      </textFields>
    </textPr>
  </connection>
  <connection id="391" name="kw_integration_x86_baseline_diff_integration_2014_1_5_vs_integration_2014-03-231" type="6" refreshedVersion="4" background="1" saveData="1">
    <textPr codePage="437" sourceFile="C:\Users\mhornbeek\Documents\Tools\Klocwork\Results\kw_integration_x86_baseline_diff_integration_2014_1_5_vs_integration_2014-03-23.csv" tab="0" semicolon="1">
      <textFields count="3">
        <textField type="text"/>
        <textField/>
        <textField/>
      </textFields>
    </textPr>
  </connection>
  <connection id="392" name="kw_integration_x86_baseline_diff_integration_2014_1_5_vs_integration_2014-04-291" type="6" refreshedVersion="4" background="1" saveData="1">
    <textPr codePage="437" sourceFile="C:\Users\mhornbeek\Documents\Tools\Klocwork\Results\kw_integration_x86_baseline_diff_integration_2014_1_5_vs_integration_2014-04-29.csv" tab="0" semicolon="1">
      <textFields count="3">
        <textField type="text"/>
        <textField/>
        <textField/>
      </textFields>
    </textPr>
  </connection>
  <connection id="393" name="kw_integration_x86_baseline_diff_integration_2014_1_5_vs_integration_2014-05-041" type="6" refreshedVersion="4" background="1" saveData="1">
    <textPr codePage="437" sourceFile="C:\Users\mhornbeek\Documents\Tools\Klocwork\Results\kw_integration_x86_baseline_diff_integration_2014_1_5_vs_integration_2014-05-04.csv" tab="0" semicolon="1">
      <textFields count="3">
        <textField type="text"/>
        <textField/>
        <textField/>
      </textFields>
    </textPr>
  </connection>
  <connection id="394" name="kw_integration_x86_baseline_diff_integration_2014_1_5_vs_integration_2014-05-111" type="6" refreshedVersion="4" background="1" saveData="1">
    <textPr codePage="437" sourceFile="C:\Users\mhornbeek\Documents\Tools\Klocwork\Results\kw_integration_x86_baseline_diff_integration_2014_1_5_vs_integration_2014-05-11.csv" tab="0" semicolon="1">
      <textFields count="3">
        <textField type="text"/>
        <textField/>
        <textField/>
      </textFields>
    </textPr>
  </connection>
  <connection id="395" name="kw_integration_x86_baseline_diff_integration_2014_1_5_vs_integration_2014-05-181" type="6" refreshedVersion="4" background="1" saveData="1">
    <textPr codePage="437" sourceFile="C:\Users\mhornbeek\Documents\Tools\Klocwork\Results\kw_integration_x86_baseline_diff_integration_2014_1_5_vs_integration_2014-05-18.csv" tab="0" semicolon="1">
      <textFields count="3">
        <textField type="text"/>
        <textField/>
        <textField/>
      </textFields>
    </textPr>
  </connection>
  <connection id="396" name="kw_integration_x86_baseline_diff_integration_2014_1_5_vs_integration_2014-06-081" type="6" refreshedVersion="4" background="1" saveData="1">
    <textPr codePage="437" sourceFile="C:\Users\mhornbeek\Documents\Tools\Klocwork\Results\kw_integration_x86_baseline_diff_integration_2014_1_5_vs_integration_2014-06-08.csv" tab="0" semicolon="1">
      <textFields count="3">
        <textField type="text"/>
        <textField/>
        <textField/>
      </textFields>
    </textPr>
  </connection>
  <connection id="397" name="kw_integration_x86_baseline_diff_integration_2014_1_5_vs_integration_2014-06-291" type="6" refreshedVersion="4" background="1" saveData="1">
    <textPr codePage="437" sourceFile="C:\Users\mhornbeek\Documents\Tools\Klocwork\Results\kw_integration_x86_baseline_diff_integration_2014_1_5_vs_integration_2014-06-29.csv" tab="0" semicolon="1">
      <textFields count="3">
        <textField type="text"/>
        <textField/>
        <textField/>
      </textFields>
    </textPr>
  </connection>
  <connection id="398" name="kw_integration_x86_baseline_diff_integration_2014_1_5_vs_integration_2014-07-202" type="6" refreshedVersion="4" background="1" saveData="1">
    <textPr codePage="437" sourceFile="C:\Users\songkamong\Documents\Spirent's Stuff\Klocwork_Report\2014-07-21\raw_data\kw_integration_x86_baseline_diff_integration_2014_1_5_vs_integration_2014-07-20.csv" tab="0" semicolon="1">
      <textFields count="3">
        <textField/>
        <textField/>
        <textField/>
      </textFields>
    </textPr>
  </connection>
  <connection id="399" name="kw_integration_x86_baseline_diff_integration_2014_1_5_vs_integration_2014-08-031" type="6" refreshedVersion="4" background="1" saveData="1">
    <textPr prompt="0" codePage="437" sourceFile="C:\Users\songkamong\Documents\Spirent's Stuff\Klocwork_Report\2014-08-07\raw_data\kw_integration_x86_baseline_diff_integration_2014_1_5_vs_integration_2014-08-03.csv" tab="0" semicolon="1">
      <textFields count="3">
        <textField/>
        <textField/>
        <textField/>
      </textFields>
    </textPr>
  </connection>
  <connection id="400" name="kw_integration_x86_baseline_diff_integration_2014_1_5_vs_integration_2014-08-171" type="6" refreshedVersion="4" background="1" saveData="1">
    <textPr prompt="0" codePage="437" sourceFile="C:\Users\songkamong\Documents\Spirent's Stuff\Klocwork_Report\2014-08-20\raw_data\kw_integration_x86_baseline_diff_integration_2014_1_5_vs_integration_2014-08-17.csv" tab="0" semicolon="1">
      <textFields count="3">
        <textField/>
        <textField/>
        <textField/>
      </textFields>
    </textPr>
  </connection>
  <connection id="401" name="kw_integration_x86_baseline_diff_integration_2014_1_5_vs_integration_2014-09-071" type="6" refreshedVersion="4" background="1" saveData="1">
    <textPr prompt="0" codePage="437" sourceFile="C:\Users\songkamong\Documents\Spirent's Stuff\Klocwork_Report\2014-09-10\raw_data\kw_integration_x86_baseline_diff_integration_2014_1_5_vs_integration_2014-09-07.csv" tab="0" semicolon="1">
      <textFields count="3">
        <textField/>
        <textField/>
        <textField/>
      </textFields>
    </textPr>
  </connection>
  <connection id="402" name="kw_integration_x86_baseline_diff_integration_2014_1_5_vs_integration_2014-09-072" type="6" refreshedVersion="4" background="1" saveData="1">
    <textPr prompt="0" codePage="437" sourceFile="C:\Users\songkamong\Documents\Spirent's Stuff\Klocwork_Report\2014-09-10\raw_data\kw_integration_x86_baseline_diff_integration_2014_1_5_vs_integration_2014-09-07.csv" tab="0" semicolon="1">
      <textFields count="3">
        <textField/>
        <textField/>
        <textField/>
      </textFields>
    </textPr>
  </connection>
  <connection id="403" name="kw_integration_x86_baseline_diff_integration_2014_1_5_vs_integration_2014-09-211" type="6" refreshedVersion="4" background="1" saveData="1">
    <textPr prompt="0" codePage="437" sourceFile="kw_integration_x86_baseline_diff_integration_2014_1_5_vs_integration_2014-09-21.csv" tab="0" semicolon="1">
      <textFields count="3">
        <textField/>
        <textField/>
        <textField/>
      </textFields>
    </textPr>
  </connection>
  <connection id="404" name="kw_integration_x86_baseline_diff_integration_2014_1_5_vs_integration_2014-09-213" type="6" refreshedVersion="4" background="1" saveData="1">
    <textPr prompt="0" codePage="437" sourceFile="kw_integration_x86_baseline_diff_integration_2014_1_5_vs_integration_2014-09-21.csv" tab="0" semicolon="1">
      <textFields count="3">
        <textField/>
        <textField/>
        <textField/>
      </textFields>
    </textPr>
  </connection>
  <connection id="405" name="kw_integration_x86_baseline_diff_integration_2014_1_5_vs_integration_2014-10-121" type="6" refreshedVersion="4" background="1" saveData="1">
    <textPr prompt="0" codePage="437" sourceFile="kw_integration_x86_baseline_diff_integration_2014_1_5_vs_integration_2014-10-12.csv" tab="0" semicolon="1">
      <textFields count="3">
        <textField/>
        <textField/>
        <textField/>
      </textFields>
    </textPr>
  </connection>
  <connection id="406" name="kw_integration_x86_baseline_diff_integration_2014_1_5_vs_integration_2014-12-071" type="6" refreshedVersion="4" background="1" saveData="1">
    <textPr prompt="0" codePage="437" sourceFile="kw_integration_x86_baseline_diff_integration_2014_1_5_vs_integration_2014-12-07.csv" tab="0" semicolon="1">
      <textFields count="3">
        <textField/>
        <textField/>
        <textField/>
      </textFields>
    </textPr>
  </connection>
  <connection id="407" name="kw_integration_x86_baseline_diff_integration_2014_1_5_vs_integration_2014-12-072" type="6" refreshedVersion="4" background="1" saveData="1">
    <textPr prompt="0" codePage="437" sourceFile="kw_integration_x86_baseline_diff_integration_2014_1_5_vs_integration_2014-12-07.csv" tab="0" semicolon="1">
      <textFields count="3">
        <textField/>
        <textField/>
        <textField/>
      </textFields>
    </textPr>
  </connection>
  <connection id="408" name="kw_integration_x86_baseline_diff_integration_2014_1_5_vs_integration_2014-12-073" type="6" refreshedVersion="4" background="1" saveData="1">
    <textPr prompt="0" codePage="437" sourceFile="kw_integration_x86_baseline_diff_integration_2014_1_5_vs_integration_2014-12-07.csv" tab="0" semicolon="1">
      <textFields count="3">
        <textField/>
        <textField/>
        <textField/>
      </textFields>
    </textPr>
  </connection>
  <connection id="409" name="kw_integration_x86_baseline_diff_integration_2014_1_5_vs_integration_2014-12-074" type="6" refreshedVersion="4" background="1" saveData="1">
    <textPr prompt="0" codePage="437" sourceFile="kw_integration_x86_baseline_diff_integration_2014_1_5_vs_integration_2014-12-07.csv" tab="0" semicolon="1">
      <textFields count="3">
        <textField/>
        <textField/>
        <textField/>
      </textFields>
    </textPr>
  </connection>
  <connection id="410" name="kw_integration_x86_baseline_diff_integration_2014_1_5_vs_integration_2015-01-041" type="6" refreshedVersion="4" background="1" saveData="1">
    <textPr prompt="0" codePage="437" sourceFile="kw_integration_x86_baseline_diff_integration_2014_1_5_vs_integration_2015-01-04.csv" tab="0" semicolon="1">
      <textFields count="3">
        <textField/>
        <textField/>
        <textField/>
      </textFields>
    </textPr>
  </connection>
  <connection id="411" name="kw_integration_x86_baseline_diff_integration_2015-01-29_vs_integration_2015-02-191" type="6" refreshedVersion="4" background="1" saveData="1">
    <textPr prompt="0" codePage="437" sourceFile="kw_integration_x86_baseline_diff_integration_2015-01-29_vs_integration_2015-02-19.csv" tab="0" semicolon="1">
      <textFields count="3">
        <textField/>
        <textField/>
        <textField/>
      </textFields>
    </textPr>
  </connection>
  <connection id="412" name="kw_integration_x86_baseline_diff_integration_2015-01-29_vs_integration_2015-03-281" type="6" refreshedVersion="4" background="1" saveData="1">
    <textPr prompt="0" codePage="437" sourceFile="kw_integration_x86_baseline_diff_integration_2015-01-29_vs_integration_2015-03-28.csv" tab="0" semicolon="1">
      <textFields count="3">
        <textField/>
        <textField/>
        <textField/>
      </textFields>
    </textPr>
  </connection>
  <connection id="413" name="kw_integration_x86_baseline_diff_integration_2015-01-29_vs_integration_2015-08-302" type="6" refreshedVersion="4" background="1" saveData="1">
    <textPr prompt="0" codePage="437" sourceFile="kw_integration_x86_baseline_diff_integration_2015-01-29_vs_integration_2015-08-30.csv" tab="0" semicolon="1">
      <textFields count="3">
        <textField/>
        <textField/>
        <textField/>
      </textFields>
    </textPr>
  </connection>
  <connection id="414" name="kw_integration_x86_baseline_diff_integration_2015-01-29_vs_integration_2015-09-201" type="6" refreshedVersion="4" background="1" saveData="1">
    <textPr prompt="0" codePage="437" sourceFile="kw_integration_x86_baseline_diff_integration_2015-01-29_vs_integration_2015-09-20.csv" tab="0" semicolon="1">
      <textFields count="3">
        <textField/>
        <textField/>
        <textField/>
      </textFields>
    </textPr>
  </connection>
  <connection id="415" name="kw_integration_x86_baseline_diff_integration_2015-12-27_vs_integration_2016-01-15" type="6" refreshedVersion="0" background="1">
    <textPr prompt="0" sourceFile="kw_integration_x86_baseline_diff_integration_2015-12-27_vs_integration_2016-01-15.csv">
      <textFields>
        <textField/>
      </textFields>
    </textPr>
  </connection>
  <connection id="416" name="kw_integration_x86_baseline_diff_integration_2015-12-27_vs_integration_2016-02-141" type="6" refreshedVersion="4" background="1" saveData="1">
    <textPr prompt="0" codePage="437" sourceFile="kw_integration_x86_baseline_diff_integration_2015-12-27_vs_integration_2016-02-14.csv" tab="0" semicolon="1">
      <textFields count="3">
        <textField/>
        <textField/>
        <textField/>
      </textFields>
    </textPr>
  </connection>
  <connection id="417" name="kw_integration_x86_baseline_diff_integration_2015-12-27_vs_integration_2016-07-031" type="6" refreshedVersion="4" background="1" saveData="1">
    <textPr prompt="0" codePage="437" sourceFile="kw_integration_x86_baseline_diff_integration_2015-12-27_vs_integration_2016-07-03.csv" tab="0" semicolon="1">
      <textFields count="3">
        <textField/>
        <textField/>
        <textField/>
      </textFields>
    </textPr>
  </connection>
  <connection id="418" name="kw_integration_x86_baseline_integration_2012_12_9_31" type="6" refreshedVersion="4" background="1">
    <textPr codePage="437" sourceFile="C:\Users\mhornbeek\Desktop\kw_integration_x86_baseline_integration_2012_12_9_3.csv" tab="0" semicolon="1">
      <textFields count="19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<sst xmlns="http://schemas.openxmlformats.org/spreadsheetml/2006/main" count="67610" uniqueCount="11593">
  <si>
    <t>Total</t>
  </si>
  <si>
    <t xml:space="preserve"> IL and IL Plug-ins</t>
  </si>
  <si>
    <t>Win/BLL</t>
  </si>
  <si>
    <t>Open Defects</t>
  </si>
  <si>
    <t>Current</t>
  </si>
  <si>
    <t>Open Issues</t>
  </si>
  <si>
    <t>storage/*</t>
  </si>
  <si>
    <t>traffic/*</t>
  </si>
  <si>
    <t>framework\*</t>
  </si>
  <si>
    <t>routing\*</t>
  </si>
  <si>
    <t>datacenter\*</t>
  </si>
  <si>
    <t>traffic\*</t>
  </si>
  <si>
    <t>traffictests\*</t>
  </si>
  <si>
    <t>access\*</t>
  </si>
  <si>
    <t>Klocwork Project: integration_x86_baseline</t>
  </si>
  <si>
    <t>Klocwork Project: integration_Win_BLL_baseline</t>
  </si>
  <si>
    <t xml:space="preserve"> 2012/06/02</t>
  </si>
  <si>
    <t xml:space="preserve"> 	Description: Fix to klocwork issues in BFD.</t>
  </si>
  <si>
    <t xml:space="preserve"> 2012/06/01</t>
  </si>
  <si>
    <t xml:space="preserve"> 	Description: IEEE 1588v2 KlocWork issues</t>
  </si>
  <si>
    <t xml:space="preserve"> 2012/05/31</t>
  </si>
  <si>
    <t xml:space="preserve"> 	Description: Memory referenced by 'm_ModuleIdentity' allocated in constructor is not deallocated in destructor.</t>
  </si>
  <si>
    <t xml:space="preserve"> 	Description: fix klocwork reported issuess</t>
  </si>
  <si>
    <t xml:space="preserve"> 2012/05/30</t>
  </si>
  <si>
    <t xml:space="preserve"> 	Description: Klocwork fix in BLL Unit Tests.</t>
  </si>
  <si>
    <t xml:space="preserve"> 	Description: Klocwork fix in Benchmarking (IPS)</t>
  </si>
  <si>
    <t xml:space="preserve"> 	Description: Add NULL pointer checks for unit tests</t>
  </si>
  <si>
    <t xml:space="preserve"> 	Description: Klocwork fix in Benchmarking (IPS). First code drop.</t>
  </si>
  <si>
    <t xml:space="preserve"> 	Description: Klocwork fix in Capture. (Unit Tests).</t>
  </si>
  <si>
    <t xml:space="preserve"> 	Description: fix gcc warning (remove useless assert)</t>
  </si>
  <si>
    <t xml:space="preserve"> 	Description: Fixes for Klockwork issues 4760</t>
  </si>
  <si>
    <t xml:space="preserve"> 	Description: Fix GCC warnings per TABLE (Access/Mcast/OAM/L4L7/Storage)</t>
  </si>
  <si>
    <t xml:space="preserve"> 	Description: BFD/IEEE 1588v2 KlocWork issues</t>
  </si>
  <si>
    <t xml:space="preserve"> 	Description: Fix the last learning klocwork defect.</t>
  </si>
  <si>
    <t xml:space="preserve"> 	Description: Backout Klockwork fixes</t>
  </si>
  <si>
    <t xml:space="preserve"> 	Description: IGMP/MLD - Fix Klocwork detected issues</t>
  </si>
  <si>
    <t xml:space="preserve"> 	Description: Klocwork fix in L2L3. First code drop (no unit test fix yet)</t>
  </si>
  <si>
    <t xml:space="preserve"> 2012/05/29</t>
  </si>
  <si>
    <t xml:space="preserve"> 	Description: Second attempt to fix errors reported by Klocwork.</t>
  </si>
  <si>
    <t xml:space="preserve"> 	Description: static analysis</t>
  </si>
  <si>
    <t xml:space="preserve"> 	Description: Real-time_Decode:no packets are captured when enable  real time decode mode</t>
  </si>
  <si>
    <t xml:space="preserve"> 2012/05/25</t>
  </si>
  <si>
    <t xml:space="preserve"> 	Description: Fixes for Klockwork issues 4537</t>
  </si>
  <si>
    <t xml:space="preserve"> 	Description: SAA - Fix Klocwork detected issues</t>
  </si>
  <si>
    <t xml:space="preserve"> 	Description: fix klockwork issue on event log about buffer overflow of evt_appenders</t>
  </si>
  <si>
    <t xml:space="preserve"> 	Description: Fixes for Klockwork issues 3936</t>
  </si>
  <si>
    <t xml:space="preserve"> 2012/05/24</t>
  </si>
  <si>
    <t xml:space="preserve"> 	Description: Klocwork changes</t>
  </si>
  <si>
    <t xml:space="preserve"> 	Description: Klocwork fix in learning</t>
  </si>
  <si>
    <t xml:space="preserve"> 	Description: Klocwork fix #4182 and#4183</t>
  </si>
  <si>
    <t xml:space="preserve"> 	Description: Fix BGP BLL static code analysis issues reported by cppcheck and klocworks</t>
  </si>
  <si>
    <t xml:space="preserve"> 2012/05/23</t>
  </si>
  <si>
    <t xml:space="preserve"> 	Description:  Raise bll coverate</t>
  </si>
  <si>
    <t xml:space="preserve"> 2012/05/22</t>
  </si>
  <si>
    <t xml:space="preserve"> 	Description: uninitialized variabes reported by klocwork.</t>
  </si>
  <si>
    <t xml:space="preserve"> 	Description: FCoE - Fixed Klocwork detected issues</t>
  </si>
  <si>
    <t xml:space="preserve"> 	Description: VEPA - Fixed Klocwork detected issues</t>
  </si>
  <si>
    <t xml:space="preserve"> 	Description: Add DCBX validation (Traffic Class Bandwidth values should total 100)</t>
  </si>
  <si>
    <t xml:space="preserve"> 	Description: Klocworks errors</t>
  </si>
  <si>
    <t xml:space="preserve"> 2012/05/20</t>
  </si>
  <si>
    <t xml:space="preserve"> 	Description: Fix uninitialized variable.</t>
  </si>
  <si>
    <t xml:space="preserve"> 2012/05/18</t>
  </si>
  <si>
    <t xml:space="preserve"> 	Description: Fixed klocwork issues</t>
  </si>
  <si>
    <t xml:space="preserve"> 2012/05/17</t>
  </si>
  <si>
    <t xml:space="preserve"> 	Description: Fixed Klocwork issue for pointer check.</t>
  </si>
  <si>
    <t xml:space="preserve"> 2012/05/15</t>
  </si>
  <si>
    <t xml:space="preserve"> 	Description: Klocwork null pointer check change</t>
  </si>
  <si>
    <t xml:space="preserve"> 2012/05/11</t>
  </si>
  <si>
    <t xml:space="preserve"> 	Description: Correct some NULL pointer errors found by Klocwork Static Analysis.</t>
  </si>
  <si>
    <t xml:space="preserve"> 	Description:Fix klocwork</t>
  </si>
  <si>
    <t xml:space="preserve"> 2012/05/10</t>
  </si>
  <si>
    <t xml:space="preserve"> 	Description: Fixing minor klocwork-flagged issues in bfdd and event log</t>
  </si>
  <si>
    <t xml:space="preserve"> 	Description: CDCP - Klocwork fixes to unit test</t>
  </si>
  <si>
    <t xml:space="preserve"> 	Description: NULL pointer check</t>
  </si>
  <si>
    <t xml:space="preserve"> 	Description: Modifed lock in l2tp vif and modified some code based on Klocwork result.</t>
  </si>
  <si>
    <t xml:space="preserve"> 2012/05/09</t>
  </si>
  <si>
    <t xml:space="preserve"> 	Description: fix klocwork issues</t>
  </si>
  <si>
    <t xml:space="preserve"> 2012/05/08</t>
  </si>
  <si>
    <t xml:space="preserve"> 2012/05/03</t>
  </si>
  <si>
    <t xml:space="preserve"> 	Description: fix uninitialized variable caught by vc</t>
  </si>
  <si>
    <t xml:space="preserve"> 2012/05/01</t>
  </si>
  <si>
    <t xml:space="preserve"> 	Description: IS-IS Klocwork fixes.</t>
  </si>
  <si>
    <t xml:space="preserve"> 2012/04/25</t>
  </si>
  <si>
    <t xml:space="preserve"> 2012/04/19</t>
  </si>
  <si>
    <t xml:space="preserve"> 	Description: Fix several NULL pointer dereference Klocwork issues</t>
  </si>
  <si>
    <t xml:space="preserve"> 2012/04/10</t>
  </si>
  <si>
    <t xml:space="preserve"> 	Description: Move trace_protocol_ok from trace_trace to the spot before tracef to improve performance</t>
  </si>
  <si>
    <t xml:space="preserve"> 2012/04/08</t>
  </si>
  <si>
    <t xml:space="preserve"> 	Description: Klocwork issues</t>
  </si>
  <si>
    <t xml:space="preserve"> 2012/03/07</t>
  </si>
  <si>
    <t xml:space="preserve"> 	Description: Possible issue when vlan is configed</t>
  </si>
  <si>
    <t xml:space="preserve"> 2012/03/06</t>
  </si>
  <si>
    <t xml:space="preserve"> 	Description: Increase socket buffer to buffer more packets for performance issue</t>
  </si>
  <si>
    <t xml:space="preserve"> 2012/02/22</t>
  </si>
  <si>
    <t xml:space="preserve"> 	Description: PIM: Not all joins go out for a configuration with 14500 routers on a Blink when we perform a 'start all devices'</t>
  </si>
  <si>
    <t xml:space="preserve"> 2012/02/14</t>
  </si>
  <si>
    <t xml:space="preserve"> 	Description: delete/new does not match</t>
  </si>
  <si>
    <t xml:space="preserve"> 2012/02/07</t>
  </si>
  <si>
    <t xml:space="preserve"> 	Description: Fix bug in stats of successfull logoff</t>
  </si>
  <si>
    <t xml:space="preserve"> 2012/01/31</t>
  </si>
  <si>
    <t xml:space="preserve"> 	Description: Add null pointer check.</t>
  </si>
  <si>
    <t xml:space="preserve"> 	Description: Fix uninitialized variables.</t>
  </si>
  <si>
    <t xml:space="preserve"> 	Description: Revert the changes of BPF and SOCK_RAW</t>
  </si>
  <si>
    <t># SW Changes</t>
  </si>
  <si>
    <t>This is  a list of software changes in Perforce with Change Type Static Analysis OR Description with the words Klocwork or Static Analysis</t>
  </si>
  <si>
    <t>Changlist</t>
  </si>
  <si>
    <t>Description</t>
  </si>
  <si>
    <t>Week</t>
  </si>
  <si>
    <t>Resolved</t>
  </si>
  <si>
    <t>ToGo</t>
  </si>
  <si>
    <t>Issue #</t>
  </si>
  <si>
    <t>File</t>
  </si>
  <si>
    <t>/home/scmbuild/TestCenter/integration/content/cts/tsm/il/rsocketd/SocketInterface.cpp</t>
  </si>
  <si>
    <t>cts/*</t>
  </si>
  <si>
    <t xml:space="preserve"> 	 Description:Fix klocwork</t>
  </si>
  <si>
    <t xml:space="preserve"> eliminate klocwork error</t>
  </si>
  <si>
    <t xml:space="preserve"> 4539 from integration_Win_BLL project</t>
  </si>
  <si>
    <t xml:space="preserve"> 4533 from integration_Win_BLL project</t>
  </si>
  <si>
    <t xml:space="preserve"> 5019 from integration_Win_BLL project</t>
  </si>
  <si>
    <t xml:space="preserve"> 2012/06/04</t>
  </si>
  <si>
    <t xml:space="preserve"> 	Description: Missing Windows voodoo broke bll_windows build in CI</t>
  </si>
  <si>
    <t xml:space="preserve"> 	Description: Klocwork fix in PGA.</t>
  </si>
  <si>
    <t xml:space="preserve"> 	Description: Use shared pointers for routing results db adapters instead of raw leaked ones. (Technically still leaked in most protocols but at least the pointers are owned now.)</t>
  </si>
  <si>
    <t xml:space="preserve"> 2012/06/05</t>
  </si>
  <si>
    <t xml:space="preserve"> 	Description: DHCPv4 - Fix Klocwork detected NPD.FUNC.MUST issues</t>
  </si>
  <si>
    <t xml:space="preserve"> 	Description: Fix to k/w issue (returning 0 for impossible case)</t>
  </si>
  <si>
    <t xml:space="preserve"> 	Description: VIC - Fix Klocwork detected issues</t>
  </si>
  <si>
    <t xml:space="preserve"> 2012/06/06</t>
  </si>
  <si>
    <t xml:space="preserve"> 	Description: Klocwork fix in Custom (IPS).</t>
  </si>
  <si>
    <t xml:space="preserve"> 	Description: Klocwork fix in Dcb (IPS). First code drop.</t>
  </si>
  <si>
    <t xml:space="preserve"> 	Description: fix cppcheck </t>
  </si>
  <si>
    <t xml:space="preserve"> 2012/06/07</t>
  </si>
  <si>
    <t xml:space="preserve"> 	Description: Klocwork fix in benchmarking (IPS)</t>
  </si>
  <si>
    <t xml:space="preserve"> 2012/06/11</t>
  </si>
  <si>
    <t xml:space="preserve"> 	Description: Removed assertion in iteration</t>
  </si>
  <si>
    <t xml:space="preserve"> since object can be null in some cases. </t>
  </si>
  <si>
    <t xml:space="preserve"> 2012/06/13</t>
  </si>
  <si>
    <t xml:space="preserve"> 	Description: Fixed Klocwork reported defect #1677</t>
  </si>
  <si>
    <t xml:space="preserve"> 2012/06/14</t>
  </si>
  <si>
    <t xml:space="preserve"> 	Description: klocwork USS fix</t>
  </si>
  <si>
    <t xml:space="preserve"> 	Description: USS klocwork fixes</t>
  </si>
  <si>
    <t xml:space="preserve"> 	Description: klocwork fixes to utils/bridge</t>
  </si>
  <si>
    <t xml:space="preserve"> 	Description: klocwork fixes to USS</t>
  </si>
  <si>
    <t xml:space="preserve"> 2012/06/15</t>
  </si>
  <si>
    <t xml:space="preserve"> 	Description: kw fixes to uss &amp; bfd</t>
  </si>
  <si>
    <t xml:space="preserve"> 2012/06/18</t>
  </si>
  <si>
    <t xml:space="preserve"> 	Description: From Klocworks</t>
  </si>
  <si>
    <t xml:space="preserve"> 2012/06/20</t>
  </si>
  <si>
    <t xml:space="preserve"> 	Description: authentication miss if type</t>
  </si>
  <si>
    <t xml:space="preserve"> rather than password</t>
  </si>
  <si>
    <t xml:space="preserve"> changes &amp; klocwork issues</t>
  </si>
  <si>
    <t xml:space="preserve"> 	  Description: klocwork ID 440. Added an explicit destructor to delete memory that was allocated in the constructor. Rally TA4586</t>
  </si>
  <si>
    <t xml:space="preserve"> 2012/06/22</t>
  </si>
  <si>
    <t xml:space="preserve"> 	Description: User deleted the default host</t>
  </si>
  <si>
    <t xml:space="preserve"> then crashed the script when creating a new EthernetFiber</t>
  </si>
  <si>
    <t>Date</t>
  </si>
  <si>
    <t>Klocwork Build : integration_x86_baseline 2012-7-2</t>
  </si>
  <si>
    <t>Klocwork issues View: integration_Win_BLL_baseline , build integration_2012702</t>
  </si>
  <si>
    <t>BLL issues fixed in 4.10 integration branch since 1/31/12</t>
  </si>
  <si>
    <t>Code Area</t>
  </si>
  <si>
    <t>Type of Defect</t>
  </si>
  <si>
    <t># Fixed</t>
  </si>
  <si>
    <t>storage\*</t>
  </si>
  <si>
    <t>mcast\*</t>
  </si>
  <si>
    <t>learning\*</t>
  </si>
  <si>
    <t>Type of Code Error</t>
  </si>
  <si>
    <t>Memory Leak</t>
  </si>
  <si>
    <t>Null pointer</t>
  </si>
  <si>
    <t>Unitialized Variables</t>
  </si>
  <si>
    <t>/home/scmbuild/TestCenter/integration/content/routing/il/ngc2-7-3-spirent/src/new_isis/new_isis_cspf.c</t>
  </si>
  <si>
    <t>/home/scmbuild/TestCenter/integration/content/routing/il/ngc2-7-3-spirent/src/new_ospf/new_ospf.c</t>
  </si>
  <si>
    <t>/home/scmbuild/TestCenter/integration/content/routing/il/mplsoamd/MplsOamLspRequestTx.cpp</t>
  </si>
  <si>
    <t>/home/scmbuild/TestCenter/integration/framework/il/freebsd/sys/spirent/host/host_thread.c</t>
  </si>
  <si>
    <t>/home/scmbuild/TestCenter/integration/content/routing/il/ngc2-7-3-spirent/src/tem/new_tm_rsvp.c</t>
  </si>
  <si>
    <t>/home/scmbuild/TestCenter/integration/framework/il/freebsd/sys/netinet6/ip6_input.c</t>
  </si>
  <si>
    <t>/home/scmbuild/TestCenter/integration/content/routing/il/ngc2-7-3-spirent/src/gated/rt_aggregate.c</t>
  </si>
  <si>
    <t>/home/scmbuild/TestCenter/integration/content/routing/il/ngc2-7-3-spirent/src/rsvp/rsvp_path.c</t>
  </si>
  <si>
    <t>/home/scmbuild/TestCenter/integration/content/routing/il/ngc2-7-3-spirent/src/new_isis/new_isis_dget_lsdb.c</t>
  </si>
  <si>
    <t>/home/scmbuild/TestCenter/integration/content/routing/il/ngc2-7-3-spirent/src/new_isis/new_isis_pkts.c</t>
  </si>
  <si>
    <t>/home/scmbuild/TestCenter/integration/content/routing/il/ngc2-7-3-spirent/src/new_isis/new_isis_rt.c</t>
  </si>
  <si>
    <t>framework/*</t>
  </si>
  <si>
    <t>access/*</t>
  </si>
  <si>
    <t>Array Out of Bounds, and Buffer Overflow</t>
  </si>
  <si>
    <t xml:space="preserve"> IL/Plugin issues fixed in 4.10 integration branch since 1/31/12</t>
  </si>
  <si>
    <t>BLL</t>
  </si>
  <si>
    <t>IL</t>
  </si>
  <si>
    <t>status "Not a Problem"  2012-7-2</t>
  </si>
  <si>
    <t>Average time to fix and check-in  defects (Hours)</t>
  </si>
  <si>
    <t>Average time to triage  defects (Hours)</t>
  </si>
  <si>
    <t>Average time to process defects (Hours)</t>
  </si>
  <si>
    <t>Total checkins</t>
  </si>
  <si>
    <t>Cost to process defects (Hours)</t>
  </si>
  <si>
    <t>% Resolved</t>
  </si>
  <si>
    <t>/home/scmbuild/TestCenter/integration/content/access/dhcpv6/il/server/DhcpMessage.cpp</t>
  </si>
  <si>
    <t>/home/scmbuild/TestCenter/integration/content/access/dot1x/il/AAAClient/src/Dot1xMessage.cc</t>
  </si>
  <si>
    <t>/home/scmbuild/TestCenter/integration/content/cts/tsm/il/rsocketd/cts_multicast_bookkeeper.cpp</t>
  </si>
  <si>
    <t>/home/scmbuild/TestCenter/integration/content/routing/il/common/multicast_bookkeeper.cpp</t>
  </si>
  <si>
    <t>/home/scmbuild/TestCenter/integration/content/routing/il/ngc2-7-3-spirent/src/aspath/aspath.c</t>
  </si>
  <si>
    <t>/home/scmbuild/TestCenter/integration/content/routing/il/ngc2-7-3-spirent/src/aspath/reparse.c</t>
  </si>
  <si>
    <t>/home/scmbuild/TestCenter/integration/content/routing/il/ngc2-7-3-spirent/src/gated/dget_iproute.c</t>
  </si>
  <si>
    <t>/home/scmbuild/TestCenter/integration/content/routing/il/ngc2-7-3-spirent/src/gated/dget_ipv6route.c</t>
  </si>
  <si>
    <t>/home/scmbuild/TestCenter/integration/content/routing/il/ngc2-7-3-spirent/src/gated/grand.c</t>
  </si>
  <si>
    <t>/home/scmbuild/TestCenter/integration/content/routing/il/ngc2-7-3-spirent/src/gated/if.c</t>
  </si>
  <si>
    <t>/home/scmbuild/TestCenter/integration/content/routing/il/ngc2-7-3-spirent/src/gated/if_task.c</t>
  </si>
  <si>
    <t>/home/scmbuild/TestCenter/integration/content/routing/il/ngc2-7-3-spirent/src/gated/policy.c</t>
  </si>
  <si>
    <t>/home/scmbuild/TestCenter/integration/content/routing/il/ngc2-7-3-spirent/src/gated/rt_table.c</t>
  </si>
  <si>
    <t>/home/scmbuild/TestCenter/integration/content/routing/il/ngc2-7-3-spirent/src/gated/task.c</t>
  </si>
  <si>
    <t>/home/scmbuild/TestCenter/integration/content/routing/il/ngc2-7-3-spirent/src/krt/nvram.c</t>
  </si>
  <si>
    <t>/home/scmbuild/TestCenter/integration/content/routing/il/ngc2-7-3-spirent/src/krt_os/krt_ifread_netlink.c</t>
  </si>
  <si>
    <t>/home/scmbuild/TestCenter/integration/content/routing/il/ngc2-7-3-spirent/src/krt_os/krt_rtread_netlink.c</t>
  </si>
  <si>
    <t>/home/scmbuild/TestCenter/integration/content/routing/il/ngc2-7-3-spirent/src/mplscore/mpls_label.c</t>
  </si>
  <si>
    <t>/home/scmbuild/TestCenter/integration/content/routing/il/ngc2-7-3-spirent/src/new_isis/new_isis_gen.c</t>
  </si>
  <si>
    <t>/home/scmbuild/TestCenter/integration/content/routing/il/ngc2-7-3-spirent/src/new_isis/new_isis_test.c</t>
  </si>
  <si>
    <t>/home/scmbuild/TestCenter/integration/content/routing/il/ngc2-7-3-spirent/src/new_ospf/new_ospf_rxmon.c</t>
  </si>
  <si>
    <t>/home/scmbuild/TestCenter/integration/content/routing/il/ngc2-7-3-spirent/src/rip/rip_dget_db.c</t>
  </si>
  <si>
    <t>/home/scmbuild/TestCenter/integration/content/routing/il/ngc2-7-3-spirent/src/util/ght.c</t>
  </si>
  <si>
    <t>/home/scmbuild/TestCenter/integration/content/routing/il/ngs2-0-1-spirent/src/gmrp/bridgegmrp.c</t>
  </si>
  <si>
    <t>/home/scmbuild/TestCenter/integration/content/routing/il/ngs2-0-1-spirent/src/gmrp/gmd.c</t>
  </si>
  <si>
    <t>/home/scmbuild/TestCenter/integration/content/routing/il/ngs2-0-1-spirent/src/l2d/grand.c</t>
  </si>
  <si>
    <t>/home/scmbuild/TestCenter/integration/content/routing/il/ngs2-0-1-spirent/src/l2d/task.c</t>
  </si>
  <si>
    <t>/home/scmbuild/TestCenter/integration/content/routing/il/ngs2-0-1-spirent/src/l2d_mio/mio_dget.c</t>
  </si>
  <si>
    <t>/home/scmbuild/TestCenter/integration/content/routing/il/ngs2-0-1-spirent/src/l2d_os/linux/pout_sendto.c</t>
  </si>
  <si>
    <t>/home/scmbuild/TestCenter/integration/content/routing/il/ngs2-0-1-spirent/src/portm/port_lacp.c</t>
  </si>
  <si>
    <t>/home/scmbuild/TestCenter/integration/content/routing/il/ngs2-0-1-spirent/src/rstp_new/mstp_cli.c</t>
  </si>
  <si>
    <t>/home/scmbuild/TestCenter/integration/content/routing/il/ngs2-0-1-spirent/src/rstp_new/mstp_core.c</t>
  </si>
  <si>
    <t>/home/scmbuild/TestCenter/integration/content/routing/il/ngs2-0-1-spirent/src/rstp_new/mstp_init.c</t>
  </si>
  <si>
    <t>/home/scmbuild/TestCenter/integration/content/routing/il/ngs2-0-1-spirent/src/rstp_new/rstp_core.c</t>
  </si>
  <si>
    <t>/home/scmbuild/TestCenter/integration/content/routing/il/ngs2-0-1-spirent/src/util/block.c</t>
  </si>
  <si>
    <t>/home/scmbuild/TestCenter/integration/content/routing/il/ngs2-0-1-spirent/src/util/ght.c</t>
  </si>
  <si>
    <t>/home/scmbuild/TestCenter/integration/content/routing/il/stpd/stp_bpdu.cpp</t>
  </si>
  <si>
    <t>/home/scmbuild/TestCenter/integration/content/routing/il/stpd/stp_debug.cpp</t>
  </si>
  <si>
    <t>/home/scmbuild/TestCenter/integration/content/routing/il/stpd/stp_if.cpp</t>
  </si>
  <si>
    <t>/home/scmbuild/TestCenter/integration/content/routing/il/stpd/stp_parse.cpp</t>
  </si>
  <si>
    <t>/home/scmbuild/TestCenter/integration/content/routing/il/stpd/stp_to.cpp</t>
  </si>
  <si>
    <t>/home/scmbuild/TestCenter/integration/content/routing/il/stpd/vector.cpp</t>
  </si>
  <si>
    <t>/home/scmbuild/TestCenter/integration/content/storage/vepa/il/vepad/VepaVsi.cpp</t>
  </si>
  <si>
    <t>/home/scmbuild/TestCenter/integration/content/traffic/l2l3/il/Generator/Learning/ND.cpp</t>
  </si>
  <si>
    <t>/home/scmbuild/TestCenter/integration/content/traffic/l4l7/il/external/RvSipTK/common/ares/ares_process.c</t>
  </si>
  <si>
    <t>/home/scmbuild/TestCenter/integration/content/traffic/l4l7/il/external/RvSipTK/common/ares/rvarescache.c</t>
  </si>
  <si>
    <t>/home/scmbuild/TestCenter/integration/content/traffic/l4l7/il/external/RvSipTK/rtpRtcp/rtp/rtcp.c</t>
  </si>
  <si>
    <t>/home/scmbuild/TestCenter/integration/content/traffic/l4l7/il/external/RvSipTK/rtpRtcp/srtp/plugin/rvsrtpcontext.c</t>
  </si>
  <si>
    <t>/home/scmbuild/TestCenter/integration/content/traffic/l4l7/il/external/RvSipTK/rtpRtcp/srtp/plugin/rvsrtpprocess.c</t>
  </si>
  <si>
    <t>/home/scmbuild/TestCenter/integration/content/traffic/l4l7/il/external/RvSipTK/sdp/rvsdpcrypto.c</t>
  </si>
  <si>
    <t>/home/scmbuild/TestCenter/integration/content/traffic/l4l7/il/external/RvSipTK/sdp/rvsdpmedia.c</t>
  </si>
  <si>
    <t>/home/scmbuild/TestCenter/integration/content/traffic/l4l7/il/external/RvSipTK/sdp/rvsdpmegaco.c</t>
  </si>
  <si>
    <t>/home/scmbuild/TestCenter/integration/content/traffic/l4l7/il/external/RvSipTK/sdp/rvsdpmsgparse.c</t>
  </si>
  <si>
    <t>/home/scmbuild/TestCenter/integration/content/traffic/l4l7/il/external/RvSipTK/sdp/rvsdpprsutils.c</t>
  </si>
  <si>
    <t>/home/scmbuild/TestCenter/integration/content/traffic/l4l7/il/external/RvSipTK/sip/compartment/CompartmentCallback.c</t>
  </si>
  <si>
    <t>/home/scmbuild/TestCenter/integration/content/traffic/l4l7/il/external/RvSipTK/sip/message/MsgUtils.c</t>
  </si>
  <si>
    <t>/home/scmbuild/TestCenter/integration/content/traffic/l4l7/il/external/RvSipTK/sip/transport/_SipTransport.c</t>
  </si>
  <si>
    <t>/home/scmbuild/TestCenter/integration/content/traffic/l4l7/il/external/RvSipTK/sip/transport/TransportMgrObject.c</t>
  </si>
  <si>
    <t>/home/scmbuild/TestCenter/integration/framework/common/lib/phxrpc/tm_socket.cpp</t>
  </si>
  <si>
    <t>/home/scmbuild/TestCenter/integration/framework/il/common/apps/bcmnetd/main.c</t>
  </si>
  <si>
    <t>/home/scmbuild/TestCenter/integration/framework/il/common/apps/bpnetd/main.c</t>
  </si>
  <si>
    <t>/home/scmbuild/TestCenter/integration/framework/il/common/apps/etrd/cdma.c</t>
  </si>
  <si>
    <t>/home/scmbuild/TestCenter/integration/framework/il/common/apps/etrd/main.c</t>
  </si>
  <si>
    <t>/home/scmbuild/TestCenter/integration/framework/il/common/apps/i2cd/cmdproc.c</t>
  </si>
  <si>
    <t>/home/scmbuild/TestCenter/integration/framework/il/common/apps/i2cd/main.c</t>
  </si>
  <si>
    <t>/home/scmbuild/TestCenter/integration/framework/il/common/apps/i2cd/rectifier.c</t>
  </si>
  <si>
    <t>/home/scmbuild/TestCenter/integration/framework/il/common/apps/lcdd/interfaces.cpp</t>
  </si>
  <si>
    <t>/home/scmbuild/TestCenter/integration/framework/il/common/apps/lcdd/main.cpp</t>
  </si>
  <si>
    <t>/home/scmbuild/TestCenter/integration/framework/il/common/apps/m68kd/main.cpp</t>
  </si>
  <si>
    <t>/home/scmbuild/TestCenter/integration/framework/il/common/apps/m68kd/sock_if.c</t>
  </si>
  <si>
    <t>/home/scmbuild/TestCenter/integration/framework/il/common/apps/mpsd/mserver/mps_transport.cpp</t>
  </si>
  <si>
    <t>/home/scmbuild/TestCenter/integration/framework/il/common/apps/rpcsvr/daemonif.cpp</t>
  </si>
  <si>
    <t>/home/scmbuild/TestCenter/integration/framework/il/common/apps/rpcsvr/main.cpp</t>
  </si>
  <si>
    <t>/home/scmbuild/TestCenter/integration/framework/il/common/apps/rpcsvr/sys_msg_proc.cpp</t>
  </si>
  <si>
    <t>/home/scmbuild/TestCenter/integration/framework/il/common/apps/syncd/etrparse.c</t>
  </si>
  <si>
    <t>/home/scmbuild/TestCenter/integration/framework/il/common/apps/syncd/etrsend.c</t>
  </si>
  <si>
    <t>/home/scmbuild/TestCenter/integration/framework/il/common/apps/syncd/main.c</t>
  </si>
  <si>
    <t>/home/scmbuild/TestCenter/integration/framework/il/common/apps/syncd/main_x86.c</t>
  </si>
  <si>
    <t>/home/scmbuild/TestCenter/integration/framework/il/common/apps/syncd/topology.c</t>
  </si>
  <si>
    <t>/home/scmbuild/TestCenter/integration/framework/il/common/apps/sysmgrd/SysMgrProcInfo.cpp</t>
  </si>
  <si>
    <t>/home/scmbuild/TestCenter/integration/framework/il/common/lib/fifo/fifo.cpp</t>
  </si>
  <si>
    <t>/home/scmbuild/TestCenter/integration/framework/il/common/lib/hal/pspam/pspamlib.c</t>
  </si>
  <si>
    <t>/home/scmbuild/TestCenter/integration/framework/il/common/lib/hal/spi/spi.c</t>
  </si>
  <si>
    <t>/home/scmbuild/TestCenter/integration/framework/il/common/lib/hal/spi/spibuffer.c</t>
  </si>
  <si>
    <t>/home/scmbuild/TestCenter/integration/framework/il/common/lib/hal++/ccpu/common/CcpuBcmDmaChannel.cpp</t>
  </si>
  <si>
    <t>/home/scmbuild/TestCenter/integration/framework/il/common/lib/hal++/ccpu/profx/ProfxCcpuSystemImp.cpp</t>
  </si>
  <si>
    <t>/home/scmbuild/TestCenter/integration/framework/il/common/lib/hal++/ccpu/profy/ProfyCcpuSystemImp.cpp</t>
  </si>
  <si>
    <t>/home/scmbuild/TestCenter/integration/framework/il/common/lib/hal++/common/SpiBuffer.cpp</t>
  </si>
  <si>
    <t>/home/scmbuild/TestCenter/integration/framework/il/common/lib/libdaemon/sock_if.c</t>
  </si>
  <si>
    <t>/home/scmbuild/TestCenter/integration/framework/il/common/lib/log4cplusapi/log4cplus_api.cpp</t>
  </si>
  <si>
    <t>/home/scmbuild/TestCenter/integration/framework/il/common/utils/cfeapi/cfeapi.c</t>
  </si>
  <si>
    <t>/home/scmbuild/TestCenter/integration/framework/il/common/utils/etrdebug/etrsend.c</t>
  </si>
  <si>
    <t>/home/scmbuild/TestCenter/integration/framework/il/common/utils/i2cspi/i2cspi.c</t>
  </si>
  <si>
    <t>/home/scmbuild/TestCenter/integration/framework/il/common/utils/serialcomm/serialcomm.c</t>
  </si>
  <si>
    <t>/home/scmbuild/TestCenter/integration/framework/il/common/utils/spitool/spitool.cpp</t>
  </si>
  <si>
    <t>/home/scmbuild/TestCenter/integration/framework/il/common/utils/sptcmd/main.c</t>
  </si>
  <si>
    <t>/home/scmbuild/TestCenter/integration/framework/il/common/utils/tweakphy/main.c</t>
  </si>
  <si>
    <t>/home/scmbuild/TestCenter/integration/framework/il/common/utils/valerieioctlutil/valerieioctlutil.c</t>
  </si>
  <si>
    <t>/home/scmbuild/TestCenter/integration/framework/il/common/utils/xsvfplayer/micro.c</t>
  </si>
  <si>
    <t>/home/scmbuild/TestCenter/integration/framework/il/freebsd/sys/net/if_gre.c</t>
  </si>
  <si>
    <t>/home/scmbuild/TestCenter/integration/framework/il/freebsd/sys/net/rtsock.c</t>
  </si>
  <si>
    <t>/home/scmbuild/TestCenter/integration/framework/il/freebsd/sys/net/zlib.c</t>
  </si>
  <si>
    <t>/home/scmbuild/TestCenter/integration/framework/il/freebsd/sys/netinet/ip_options.c</t>
  </si>
  <si>
    <t>/home/scmbuild/TestCenter/integration/framework/il/freebsd/sys/netinet/tcp_output.c</t>
  </si>
  <si>
    <t>/home/scmbuild/TestCenter/integration/framework/il/freebsd/sys/netinet6/in6_ifattach.c</t>
  </si>
  <si>
    <t>/home/scmbuild/TestCenter/integration/framework/il/freebsd/sys/netinet6/nd6.c</t>
  </si>
  <si>
    <t>/home/scmbuild/TestCenter/integration/framework/il/freebsd/sys/netipsec/ipsec_output.c</t>
  </si>
  <si>
    <t>/home/scmbuild/TestCenter/integration/content/routing/il/ngc2-7-3-spirent/src/mplscore/rsvp_mio.c</t>
  </si>
  <si>
    <t>/home/scmbuild/TestCenter/integration/content/routing/il/ngc2-7-3-spirent/src/ospf3/ospf3.c</t>
  </si>
  <si>
    <t>/home/scmbuild/TestCenter/integration/content/routing/il/ngc2-7-3-spirent/src/rsvp/rsvp_err.c</t>
  </si>
  <si>
    <t>/home/scmbuild/TestCenter/integration/content/routing/il/ngc2-7-3-spirent/src/rsvp/rsvp_tcb.c</t>
  </si>
  <si>
    <t>/home/scmbuild/TestCenter/integration/content/routing/il/ngc2-7-3-spirent/src/rsvp/rsvp_tear.c</t>
  </si>
  <si>
    <t>/home/scmbuild/TestCenter/integration/content/access/ancp/il/ancpd/AncpAccessNode.cpp</t>
  </si>
  <si>
    <t>/home/scmbuild/TestCenter/integration/content/access/ancp/il/ancpd/AncpAccessNodeBlock.cpp</t>
  </si>
  <si>
    <t>/home/scmbuild/TestCenter/integration/content/routing/il/ngc2-7-3-spirent/src/mplscore/mpls_rtm.c</t>
  </si>
  <si>
    <t>/home/scmbuild/TestCenter/integration/content/routing/il/ngc2-7-3-spirent/src/new_ospf/new_ospf_ls.c</t>
  </si>
  <si>
    <t>/home/scmbuild/TestCenter/integration/content/routing/il/ngc2-7-3-spirent/src/rsvp/rsvp_nbr.c</t>
  </si>
  <si>
    <t>/home/scmbuild/TestCenter/integration/content/routing/il/ngc2-7-3-spirent/src/util/avl.c</t>
  </si>
  <si>
    <t>/home/scmbuild/TestCenter/integration/content/routing/il/ngc2-7-3-spirent/src/util/trace.c</t>
  </si>
  <si>
    <t>/home/scmbuild/TestCenter/integration/content/routing/il/ngs2-0-1-spirent/src/dot1x/dot1xApi.c</t>
  </si>
  <si>
    <t>/home/scmbuild/TestCenter/integration/content/routing/il/ngs2-0-1-spirent/src/l2d_mio/layer2_mio.c</t>
  </si>
  <si>
    <t>/home/scmbuild/TestCenter/integration/content/routing/il/ngs2-0-1-spirent/src/util/avl.c</t>
  </si>
  <si>
    <t>/home/scmbuild/TestCenter/integration/content/routing/il/ngs2-0-1-spirent/src/util/trace.c</t>
  </si>
  <si>
    <t>/home/scmbuild/TestCenter/integration/content/traffic/l4l7/il/external/RvSipTK/common/ares/rvares.c</t>
  </si>
  <si>
    <t>/home/scmbuild/TestCenter/integration/content/traffic/l4l7/il/external/RvSipTK/offerAnswer/OaSdpMsg.c</t>
  </si>
  <si>
    <t>/home/scmbuild/TestCenter/integration/content/traffic/l4l7/il/external/RvSipTK/sdp/rvsdpattr.c</t>
  </si>
  <si>
    <t>/home/scmbuild/TestCenter/integration/content/traffic/l4l7/il/external/RvSipTK/sdp/rvsdpkeymgmt.c</t>
  </si>
  <si>
    <t>/home/scmbuild/TestCenter/integration/content/traffic/l4l7/il/external/RvSipTK/sdp/rvsdpmediagroup.c</t>
  </si>
  <si>
    <t>/home/scmbuild/TestCenter/integration/content/traffic/l4l7/il/external/RvSipTK/sdp/rvsdpmsg.c</t>
  </si>
  <si>
    <t>/home/scmbuild/TestCenter/integration/content/traffic/l4l7/il/external/RvSipTK/sdp/rvsdprtcp.c</t>
  </si>
  <si>
    <t>/home/scmbuild/TestCenter/integration/framework/il/common/utils/mmt++/x86.cpp</t>
  </si>
  <si>
    <t>/home/scmbuild/TestCenter/integration/framework/il/freebsd/sys/netinet/tcp_subr.c</t>
  </si>
  <si>
    <t>/home/scmbuild/TestCenter/integration/framework/il/freebsd/sys/netinet6/nd6_rtr.c</t>
  </si>
  <si>
    <t>/home/scmbuild/TestCenter/integration/content/access/dot1x/il/framework/src/Dot1xPacket.cpp</t>
  </si>
  <si>
    <t>/home/scmbuild/TestCenter/integration/content/routing/il/stpd/stp_node.cpp</t>
  </si>
  <si>
    <t>/home/scmbuild/TestCenter/integration/content/traffic/capture/il/CapDrv1G.cpp</t>
  </si>
  <si>
    <t>/home/scmbuild/TestCenter/integration/content/traffic/capture/il/CapDrvBase.cpp</t>
  </si>
  <si>
    <t>/home/scmbuild/TestCenter/integration/content/traffic/l2l3/il/Analyzer/Analyzer10G.cpp</t>
  </si>
  <si>
    <t>/home/scmbuild/TestCenter/integration/content/traffic/l2l3/il/Analyzer/AnalyzerMystWolv.cpp</t>
  </si>
  <si>
    <t>/home/scmbuild/TestCenter/integration/content/traffic/l2l3/il/Analyzer/AnalyzerSoftFPGA.cpp</t>
  </si>
  <si>
    <t>/home/scmbuild/TestCenter/integration/content/traffic/l2l3/il/Analyzer/DiffServStatsStrategy.cpp</t>
  </si>
  <si>
    <t>/home/scmbuild/TestCenter/integration/content/traffic/l2l3/il/Analyzer/StreamDiscoveryStrategy.cpp</t>
  </si>
  <si>
    <t>/home/scmbuild/TestCenter/integration/content/traffic/l2l3/il/Generator/Driver/refactor/fst/FrameSequenceTable.cpp</t>
  </si>
  <si>
    <t>/home/scmbuild/TestCenter/integration/content/traffic/l2l3/il/Generator/Driver/refactor/fst/TbirdSfpgaFst.cpp</t>
  </si>
  <si>
    <t>/home/scmbuild/TestCenter/integration/content/traffic/l2l3/il/Generator/GeneratorApp.cpp</t>
  </si>
  <si>
    <t>/home/scmbuild/TestCenter/integration/framework/common/lib/phxrpc/tm_creator.cpp</t>
  </si>
  <si>
    <t>/home/scmbuild/TestCenter/integration/framework/il/common/apps/rcmd/RCMMsgHandler_2.cpp</t>
  </si>
  <si>
    <t>/home/scmbuild/TestCenter/integration/framework/il/common/lib/flexlm/illicensemanager.cpp</t>
  </si>
  <si>
    <t>/home/scmbuild/TestCenter/integration/framework/il/common/lib/hal++/mcpu/common/McpuTimeStampImp.cpp</t>
  </si>
  <si>
    <t>/home/scmbuild/TestCenter/integration/framework/il/common/lib/vif/L2PacketBuilder.cpp</t>
  </si>
  <si>
    <t>/home/scmbuild/TestCenter/integration/framework/il/common/lib/vif/Packet.cpp</t>
  </si>
  <si>
    <t>/home/scmbuild/TestCenter/integration/common/tools/tinyxpath/xpath_stream.h</t>
  </si>
  <si>
    <t>/home/scmbuild/TestCenter/integration/content/routing/il/ngc2-7-3-spirent/src/krt/krt.c</t>
  </si>
  <si>
    <t>/home/scmbuild/TestCenter/integration/content/routing/il/ngc2-7-3-spirent/src/krt_ipv6multi/krt_ipv6multicast.c</t>
  </si>
  <si>
    <t>/home/scmbuild/TestCenter/integration/content/routing/il/ngc2-7-3-spirent/src/ldp/ldp_label.c</t>
  </si>
  <si>
    <t>/home/scmbuild/TestCenter/integration/content/routing/il/ngc2-7-3-spirent/src/mplscore/mpls_if.c</t>
  </si>
  <si>
    <t>/home/scmbuild/TestCenter/integration/content/routing/il/ngc2-7-3-spirent/src/mplscore/mpls_lib.c</t>
  </si>
  <si>
    <t>/home/scmbuild/TestCenter/integration/content/routing/il/ngc2-7-3-spirent/src/rsvp/rsvp_parse.c</t>
  </si>
  <si>
    <t>/home/scmbuild/TestCenter/integration/content/routing/il/ngc2-7-3-spirent/src/rsvp/rsvp_spirent.c</t>
  </si>
  <si>
    <t>/home/scmbuild/TestCenter/integration/content/routing/il/ngc2-7-3-spirent/src/tem/new_tm_stm.c</t>
  </si>
  <si>
    <t>/home/scmbuild/TestCenter/integration/content/traffic/l4l7/il/external/RvSipTK/sdp/util/rvmem.c</t>
  </si>
  <si>
    <t>/home/scmbuild/TestCenter/integration/framework/common/lib/phxrpc/message.cpp</t>
  </si>
  <si>
    <t>/home/scmbuild/TestCenter/integration/framework/common/lib/phxrpc/tsocket.cpp</t>
  </si>
  <si>
    <t>/home/scmbuild/TestCenter/integration/framework/common/lib/xmlpdu/XmlFrameBuilder.cpp</t>
  </si>
  <si>
    <t>/home/scmbuild/TestCenter/integration/framework/il/common/apps/rcmd/RCMMsgHandler.cpp</t>
  </si>
  <si>
    <t>/home/scmbuild/TestCenter/integration/framework/il/common/apps/rpcsvr/rpc_msg_proc.cpp</t>
  </si>
  <si>
    <t>/home/scmbuild/TestCenter/integration/framework/il/common/apps/sysmgrd/SysMgrd.cpp</t>
  </si>
  <si>
    <t>/home/scmbuild/TestCenter/integration/framework/il/common/lib/hal++/ccpu/pyro/PyroCcpuSystemImp.cpp</t>
  </si>
  <si>
    <t>/home/scmbuild/TestCenter/integration/framework/il/common/lib/hal++/utils/crcfilter.cpp</t>
  </si>
  <si>
    <t>/home/scmbuild/TestCenter/integration/framework/il/common/lib/hal++/utils/osstats.cpp</t>
  </si>
  <si>
    <t>/home/scmbuild/TestCenter/integration/framework/il/common/lib/ildaemon/ActiveScheduler.cpp</t>
  </si>
  <si>
    <t>/home/scmbuild/TestCenter/integration/framework/il/common/lib/slab/slab.c</t>
  </si>
  <si>
    <t>/home/scmbuild/TestCenter/integration/framework/il/common/utils/cttool/ct_rx/ct_rx.c</t>
  </si>
  <si>
    <t>/home/scmbuild/TestCenter/integration/framework/il/common/utils/pspamtool/pspamdma.c</t>
  </si>
  <si>
    <t>/home/scmbuild/TestCenter/integration/framework/il/common/utils/pspamtool/pspamtool.c</t>
  </si>
  <si>
    <t>/home/scmbuild/TestCenter/integration/framework/il/common/utils/xmlparser/main.cpp</t>
  </si>
  <si>
    <t>/home/scmbuild/TestCenter/integration/framework/il/freebsd/sys/kern/subr_bus.c</t>
  </si>
  <si>
    <t>/home/scmbuild/TestCenter/integration/content/routing/il/ngc2-7-3-spirent/src/mioagt/mpls_new_mio.c</t>
  </si>
  <si>
    <t>/home/scmbuild/TestCenter/integration/content/routing/il/ngs2-0-1-spirent/src/l2d_mio/mio.c</t>
  </si>
  <si>
    <t>/home/scmbuild/TestCenter/integration/content/traffic/l4l7/il/external/RvSipTK/sdp/rvsdpbandwidth.c</t>
  </si>
  <si>
    <t>/home/scmbuild/TestCenter/integration/content/traffic/l4l7/il/external/RvSipTK/sdp/rvsdpconnection.c</t>
  </si>
  <si>
    <t>/home/scmbuild/TestCenter/integration/content/traffic/l4l7/il/external/RvSipTK/sdp/rvsdpemail.c</t>
  </si>
  <si>
    <t>/home/scmbuild/TestCenter/integration/content/traffic/l4l7/il/external/RvSipTK/sdp/rvsdpphone.c</t>
  </si>
  <si>
    <t>/home/scmbuild/TestCenter/integration/content/traffic/l4l7/il/external/RvSipTK/sdp/rvsdpsesstime.c</t>
  </si>
  <si>
    <t>/home/scmbuild/TestCenter/integration/content/traffic/l4l7/il/external/RvSipTK/sip/transcClient/_SipTranscClient.c</t>
  </si>
  <si>
    <t>/home/scmbuild/TestCenter/integration/framework/il/freebsd/sys/kern/uipc_sockbuf.c</t>
  </si>
  <si>
    <t>/home/scmbuild/TestCenter/integration/framework/il/freebsd/sys/netipsec/ipsec.c</t>
  </si>
  <si>
    <t>/home/scmbuild/TestCenter/integration/content/routing/il/ngc2-7-3-spirent/src/fibheap/fibheap.c</t>
  </si>
  <si>
    <t>/home/scmbuild/TestCenter/integration/content/routing/il/ngc2-7-3-spirent/src/gated/lrtimer.c</t>
  </si>
  <si>
    <t>/home/scmbuild/TestCenter/integration/content/routing/il/ngc2-7-3-spirent/src/gated/parse.c</t>
  </si>
  <si>
    <t>/home/scmbuild/TestCenter/integration/content/routing/il/ngc2-7-3-spirent/src/gated/rt_multirib.c</t>
  </si>
  <si>
    <t>/home/scmbuild/TestCenter/integration/content/routing/il/ngc2-7-3-spirent/src/new_isis/new_isis_circuit.c</t>
  </si>
  <si>
    <t>/home/scmbuild/TestCenter/integration/content/routing/il/ngc2-7-3-spirent/src/ripng/ripng_test.c</t>
  </si>
  <si>
    <t>/home/scmbuild/TestCenter/integration/content/routing/il/ngc2-7-3-spirent/src/rsvp/rsvp_intf.c</t>
  </si>
  <si>
    <t>/home/scmbuild/TestCenter/integration/content/routing/il/ngc2-7-3-spirent/src/rsvp/rsvp_local.c</t>
  </si>
  <si>
    <t>/home/scmbuild/TestCenter/integration/content/routing/il/ngc2-7-3-spirent/src/rsvp/rsvp_main.c</t>
  </si>
  <si>
    <t>/home/scmbuild/TestCenter/integration/content/routing/il/ngc2-7-3-spirent/src/rsvp/rsvp_time.c</t>
  </si>
  <si>
    <t>/home/scmbuild/TestCenter/integration/content/routing/il/ngc2-7-3-spirent/src/tem/new_tm.c</t>
  </si>
  <si>
    <t>/home/scmbuild/TestCenter/integration/content/routing/il/ngc2-7-3-spirent/src/util/vif_adapter.cpp</t>
  </si>
  <si>
    <t>/home/scmbuild/TestCenter/integration/content/routing/il/ngs2-0-1-spirent/src/l2d/fibheap.c</t>
  </si>
  <si>
    <t>/home/scmbuild/TestCenter/integration/content/routing/il/ngs2-0-1-spirent/src/l2d/lrtimer.c</t>
  </si>
  <si>
    <t>/home/scmbuild/TestCenter/integration/content/routing/il/ngs2-0-1-spirent/src/l2d/parse.c</t>
  </si>
  <si>
    <t>/home/scmbuild/TestCenter/integration/content/routing/il/ngs2-0-1-spirent/src/l2d_gii/gii.c</t>
  </si>
  <si>
    <t>/home/scmbuild/TestCenter/integration/content/routing/il/ngs2-0-1-spirent/src/macm/macman.c</t>
  </si>
  <si>
    <t>/home/scmbuild/TestCenter/integration/content/routing/il/ngs2-0-1-spirent/src/util/itimer.c</t>
  </si>
  <si>
    <t>/home/scmbuild/TestCenter/integration/content/routing/il/ngs2-0-1-spirent/src/util/lgda.c</t>
  </si>
  <si>
    <t>/home/scmbuild/TestCenter/integration/content/routing/il/ngs2-0-1-spirent/src/util/sigcontext.c</t>
  </si>
  <si>
    <t>/home/scmbuild/TestCenter/integration/content/routing/il/ngs2-0-1-spirent/src/vlanm/vlanm.c</t>
  </si>
  <si>
    <t>/home/scmbuild/TestCenter/integration/content/traffic/l4l7/il/external/RvSipTK/sip/call/_SipCallLegMgr.c</t>
  </si>
  <si>
    <t>/home/scmbuild/TestCenter/integration/content/traffic/l4l7/il/external/RvSipTK/sip/transaction/_SipTransaction.c</t>
  </si>
  <si>
    <t>/home/scmbuild/TestCenter/integration/framework/il/common/apps/debugconsole/DbgMsgSetClient.cpp</t>
  </si>
  <si>
    <t>/home/scmbuild/TestCenter/integration/framework/il/common/apps/etrd/bkgnd.c</t>
  </si>
  <si>
    <t>/home/scmbuild/TestCenter/integration/framework/il/common/apps/rpcsvr/Chassis2MsgHandler.cpp</t>
  </si>
  <si>
    <t>/home/scmbuild/TestCenter/integration/framework/il/common/lib/hal++/ccpu/x86_appliance/x86CcpuDmaImp.cpp</t>
  </si>
  <si>
    <t>/home/scmbuild/TestCenter/integration/framework/il/common/lib/ilprotocol/base/IlProtocolUdpMulticastSocketHandler.cpp</t>
  </si>
  <si>
    <t>/home/scmbuild/TestCenter/integration/framework/il/common/lib/ilprotocol/base/IlProtocolUdpSocketHandler.cpp</t>
  </si>
  <si>
    <t>/home/scmbuild/TestCenter/integration/content/access/ancp/il/ancpd/AncpMsgSetSrv_1.cpp</t>
  </si>
  <si>
    <t>/home/scmbuild/TestCenter/integration/content/routing/il/mplsoamd/MplsOamPacket.cpp</t>
  </si>
  <si>
    <t>/home/scmbuild/TestCenter/integration/content/routing/il/ngc2-7-3-spirent/src/aspath/re2dfa.c</t>
  </si>
  <si>
    <t>/home/scmbuild/TestCenter/integration/content/routing/il/ngc2-7-3-spirent/src/bgp/bgp_sync.c</t>
  </si>
  <si>
    <t>/home/scmbuild/TestCenter/integration/content/routing/il/ngc2-7-3-spirent/src/gated/rt_radix.c</t>
  </si>
  <si>
    <t>/home/scmbuild/TestCenter/integration/content/routing/il/ngc2-7-3-spirent/src/gated/rt_static.c</t>
  </si>
  <si>
    <t>/home/scmbuild/TestCenter/integration/content/routing/il/ngc2-7-3-spirent/src/gated/sockaddr.c</t>
  </si>
  <si>
    <t>/home/scmbuild/TestCenter/integration/content/routing/il/ngc2-7-3-spirent/src/gated/targets.c</t>
  </si>
  <si>
    <t>/home/scmbuild/TestCenter/integration/content/routing/il/ngc2-7-3-spirent/src/gated/task_cb.c</t>
  </si>
  <si>
    <t>/home/scmbuild/TestCenter/integration/content/routing/il/ngc2-7-3-spirent/src/mioagt/rsvp_new_mio.c</t>
  </si>
  <si>
    <t>/home/scmbuild/TestCenter/integration/content/routing/il/ngc2-7-3-spirent/src/mpbgp6/mpbgp6.c</t>
  </si>
  <si>
    <t>/home/scmbuild/TestCenter/integration/content/routing/il/ngc2-7-3-spirent/src/mplscore/mpls_mio.c</t>
  </si>
  <si>
    <t>/home/scmbuild/TestCenter/integration/content/routing/il/ngc2-7-3-spirent/src/mplscore/num_alloc.c</t>
  </si>
  <si>
    <t>/home/scmbuild/TestCenter/integration/content/routing/il/ngc2-7-3-spirent/src/new_isis/new_isis_flood.c</t>
  </si>
  <si>
    <t>/home/scmbuild/TestCenter/integration/content/routing/il/ngc2-7-3-spirent/src/new_ospf/new_ospf_exch.c</t>
  </si>
  <si>
    <t>/home/scmbuild/TestCenter/integration/content/routing/il/ngc2-7-3-spirent/src/new_ospf/new_ospf_opaque.c</t>
  </si>
  <si>
    <t>/home/scmbuild/TestCenter/integration/content/routing/il/ngc2-7-3-spirent/src/ripng/ripng_send.c</t>
  </si>
  <si>
    <t>/home/scmbuild/TestCenter/integration/content/routing/il/ngc2-7-3-spirent/src/rsvp/rsvp_ror.c</t>
  </si>
  <si>
    <t>/home/scmbuild/TestCenter/integration/content/routing/il/ngc2-7-3-spirent/src/rsvp/rsvp_state_ops.c</t>
  </si>
  <si>
    <t>/home/scmbuild/TestCenter/integration/content/routing/il/ngc2-7-3-spirent/src/util/pprefix.c</t>
  </si>
  <si>
    <t>/home/scmbuild/TestCenter/integration/content/routing/il/ngc2-7-3-spirent/src/util/prefix.c</t>
  </si>
  <si>
    <t>/home/scmbuild/TestCenter/integration/content/routing/il/ngs2-0-1-spirent/src/dot1x/dot1x.c</t>
  </si>
  <si>
    <t>/home/scmbuild/TestCenter/integration/content/routing/il/ngs2-0-1-spirent/src/dot1x/dot1x_dget.c</t>
  </si>
  <si>
    <t>/home/scmbuild/TestCenter/integration/content/routing/il/ngs2-0-1-spirent/src/dot1x/portstm.c</t>
  </si>
  <si>
    <t>/home/scmbuild/TestCenter/integration/content/routing/il/ngs2-0-1-spirent/src/garp/garpsys.c</t>
  </si>
  <si>
    <t>/home/scmbuild/TestCenter/integration/content/routing/il/ngs2-0-1-spirent/src/garp/gid.c</t>
  </si>
  <si>
    <t>/home/scmbuild/TestCenter/integration/content/routing/il/ngs2-0-1-spirent/src/garp/gip.c</t>
  </si>
  <si>
    <t>/home/scmbuild/TestCenter/integration/content/routing/il/ngs2-0-1-spirent/src/gatedcompat/kvm.c</t>
  </si>
  <si>
    <t>/home/scmbuild/TestCenter/integration/content/routing/il/ngs2-0-1-spirent/src/gmrp/gmr.c</t>
  </si>
  <si>
    <t>/home/scmbuild/TestCenter/integration/content/routing/il/ngs2-0-1-spirent/src/gmrp/gmrp.c</t>
  </si>
  <si>
    <t>/home/scmbuild/TestCenter/integration/content/routing/il/ngs2-0-1-spirent/src/gmrp/gmrp_dget.c</t>
  </si>
  <si>
    <t>/home/scmbuild/TestCenter/integration/content/routing/il/ngs2-0-1-spirent/src/gvrp/gvr.c</t>
  </si>
  <si>
    <t>/home/scmbuild/TestCenter/integration/content/routing/il/ngs2-0-1-spirent/src/gvrp/gvrp.c</t>
  </si>
  <si>
    <t>/home/scmbuild/TestCenter/integration/content/routing/il/ngs2-0-1-spirent/src/gvrp/gvrp_dget.c</t>
  </si>
  <si>
    <t>/home/scmbuild/TestCenter/integration/content/routing/il/ngs2-0-1-spirent/src/gvrp/vfdb.c</t>
  </si>
  <si>
    <t>/home/scmbuild/TestCenter/integration/content/routing/il/ngs2-0-1-spirent/src/igmp_snoop/igmp_snoop.c</t>
  </si>
  <si>
    <t>/home/scmbuild/TestCenter/integration/content/routing/il/ngs2-0-1-spirent/src/l2d/gmsg.c</t>
  </si>
  <si>
    <t>/home/scmbuild/TestCenter/integration/content/routing/il/ngs2-0-1-spirent/src/l2d/sockaddr.c</t>
  </si>
  <si>
    <t>/home/scmbuild/TestCenter/integration/content/routing/il/ngs2-0-1-spirent/src/l2d/task_cb.c</t>
  </si>
  <si>
    <t>/home/scmbuild/TestCenter/integration/content/routing/il/ngs2-0-1-spirent/src/l2d_gii/gii_mio.c</t>
  </si>
  <si>
    <t>/home/scmbuild/TestCenter/integration/content/routing/il/ngs2-0-1-spirent/src/l2d_hal/pmux.c</t>
  </si>
  <si>
    <t>/home/scmbuild/TestCenter/integration/content/routing/il/ngs2-0-1-spirent/src/l2d_mio/acl_mio.c</t>
  </si>
  <si>
    <t>/home/scmbuild/TestCenter/integration/content/routing/il/ngs2-0-1-spirent/src/l2d_mio/agt.c</t>
  </si>
  <si>
    <t>/home/scmbuild/TestCenter/integration/content/routing/il/ngs2-0-1-spirent/src/l2d_mio/igmp_snoop_mio.c</t>
  </si>
  <si>
    <t>/home/scmbuild/TestCenter/integration/content/routing/il/ngs2-0-1-spirent/src/l2d_mio/stp_mio.c</t>
  </si>
  <si>
    <t>/home/scmbuild/TestCenter/integration/content/routing/il/ngs2-0-1-spirent/src/l2d_smux/smux.c</t>
  </si>
  <si>
    <t>/home/scmbuild/TestCenter/integration/content/routing/il/ngs2-0-1-spirent/src/l2d_smux/smux_snmp.c</t>
  </si>
  <si>
    <t>/home/scmbuild/TestCenter/integration/content/routing/il/ngs2-0-1-spirent/src/macm/macm_dget.c</t>
  </si>
  <si>
    <t>/home/scmbuild/TestCenter/integration/content/routing/il/ngs2-0-1-spirent/src/macm/macmevent.c</t>
  </si>
  <si>
    <t>/home/scmbuild/TestCenter/integration/content/routing/il/ngs2-0-1-spirent/src/portm/portman.c</t>
  </si>
  <si>
    <t>/home/scmbuild/TestCenter/integration/content/routing/il/ngs2-0-1-spirent/src/rstp_new/mstp_dget.c</t>
  </si>
  <si>
    <t>/home/scmbuild/TestCenter/integration/content/routing/il/ngs2-0-1-spirent/src/rstp_new/mstp_port_roletransition.c</t>
  </si>
  <si>
    <t>/home/scmbuild/TestCenter/integration/content/routing/il/ngs2-0-1-spirent/src/rstp_new/rstp_cli.c</t>
  </si>
  <si>
    <t>/home/scmbuild/TestCenter/integration/content/routing/il/ngs2-0-1-spirent/src/rstp_new/rstp_init.c</t>
  </si>
  <si>
    <t>/home/scmbuild/TestCenter/integration/content/routing/il/ngs2-0-1-spirent/src/rstp_new/stp.c</t>
  </si>
  <si>
    <t>/home/scmbuild/TestCenter/integration/content/routing/il/ngs2-0-1-spirent/src/rstp_new/stp_dget.c</t>
  </si>
  <si>
    <t>/home/scmbuild/TestCenter/integration/content/routing/il/ngs2-0-1-spirent/src/rstp_new/stpApi.c</t>
  </si>
  <si>
    <t>/home/scmbuild/TestCenter/integration/content/routing/il/ngs2-0-1-spirent/src/rstp_new/stpCore.c</t>
  </si>
  <si>
    <t>/home/scmbuild/TestCenter/integration/content/routing/il/ngs2-0-1-spirent/src/rstp_new/stpInit.c</t>
  </si>
  <si>
    <t>/home/scmbuild/TestCenter/integration/content/routing/il/ngs2-0-1-spirent/src/rstp_new/stpPort.c</t>
  </si>
  <si>
    <t>/home/scmbuild/TestCenter/integration/content/routing/il/ngs2-0-1-spirent/src/util/pool.c</t>
  </si>
  <si>
    <t>/home/scmbuild/TestCenter/integration/content/routing/il/ngs2-0-1-spirent/src/util/pprefix.c</t>
  </si>
  <si>
    <t>/home/scmbuild/TestCenter/integration/content/routing/il/ngs2-0-1-spirent/src/util/prefix.c</t>
  </si>
  <si>
    <t>/home/scmbuild/TestCenter/integration/content/routing/il/ngs2-0-1-spirent/src/vlanm/vlanm_qinq.c</t>
  </si>
  <si>
    <t>/home/scmbuild/TestCenter/integration/content/routing/il/stpd/transmit.cpp</t>
  </si>
  <si>
    <t>/home/scmbuild/TestCenter/integration/content/traffic/capture/il/CapUtils.cpp</t>
  </si>
  <si>
    <t>/home/scmbuild/TestCenter/integration/content/traffic/l2l3/il/Generator/stream/GenStreamDB.cpp</t>
  </si>
  <si>
    <t>/home/scmbuild/TestCenter/integration/content/traffic/l4l7/il/engine/AttackPlaylistInstance.cpp</t>
  </si>
  <si>
    <t>/home/scmbuild/TestCenter/integration/content/traffic/l4l7/il/external/RvSipTK/ads/abmem_pool.c</t>
  </si>
  <si>
    <t>/home/scmbuild/TestCenter/integration/content/traffic/l4l7/il/external/RvSipTK/rtpRtcp/rtp/rtp_spirent.c</t>
  </si>
  <si>
    <t>/home/scmbuild/TestCenter/integration/content/traffic/l4l7/il/external/RvSipTK/rtpRtcp/rtp/RtpProfileRfc3550.c</t>
  </si>
  <si>
    <t>/home/scmbuild/TestCenter/integration/content/traffic/l4l7/il/external/RvSipTK/rtpRtcp/rtp/rvnetaddress.c</t>
  </si>
  <si>
    <t>/home/scmbuild/TestCenter/integration/content/traffic/l4l7/il/external/RvSipTK/rtpRtcp/srtp/plugin/srtpProfileRfc3711.c</t>
  </si>
  <si>
    <t>/home/scmbuild/TestCenter/integration/content/traffic/l4l7/il/external/RvSipTK/sdp/codecs/rvsdpcodecs.c</t>
  </si>
  <si>
    <t>/home/scmbuild/TestCenter/integration/content/traffic/l4l7/il/external/RvSipTK/sdp/rvsdpinit.c</t>
  </si>
  <si>
    <t>/home/scmbuild/TestCenter/integration/content/traffic/l4l7/il/external/RvSipTK/sdp/rvsdpprecondition.c</t>
  </si>
  <si>
    <t>/home/scmbuild/TestCenter/integration/content/traffic/l4l7/il/external/RvSipTK/sip/authenticator/_SipAuthenticator.c</t>
  </si>
  <si>
    <t>/home/scmbuild/TestCenter/integration/content/traffic/l4l7/il/external/RvSipTK/sip/call/CallLegAuth.c</t>
  </si>
  <si>
    <t>/home/scmbuild/TestCenter/integration/content/traffic/l4l7/il/external/RvSipTK/sip/call/CallLegRouteList.c</t>
  </si>
  <si>
    <t>/home/scmbuild/TestCenter/integration/content/traffic/l4l7/il/external/RvSipTK/sip/call/CallLegSession.c</t>
  </si>
  <si>
    <t>/home/scmbuild/TestCenter/integration/content/traffic/l4l7/il/external/RvSipTK/sip/call/CallLegSessionTimer.c</t>
  </si>
  <si>
    <t>/home/scmbuild/TestCenter/integration/content/traffic/l4l7/il/external/RvSipTK/sip/call/CallLegSubs.c</t>
  </si>
  <si>
    <t>/home/scmbuild/TestCenter/integration/content/traffic/l4l7/il/external/RvSipTK/sip/call/RvSipCallLeg.c</t>
  </si>
  <si>
    <t>/home/scmbuild/TestCenter/integration/content/traffic/l4l7/il/external/RvSipTK/sip/compartment/CompartmentMgrObject.c</t>
  </si>
  <si>
    <t>/home/scmbuild/TestCenter/integration/content/traffic/l4l7/il/external/RvSipTK/sip/message/RvSipBody.c</t>
  </si>
  <si>
    <t>/home/scmbuild/TestCenter/integration/content/traffic/l4l7/il/external/RvSipTK/sip/pubClient/_SipPubClientMgr.c</t>
  </si>
  <si>
    <t>/home/scmbuild/TestCenter/integration/content/traffic/l4l7/il/external/RvSipTK/sip/regClient/_SipRegClientMgr.c</t>
  </si>
  <si>
    <t>/home/scmbuild/TestCenter/integration/content/traffic/l4l7/il/external/RvSipTK/sip/secAgree/_SipSecAgreeMgr.c</t>
  </si>
  <si>
    <t>/home/scmbuild/TestCenter/integration/content/traffic/l4l7/il/external/RvSipTK/sip/stackMgr/RvSipStack.c</t>
  </si>
  <si>
    <t>/home/scmbuild/TestCenter/integration/content/traffic/l4l7/il/external/RvSipTK/sip/subscription/_SipSubs.c</t>
  </si>
  <si>
    <t>/home/scmbuild/TestCenter/integration/content/traffic/l4l7/il/external/RvSipTK/sip/subscription/_SipSubsMgr.c</t>
  </si>
  <si>
    <t>/home/scmbuild/TestCenter/integration/content/traffic/l4l7/il/external/RvSipTK/sip/subscription/SubsRefer.c</t>
  </si>
  <si>
    <t>/home/scmbuild/TestCenter/integration/content/traffic/l4l7/il/external/RvSipTK/sip/transaction/_SipTransactionMgr.c</t>
  </si>
  <si>
    <t>/home/scmbuild/TestCenter/integration/content/traffic/l4l7/il/external/RvSipTK/sip/transaction/TransactionMgrObject.c</t>
  </si>
  <si>
    <t>/home/scmbuild/TestCenter/integration/content/traffic/l4l7/il/external/RvSipTK/sip/transmitter/TransmitterDest.c</t>
  </si>
  <si>
    <t>/home/scmbuild/TestCenter/integration/content/traffic/l4l7/il/external/RvSipTK/sip/transmitter/TransmitterObject.c</t>
  </si>
  <si>
    <t>/home/scmbuild/TestCenter/integration/content/traffic/l4l7/il/external/RvSipTK/sip/transport/TransportConnection.c</t>
  </si>
  <si>
    <t>/home/scmbuild/TestCenter/integration/content/traffic/l4l7/il/external/RvSipTK/sip/transport/TransportMsgBuilder.c</t>
  </si>
  <si>
    <t>/home/scmbuild/TestCenter/integration/content/traffic/l4l7/il/ftpd/FtpClientBlock.cpp</t>
  </si>
  <si>
    <t>/home/scmbuild/TestCenter/integration/content/traffic/l4l7/il/ftpd/FtpServer.cpp</t>
  </si>
  <si>
    <t>/home/scmbuild/TestCenter/integration/framework/common/lib/xmlpdu/PduLib.cpp</t>
  </si>
  <si>
    <t>/home/scmbuild/TestCenter/integration/framework/il/common/lib/mps/mps_thread_manager.cpp</t>
  </si>
  <si>
    <t>/home/scmbuild/TestCenter/integration/framework/il/common/utils/mmt++/broadcom.cpp</t>
  </si>
  <si>
    <t>/home/scmbuild/TestCenter/integration/framework/il/common/utils/mrt/mrt.c</t>
  </si>
  <si>
    <t>/home/scmbuild/TestCenter/integration/framework/il/freebsd/sys/kern/kern_tc.c</t>
  </si>
  <si>
    <t>/home/scmbuild/TestCenter/integration/framework/il/freebsd/sys/kern/subr_hints.c</t>
  </si>
  <si>
    <t>/home/scmbuild/TestCenter/integration/framework/il/freebsd/sys/kern/subr_rman.c</t>
  </si>
  <si>
    <t>/home/scmbuild/TestCenter/integration/framework/il/freebsd/sys/net/route.c</t>
  </si>
  <si>
    <t>/home/scmbuild/TestCenter/integration/framework/il/freebsd/sys/netinet/tcp_usrreq.c</t>
  </si>
  <si>
    <t>/home/scmbuild/TestCenter/integration/framework/il/freebsd/sys/netinet6/in6_src.c</t>
  </si>
  <si>
    <t>/home/scmbuild/TestCenter/integration/content/routing/il/ngc2-7-3-spirent/src/bgp/bgp_orf.c</t>
  </si>
  <si>
    <t>/home/scmbuild/TestCenter/integration/content/routing/il/ngc2-7-3-spirent/src/new_isis/new_isis_recv.c</t>
  </si>
  <si>
    <t>/home/scmbuild/TestCenter/integration/content/routing/il/ngs2-0-1-spirent/src/l2d_os/linux/pmux_packet_socket.c</t>
  </si>
  <si>
    <t>/home/scmbuild/TestCenter/integration/content/traffic/l4l7/il/external/RvSipTK/sdp/rvsdplist.c</t>
  </si>
  <si>
    <t>/home/scmbuild/TestCenter/integration/content/traffic/l4l7/il/external/RvSipTK/sip/resolver/ResolverDns.c</t>
  </si>
  <si>
    <t>/home/scmbuild/TestCenter/integration/content/routing/il/ngc2-7-3-spirent/src/krt_os/krt_rt_netlink.c</t>
  </si>
  <si>
    <t>/home/scmbuild/TestCenter/integration/content/routing/il/ngc2-7-3-spirent/src/util/ptree.c</t>
  </si>
  <si>
    <t>/home/scmbuild/TestCenter/integration/content/routing/il/ngs2-0-1-spirent/src/igmp_snoop/igmp_snoop_dget.c</t>
  </si>
  <si>
    <t>/home/scmbuild/TestCenter/integration/content/routing/il/ngs2-0-1-spirent/src/l2d/pkt_bfrs.c</t>
  </si>
  <si>
    <t>/home/scmbuild/TestCenter/integration/content/routing/il/ngs2-0-1-spirent/src/l2d_mio/mio_error.c</t>
  </si>
  <si>
    <t>/home/scmbuild/TestCenter/integration/content/routing/il/ngs2-0-1-spirent/src/l2d_smux/smux_asn1.c</t>
  </si>
  <si>
    <t>/home/scmbuild/TestCenter/integration/content/routing/il/ngs2-0-1-spirent/src/portm/pagg_dget.c</t>
  </si>
  <si>
    <t>/home/scmbuild/TestCenter/integration/content/routing/il/ngs2-0-1-spirent/src/portm/port_agg.c</t>
  </si>
  <si>
    <t>/home/scmbuild/TestCenter/integration/content/routing/il/ngs2-0-1-spirent/src/portm/port_dget.c</t>
  </si>
  <si>
    <t>/home/scmbuild/TestCenter/integration/content/routing/il/ngs2-0-1-spirent/src/util/garray.c</t>
  </si>
  <si>
    <t>/home/scmbuild/TestCenter/integration/content/routing/il/ngs2-0-1-spirent/src/util/ptree.c</t>
  </si>
  <si>
    <t>/home/scmbuild/TestCenter/integration/content/routing/il/ngs2-0-1-spirent/src/util/util.c</t>
  </si>
  <si>
    <t>/home/scmbuild/TestCenter/integration/content/traffic/l4l7/il/external/RvSipTK/sip/security/SecurityObject.c</t>
  </si>
  <si>
    <t>/home/scmbuild/TestCenter/integration/content/traffic/l4l7/il/external/RvSipTK/sip/transmitter/TransmitterControl.c</t>
  </si>
  <si>
    <t>/home/scmbuild/TestCenter/integration/framework/il/freebsd/sys/netipsec/xform_esp.c</t>
  </si>
  <si>
    <t>/home/scmbuild/TestCenter/integration/content/access/dhcpv4/il/dhcpd/DhcpEventThread.cpp</t>
  </si>
  <si>
    <t>/home/scmbuild/TestCenter/integration/content/access/dhcpv6/il/dhcpv6d/Dhcpv6Core.cpp</t>
  </si>
  <si>
    <t>/home/scmbuild/TestCenter/integration/content/cts/tsm/il/rsocketd/CtsFecUpdaterInterfacePublic.cpp</t>
  </si>
  <si>
    <t>/home/scmbuild/TestCenter/integration/content/cts/tsm/il/rsocketd/RSocket_1.cpp</t>
  </si>
  <si>
    <t>/home/scmbuild/TestCenter/integration/content/routing/il/ngc2-7-3-spirent/src/mplscore/mpls_dget_ipftn.c</t>
  </si>
  <si>
    <t>/home/scmbuild/TestCenter/integration/content/routing/il/stpd/stp_comm.cpp</t>
  </si>
  <si>
    <t>/home/scmbuild/TestCenter/integration/content/storage/vepa/il/vepad/VepaMsgSetSrv_1.cpp</t>
  </si>
  <si>
    <t>/home/scmbuild/TestCenter/integration/content/traffic/capture/il/CapFactory.cpp</t>
  </si>
  <si>
    <t>/home/scmbuild/TestCenter/integration/content/traffic/capture/il/CapPktMgr.cpp</t>
  </si>
  <si>
    <t>/home/scmbuild/TestCenter/integration/content/traffic/capture/il/main.cpp</t>
  </si>
  <si>
    <t>/home/scmbuild/TestCenter/integration/content/traffic/l4l7/il/external/RvSipTK/common/adapters/pmutex/rvadlock.c</t>
  </si>
  <si>
    <t>/home/scmbuild/TestCenter/integration/content/traffic/l4l7/il/external/RvSipTK/common/adapters/pmutex/rvadmutex.c</t>
  </si>
  <si>
    <t>/home/scmbuild/TestCenter/integration/content/traffic/l4l7/il/external/RvSipTK/common/ccore/netdrivers/rvhost.c</t>
  </si>
  <si>
    <t>/home/scmbuild/TestCenter/integration/content/traffic/l4l7/il/external/RvSipTK/rtpRtcp/rtp/rtp.c</t>
  </si>
  <si>
    <t>/home/scmbuild/TestCenter/integration/framework/common/lib/phxrpc/tm_array.cpp</t>
  </si>
  <si>
    <t>/home/scmbuild/TestCenter/integration/framework/common/lib/phxrpc/tm_prenamed_struct.cpp</t>
  </si>
  <si>
    <t>/home/scmbuild/TestCenter/integration/framework/common/lib/phxrpc/tm_struct.cpp</t>
  </si>
  <si>
    <t>/home/scmbuild/TestCenter/integration/framework/il/common/apps/bcmnetd/init.c</t>
  </si>
  <si>
    <t>/home/scmbuild/TestCenter/integration/framework/il/common/apps/bpnetd/sio.c</t>
  </si>
  <si>
    <t>/home/scmbuild/TestCenter/integration/framework/il/common/apps/etrd/init.c</t>
  </si>
  <si>
    <t>/home/scmbuild/TestCenter/integration/framework/il/common/apps/hdlcd/HdlcSocket.cpp</t>
  </si>
  <si>
    <t>/home/scmbuild/TestCenter/integration/framework/il/common/apps/i2cd/init.c</t>
  </si>
  <si>
    <t>/home/scmbuild/TestCenter/integration/framework/il/common/apps/m68kd/ipc_msg_proc.cpp</t>
  </si>
  <si>
    <t>/home/scmbuild/TestCenter/integration/framework/il/common/apps/mpsd/mserver/mps_queue_handle.cpp</t>
  </si>
  <si>
    <t>/home/scmbuild/TestCenter/integration/framework/il/common/apps/mpsd/mserver/mps_server.cpp</t>
  </si>
  <si>
    <t>/home/scmbuild/TestCenter/integration/framework/il/common/apps/rpcsvr/ctl5u.cpp</t>
  </si>
  <si>
    <t>/home/scmbuild/TestCenter/integration/framework/il/common/apps/rpcsvr/ctl9u.cpp</t>
  </si>
  <si>
    <t>/home/scmbuild/TestCenter/integration/framework/il/common/apps/rpcsvr/init.cpp</t>
  </si>
  <si>
    <t>/home/scmbuild/TestCenter/integration/framework/il/common/apps/rpcsvr/init_x86.cpp</t>
  </si>
  <si>
    <t>/home/scmbuild/TestCenter/integration/framework/il/common/apps/syncd/etrtsk.c</t>
  </si>
  <si>
    <t>/home/scmbuild/TestCenter/integration/framework/il/common/apps/sysmgrd/SysMgrWatchdogHandler.cpp</t>
  </si>
  <si>
    <t>/home/scmbuild/TestCenter/integration/framework/il/common/apps/udpsvr/main.cpp</t>
  </si>
  <si>
    <t>/home/scmbuild/TestCenter/integration/framework/il/common/lib/flexlm/mutex.h</t>
  </si>
  <si>
    <t>/home/scmbuild/TestCenter/integration/framework/il/common/lib/hal++/chassis/ChassisTimeStampImp.cpp</t>
  </si>
  <si>
    <t>/home/scmbuild/TestCenter/integration/framework/il/common/lib/hal++/common/SystemImp.cpp</t>
  </si>
  <si>
    <t>/home/scmbuild/TestCenter/integration/framework/il/common/lib/hal++/common/TimeStampImp.cpp</t>
  </si>
  <si>
    <t>/home/scmbuild/TestCenter/integration/framework/il/common/lib/hal++/utils/crc.cpp</t>
  </si>
  <si>
    <t>/home/scmbuild/TestCenter/integration/framework/il/common/lib/hal++/utils/ctcontrol.cpp</t>
  </si>
  <si>
    <t>/home/scmbuild/TestCenter/integration/framework/il/common/lib/hal++/utils/rxtimestamp.cpp</t>
  </si>
  <si>
    <t>/home/scmbuild/TestCenter/integration/framework/il/common/lib/ilprotocol/base/DbgMsgSetSrvNotifier.cpp</t>
  </si>
  <si>
    <t>/home/scmbuild/TestCenter/integration/framework/il/common/lib/ilprotocol/base/IlProtocolEthernetMulticastSocketHandler.cpp</t>
  </si>
  <si>
    <t>/home/scmbuild/TestCenter/integration/framework/il/common/lib/ilprotocol/base/IlProtocolEthernetSocketHandler.cpp</t>
  </si>
  <si>
    <t>/home/scmbuild/TestCenter/integration/framework/il/common/lib/mps/mps.cpp</t>
  </si>
  <si>
    <t>/home/scmbuild/TestCenter/integration/framework/il/common/utils/linkspeed/getLinkSpeed.cpp</t>
  </si>
  <si>
    <t>/home/scmbuild/TestCenter/integration/framework/il/common/utils/serialcomm/sync_tx.c</t>
  </si>
  <si>
    <t>/home/scmbuild/TestCenter/integration/framework/il/common/utils/sqlquery/main.cpp</t>
  </si>
  <si>
    <t>/home/scmbuild/TestCenter/integration/framework/il/common/utils/tmprom/main.c</t>
  </si>
  <si>
    <t>/home/scmbuild/TestCenter/integration/content/access/dot1x/il/AAAClient/src/EAPOpenSslApi.cc</t>
  </si>
  <si>
    <t>/home/scmbuild/TestCenter/integration/content/routing/il/ngs2-0-1-spirent/src/l2d_mio/mstp_mio.c</t>
  </si>
  <si>
    <t>/home/scmbuild/TestCenter/integration/content/traffic/l4l7/il/external/RvSipTK/common/ccore/netdrivers/rvsocket.c</t>
  </si>
  <si>
    <t>/home/scmbuild/TestCenter/integration/content/traffic/l4l7/il/external/RvSipTK/sigcomp/SigCompCompartmentHandlerObject.c</t>
  </si>
  <si>
    <t>/home/scmbuild/TestCenter/integration/content/traffic/l4l7/il/external/RvSipTK/sip/call/CallLegInvite.c</t>
  </si>
  <si>
    <t>/home/scmbuild/TestCenter/integration/content/traffic/l4l7/il/external/RvSipTK/sip/secAgree/SecAgreeServer.c</t>
  </si>
  <si>
    <t>/home/scmbuild/TestCenter/integration/content/traffic/l4l7/il/external/RvSipTK/sip/security/_SipSecuritySecObj.c</t>
  </si>
  <si>
    <t>/home/scmbuild/TestCenter/integration/content/traffic/l4l7/il/external/RvSipTK/sip/transcClient/TranscClientCallbacks.c</t>
  </si>
  <si>
    <t>/home/scmbuild/TestCenter/integration/framework/il/common/lib/statsframework/ExtremeSqlMsgAdapter.cpp</t>
  </si>
  <si>
    <t>/home/scmbuild/TestCenter/integration/framework/il/freebsd/sys/kern/uipc_accf.c</t>
  </si>
  <si>
    <t>/home/scmbuild/TestCenter/integration/framework/il/freebsd/sys/kern/uipc_mbuf.c</t>
  </si>
  <si>
    <t>/home/scmbuild/TestCenter/integration/framework/il/freebsd/sys/kern/uipc_socket.c</t>
  </si>
  <si>
    <t>/home/scmbuild/TestCenter/integration/framework/il/freebsd/sys/netinet/ip_output.c</t>
  </si>
  <si>
    <t>/home/scmbuild/TestCenter/integration/framework/il/freebsd/sys/netinet6/udp6_usrreq.c</t>
  </si>
  <si>
    <t>/home/scmbuild/TestCenter/integration/content/routing/il/ngs2-0-1-spirent/src/l2d/dget_version.c</t>
  </si>
  <si>
    <t>/home/scmbuild/TestCenter/integration/framework/il/common/apps/etrd/gps.c</t>
  </si>
  <si>
    <t>/home/scmbuild/TestCenter/integration/framework/il/common/apps/etrd/gps_tp5k.c</t>
  </si>
  <si>
    <t>/home/scmbuild/TestCenter/integration/framework/il/common/apps/etrd/gps_xli.c</t>
  </si>
  <si>
    <t>/home/scmbuild/TestCenter/integration/content/routing/il/ngs2-0-1-spirent/src/l2d_acl/l2d_acl.c</t>
  </si>
  <si>
    <t>/home/scmbuild/TestCenter/integration/content/traffic/l4l7/il/httpd/abr_apple/src/abr_parser.cpp</t>
  </si>
  <si>
    <t>/home/scmbuild/TestCenter/integration/content/traffic/l4l7/il/rawtcpd/ClientConnectionHandler.cpp</t>
  </si>
  <si>
    <t>/home/scmbuild/TestCenter/integration/content/traffic/l4l7/il/rawtcpd/ServerConnectionHandler.cpp</t>
  </si>
  <si>
    <t>/home/scmbuild/TestCenter/integration/framework/il/common/apps/etrd/ntp.c</t>
  </si>
  <si>
    <t>/home/scmbuild/TestCenter/integration/framework/il/common/apps/sysmgrd/SysMgrPortGroupInfo.cpp</t>
  </si>
  <si>
    <t>/home/scmbuild/TestCenter/integration/framework/il/common/lib/timer/timer.c</t>
  </si>
  <si>
    <t>/home/scmbuild/TestCenter/integration/framework/il/common/lib/vif/IfSetupInterfaceStackRefImpl.cpp</t>
  </si>
  <si>
    <t>/home/scmbuild/TestCenter/integration/framework/il/common/pymodule/ifmgrclient/ifmgrclientplus/IfMgrClientMplsTransformers.cpp</t>
  </si>
  <si>
    <t>/home/scmbuild/TestCenter/integration/framework/il/common/utils/phxlogtool/dblm_1_port_client_msg.cpp</t>
  </si>
  <si>
    <t>/home/scmbuild/TestCenter/integration/framework/il/freebsd/sys/kern/subr_sbuf.c</t>
  </si>
  <si>
    <t>admin\*</t>
  </si>
  <si>
    <t>framework\ui\*</t>
  </si>
  <si>
    <t>sample\*</t>
  </si>
  <si>
    <t>tripleplay\*</t>
  </si>
  <si>
    <t>device\*</t>
  </si>
  <si>
    <t>D:\dev\integration\content\device\configurator\bll\adaptor\vmware\stdsoap2.cpp</t>
  </si>
  <si>
    <t>D:\dev\integration\content\routing\synce\bll\src\SyncEthDeviceConfig.cpp</t>
  </si>
  <si>
    <t>D:\dev\integration\content\tripleplay\iptv\bll\src\IptvTestResults.cpp</t>
  </si>
  <si>
    <t>D:\dev\integration\framework\bll\base\src\scriptable\serialization\ScriptExporter.cpp</t>
  </si>
  <si>
    <t>D:\dev\integration\framework\bll\base\src\scriptable\serialization\AbstractRecursiveFileExporter.cpp</t>
  </si>
  <si>
    <t>D:\dev\integration\framework\bll\core\src\util\CoreRpcSimulator.cpp</t>
  </si>
  <si>
    <t>D:\dev\integration\content\routing\ospfv2\bll\src\Ospfv2RouteTopologyGenerator.cpp</t>
  </si>
  <si>
    <t>D:\dev\integration\content\routing\ospfv3\bll\src\Ospfv3RouteTopologyGenerator.cpp</t>
  </si>
  <si>
    <t>D:\dev\integration\framework\common\lib\utils\Wildcards.cpp</t>
  </si>
  <si>
    <t>D:\dev\integration\framework\ui\automation\sJava\stcJNI.cpp</t>
  </si>
  <si>
    <t>D:\dev\integration\content\access\l2tp\bll\src\context\L2tpv2ApplyContextImpl.cpp</t>
  </si>
  <si>
    <t>D:\dev\integration\content\channel\channel\bll\src\ChannelApplyHandler.cpp</t>
  </si>
  <si>
    <t>D:\dev\integration\content\routing\pbbwizard\bll\src\PbbGenConfigExpandCommand.cpp</t>
  </si>
  <si>
    <t>D:\dev\integration\framework\bll\core\src\command\PfcMeasureResponseTimeCommand.cpp</t>
  </si>
  <si>
    <t>D:\dev\integration\framework\common\lib\xmlstream\XmlStreamParser.cpp</t>
  </si>
  <si>
    <t>D:\dev\integration\content\access\accesstest\bll\src\AncpAccessLoopGen.cpp</t>
  </si>
  <si>
    <t>D:\dev\integration\content\access\ancp\bll\src\applystates\AncpConfigBlockState.cpp</t>
  </si>
  <si>
    <t>D:\dev\integration\content\access\ancp\bll\src\config\AncpAccessLoopBlockConfig.cpp</t>
  </si>
  <si>
    <t>D:\dev\integration\content\device\configurator\bll\adaptor\EdcApplicationProxy.cpp</t>
  </si>
  <si>
    <t>D:\dev\integration\content\device\configurator\bll\src\command\ExternalDeviceDeleteTypeCommand.cpp</t>
  </si>
  <si>
    <t>D:\dev\integration\content\routing\eoam\bll\src\EoamOnValidate.cpp</t>
  </si>
  <si>
    <t>D:\dev\integration\content\routing\mplstpoam\bll\src\MplsTpOamStartLbCommand.cpp</t>
  </si>
  <si>
    <t>D:\dev\integration\content\routing\mplstpoam\bll\src\MplsTpOamStartTstCommand.cpp</t>
  </si>
  <si>
    <t>D:\dev\integration\content\routing\ospfv2\bll\src\Ospfv2RouterConfig.cpp</t>
  </si>
  <si>
    <t>D:\dev\integration\content\routing\ospfv3\bll\src\Ospfv3RouterConfig.cpp</t>
  </si>
  <si>
    <t>D:\dev\integration\content\routing\synce\bll\src\ConfigSyncEthIlLoggingCommand.cpp</t>
  </si>
  <si>
    <t>D:\dev\integration\content\sample\cars\bll\src\ConfigInfoProvider.cpp</t>
  </si>
  <si>
    <t>D:\dev\integration\content\sample\cars\bll\src\DynamicResultProvider.cpp</t>
  </si>
  <si>
    <t>D:\dev\integration\content\tripleplay\iptv\bll\src\IptvMsgSetCln.cpp</t>
  </si>
  <si>
    <t>D:\dev\integration\content\tripleplay\iptv\bll\src\IptvStartTestCommand.cpp</t>
  </si>
  <si>
    <t>D:\dev\integration\content\tripleplay\iptv\bll\src\IptvViewedChannels.cpp</t>
  </si>
  <si>
    <t>D:\dev\integration\content\tripleplay\vqana\bll\src\VqAnaMsgSetCln.cpp</t>
  </si>
  <si>
    <t>D:\dev\integration\content\tripleplay\vqana\bll\src\VqChannelBlockConfig.cpp</t>
  </si>
  <si>
    <t>D:\dev\integration\content\tripleplay\vqana\bll\src\VqDeviceChannelBlock.cpp</t>
  </si>
  <si>
    <t>D:\dev\integration\framework\bll\base\src\scriptable\CowDataStore.cpp</t>
  </si>
  <si>
    <t>D:\dev\integration\framework\bll\base\src\scriptable\RelationHelper.cpp</t>
  </si>
  <si>
    <t>D:\dev\integration\framework\bll\base\src\scriptable\Scriptable.cpp</t>
  </si>
  <si>
    <t>D:\dev\integration\framework\bll\base\src\scriptable\ScriptableLocator.cpp</t>
  </si>
  <si>
    <t>D:\dev\integration\framework\bll\base\src\scriptable\serialization\XmlSpecificSaxHandlers.cpp</t>
  </si>
  <si>
    <t>D:\dev\integration\framework\bll\base\src\system\StcSystem.cpp</t>
  </si>
  <si>
    <t>D:\dev\integration\framework\bll\core\src\command\GetObjectsCommand.cpp</t>
  </si>
  <si>
    <t>D:\dev\integration\framework\bll\core\src\HighResolutionSamplingStartCommand.cpp</t>
  </si>
  <si>
    <t>D:\dev\integration\framework\bll\core\src\HighResolutionSamplingStopCommand.cpp</t>
  </si>
  <si>
    <t>D:\dev\integration\framework\bll\core\src\pdu_scriptable\PduScriptable.cpp</t>
  </si>
  <si>
    <t>D:\dev\integration\framework\bll\core\src\physicalchassis\ManageChassisCentralImpl.cpp</t>
  </si>
  <si>
    <t>D:\dev\integration\framework\bll\core\src\physicalchassis\PhyMessengerImpl.cpp</t>
  </si>
  <si>
    <t>D:\dev\integration\framework\bll\core\src\Port.cpp</t>
  </si>
  <si>
    <t>D:\dev\integration\framework\bll\core\src\rcm\RcmParser.cpp</t>
  </si>
  <si>
    <t>D:\dev\integration\framework\bll\core\src\result\DataRowConstIterator.cpp</t>
  </si>
  <si>
    <t>D:\dev\integration\framework\bll\core\src\result\PrintableResults.cpp</t>
  </si>
  <si>
    <t>D:\dev\integration\framework\bll\core\src\result\ResultsSubscribeCommand.cpp</t>
  </si>
  <si>
    <t>D:\dev\integration\framework\bll\core\src\result\TimedResultLogQueryBuilder.cpp</t>
  </si>
  <si>
    <t>D:\dev\integration\framework\bll\core\src\RunExternalProcessCommand.cpp</t>
  </si>
  <si>
    <t>D:\dev\integration\framework\bll\core\src\sequencer\Sequencer.cpp</t>
  </si>
  <si>
    <t>D:\dev\integration\framework\bll\core\src\sequencer\SequencerIfCommand.cpp</t>
  </si>
  <si>
    <t>D:\dev\integration\framework\bll\core\src\sequencer\VerifyResultsValueCondition.cpp</t>
  </si>
  <si>
    <t>D:\dev\integration\framework\common\lib\modifier\include\PropertyModifier.h</t>
  </si>
  <si>
    <t>D:\dev\integration\framework\common\lib\modifier\src\PropertyModifier.cpp</t>
  </si>
  <si>
    <t>D:\dev\integration\framework\common\lib\xmlpdu\PduLib.cpp</t>
  </si>
  <si>
    <t>D:\dev\integration\framework\common\lib\xmlpdu\XmlFrameBuilder.cpp</t>
  </si>
  <si>
    <t>D:\dev\integration\framework\common\lib\xmlstream\XmlStreamReader.cpp</t>
  </si>
  <si>
    <t>D:\dev\integration\framework\ui\automation\sal\src\FileTransferManager.cpp</t>
  </si>
  <si>
    <t>D:\dev\integration\framework\ui\automation\sal\src\RemoteFileMapper.cpp</t>
  </si>
  <si>
    <t>D:\dev\integration\content\common\contentcore\bll\src\common\results\AppBaseResultIlDrivenItemCounter.cpp</t>
  </si>
  <si>
    <t>D:\dev\integration\content\device\configurator\bll\src\ConfiguratorResultsHandler.cpp</t>
  </si>
  <si>
    <t>D:\dev\integration\content\routing\pbbwizard\bll\src\PbbGen.cpp</t>
  </si>
  <si>
    <t>D:\dev\integration\content\tripleplay\vqana\bll\src\VqAnalyzerResultsHandler.cpp</t>
  </si>
  <si>
    <t>Total Resolved since 1/15/12</t>
  </si>
  <si>
    <t>Static Analysis Trend :  STC High Impact Defects - STC Integration Branch</t>
  </si>
  <si>
    <t>Open IL and IL Plug-in Issues</t>
  </si>
  <si>
    <t>Open Win/BLL Issues</t>
  </si>
  <si>
    <t>Total Open Issues</t>
  </si>
  <si>
    <t>framework/il*</t>
  </si>
  <si>
    <t>routing/il*</t>
  </si>
  <si>
    <t>/home/scmbuild/TestCenter/integration/content/routing/il/ngc2-7-3-spirent/src/mplscore/mpls_dget_xc.c</t>
  </si>
  <si>
    <t>datacenter/*</t>
  </si>
  <si>
    <t>D:\dev\integration\common\lib\ACE_wrappers_5.5.6\ace\Message_Queue.inl</t>
  </si>
  <si>
    <t>D:\dev\integration\common\lib\ACE_wrappers_5.5.6\ace\OS_NS_Thread.inl</t>
  </si>
  <si>
    <t>D:\dev\integration\common\lib\boost_1_39_0\libs\iostreams\src\zlib.cpp</t>
  </si>
  <si>
    <t>D:\dev\integration\common\tools\CodeSynthesis XSD 3.3\include\xsd\cxx\tree\date-time.ixx</t>
  </si>
  <si>
    <t>D:\dev\integration\common\tools\CodeSynthesis XSD 3.3\include\xsd\cxx\tree\elements.hxx</t>
  </si>
  <si>
    <t>D:\dev\integration\content\access\ancp\bll\src\applystates\AncpConfigPortState.cpp</t>
  </si>
  <si>
    <t>D:\dev\integration\content\access\ancp\bll\src\applystates\AncpDeleteBlockState.cpp</t>
  </si>
  <si>
    <t>D:\dev\integration\content\access\ancp\bll\src\applystates\AncpDeleteIntfState.cpp</t>
  </si>
  <si>
    <t>D:\dev\integration\content\access\ancp\bll\src\config\AncpDeviceGenProtocolParams.cpp</t>
  </si>
  <si>
    <t>D:\dev\integration\content\access\dhcpv4\bll\src\Dhcpv4BlockConfig.cpp</t>
  </si>
  <si>
    <t>D:\dev\integration\content\access\l2tp\bll\src\applystates\L2tpAbortState.cpp</t>
  </si>
  <si>
    <t>D:\dev\integration\content\access\l2tp\bll\src\applystates\L2tpConfigBlockState.cpp</t>
  </si>
  <si>
    <t>D:\dev\integration\content\access\l2tp\bll\src\applystates\L2tpConfigPortState.cpp</t>
  </si>
  <si>
    <t>D:\dev\integration\content\channel\channel\bll\src\Channel.cpp</t>
  </si>
  <si>
    <t>D:\dev\integration\content\common\contentcore\bll\include\ContentBaseProtocolConfig.h</t>
  </si>
  <si>
    <t>D:\dev\integration\content\common\rsocket\include\rsocket.hpp</t>
  </si>
  <si>
    <t>D:\dev\integration\content\common\rsocket\src\stc_rsocket.cpp</t>
  </si>
  <si>
    <t>D:\dev\integration\content\datacenter\datacenter\bll\include\TrillLspCache.h</t>
  </si>
  <si>
    <t>D:\dev\integration\content\datacenter\datacenter\bll\src\trill\TrillDeviceGenProtocolParams.cpp</t>
  </si>
  <si>
    <t>D:\dev\integration\content\datacenter\datacenter\bll\src\trill\TrillRbridgeConfig.cpp</t>
  </si>
  <si>
    <t>D:\dev\integration\content\datacenter\dcwizards\bll\src\common\DcWizardLinkState.cpp</t>
  </si>
  <si>
    <t>D:\dev\integration\content\datacenter\dcwizards\bll\src\common\StatusUpdate.cpp</t>
  </si>
  <si>
    <t>D:\dev\integration\content\device\configurator\bll\adaptor\CommandLineOpts.cpp</t>
  </si>
  <si>
    <t>D:\dev\integration\content\device\configurator\bll\adaptor\EdcApplicationProxy.h</t>
  </si>
  <si>
    <t>D:\dev\integration\content\device\configurator\bll\adaptor\mps\DutHandle.cpp</t>
  </si>
  <si>
    <t>D:\dev\integration\content\device\configurator\bll\adaptor\mps\DutSocket.cpp</t>
  </si>
  <si>
    <t>D:\dev\integration\content\device\configurator\bll\adaptor\Session.cpp</t>
  </si>
  <si>
    <t>D:\dev\integration\content\device\configurator\bll\include\ExternalDeviceCommandHelper.h</t>
  </si>
  <si>
    <t>D:\dev\integration\content\device\configurator\bll\src\config\EDCPortStatsObject.cpp</t>
  </si>
  <si>
    <t>D:\dev\integration\content\device\configurator\bll\src\EDCObjectObserver.cpp</t>
  </si>
  <si>
    <t>D:\dev\integration\content\device\configurator\bll\src\ExternalDeviceOption.cpp</t>
  </si>
  <si>
    <t>D:\dev\integration\content\routing\eoam\bll\src\EoamStartCcGroupCommand.cpp</t>
  </si>
  <si>
    <t>D:\dev\integration\content\routing\isis\bll\include\IsisLspCache.h</t>
  </si>
  <si>
    <t>D:\dev\integration\content\routing\isis\bll\src\IsisEctVidTuple.cpp</t>
  </si>
  <si>
    <t>D:\dev\integration\content\routing\isis\bll\src\IsisGroupSubTlvRecord.cpp</t>
  </si>
  <si>
    <t>D:\dev\integration\content\routing\isis\bll\src\IsisInterestedVlansSubTlv.cpp</t>
  </si>
  <si>
    <t>D:\dev\integration\content\routing\isis\bll\src\IsisIsid.cpp</t>
  </si>
  <si>
    <t>D:\dev\integration\content\routing\isis\bll\src\IsisRouteTopologyGenerator.cpp</t>
  </si>
  <si>
    <t>D:\dev\integration\content\routing\isis\bll\src\IsisSubTlv.cpp</t>
  </si>
  <si>
    <t>D:\dev\integration\content\routing\isis\bll\src\IsisTlv.cpp</t>
  </si>
  <si>
    <t>D:\dev\integration\content\routing\isis\bll\src\IsisTreeRootIdSubTlv.cpp</t>
  </si>
  <si>
    <t>D:\dev\integration\content\routing\isis\bll\src\IsisVlanIdTuple.cpp</t>
  </si>
  <si>
    <t>D:\dev\integration\content\routing\linkoam\bll\src\LinkOamEventLogCommand.cpp</t>
  </si>
  <si>
    <t>D:\dev\integration\content\routing\linkoam\bll\src\LinkOamGenerateVariableRequestsCommand.cpp</t>
  </si>
  <si>
    <t>D:\dev\integration\content\routing\linkoam\bll\src\LinkOamGenerateVariableResponsesCommand.cpp</t>
  </si>
  <si>
    <t>D:\dev\integration\content\routing\linkoam\bll\src\LinkOamOnApply.cpp</t>
  </si>
  <si>
    <t>D:\dev\integration\content\routing\linkoam\bll\src\LinkOamVariableResponseConfig.cpp</t>
  </si>
  <si>
    <t>D:\dev\integration\content\routing\lisp\bll\include\LispProtocol.h</t>
  </si>
  <si>
    <t>D:\dev\integration\content\routing\lisp\bll\src\LispRouterConfig.cpp</t>
  </si>
  <si>
    <t>D:\dev\integration\content\routing\lspping\bll\include\LspPingImportFecInfoFromStreamBlockCommand.h</t>
  </si>
  <si>
    <t>D:\dev\integration\content\routing\mplstpoam\bll\src\MplsTpOamCcRemoteResultsCommand.cpp</t>
  </si>
  <si>
    <t>D:\dev\integration\content\routing\mplstpoam\bll\src\MplsTpOamDetailedResultsCommand.cpp</t>
  </si>
  <si>
    <t>D:\dev\integration\content\routing\mplstpoam\bll\src\MplsTpOamDmDetailedResultsCommand.cpp</t>
  </si>
  <si>
    <t>D:\dev\integration\content\routing\mplstpoam\bll\src\MplsTpOamLbDetailedResultsCommand.cpp</t>
  </si>
  <si>
    <t>D:\dev\integration\content\routing\mplstpoam\bll\src\MplsTpOamLmDetailedResultsCommand.cpp</t>
  </si>
  <si>
    <t>D:\dev\integration\content\routing\mplstpoam\bll\src\MplsTpOamMegConfig.cpp</t>
  </si>
  <si>
    <t>D:\dev\integration\content\routing\mplstpoam\bll\src\MplsTpOamMegResults.cpp</t>
  </si>
  <si>
    <t>D:\dev\integration\content\routing\ospfv2\bll\include\Ospfv2LsaCache.h</t>
  </si>
  <si>
    <t>D:\dev\integration\content\routing\ospfv3\bll\include\Ospfv3LsaCache.h</t>
  </si>
  <si>
    <t>D:\dev\integration\content\routing\pbbwizard\bll\src\PbbGenCommand.cpp</t>
  </si>
  <si>
    <t>D:\dev\integration\content\routing\rtgconvergence\bll\src\ConvergenceProtocolBase.cpp</t>
  </si>
  <si>
    <t>D:\dev\integration\content\routing\rtgconvergence\bll\src\RoutingConvergenceInjectCommand.cpp</t>
  </si>
  <si>
    <t>D:\dev\integration\content\routing\rtgconvergence\bll\src\RoutingConvergenceMeasurementProvider.cpp</t>
  </si>
  <si>
    <t>D:\dev\integration\content\routing\rtgconvergence\bll\src\RoutingConvergenceSetupCommand.cpp</t>
  </si>
  <si>
    <t>D:\dev\integration\content\routing\rtgcore\bll\include\WizRouteGenerator.h</t>
  </si>
  <si>
    <t>D:\dev\integration\content\routing\rtgcore\bll\src\IndexMapper.cpp</t>
  </si>
  <si>
    <t>D:\dev\integration\content\routing\rtgcore\bll\src\Results\BaseResultIlDrivenItemCounter.cpp</t>
  </si>
  <si>
    <t>D:\dev\integration\content\routing\rtgcore\bll\src\Results\RoutingResultCollector.cpp</t>
  </si>
  <si>
    <t>D:\dev\integration\content\routing\rtgcore\bll\src\Results\RoutingResultHandlerAssistant.cpp</t>
  </si>
  <si>
    <t>D:\dev\integration\content\routing\rtgcore\bll\src\RouterConfig.cpp</t>
  </si>
  <si>
    <t>D:\dev\integration\content\routing\rtgcore\bll\src\StatusUpdater.cpp</t>
  </si>
  <si>
    <t>D:\dev\integration\content\routing\rtgcore\bll\src\WizLinkState.cpp</t>
  </si>
  <si>
    <t>D:\dev\integration\content\routing\rtgutframework\bll\include\RtgILSimulator.h</t>
  </si>
  <si>
    <t>D:\dev\integration\content\routing\rtgutframework\bll\include\RtgProtocolSimulator.h</t>
  </si>
  <si>
    <t>D:\dev\integration\content\routing\rtgwizard\bll\include\RtgTestGenProtocolHelper.h</t>
  </si>
  <si>
    <t>D:\dev\integration\content\routing\rtgwizard\bll\src\McastGenConfig.cpp</t>
  </si>
  <si>
    <t>D:\dev\integration\content\routing\rtgwizard\bll\src\MplsLdpGen.cpp</t>
  </si>
  <si>
    <t>D:\dev\integration\content\routing\rtgwizard\bll\src\RtgTestGenDut.cpp</t>
  </si>
  <si>
    <t>D:\dev\integration\content\routing\stp\bll\src\BridgePortConfig.cpp</t>
  </si>
  <si>
    <t>D:\dev\integration\content\routing\stp\bll\src\StpDeviceGenProtocolParams.cpp</t>
  </si>
  <si>
    <t>D:\dev\integration\content\routing\stp\bll\src\StpPortConfig.cpp</t>
  </si>
  <si>
    <t>D:\dev\integration\content\routing\twamp\bll\src\TwampProtocolConfig.cpp</t>
  </si>
  <si>
    <t>D:\dev\integration\content\routing\twamp\bll\test\testtwamp\TwampILSimulator.h</t>
  </si>
  <si>
    <t>D:\dev\integration\content\routing\twamp\bll\test\testtwamp\TwampProtocolSimulator.h</t>
  </si>
  <si>
    <t>D:\dev\integration\content\sample\cars\bll\include\OnStarConfig.h</t>
  </si>
  <si>
    <t>D:\dev\integration\content\sample\cars\bll\src\MessageFloodCommand.cpp</t>
  </si>
  <si>
    <t>D:\dev\integration\content\storage\fc\bll\src\FcFcoeGenConfig.cpp</t>
  </si>
  <si>
    <t>D:\dev\integration\content\storage\fc\bll\src\FcStatusUpdater.cpp</t>
  </si>
  <si>
    <t>D:\dev\integration\content\storage\fc\bll\src\TrafficGenerator.cpp</t>
  </si>
  <si>
    <t>D:\dev\integration\content\storage\storageio\bll\src\StorageWorkerConfig.cpp</t>
  </si>
  <si>
    <t>D:\dev\integration\content\storage\storageio\bll\test\storagetest\include\BaseProtocolSimulator.h</t>
  </si>
  <si>
    <t>D:\dev\integration\content\storage\storageio\bll\test\storagetest\include\ILSimulator.h</t>
  </si>
  <si>
    <t>D:\dev\integration\content\traffic\l4l7\bll\include\DpgFlow.h</t>
  </si>
  <si>
    <t>D:\dev\integration\content\traffic\l4l7\bll\include\DpgLoadPlaylistCommand.h</t>
  </si>
  <si>
    <t>D:\dev\integration\content\traffic\l4l7\bll\include\L4L7ProtocolConfigBase.h</t>
  </si>
  <si>
    <t>D:\dev\integration\content\traffic\l4l7\bll\include\NpeProtocol.h</t>
  </si>
  <si>
    <t>D:\dev\integration\content\traffic\l4l7\bll\include\PcapConverter.h</t>
  </si>
  <si>
    <t>D:\dev\integration\content\traffic\l4l7\bll\include\RFactor.h</t>
  </si>
  <si>
    <t>D:\dev\integration\content\traffic\l4l7\bll\src\common\PcapConverter.cpp</t>
  </si>
  <si>
    <t>D:\dev\integration\content\traffic\l4l7\bll\src\common\results\L4L7GenericResultCollector.cpp</t>
  </si>
  <si>
    <t>D:\dev\integration\content\traffic\l4l7\bll\src\common\results\L4L7GenericResultHandlerAssistant.cpp</t>
  </si>
  <si>
    <t>D:\dev\integration\content\traffic\l4l7\bll\src\npe\NpeClientProtocolConfig.cpp</t>
  </si>
  <si>
    <t>D:\dev\integration\content\traffic\l4l7\bll\src\npe\NpeProtocol.cpp</t>
  </si>
  <si>
    <t>D:\dev\integration\content\traffic\l4l7\bll\src\sip\SipCreateDataPlaneCommand.cpp</t>
  </si>
  <si>
    <t>D:\dev\integration\content\traffic\l4l7\bll\src\video\VideoServerSessionsIlItemCounter.cpp</t>
  </si>
  <si>
    <t>D:\dev\integration\content\tripleplay\iptv\bll\include\IptvMsgSetCln.h</t>
  </si>
  <si>
    <t>D:\dev\integration\content\tripleplay\iptv\bll\src\IptvPortResults.cpp</t>
  </si>
  <si>
    <t>D:\dev\integration\content\tripleplay\vqana\bll\src\VqStreamResults.cpp</t>
  </si>
  <si>
    <t>D:\dev\integration\framework\bll\base\include\PropValidator.h</t>
  </si>
  <si>
    <t>D:\dev\integration\framework\bll\base\include\ResourceManager.h</t>
  </si>
  <si>
    <t>D:\dev\integration\framework\bll\base\src\command\ConfigPropertiesCommand.cpp</t>
  </si>
  <si>
    <t>D:\dev\integration\framework\bll\base\src\database\CppSQLite3.cpp</t>
  </si>
  <si>
    <t>D:\dev\integration\framework\bll\base\src\init.cpp</t>
  </si>
  <si>
    <t>D:\dev\integration\framework\bll\base\src\message\Session.h</t>
  </si>
  <si>
    <t>D:\dev\integration\framework\bll\base\src\notification\NotificationService.cpp</t>
  </si>
  <si>
    <t>D:\dev\integration\framework\bll\base\src\scriptable\MetaClass.cpp</t>
  </si>
  <si>
    <t>D:\dev\integration\framework\bll\base\src\scriptable\MetaClassManager.cpp</t>
  </si>
  <si>
    <t>D:\dev\integration\framework\bll\base\src\scriptable\serialization\ScriptableImexAdapter.h</t>
  </si>
  <si>
    <t>D:\dev\integration\framework\bll\base\src\scriptable\serialization\XmlSpecificImporter.cpp</t>
  </si>
  <si>
    <t>D:\dev\integration\framework\bll\base\src\task\TaskManager.cpp</t>
  </si>
  <si>
    <t>D:\dev\integration\framework\bll\base\src\thread\Thread.cpp</t>
  </si>
  <si>
    <t>D:\dev\integration\framework\bll\core\include\DeviceServerDispatcher.h</t>
  </si>
  <si>
    <t>D:\dev\integration\framework\bll\core\include\licensing\StcLicense.h</t>
  </si>
  <si>
    <t>D:\dev\integration\framework\bll\core\include\messenger\ACEClient.h</t>
  </si>
  <si>
    <t>D:\dev\integration\framework\bll\core\include\messenger\KeepAliveEventHandler.h</t>
  </si>
  <si>
    <t>D:\dev\integration\framework\bll\core\include\messenger\PhxRpcSessionDispatcher.h</t>
  </si>
  <si>
    <t>D:\dev\integration\framework\bll\core\include\PhyMessengerImpl.h</t>
  </si>
  <si>
    <t>D:\dev\integration\framework\bll\core\include\RcmResource.h</t>
  </si>
  <si>
    <t>D:\dev\integration\framework\bll\core\src\ChassisConnectCommand.cpp</t>
  </si>
  <si>
    <t>D:\dev\integration\framework\bll\core\src\datamodel\RouteDescriptor.cpp</t>
  </si>
  <si>
    <t>D:\dev\integration\framework\bll\core\src\devicegen\DeviceGenIpv6IfParams.cpp</t>
  </si>
  <si>
    <t>D:\dev\integration\framework\bll\core\src\GreIfBaseResultHandlerAssistant.cpp</t>
  </si>
  <si>
    <t>D:\dev\integration\framework\bll\core\src\licensing\StcLicense.cpp</t>
  </si>
  <si>
    <t>D:\dev\integration\framework\bll\core\src\messenger\DeviceServerImpl.cpp</t>
  </si>
  <si>
    <t>D:\dev\integration\framework\bll\core\src\messenger\PhxRpcSession.cpp</t>
  </si>
  <si>
    <t>D:\dev\integration\framework\bll\core\src\physicalchassis\HwTimeManager.cpp</t>
  </si>
  <si>
    <t>D:\dev\integration\framework\bll\core\src\result\TestResultManager.cpp</t>
  </si>
  <si>
    <t>D:\dev\integration\framework\bll\core\src\sequencer\SequencerIfFailedGotoCommand.cpp</t>
  </si>
  <si>
    <t>D:\dev\integration\framework\bll\core\src\sequencer\SequencerIfPassedGotoCommand.cpp</t>
  </si>
  <si>
    <t>D:\dev\integration\framework\common\lib\modifier\src\TableModifier.cpp</t>
  </si>
  <si>
    <t>D:\dev\integration\framework\common\lib\xmlpdu\PduField.cpp</t>
  </si>
  <si>
    <t>D:\dev\integration\framework\ui\automation\sal\src\MetaInfoCache.cpp</t>
  </si>
  <si>
    <t>D:\dev\integration\framework\ui\automation\sal\src\SalCommands.cpp</t>
  </si>
  <si>
    <t>D:\dev\integration\framework\ui\automation\sTcl\TclScriptingEngine.cpp</t>
  </si>
  <si>
    <t>/home/scmbuild/TestCenter/integration/common/lib/ACE_wrappers_5.5.6/ace/Message_Queue.inl</t>
  </si>
  <si>
    <t>/home/scmbuild/TestCenter/integration/common/lib/ACE_wrappers_5.5.6/ace/OS_NS_Thread.inl</t>
  </si>
  <si>
    <t>/home/scmbuild/TestCenter/integration/common/lib/protobuf/2.4.1/include/google/protobuf/descriptor.h</t>
  </si>
  <si>
    <t>/home/scmbuild/TestCenter/integration/common/tools/tinyxpath/xpath_syntax.h</t>
  </si>
  <si>
    <t>/home/scmbuild/TestCenter/integration/content/access/ancp/il/ancpd/AncpAccessProfile.h</t>
  </si>
  <si>
    <t>/home/scmbuild/TestCenter/integration/content/access/ancp/il/ancpd/AncpClientConnectionHandler.cpp</t>
  </si>
  <si>
    <t>/home/scmbuild/TestCenter/integration/content/access/ancp/il/ancpd/AncpCommandLineOpts.cpp</t>
  </si>
  <si>
    <t>/home/scmbuild/TestCenter/integration/content/access/ancp/il/ancpd/AncpCore.cpp</t>
  </si>
  <si>
    <t>/home/scmbuild/TestCenter/integration/content/access/ancp/il/ancpd/main.cpp</t>
  </si>
  <si>
    <t>/home/scmbuild/TestCenter/integration/content/access/dhcpv4/il/dhcpd/DhcpRxThread.cpp</t>
  </si>
  <si>
    <t>/home/scmbuild/TestCenter/integration/content/access/dhcpv4/il/server/DhcpServer.cpp</t>
  </si>
  <si>
    <t>/home/scmbuild/TestCenter/integration/content/access/dhcpv4/il/server/DhcpServerEvents.cpp</t>
  </si>
  <si>
    <t>/home/scmbuild/TestCenter/integration/content/access/dot1x/il/AAAClient/src/Dot1xMessage.h</t>
  </si>
  <si>
    <t>/home/scmbuild/TestCenter/integration/content/access/dot1x/il/AAAClient/src/EAP_TLV.h</t>
  </si>
  <si>
    <t>/home/scmbuild/TestCenter/integration/content/access/dot1x/il/AAAClient/src/EAPStatusQuery.h</t>
  </si>
  <si>
    <t>/home/scmbuild/TestCenter/integration/content/access/dot1x/il/dot1xd/Dot1xApplicationProxy.cpp</t>
  </si>
  <si>
    <t>/home/scmbuild/TestCenter/integration/content/access/dot1x/il/dot1xd/main.cpp</t>
  </si>
  <si>
    <t>/home/scmbuild/TestCenter/integration/content/access/dot1x/il/framework/src/CertificateManager.h</t>
  </si>
  <si>
    <t>/home/scmbuild/TestCenter/integration/content/cts/tsm/il/rsocketd/main.cpp</t>
  </si>
  <si>
    <t>/home/scmbuild/TestCenter/integration/content/cts/tsm/il/rsocketd/SocketInterface.h</t>
  </si>
  <si>
    <t>/home/scmbuild/TestCenter/integration/content/routing/il/common/timer.cpp</t>
  </si>
  <si>
    <t>/home/scmbuild/TestCenter/integration/content/routing/il/common/topology/BindingTable.cpp</t>
  </si>
  <si>
    <t>/home/scmbuild/TestCenter/integration/content/routing/il/lispd/protocol/LispItr.cpp</t>
  </si>
  <si>
    <t>/home/scmbuild/TestCenter/integration/content/routing/il/lldp/cdcp/results/CdcpStatsDbAdapter.cpp</t>
  </si>
  <si>
    <t>/home/scmbuild/TestCenter/integration/content/routing/il/lldp/dcbx/results/DcbxBandwidthAllocationDbAdapter.cpp</t>
  </si>
  <si>
    <t>/home/scmbuild/TestCenter/integration/content/routing/il/lldp/dcbx/results/DcbxBcnModeDbAdapter.cpp</t>
  </si>
  <si>
    <t>/home/scmbuild/TestCenter/integration/content/routing/il/lldp/dcbx/results/DcbxBcnParameterDbAdapter.cpp</t>
  </si>
  <si>
    <t>/home/scmbuild/TestCenter/integration/content/routing/il/lldp/dcbx/results/DcbxFcoePriorityDbAdapter.cpp</t>
  </si>
  <si>
    <t>/home/scmbuild/TestCenter/integration/content/routing/il/lldp/dcbx/results/DcbxFeatureStatsDbAdapter.cpp</t>
  </si>
  <si>
    <t>/home/scmbuild/TestCenter/integration/content/routing/il/lldp/dcbx/results/DcbxLogicalLinkDbAdapter.cpp</t>
  </si>
  <si>
    <t>/home/scmbuild/TestCenter/integration/content/routing/il/lldp/dcbx/results/DcbxNivDbAdapter.cpp</t>
  </si>
  <si>
    <t>/home/scmbuild/TestCenter/integration/content/routing/il/lldp/dcbx/results/DcbxPfcDbAdapter.cpp</t>
  </si>
  <si>
    <t>/home/scmbuild/TestCenter/integration/content/routing/il/lldp/dcbx/results/DcbxPriorityAllocationDbAdapter.cpp</t>
  </si>
  <si>
    <t>/home/scmbuild/TestCenter/integration/content/routing/il/lldp/dcbx/results/DcbxStatsDbAdapter.cpp</t>
  </si>
  <si>
    <t>/home/scmbuild/TestCenter/integration/content/routing/il/lldp/dcbx/results/IeeeDcbxFeatureStatsDbAdapter.cpp</t>
  </si>
  <si>
    <t>/home/scmbuild/TestCenter/integration/content/routing/il/lldp/evb/results/EvbStatsDbAdapter.cpp</t>
  </si>
  <si>
    <t>/home/scmbuild/TestCenter/integration/content/routing/il/lldp/LldpApplication.cpp</t>
  </si>
  <si>
    <t>/home/scmbuild/TestCenter/integration/content/routing/il/lldp/LldpCongestionNotificationStatsDbAdapter.cpp</t>
  </si>
  <si>
    <t>/home/scmbuild/TestCenter/integration/content/routing/il/lldp/LldpDeviceStatsDbAdapter.cpp</t>
  </si>
  <si>
    <t>/home/scmbuild/TestCenter/integration/content/routing/il/lldp/LldpNeighborStatsDbAdapter.cpp</t>
  </si>
  <si>
    <t>/home/scmbuild/TestCenter/integration/content/routing/il/lldp/main.cpp</t>
  </si>
  <si>
    <t>/home/scmbuild/TestCenter/integration/content/routing/il/mplsoamd/MplsOamDefs.h</t>
  </si>
  <si>
    <t>/home/scmbuild/TestCenter/integration/content/routing/il/mplsoamd/MplsOamDevice.cpp</t>
  </si>
  <si>
    <t>/home/scmbuild/TestCenter/integration/content/routing/il/mplsoamd/MplsOamLspReply.cpp</t>
  </si>
  <si>
    <t>/home/scmbuild/TestCenter/integration/content/routing/il/mplstpd/protocol/MplsTpBlockEntity.cpp</t>
  </si>
  <si>
    <t>/home/scmbuild/TestCenter/integration/content/routing/il/mplstpd/protocol/MplsTpLsp.cpp</t>
  </si>
  <si>
    <t>/home/scmbuild/TestCenter/integration/content/routing/il/mplstpd/protocol/MplsTpPw.cpp</t>
  </si>
  <si>
    <t>/home/scmbuild/TestCenter/integration/content/routing/il/ngc2-7-3-spirent/src/binder/mplsoam/Subscription.cpp</t>
  </si>
  <si>
    <t>/home/scmbuild/TestCenter/integration/content/routing/il/ngc2-7-3-spirent/src/gated/spirent.c</t>
  </si>
  <si>
    <t>/home/scmbuild/TestCenter/integration/content/routing/il/ngc2-7-3-spirent/src/gated/str.c</t>
  </si>
  <si>
    <t>/home/scmbuild/TestCenter/integration/content/routing/il/ngc2-7-3-spirent/src/standalone/str.c</t>
  </si>
  <si>
    <t>/home/scmbuild/TestCenter/integration/content/routing/il/ngs2-0-1-spirent/src/l2d/str.c</t>
  </si>
  <si>
    <t>/home/scmbuild/TestCenter/integration/content/routing/il/ngs2-0-1-spirent/src/mps_manager/LacpStatsDbAdapter.cpp</t>
  </si>
  <si>
    <t>/home/scmbuild/TestCenter/integration/content/routing/il/ngs2-0-1-spirent/src/mps_manager/MstiStatsDbAdapter.cpp</t>
  </si>
  <si>
    <t>/home/scmbuild/TestCenter/integration/content/routing/il/ngs2-0-1-spirent/src/mps_manager/MstpStatsDbAdapter.cpp</t>
  </si>
  <si>
    <t>/home/scmbuild/TestCenter/integration/content/routing/il/ngs2-0-1-spirent/src/mps_manager/spirent_mps_manager.cpp</t>
  </si>
  <si>
    <t>/home/scmbuild/TestCenter/integration/content/routing/il/ngs2-0-1-spirent/src/portm/port_amux.c</t>
  </si>
  <si>
    <t>/home/scmbuild/TestCenter/integration/content/routing/il/protectiond/app/main.cpp</t>
  </si>
  <si>
    <t>/home/scmbuild/TestCenter/integration/content/routing/il/routed/app/main.cpp</t>
  </si>
  <si>
    <t>/home/scmbuild/TestCenter/integration/content/routing/il/stpd/stp_main.cpp</t>
  </si>
  <si>
    <t>/home/scmbuild/TestCenter/integration/content/routing/il/stpd/StpStatsDbAdapter.cpp</t>
  </si>
  <si>
    <t>/home/scmbuild/TestCenter/integration/content/routing/il/synced/SynceDevice.cpp</t>
  </si>
  <si>
    <t>/home/scmbuild/TestCenter/integration/content/routing/il/synced/SynceDevice.h</t>
  </si>
  <si>
    <t>/home/scmbuild/TestCenter/integration/content/routing/il/synced/SynceDeviceStateMaster.cpp</t>
  </si>
  <si>
    <t>/home/scmbuild/TestCenter/integration/content/routing/il/synced/SynceDeviceStateSlave.cpp</t>
  </si>
  <si>
    <t>/home/scmbuild/TestCenter/integration/content/routing/il/synced/SynceMessageTypes.h</t>
  </si>
  <si>
    <t>/home/scmbuild/TestCenter/integration/content/storage/csmp/il/csmpd/CoapMessage.cpp</t>
  </si>
  <si>
    <t>/home/scmbuild/TestCenter/integration/content/storage/csmp/il/csmpd/CsmpMsgSetSrv_1.cpp</t>
  </si>
  <si>
    <t>/home/scmbuild/TestCenter/integration/content/storage/csmp/il/csmpd/CsmpTlv.cpp</t>
  </si>
  <si>
    <t>/home/scmbuild/TestCenter/integration/content/storage/fc/il/debugconsole/main.cpp</t>
  </si>
  <si>
    <t>/home/scmbuild/TestCenter/integration/content/storage/fc/il/fcd/apps/fc/FcHostBlock.cpp</t>
  </si>
  <si>
    <t>/home/scmbuild/TestCenter/integration/content/storage/fc/il/fcd/apps/fc/MultiIndexFcNeighborMap.h</t>
  </si>
  <si>
    <t>/home/scmbuild/TestCenter/integration/content/storage/fc/il/fcd/apps/fcoe/FcoeHostBlock.cpp</t>
  </si>
  <si>
    <t>/home/scmbuild/TestCenter/integration/content/storage/fc/il/fcd/apps/fcoe/MultiIndexNeighborMap.h</t>
  </si>
  <si>
    <t>/home/scmbuild/TestCenter/integration/content/storage/fc/il/fcd/apps/fcoebstmode/FcoeBstModeHostBlock.cpp</t>
  </si>
  <si>
    <t>/home/scmbuild/TestCenter/integration/content/storage/fc/il/fcd/FcEls.h</t>
  </si>
  <si>
    <t>/home/scmbuild/TestCenter/integration/content/storage/fc/il/fcd/main.cpp</t>
  </si>
  <si>
    <t>/home/scmbuild/TestCenter/integration/content/storage/fc/il/fcd/msgs/fc/esc.cpp</t>
  </si>
  <si>
    <t>/home/scmbuild/TestCenter/integration/content/storage/l2isis/il/l2isisd/IsisTlv.h</t>
  </si>
  <si>
    <t>/home/scmbuild/TestCenter/integration/content/storage/l2isis/il/l2isisd/main.cpp</t>
  </si>
  <si>
    <t>/home/scmbuild/TestCenter/integration/content/storage/storageio/il/bstd/BstDevice.cpp</t>
  </si>
  <si>
    <t>/home/scmbuild/TestCenter/integration/content/storage/storageio/il/bstd/iometer/src/IOGrunt.cpp</t>
  </si>
  <si>
    <t>/home/scmbuild/TestCenter/integration/content/storage/storageio/il/bstd/iometer/src/IOManager.cpp</t>
  </si>
  <si>
    <t>/home/scmbuild/TestCenter/integration/content/storage/storageio/il/bstd/iometer/src/IOPort.cpp</t>
  </si>
  <si>
    <t>/home/scmbuild/TestCenter/integration/content/storage/storageio/il/bstd/iometer/src/IOPortTCP.cpp</t>
  </si>
  <si>
    <t>/home/scmbuild/TestCenter/integration/content/storage/storageio/il/bstd/iometer/src/IOTarget.cpp</t>
  </si>
  <si>
    <t>/home/scmbuild/TestCenter/integration/content/storage/storageio/il/bstd/iometer/src/IOTargetDisk.cpp</t>
  </si>
  <si>
    <t>/home/scmbuild/TestCenter/integration/content/storage/storageio/il/bstd/iometer/src/IOTargetTCP.cpp</t>
  </si>
  <si>
    <t>/home/scmbuild/TestCenter/integration/content/storage/storageio/il/bstd/iometer/src/NetTCP.cpp</t>
  </si>
  <si>
    <t>/home/scmbuild/TestCenter/integration/content/storage/vepa/il/vepad/main.cpp</t>
  </si>
  <si>
    <t>/home/scmbuild/TestCenter/integration/content/storage/vepa/il/vepad/VepaApplicationProxy.cpp</t>
  </si>
  <si>
    <t>/home/scmbuild/TestCenter/integration/content/storage/vepa/il/vepad/VepaDevice.cpp</t>
  </si>
  <si>
    <t>/home/scmbuild/TestCenter/integration/content/storage/vepa/il/vepad/VepaDeviceRawStats.h</t>
  </si>
  <si>
    <t>/home/scmbuild/TestCenter/integration/content/storage/vepa/il/vepad/VepaFilterInfo.h</t>
  </si>
  <si>
    <t>/home/scmbuild/TestCenter/integration/content/storage/vepa/il/vepad/VepaVsiBlkRawStats.h</t>
  </si>
  <si>
    <t>/home/scmbuild/TestCenter/integration/content/storage/vepa/il/vepad/VepaVsiRawStats.h</t>
  </si>
  <si>
    <t>/home/scmbuild/TestCenter/integration/content/storage/vic/il/vicd/main.cpp</t>
  </si>
  <si>
    <t>/home/scmbuild/TestCenter/integration/content/storage/vic/il/vicd/VicApplicationProxy.cpp</t>
  </si>
  <si>
    <t>/home/scmbuild/TestCenter/integration/content/storage/vic/il/vicd/VicDevice.cpp</t>
  </si>
  <si>
    <t>/home/scmbuild/TestCenter/integration/content/storage/vic/il/vicd/VicDeviceRawStats.h</t>
  </si>
  <si>
    <t>/home/scmbuild/TestCenter/integration/content/storage/vic/il/vicd/VicMsgSetSrv_1.cpp</t>
  </si>
  <si>
    <t>/home/scmbuild/TestCenter/integration/content/storage/vic/il/vicd/VicVifRawStats.h</t>
  </si>
  <si>
    <t>/home/scmbuild/TestCenter/integration/content/traffic/l2l3/il/Analyzer/AnalyzerIceboyHardFPGA.h</t>
  </si>
  <si>
    <t>/home/scmbuild/TestCenter/integration/content/traffic/l2l3/il/Analyzer/AnalyzerThunderbirdHardFPGA.h</t>
  </si>
  <si>
    <t>/home/scmbuild/TestCenter/integration/content/traffic/l2l3/il/Analyzer/CacheMaintDriver.cpp</t>
  </si>
  <si>
    <t>/home/scmbuild/TestCenter/integration/content/traffic/l2l3/il/Generator/Driver/refactor/GeneratorStruct.h</t>
  </si>
  <si>
    <t>/home/scmbuild/TestCenter/integration/content/traffic/l2l3/il/Generator/Driver/refactor/GeneratorUtils.cpp</t>
  </si>
  <si>
    <t>/home/scmbuild/TestCenter/integration/content/traffic/l2l3/il/Generator/Driver/refactor/MemoryBlockManager.cpp</t>
  </si>
  <si>
    <t>/home/scmbuild/TestCenter/integration/content/traffic/l2l3/il/Generator/Learning/Ipv6Header.h</t>
  </si>
  <si>
    <t>/home/scmbuild/TestCenter/integration/content/traffic/l2l3/il/Generator/main.cpp</t>
  </si>
  <si>
    <t>/home/scmbuild/TestCenter/integration/content/traffic/l2l3/il/Generator/scheduler/CbrAlgo.cpp</t>
  </si>
  <si>
    <t>/home/scmbuild/TestCenter/integration/content/traffic/l2l3/il/Generator/scheduler/PriBasedAlgo.cpp</t>
  </si>
  <si>
    <t>/home/scmbuild/TestCenter/integration/content/traffic/l2l3/il/Generator/scheduler/SchedPortInfo.h</t>
  </si>
  <si>
    <t>/home/scmbuild/TestCenter/integration/content/traffic/l2l3/il/Generator/scheduler/SchedTrafficSource.h</t>
  </si>
  <si>
    <t>/home/scmbuild/TestCenter/integration/content/traffic/l2l3/il/Generator/scheduler/SequenceStreamInfo.cpp</t>
  </si>
  <si>
    <t>/home/scmbuild/TestCenter/integration/content/traffic/l2l3/il/Generator/stream/TbStreamCfgInfoImpl.cpp</t>
  </si>
  <si>
    <t>/home/scmbuild/TestCenter/integration/content/traffic/l2l3/il/Generator/streamblock/PathInfo.cpp</t>
  </si>
  <si>
    <t>/home/scmbuild/TestCenter/integration/content/traffic/l2l3/il/Generator/streamblock/StreamBlock.h</t>
  </si>
  <si>
    <t>/home/scmbuild/TestCenter/integration/content/traffic/l2l3/il/Generator/vfdrit/RITModifier.cpp</t>
  </si>
  <si>
    <t>/home/scmbuild/TestCenter/integration/content/traffic/l2l3/il/Generator/vfdrit/StreamIdVFD.cpp</t>
  </si>
  <si>
    <t>/home/scmbuild/TestCenter/integration/content/traffic/l2l3/il/Generator/vfdrit/StutterVFD.cpp</t>
  </si>
  <si>
    <t>/home/scmbuild/TestCenter/integration/content/traffic/l2l3/il/Generator/vfdrit/VFDModifier.cpp</t>
  </si>
  <si>
    <t>/home/scmbuild/TestCenter/integration/content/traffic/l2l3/il/Generator/vfdrit/VfdModVerifierImpl.cpp</t>
  </si>
  <si>
    <t>/home/scmbuild/TestCenter/integration/content/traffic/l2l3/il/pfc/hwaccess/NamedRegisterMap.h</t>
  </si>
  <si>
    <t>/home/scmbuild/TestCenter/integration/content/traffic/l2l3/il/pfc/main.cpp</t>
  </si>
  <si>
    <t>/home/scmbuild/TestCenter/integration/content/traffic/l4l7/il/app/main.cpp</t>
  </si>
  <si>
    <t>/home/scmbuild/TestCenter/integration/content/traffic/l4l7/il/base/LoadProfile.cpp</t>
  </si>
  <si>
    <t>/home/scmbuild/TestCenter/integration/content/traffic/l4l7/il/base/RateBasedLoadStrategy.cpp</t>
  </si>
  <si>
    <t>/home/scmbuild/TestCenter/integration/content/traffic/l4l7/il/dpgd/DpgApplicationProxy.cpp</t>
  </si>
  <si>
    <t>/home/scmbuild/TestCenter/integration/content/traffic/l4l7/il/dpgd/DpgClientRawStats.h</t>
  </si>
  <si>
    <t>/home/scmbuild/TestCenter/integration/content/traffic/l4l7/il/dpgd/DpgRawStats.h</t>
  </si>
  <si>
    <t>/home/scmbuild/TestCenter/integration/content/traffic/l4l7/il/dpgd/DpgServerRawStats.h</t>
  </si>
  <si>
    <t>/home/scmbuild/TestCenter/integration/content/traffic/l4l7/il/engine/FlowInstance.cpp</t>
  </si>
  <si>
    <t>/home/scmbuild/TestCenter/integration/content/traffic/l4l7/il/engine/PlaylistInstance.cpp</t>
  </si>
  <si>
    <t>/home/scmbuild/TestCenter/integration/content/traffic/l4l7/il/external/RvSipTK/common/ares/ares_query.c</t>
  </si>
  <si>
    <t>/home/scmbuild/TestCenter/integration/content/traffic/l4l7/il/external/RvSipTK/common/ccore/netdrivers/rvselect.c</t>
  </si>
  <si>
    <t>/home/scmbuild/TestCenter/integration/content/traffic/l4l7/il/external/RvSipTK/common/ccore/rvthread.c</t>
  </si>
  <si>
    <t>/home/scmbuild/TestCenter/integration/content/traffic/l4l7/il/external/RvSipTK/common/cutils/rvra.c</t>
  </si>
  <si>
    <t>/home/scmbuild/TestCenter/integration/content/traffic/l4l7/il/external/RvSipTK/rtpRtcp/srtp/plugin/rvsrtpkey.c</t>
  </si>
  <si>
    <t>/home/scmbuild/TestCenter/integration/content/traffic/l4l7/il/external/RvSipTK/rtpRtcp/srtp/plugin/rvsrtpstream.c</t>
  </si>
  <si>
    <t>/home/scmbuild/TestCenter/integration/content/traffic/l4l7/il/external/RvSipTK/sip/call/CallLegObject.c</t>
  </si>
  <si>
    <t>/home/scmbuild/TestCenter/integration/content/traffic/l4l7/il/external/RvSipTK/sip/compartment/CompartmentObject.c</t>
  </si>
  <si>
    <t>/home/scmbuild/TestCenter/integration/content/traffic/l4l7/il/external/RvSipTK/sip/resolver/ResolverCallbacks.c</t>
  </si>
  <si>
    <t>/home/scmbuild/TestCenter/integration/content/traffic/l4l7/il/external/RvSipTK/sip/resolver/ResolverMgrObject.c</t>
  </si>
  <si>
    <t>/home/scmbuild/TestCenter/integration/content/traffic/l4l7/il/external/RvSipTK/sip/resolver/ResolverObject.c</t>
  </si>
  <si>
    <t>/home/scmbuild/TestCenter/integration/content/traffic/l4l7/il/external/RvSipTK/sip/secAgree/SecAgreeObject.c</t>
  </si>
  <si>
    <t>/home/scmbuild/TestCenter/integration/content/traffic/l4l7/il/external/RvSipTK/sip/subscription/SubsObject.c</t>
  </si>
  <si>
    <t>/home/scmbuild/TestCenter/integration/content/traffic/l4l7/il/external/RvSipTK/sip/transaction/TransactionObject.c</t>
  </si>
  <si>
    <t>/home/scmbuild/TestCenter/integration/content/traffic/l4l7/il/external/RvSipTK/sip/transcClient/TranscClientSecAgree.c</t>
  </si>
  <si>
    <t>/home/scmbuild/TestCenter/integration/content/traffic/l4l7/il/external/RvSipTK/sip/transmitter/TransmitterCallbacks.c</t>
  </si>
  <si>
    <t>/home/scmbuild/TestCenter/integration/content/traffic/l4l7/il/external/RvSipTK/sip/transmitter/TransmitterMgrObject.c</t>
  </si>
  <si>
    <t>/home/scmbuild/TestCenter/integration/content/traffic/l4l7/il/external/RvSipTK/sip/transport/TransportCallbacks.c</t>
  </si>
  <si>
    <t>/home/scmbuild/TestCenter/integration/content/traffic/l4l7/il/external/RvSipTK/sip/transport/TransportUDP.c</t>
  </si>
  <si>
    <t>/home/scmbuild/TestCenter/integration/content/traffic/l4l7/il/ftpd/FtpApplicationProxy.cpp</t>
  </si>
  <si>
    <t>/home/scmbuild/TestCenter/integration/content/traffic/l4l7/il/ftpd/FtpClientRawStats.h</t>
  </si>
  <si>
    <t>/home/scmbuild/TestCenter/integration/content/traffic/l4l7/il/ftpd/FtpProtocol.cpp</t>
  </si>
  <si>
    <t>/home/scmbuild/TestCenter/integration/content/traffic/l4l7/il/ftpd/FtpServerRawStats.h</t>
  </si>
  <si>
    <t>/home/scmbuild/TestCenter/integration/content/traffic/l4l7/il/httpd/abr_apple/src/abr_algorithm.cpp</t>
  </si>
  <si>
    <t>/home/scmbuild/TestCenter/integration/content/traffic/l4l7/il/httpd/abr_apple/src/abr_player.h</t>
  </si>
  <si>
    <t>/home/scmbuild/TestCenter/integration/content/traffic/l4l7/il/httpd/abr_apple/src/abr_status.cpp</t>
  </si>
  <si>
    <t>/home/scmbuild/TestCenter/integration/content/traffic/l4l7/il/httpd/HttpApplicationProxy.cpp</t>
  </si>
  <si>
    <t>/home/scmbuild/TestCenter/integration/content/traffic/l4l7/il/httpd/HttpClientRawStats.h</t>
  </si>
  <si>
    <t>/home/scmbuild/TestCenter/integration/content/traffic/l4l7/il/httpd/HttpServerRawStats.h</t>
  </si>
  <si>
    <t>/home/scmbuild/TestCenter/integration/content/traffic/l4l7/il/httpd/HttpVideoClientRawStats.h</t>
  </si>
  <si>
    <t>/home/scmbuild/TestCenter/integration/content/traffic/l4l7/il/rawtcpd/RawTcpApplicationProxy.cpp</t>
  </si>
  <si>
    <t>/home/scmbuild/TestCenter/integration/content/traffic/l4l7/il/rawtcpd/RawTcpClientRawStats.h</t>
  </si>
  <si>
    <t>/home/scmbuild/TestCenter/integration/content/traffic/l4l7/il/rawtcpd/RawTcpServerRawStats.h</t>
  </si>
  <si>
    <t>/home/scmbuild/TestCenter/integration/content/traffic/l4l7/il/sipd/app/SipApplication.cpp</t>
  </si>
  <si>
    <t>/home/scmbuild/TestCenter/integration/content/traffic/l4l7/il/sipd/app/SipApplicationProxy.cpp</t>
  </si>
  <si>
    <t>/home/scmbuild/TestCenter/integration/content/traffic/l4l7/il/sipd/signaling/sip/lean/SipAuthentication.h</t>
  </si>
  <si>
    <t>/home/scmbuild/TestCenter/integration/content/traffic/l4l7/il/sipd/signaling/sip/lean/SipMessage.h</t>
  </si>
  <si>
    <t>/home/scmbuild/TestCenter/integration/content/traffic/l4l7/il/sipd/signaling/sip/lean/UserAgentDialog.cpp</t>
  </si>
  <si>
    <t>/home/scmbuild/TestCenter/integration/content/traffic/l4l7/il/sipd/signaling/sip/rv/core/RvSipUtils.cpp</t>
  </si>
  <si>
    <t>/home/scmbuild/TestCenter/integration/content/traffic/l4l7/il/sipd/signaling/sip/rv/core/SipChannel.cpp</t>
  </si>
  <si>
    <t>/home/scmbuild/TestCenter/integration/content/traffic/l4l7/il/sipd/signaling/sip/rv/core/SipChannelTimer.h</t>
  </si>
  <si>
    <t>/home/scmbuild/TestCenter/integration/content/traffic/l4l7/il/sipd/signaling/sip/rv/core/SipEngine.cpp</t>
  </si>
  <si>
    <t>/home/scmbuild/TestCenter/integration/content/traffic/l4l7/il/sipd/voipmedia/encrtp/EncRTPProcess.cpp</t>
  </si>
  <si>
    <t>/home/scmbuild/TestCenter/integration/content/traffic/l4l7/il/sipd/voipmedia/encrtp/EncTIP.cpp</t>
  </si>
  <si>
    <t>/home/scmbuild/TestCenter/integration/content/traffic/l4l7/il/sipd/voipmedia/fpgartp/FPGARTPMediaChannelAdapter.cpp</t>
  </si>
  <si>
    <t>/home/scmbuild/TestCenter/integration/content/traffic/l4l7/il/sipd/voipmedia/vq/VQStats.h</t>
  </si>
  <si>
    <t>/home/scmbuild/TestCenter/integration/content/traffic/l4l7/il/sipd/voipmedia/vq/VQStream.h</t>
  </si>
  <si>
    <t>/home/scmbuild/TestCenter/integration/content/traffic/l4l7/il/xmppd/XmppApplicationProxy.cpp</t>
  </si>
  <si>
    <t>/home/scmbuild/TestCenter/integration/content/v4v6transition/v4v6transition/il/softwired/main.cpp</t>
  </si>
  <si>
    <t>/home/scmbuild/TestCenter/integration/content/v4v6transition/v4v6transition/il/softwired/TransitionDevice.h</t>
  </si>
  <si>
    <t>/home/scmbuild/TestCenter/integration/framework/common/lib/modifier/include/RateModifier.h</t>
  </si>
  <si>
    <t>/home/scmbuild/TestCenter/integration/framework/common/lib/modifier/include/RateRangeModifierImpl.h</t>
  </si>
  <si>
    <t>/home/scmbuild/TestCenter/integration/framework/common/lib/modifier/src/RateRandomModifier.cpp</t>
  </si>
  <si>
    <t>/home/scmbuild/TestCenter/integration/framework/common/lib/modifier/src/RateRangeModifier.cpp</t>
  </si>
  <si>
    <t>/home/scmbuild/TestCenter/integration/framework/common/lib/modifier/src/RateTableModifier.cpp</t>
  </si>
  <si>
    <t>/home/scmbuild/TestCenter/integration/framework/common/lib/modifier/src/TableModifier.cpp</t>
  </si>
  <si>
    <t>/home/scmbuild/TestCenter/integration/framework/common/lib/phxrpc/tm_bin_decoder.cpp</t>
  </si>
  <si>
    <t>/home/scmbuild/TestCenter/integration/framework/common/lib/phxrpc/tm_file.cpp</t>
  </si>
  <si>
    <t>/home/scmbuild/TestCenter/integration/framework/common/lib/phxrpc/tm_tcl_decoder.cpp</t>
  </si>
  <si>
    <t>/home/scmbuild/TestCenter/integration/framework/common/lib/phxrpc/tm_tcl_encoder.cpp</t>
  </si>
  <si>
    <t>/home/scmbuild/TestCenter/integration/framework/common/lib/phxrpc/tm_text_creator.cpp</t>
  </si>
  <si>
    <t>/home/scmbuild/TestCenter/integration/framework/common/lib/xmlpdu/PduField.cpp</t>
  </si>
  <si>
    <t>/home/scmbuild/TestCenter/integration/framework/il/common/apps/bcmnetd/bkgnd.c</t>
  </si>
  <si>
    <t>/home/scmbuild/TestCenter/integration/framework/il/common/apps/bcmnetd/cmdproc.c</t>
  </si>
  <si>
    <t>/home/scmbuild/TestCenter/integration/framework/il/common/apps/bpnetd/cmdproc.c</t>
  </si>
  <si>
    <t>/home/scmbuild/TestCenter/integration/framework/il/common/apps/commd/commd.cpp</t>
  </si>
  <si>
    <t>/home/scmbuild/TestCenter/integration/framework/il/common/apps/debugconsole/main.cpp</t>
  </si>
  <si>
    <t>/home/scmbuild/TestCenter/integration/framework/il/common/apps/etrd/cmdproc.c</t>
  </si>
  <si>
    <t>/home/scmbuild/TestCenter/integration/framework/il/common/apps/gred/GreKeepAliveTimerHandler.cpp</t>
  </si>
  <si>
    <t>/home/scmbuild/TestCenter/integration/framework/il/common/apps/gred/GreTunnel.cpp</t>
  </si>
  <si>
    <t>/home/scmbuild/TestCenter/integration/framework/il/common/apps/gred/main.cpp</t>
  </si>
  <si>
    <t>/home/scmbuild/TestCenter/integration/framework/il/common/apps/gred/PacketSocket.cpp</t>
  </si>
  <si>
    <t>/home/scmbuild/TestCenter/integration/framework/il/common/apps/gred/PacketSocket.h</t>
  </si>
  <si>
    <t>/home/scmbuild/TestCenter/integration/framework/il/common/apps/hdlcd/Hdlcd.cpp</t>
  </si>
  <si>
    <t>/home/scmbuild/TestCenter/integration/framework/il/common/apps/hdlcd/HdlcKeepAliveProtocol.h</t>
  </si>
  <si>
    <t>/home/scmbuild/TestCenter/integration/framework/il/common/apps/hdlcd/HdlcSocket.h</t>
  </si>
  <si>
    <t>/home/scmbuild/TestCenter/integration/framework/il/common/apps/i2cd/bkgnd.c</t>
  </si>
  <si>
    <t>/home/scmbuild/TestCenter/integration/framework/il/common/apps/lcdd/cardif.cpp</t>
  </si>
  <si>
    <t>/home/scmbuild/TestCenter/integration/framework/il/common/apps/lcdd/datagather.h</t>
  </si>
  <si>
    <t>/home/scmbuild/TestCenter/integration/framework/il/common/apps/lcdd/dispmgr.cpp</t>
  </si>
  <si>
    <t>/home/scmbuild/TestCenter/integration/framework/il/common/apps/lcdd/geninfo.cpp</t>
  </si>
  <si>
    <t>/home/scmbuild/TestCenter/integration/framework/il/common/apps/m68kd/dpram_if.c</t>
  </si>
  <si>
    <t>/home/scmbuild/TestCenter/integration/framework/il/common/apps/mpsd/mserver/mpscore_1_port_msg.cpp</t>
  </si>
  <si>
    <t>/home/scmbuild/TestCenter/integration/framework/il/common/apps/mpsd/mserver/mpsd.cpp</t>
  </si>
  <si>
    <t>/home/scmbuild/TestCenter/integration/framework/il/common/apps/rcmd/rcmd.cpp</t>
  </si>
  <si>
    <t>/home/scmbuild/TestCenter/integration/framework/il/common/apps/rcmd/RCMMsgArcClntHandler_1.cpp</t>
  </si>
  <si>
    <t>/home/scmbuild/TestCenter/integration/framework/il/common/apps/rcmd/RCMReservationNotification.h</t>
  </si>
  <si>
    <t>/home/scmbuild/TestCenter/integration/framework/il/common/apps/rpcsvr/hwctrl.cpp</t>
  </si>
  <si>
    <t>/home/scmbuild/TestCenter/integration/framework/il/common/apps/rpcsvr/npuif_x86.cpp</t>
  </si>
  <si>
    <t>/home/scmbuild/TestCenter/integration/framework/il/common/apps/syncd/bkgnd.c</t>
  </si>
  <si>
    <t>/home/scmbuild/TestCenter/integration/framework/il/common/apps/syncd/cmdproc.c</t>
  </si>
  <si>
    <t>/home/scmbuild/TestCenter/integration/framework/il/common/apps/syncd/cmdproc_x86.c</t>
  </si>
  <si>
    <t>/home/scmbuild/TestCenter/integration/framework/il/common/apps/sysmgrd/SysMgrAuthTableEntry.cpp</t>
  </si>
  <si>
    <t>/home/scmbuild/TestCenter/integration/framework/il/common/apps/sysmgrd/SysMgrCMDLineOptions.cpp</t>
  </si>
  <si>
    <t>/home/scmbuild/TestCenter/integration/framework/il/common/apps/sysmgrd/SysMgrInternalNotifyHandler_1.cpp</t>
  </si>
  <si>
    <t>/home/scmbuild/TestCenter/integration/framework/il/common/apps/sysmgrd/SysMgrLEDPortHwIntf.h</t>
  </si>
  <si>
    <t>/home/scmbuild/TestCenter/integration/framework/il/common/apps/sysmgrd/SysMgrModuleConf.h</t>
  </si>
  <si>
    <t>/home/scmbuild/TestCenter/integration/framework/il/common/apps/sysmgrd/SysMgrNotifyPort.h</t>
  </si>
  <si>
    <t>/home/scmbuild/TestCenter/integration/framework/il/common/apps/sysmgrd/SysMgrPGStateNotifyHandler_1.cpp</t>
  </si>
  <si>
    <t>/home/scmbuild/TestCenter/integration/framework/il/common/apps/sysmgrd/SysMgrPortGroupInfo.h</t>
  </si>
  <si>
    <t>/home/scmbuild/TestCenter/integration/framework/il/common/apps/sysmgrd/SysMgrPowerDownNotifyHandler_1.cpp</t>
  </si>
  <si>
    <t>/home/scmbuild/TestCenter/integration/framework/il/common/apps/sysmgrd/SysMgrStaticConfig.h</t>
  </si>
  <si>
    <t>/home/scmbuild/TestCenter/integration/framework/il/common/apps/sysmgrd/SysMgrWdMonitorTableEntry.cpp</t>
  </si>
  <si>
    <t>/home/scmbuild/TestCenter/integration/framework/il/common/apps/sysmgrd/SysMgrWdNotification.cpp</t>
  </si>
  <si>
    <t>/home/scmbuild/TestCenter/integration/framework/il/common/include/string_token_iterator.h</t>
  </si>
  <si>
    <t>/home/scmbuild/TestCenter/integration/framework/il/common/lib/flexlm/illicensemanagerimpl.cpp</t>
  </si>
  <si>
    <t>/home/scmbuild/TestCenter/integration/framework/il/common/lib/flexlm/illicensemanagerimpl.h</t>
  </si>
  <si>
    <t>/home/scmbuild/TestCenter/integration/framework/il/common/lib/hal++/ccpu/common/CcpuCfeImp.cpp</t>
  </si>
  <si>
    <t>/home/scmbuild/TestCenter/integration/framework/il/common/lib/hal++/ccpu/common/CcpuChangelingStatusLedImp.cpp</t>
  </si>
  <si>
    <t>/home/scmbuild/TestCenter/integration/framework/il/common/lib/hal++/ccpu/profx/ProfxCcpuTimeStampImp.cpp</t>
  </si>
  <si>
    <t>/home/scmbuild/TestCenter/integration/framework/il/common/lib/hal++/ccpu/profy/ProfyCcpuTimeStampImp.cpp</t>
  </si>
  <si>
    <t>/home/scmbuild/TestCenter/integration/framework/il/common/lib/hal++/ccpu/shadowcat/ScCCPUKernelSemImpStub.cpp</t>
  </si>
  <si>
    <t>/home/scmbuild/TestCenter/integration/framework/il/common/lib/hal++/ccpu/x86_appliance/x86CcpuComparatorImp.cpp</t>
  </si>
  <si>
    <t>/home/scmbuild/TestCenter/integration/framework/il/common/lib/hal++/ccpu/x86_appliance/x86CcpuDmaMem.cpp</t>
  </si>
  <si>
    <t>/home/scmbuild/TestCenter/integration/framework/il/common/lib/hal++/ccpu/x86_appliance/x86CcpuTimeStampImp.cpp</t>
  </si>
  <si>
    <t>/home/scmbuild/TestCenter/integration/framework/il/common/lib/hal++/ccpu/x86_appliance/x86CcpuTimeSyncImp.cpp</t>
  </si>
  <si>
    <t>/home/scmbuild/TestCenter/integration/framework/il/common/lib/hal++/common/ChangelingPcieSpamRegionImp.cpp</t>
  </si>
  <si>
    <t>/home/scmbuild/TestCenter/integration/framework/il/common/lib/hal++/common/CtTimeStampImp.cpp</t>
  </si>
  <si>
    <t>/home/scmbuild/TestCenter/integration/framework/il/common/lib/hal++/common/Duration.cpp</t>
  </si>
  <si>
    <t>/home/scmbuild/TestCenter/integration/framework/il/common/lib/hal++/common/KernelSemImp.cpp</t>
  </si>
  <si>
    <t>/home/scmbuild/TestCenter/integration/framework/il/common/lib/hal++/common/OcteonPcieSpamRegionImp.cpp</t>
  </si>
  <si>
    <t>/home/scmbuild/TestCenter/integration/framework/il/common/lib/hal++/common/StdSpamRegionImp.cpp</t>
  </si>
  <si>
    <t>/home/scmbuild/TestCenter/integration/framework/il/common/lib/hal++/mcpu/profx/ProfxMcpuSensorMonitorImp.cpp</t>
  </si>
  <si>
    <t>/home/scmbuild/TestCenter/integration/framework/il/common/lib/hal++/mcpu/profy/ProfyMcpuStatusLedImp.cpp</t>
  </si>
  <si>
    <t>/home/scmbuild/TestCenter/integration/framework/il/common/lib/hal++/mcpu/profy/ProfyMcpuTimeSyncImp.cpp</t>
  </si>
  <si>
    <t>/home/scmbuild/TestCenter/integration/framework/il/common/lib/hal++/mcpu/pyro/PyroMcpuStatusLedImp.cpp</t>
  </si>
  <si>
    <t>/home/scmbuild/TestCenter/integration/framework/il/common/lib/hal++/mcpu/pyro/PyroMcpuTimeStampImp.cpp</t>
  </si>
  <si>
    <t>/home/scmbuild/TestCenter/integration/framework/il/common/lib/hal++/mcpu/x86_appliance/x86McpuTimeSyncImp.cpp</t>
  </si>
  <si>
    <t>/home/scmbuild/TestCenter/integration/framework/il/common/lib/hal++/mock/MockTimeSyncImp.cpp</t>
  </si>
  <si>
    <t>/home/scmbuild/TestCenter/integration/framework/il/common/lib/hal++/utils/dma.cpp</t>
  </si>
  <si>
    <t>/home/scmbuild/TestCenter/integration/framework/il/common/lib/hal++/utils/hwinfo.cpp</t>
  </si>
  <si>
    <t>/home/scmbuild/TestCenter/integration/framework/il/common/lib/hal++/utils/kernelsem.cpp</t>
  </si>
  <si>
    <t>/home/scmbuild/TestCenter/integration/framework/il/common/lib/hal++/utils/startstop.cpp</t>
  </si>
  <si>
    <t>/home/scmbuild/TestCenter/integration/framework/il/common/lib/hal++/utils/timestamp.cpp</t>
  </si>
  <si>
    <t>/home/scmbuild/TestCenter/integration/framework/il/common/lib/hal++/x86/x86SpamImp.cpp</t>
  </si>
  <si>
    <t>/home/scmbuild/TestCenter/integration/framework/il/common/lib/ildaemon/CommandLineOpts.cpp</t>
  </si>
  <si>
    <t>/home/scmbuild/TestCenter/integration/framework/il/common/lib/ilprotocol/base/FilterVisitor.h</t>
  </si>
  <si>
    <t>/home/scmbuild/TestCenter/integration/framework/il/common/lib/ilprotocol/base/IlProtocolIfSetupObserver.cpp</t>
  </si>
  <si>
    <t>/home/scmbuild/TestCenter/integration/framework/il/common/lib/ilprotocol/base/IlProtocolProtocolProxy.cpp</t>
  </si>
  <si>
    <t>/home/scmbuild/TestCenter/integration/framework/il/common/lib/ilprotocol/base/MulticastBookkeeper.h</t>
  </si>
  <si>
    <t>/home/scmbuild/TestCenter/integration/framework/il/common/lib/ilprotocol/base/ProxyQueueObjects.h</t>
  </si>
  <si>
    <t>/home/scmbuild/TestCenter/integration/framework/il/common/lib/ilprotocol/common/ifs.h</t>
  </si>
  <si>
    <t>/home/scmbuild/TestCenter/integration/framework/il/common/lib/ilprotocol/contentbase/LoadProfile.cpp</t>
  </si>
  <si>
    <t>/home/scmbuild/TestCenter/integration/framework/il/common/lib/ilprotocol/contentbase/RateBasedLoadStrategy.cpp</t>
  </si>
  <si>
    <t>/home/scmbuild/TestCenter/integration/framework/il/common/lib/log4cplusapi/log4cplus_merge.cpp</t>
  </si>
  <si>
    <t>/home/scmbuild/TestCenter/integration/framework/il/common/lib/log4cplusapi/PhxEvtAppender.cpp</t>
  </si>
  <si>
    <t>/home/scmbuild/TestCenter/integration/framework/il/common/lib/mps/mps_message_set.cpp</t>
  </si>
  <si>
    <t>/home/scmbuild/TestCenter/integration/framework/il/common/lib/mps/mps_message_thread.cpp</t>
  </si>
  <si>
    <t>/home/scmbuild/TestCenter/integration/framework/il/common/lib/mps/mps_socket_base.cpp</t>
  </si>
  <si>
    <t>/home/scmbuild/TestCenter/integration/framework/il/common/lib/mps/mps_thread_pool.cpp</t>
  </si>
  <si>
    <t>/home/scmbuild/TestCenter/integration/framework/il/common/lib/networkinterface/EmulatedIf.cpp</t>
  </si>
  <si>
    <t>/home/scmbuild/TestCenter/integration/framework/il/common/lib/networkinterface/NetworkEndpoint.cpp</t>
  </si>
  <si>
    <t>/home/scmbuild/TestCenter/integration/framework/il/common/lib/networkinterface/NetworkInterface.cpp</t>
  </si>
  <si>
    <t>/home/scmbuild/TestCenter/integration/framework/il/common/lib/phxexception/PHXCrash.cpp</t>
  </si>
  <si>
    <t>/home/scmbuild/TestCenter/integration/framework/il/common/lib/pthreadwrapper/pthreadwrapper.cpp</t>
  </si>
  <si>
    <t>/home/scmbuild/TestCenter/integration/framework/il/common/lib/sysmgrclient/SysMgrNotifyHandler_1.cpp</t>
  </si>
  <si>
    <t>/home/scmbuild/TestCenter/integration/framework/il/common/lib/vif/IfSetupMsgSetSrv_1.h</t>
  </si>
  <si>
    <t>/home/scmbuild/TestCenter/integration/framework/il/common/utils/cttool/tcp_connection_test/server/tcp_v4v6_server_uss.c</t>
  </si>
  <si>
    <t>/home/scmbuild/TestCenter/integration/framework/il/common/utils/log4cplus_utils/phxlogger/phxlogger.cpp</t>
  </si>
  <si>
    <t>/home/scmbuild/TestCenter/integration/framework/il/common/utils/mmt++/cavium.cpp</t>
  </si>
  <si>
    <t>/home/scmbuild/TestCenter/integration/framework/il/common/utils/runstop/runstop.c</t>
  </si>
  <si>
    <t>/home/scmbuild/TestCenter/integration/framework/il/common/utils/spiprom/command.c</t>
  </si>
  <si>
    <t>/home/scmbuild/TestCenter/integration/framework/il/freebsd/lib/preload/syscalls.c</t>
  </si>
  <si>
    <t>/home/scmbuild/TestCenter/integration/framework/il/freebsd/sys/kern/kern_mbuf.c</t>
  </si>
  <si>
    <t>/home/scmbuild/TestCenter/integration/framework/il/freebsd/sys/netinet/tcp_syncache.c</t>
  </si>
  <si>
    <t>/home/scmbuild/TestCenter/integration/framework/il/freebsd/sys/netinet6/ip6_output.c</t>
  </si>
  <si>
    <t>/home/scmbuild/TestCenter/integration/framework/il/freebsd/sys/spirent/dev/ctd/e1000/emu.c</t>
  </si>
  <si>
    <t>/home/scmbuild/TestCenter/integration/framework/il/freebsd/sys/spirent/dev/ctd/loopback/loopback.c</t>
  </si>
  <si>
    <t>/home/scmbuild/TestCenter/integration/framework/il/freebsd/sys/spirent/dev/ctd/pkt/pkt.c</t>
  </si>
  <si>
    <t>/home/scmbuild/TestCenter/integration/framework/il/freebsd/sys/spirent/dev/ctd/usfpga_nic/sfpga.c</t>
  </si>
  <si>
    <t>/home/scmbuild/TestCenter/integration/framework/il/freebsd/sys/spirent/glue/glue_malloc.c</t>
  </si>
  <si>
    <t>/home/scmbuild/TestCenter/integration/framework/il/freebsd/sys/spirent/glue/glue_proc.c</t>
  </si>
  <si>
    <t>/home/scmbuild/TestCenter/integration/framework/il/freebsd/sys/spirent/glue/glue_uma.c</t>
  </si>
  <si>
    <t>/home/scmbuild/TestCenter/integration/framework/il/freebsd/sys/spirent/host/host_proc.c</t>
  </si>
  <si>
    <t>/home/scmbuild/TestCenter/integration/framework/il/freebsd/sys/spirent/vif/vif_l2tpv2.c</t>
  </si>
  <si>
    <t>/home/scmbuild/TestCenter/integration/framework/il/freebsd/sys/vm/uma.h</t>
  </si>
  <si>
    <t>mcast/*</t>
  </si>
  <si>
    <t>v4v6transition/*</t>
  </si>
  <si>
    <t>D:\dev\integration\framework\bll\core\include\ProtocolModule.h</t>
  </si>
  <si>
    <t>D:\dev\integration\content\routing\rtgwizard\bll\src\RsvpFrrDutPlrMp.cpp</t>
  </si>
  <si>
    <t>D:\dev\integration\content\routing\rtgcore\bll\src\Results\RoutingResultScratchPadDb.cpp</t>
  </si>
  <si>
    <t>D:\dev\integration\common\lib\boost_1_39_0\boost\serialization\serialization.hpp</t>
  </si>
  <si>
    <t>D:\dev\integration\common\lib\boost_1_39_0\boost\multi_index\detail\index_matcher.hpp</t>
  </si>
  <si>
    <t>D:\dev\integration\common\lib\ACE_wrappers_5.5.6\ace\IO_Cntl_Msg.inl</t>
  </si>
  <si>
    <t>D:\dev\integration\content\storage\fc\bll\test\testfcoe\FcILSimulator.h</t>
  </si>
  <si>
    <t>D:\dev\integration\content\common\contentcore\bll\src\common\ApplicationResultScratchPadDb.cpp</t>
  </si>
  <si>
    <t>D:\dev\integration\common\lib\ACE_wrappers_5.5.6\ace\OS_Log_Msg_Attributes.inl</t>
  </si>
  <si>
    <t>D:\dev\integration\content\device\configurator\bll\src\result\ExternalDeviceCustomCommandBaseResults.cpp</t>
  </si>
  <si>
    <t>D:\dev\integration\content\storage\fc\bll\test\testfcoe\FcILSimulator.cpp</t>
  </si>
  <si>
    <t>D:\dev\integration\content\storage\fc\bll\test\testfcoe\FcProtocolSimulator.h</t>
  </si>
  <si>
    <t>D:\dev\integration\framework\common\lib\ifcommon\EntropyLabelModifierUtil.h</t>
  </si>
  <si>
    <t>D:\dev\integration\framework\bll\core\include\Messenger.h</t>
  </si>
  <si>
    <t>D:\dev\integration\content\routing\rtgwizard\bll\src\MplsRsvpGen.cpp</t>
  </si>
  <si>
    <t>D:\dev\integration\framework\bll\core\src\result\port\PortResultCollectorImpl.h</t>
  </si>
  <si>
    <t>D:\dev\integration\common\lib\ACE_wrappers_5.5.6\ace\OS_NS_sys_socket.inl</t>
  </si>
  <si>
    <t>D:\dev\integration\common\lib\ACE_wrappers_5.5.6\ace\OS_NS_sys_stat.inl</t>
  </si>
  <si>
    <t>/home/scmbuild/TestCenter/integration/content/routing/il/pimd/pim_1_server_msg.cpp</t>
  </si>
  <si>
    <t>/home/scmbuild/TestCenter/integration/framework/il/common/lib/ilprotocol/base/IlProtocolRawMulticastSocketHandler.cpp</t>
  </si>
  <si>
    <t>/home/scmbuild/TestCenter/integration/common/lib/boost_1_39_0/boost/date_time/gregorian/conversion.hpp</t>
  </si>
  <si>
    <t>/home/scmbuild/TestCenter/integration/framework/il/common/lib/hal++/mcpu/x86_appliance/GrandeMcpuHwInfoImp.cpp</t>
  </si>
  <si>
    <t>/home/scmbuild/TestCenter/integration/content/storage/storageio/il/bstd/iometer/src/IOGlobals.cpp</t>
  </si>
  <si>
    <t>/home/scmbuild/TestCenter/integration/content/storage/fc/il/fcd/msgs/fc/hello.cpp</t>
  </si>
  <si>
    <t>/home/scmbuild/TestCenter/integration/framework/il/common/include/mps/mps_message_set.h</t>
  </si>
  <si>
    <t>/home/scmbuild/TestCenter/integration/content/storage/l2isis/il/l2isisd/IsisOtvEdgeDevice.cpp</t>
  </si>
  <si>
    <t>/home/scmbuild/TestCenter/integration/framework/il/common/lib/ilprotocol/base/IlProtocolRawSocketHandler.cpp</t>
  </si>
  <si>
    <t>/home/scmbuild/TestCenter/integration/content/traffic/l2l3/il/pfc/PfcProtocolIceman.cpp</t>
  </si>
  <si>
    <t>/home/scmbuild/TestCenter/integration/framework/il/common/lib/hal++/mcpu/pyro/PyroMcpuHwInfoImp.cpp</t>
  </si>
  <si>
    <t>/home/scmbuild/TestCenter/integration/content/routing/il/ngc2-7-3-spirent/src/apps/rtg_1_server_msg.cpp</t>
  </si>
  <si>
    <t>/home/scmbuild/TestCenter/integration/framework/il/common/lib/hal++/mcpu/profy/ProfyMcpuHwInfoImp.cpp</t>
  </si>
  <si>
    <t>/home/scmbuild/TestCenter/integration/content/traffic/l4l7/il/external/RvSipTK/common/cbase/rvqueue.c</t>
  </si>
  <si>
    <t>/home/scmbuild/TestCenter/integration/content/traffic/l4l7/il/external/RvSipTK/common/cbase/rvtimerengine.c</t>
  </si>
  <si>
    <t>/home/scmbuild/TestCenter/integration/content/traffic/l4l7/il/sipd/signaling/sip/rv/RvUserAgentSdpMedia.cpp</t>
  </si>
  <si>
    <t>D:\dev\integration\framework\ui\PDUEditor\UserControls\ToSDiffServeEditor.cs</t>
  </si>
  <si>
    <t>D:\dev\integration\framework\ui\CorePlugin\Commands\CollapseResultDataCommand.cs</t>
  </si>
  <si>
    <t>D:\dev\integration\framework\ui\CorePlugin\Commands\AddToChartCommand.cs</t>
  </si>
  <si>
    <t>D:\dev\integration\framework\ui\CorePlugin\Commands\CustomizeViewCommand.cs</t>
  </si>
  <si>
    <t>D:\dev\integration\content\routing\mplstpoam\ui\Control\MplsTpOamStartDmCommandControl.cs</t>
  </si>
  <si>
    <t>D:\dev\integration\content\routing\isis\ui\Commands\NewPlsbGrandChildrenCommand.cs</t>
  </si>
  <si>
    <t>D:\dev\integration\framework\ui\CorePlugin\Views\EquipmentView\ConnectionManager.cs</t>
  </si>
  <si>
    <t>D:\dev\integration\content\storage\vepa\ui\ProxyObjects\VsiBlockConfigProxy.cs</t>
  </si>
  <si>
    <t>D:\dev\integration\content\datacenter\datacenter\ui\ProxyObjects\OtvSiteDeviceConfigProxy.cs</t>
  </si>
  <si>
    <t>D:\dev\integration\content\storage\vepa\ui\ProxyObjects\VdpStationConfigProxy.cs</t>
  </si>
  <si>
    <t>D:\dev\integration\framework\ui\Utils\DataEditor\DataEditorControl.cs</t>
  </si>
  <si>
    <t>D:\dev\integration\content\admin\admin\ui\Equipment\Commands\PortGroupSizeCommand.cs</t>
  </si>
  <si>
    <t>D:\dev\integration\content\admin\admin\ui\Equipment\Commands\GetEquipmentLogsCommand.cs</t>
  </si>
  <si>
    <t>D:\dev\integration\content\traffictests\benchmarking\ui\Control\Panel\Topo\EndpointsPanel.cs</t>
  </si>
  <si>
    <t>D:\dev\integration\content\traffictests\benchmarking\ui\Control\Panel\Topo\CongestionPanel.cs</t>
  </si>
  <si>
    <t>D:\dev\integration\content\traffictests\benchmarking\ui\Control\Panel\Params\FrameSizePanel.cs</t>
  </si>
  <si>
    <t>D:\dev\integration\content\traffic\l2l3\ui\View\PortConfigView10GigGeneral.cs</t>
  </si>
  <si>
    <t>D:\dev\integration\framework\ui\BLLInterface\ProxyObjects\DeviceGenEthIIIfParamsProxy.cs</t>
  </si>
  <si>
    <t>D:\dev\integration\framework\ui\BLLInterface\ProxyObjects\ApplyToILCommandProxy.cs</t>
  </si>
  <si>
    <t>D:\dev\integration\content\traffic\l2l3\ui\View\PortConfigView10GigAdvanced.cs</t>
  </si>
  <si>
    <t>D:\dev\integration\framework\ui\CorePlugin\Sequencer\Controls\CommandEditors\VerifyResultsValueCommandEditor.cs</t>
  </si>
  <si>
    <t>D:\dev\integration\content\access\ancp\ui\Commands\AncpSendAdjacencyUpdateCommand.cs</t>
  </si>
  <si>
    <t>D:\dev\integration\content\routing\eoam\ui\Controls\EoamOptionsControl.cs</t>
  </si>
  <si>
    <t>D:\dev\integration\framework\ui\CorePlugin\Sequencer\Controls\Sequencer.cs</t>
  </si>
  <si>
    <t>D:\dev\integration\framework\ui\CorePlugin\Wizards\CopyAttributesWizard\Attributes\AnalyzerAttributes.cs</t>
  </si>
  <si>
    <t>D:\dev\integration\framework\ui\CorePlugin\Sequencer\Controls\CommandEditors\TypeAndObjectPicker.Designer.cs</t>
  </si>
  <si>
    <t>D:\dev\integration\framework\ui\CorePlugin\Sequencer\Controls\CommandEditors\NewVerifyResultsValueChainedConditionCommandEditor.Designer.cs</t>
  </si>
  <si>
    <t>D:\dev\integration\framework\ui\CorePlugin\Sequencer\Controls\CommandEditors\VerifyResultsValueChainedConditionGridUserControl.designer.cs</t>
  </si>
  <si>
    <t>D:\dev\integration\content\traffic\l2l3\ui\View\PortConfigView10GigCopperAdvanced.cs</t>
  </si>
  <si>
    <t>D:\dev\integration\content\traffictests\qosfwd\ui\Control\TrafficClassControl.cs</t>
  </si>
  <si>
    <t>D:\dev\integration\content\access\dhcpv4\ui\Commands\Dhcpv4RenewCommand.cs</t>
  </si>
  <si>
    <t>D:\dev\integration\content\access\dhcpv4\ui\Commands\Dhcpv4ServerSessionInfoCommand.cs</t>
  </si>
  <si>
    <t>D:\dev\integration\content\access\dhcpv4\ui\Commands\Dhcpv4ServerShowSessionInfoCommand.cs</t>
  </si>
  <si>
    <t>D:\dev\integration\content\access\dhcpv4\ui\Commands\Dhcpv4SessionInfoCommand.cs</t>
  </si>
  <si>
    <t>D:\dev\integration\content\device\configurator\ui\ProxyObjects\ExternalDeviceVmwareNicResultsProxy.cs</t>
  </si>
  <si>
    <t>D:\dev\integration\content\device\configurator\ui\ProxyObjects\ExternalDeviceVmwareCpuResultsProxy.cs</t>
  </si>
  <si>
    <t>D:\dev\integration\content\tripleplay\vqana\ui\ProxyObjects\VqVideoStreamResultsProxy.cs</t>
  </si>
  <si>
    <t>D:\dev\integration\content\tripleplay\vqana\ui\ProxyObjects\VqAudioStreamResultsProxy.cs</t>
  </si>
  <si>
    <t>D:\dev\integration\framework\ui\CorePlugin\Commands\GenerateDiagnosticReportCommand.cs</t>
  </si>
  <si>
    <t>D:\dev\integration\framework\ui\CorePlugin\Commands\ExpandResultDataCommand.cs</t>
  </si>
  <si>
    <t>D:\dev\integration\framework\ui\CorePlugin\Commands\ExportPresentationTableViewCommand.cs</t>
  </si>
  <si>
    <t>D:\dev\integration\framework\ui\CAB\Forms\ShellForm.cs</t>
  </si>
  <si>
    <t>D:\dev\integration\framework\ui\CAB\Forms\FileTransferControl.cs</t>
  </si>
  <si>
    <t>D:\dev\integration\content\traffictests\benchmarking\ui\Wizard\Rfc3918\Rfc3918SelectTestPage.Designer.cs</t>
  </si>
  <si>
    <t>D:\dev\integration\content\traffictests\benchmarking\ui\Wizard\Rfc3918\View\MonitorPortsForm.Designer.cs</t>
  </si>
  <si>
    <t>D:\dev\integration\content\traffictests\benchmarking\ui\Wizard\Rfc3918\Rfc3918HostsAndGroupsPage.Designer.cs</t>
  </si>
  <si>
    <t>D:\dev\integration\framework\ui\CAB\Commands\FileSaveAsTclCommand.cs</t>
  </si>
  <si>
    <t>D:\dev\integration\framework\ui\CAB\Commands\FileSaveAsRubyCommand.cs</t>
  </si>
  <si>
    <t>D:\dev\integration\framework\ui\CAB\Commands\FileSaveAsPerlCommand.cs</t>
  </si>
  <si>
    <t>D:\dev\integration\content\routing\pim\ui\ProxyObjects\Pimv6RpMapProxy.cs</t>
  </si>
  <si>
    <t>D:\dev\integration\content\routing\eoam\ui\Wizard\EoamRemoteMepCalculator.cs</t>
  </si>
  <si>
    <t>D:\dev\integration\content\access\dhcpv6\ui\Commands\Dhcpv6RenewCommand.cs</t>
  </si>
  <si>
    <t>D:\dev\integration\content\traffic\l4l7\ui\L4L7InteractiveWorkItemExtension.cs</t>
  </si>
  <si>
    <t>D:\dev\integration\framework\ui\PDUEditor\UserControls\FrameEditorCtrl.cs</t>
  </si>
  <si>
    <t>D:\dev\integration\content\traffic\l2l3\ui\View\StreamBlockColumnGridUpdate.cs</t>
  </si>
  <si>
    <t>D:\dev\integration\framework\ui\CorePlugin\Views\FilterSingleConditionControl.cs</t>
  </si>
  <si>
    <t>D:\dev\integration\content\routing\rtgcore\ui\Forms\MplsTpPWStatusConfigForm.cs</t>
  </si>
  <si>
    <t>D:\dev\integration\content\traffictests\benchmarking\ui\Control\Custom\PortTreeView.cs</t>
  </si>
  <si>
    <t>D:\dev\integration\framework\ui\BLLInterface\ProxyObjects\PhyProxy.cs</t>
  </si>
  <si>
    <t>D:\dev\integration\content\routing\synce\ui\ProxyObjects\SyncEthPortConfigProxy.cs</t>
  </si>
  <si>
    <t>D:\dev\integration\content\sample\cars\ui\Commands\AirConditionerDetailsCommand.cs</t>
  </si>
  <si>
    <t>D:\dev\integration\content\tripleplay\iptv\ui\ProxyObjects\IptvChannelBlockProxy.cs</t>
  </si>
  <si>
    <t>D:\dev\integration\framework\ui\UICore\Controls\Grid\FillService\FillDataGenerator.cs</t>
  </si>
  <si>
    <t>D:\dev\integration\content\traffic\l2l3\ui\View\RegisterViewEthernetBasic.cs</t>
  </si>
  <si>
    <t>D:\dev\integration\content\access\pppox\ui\Commands\PppoxSessionInfoCommand.cs</t>
  </si>
  <si>
    <t>D:\dev\integration\framework\ui\CorePlugin\Views\FilterSingleConditionControl.Designer.cs</t>
  </si>
  <si>
    <t>D:\dev\integration\framework\ui\CorePlugin\Views\EquipmentView\OnlinePortView.designer.cs</t>
  </si>
  <si>
    <t>D:\dev\integration\framework\ui\CorePlugin\Views\EquipmentView\AddPortForm.Designer.cs</t>
  </si>
  <si>
    <t>D:\dev\integration\framework\ui\CorePlugin\Views\EquipmentView\AddEquipmentView.Designer.cs</t>
  </si>
  <si>
    <t>D:\dev\integration\framework\ui\CorePlugin\Views\EquipmentView\OnlinePortView.cs</t>
  </si>
  <si>
    <t>D:\dev\integration\content\access\dhcpv4\ui\Commands\Dhcpv4AbortCommand.cs</t>
  </si>
  <si>
    <t>D:\dev\integration\content\access\dhcpv4\ui\Commands\Dhcpv4AbortServerCommand.cs</t>
  </si>
  <si>
    <t>D:\dev\integration\content\routing\eoam\ui\Views\EoamMegForm.cs</t>
  </si>
  <si>
    <t>D:\dev\integration\content\traffic\l2l3\ui\Control\PageWizardTrafficSetup.cs</t>
  </si>
  <si>
    <t>D:\dev\integration\framework\ui\WizardPlugin\WizardView.cs</t>
  </si>
  <si>
    <t>D:\dev\integration\content\traffic\l2l3\ui\View\RegisterView.cs</t>
  </si>
  <si>
    <t>D:\dev\integration\content\routing\rtgcore\ui\Forms\TeParamsDialog.cs</t>
  </si>
  <si>
    <t>D:\dev\integration\framework\ui\Utils\Data\PropertyChangedBinder.cs</t>
  </si>
  <si>
    <t>D:\dev\integration\content\routing\lacp\ui\Controls\LacpInstancePage.cs</t>
  </si>
  <si>
    <t>D:\dev\integration\framework\ui\CAB\Controls\ObjectPicker\ObjectPicker.cs</t>
  </si>
  <si>
    <t>D:\dev\integration\framework\ui\CorePlugin\Sequencer\SequencerUtils.cs</t>
  </si>
  <si>
    <t>D:\dev\integration\content\routing\ldp\ui\Forms\PseudoWireLspTlvEditor.Designer.cs</t>
  </si>
  <si>
    <t>D:\dev\integration\framework\ui\CorePlugin\Sequencer\Controls\SequencerView.cs</t>
  </si>
  <si>
    <t>D:\dev\integration\content\traffic\l2l3\ui\L2L3PortConfigWorkItemExtension.cs</t>
  </si>
  <si>
    <t>D:\dev\integration\content\traffic\l2l3\ui\Commands\RefreshResultViewCommand.cs</t>
  </si>
  <si>
    <t>D:\dev\integration\content\traffic\l2l3\ui\L2L3ResultWorkItemExtension.cs</t>
  </si>
  <si>
    <t>D:\dev\integration\framework\ui\PDUEditor\FilterTemplateManager.cs</t>
  </si>
  <si>
    <t>D:\dev\integration\content\traffictests\qosfwd\ui\View\FormTrafficGroupEdit.designer.cs</t>
  </si>
  <si>
    <t>D:\dev\integration\content\tripleplay\iptv\ui\Controls\IptvStartTestCommandEditor.designer.cs</t>
  </si>
  <si>
    <t>D:\dev\integration\content\tripleplay\iptv\ui\Controls\IptvStartTestUserControl.Designer.cs</t>
  </si>
  <si>
    <t>D:\dev\integration\content\tripleplay\iptv\ui\Controls\IptvViewedChannelsSelectionEditor.Designer.cs</t>
  </si>
  <si>
    <t>D:\dev\integration\content\tripleplay\iptv\ui\Controls\IptvWizardMcastHostInfoForm.Designer.cs</t>
  </si>
  <si>
    <t>D:\dev\integration\content\tripleplay\iptv\ui\Controls\IptvWizardMcastHostSelectionEditor.Designer.cs</t>
  </si>
  <si>
    <t>D:\dev\integration\content\tripleplay\iptv\ui\Views\IptvStartTestForm.Designer.cs</t>
  </si>
  <si>
    <t>D:\dev\integration\content\routing\rtgcore\ui\RoutingInteractiveWorkItemExtension.cs</t>
  </si>
  <si>
    <t>D:\dev\integration\content\device\configurator\ui\Commands\ChangCaptionCommand.cs</t>
  </si>
  <si>
    <t>D:\dev\integration\content\tripleplay\vqana\ui\Commands\VqCreateDynamicPayloadCommand.cs</t>
  </si>
  <si>
    <t>D:\dev\integration\content\tripleplay\vqana\ui\Commands\VqCreateProbeChannelBlockCommand.cs</t>
  </si>
  <si>
    <t>D:\dev\integration\content\traffictests\dcb\ui\Common\Commands\DcbCreateStreamCommand.cs</t>
  </si>
  <si>
    <t>D:\dev\integration\content\tripleplay\iptv\ui\Commands\EditViewingBehaviorProfilesCommand.cs</t>
  </si>
  <si>
    <t>D:\dev\integration\content\traffictests\benchmarking\ui\RfcTestEx\Commands\RfcTestCreateStreamCommand.cs</t>
  </si>
  <si>
    <t>D:\dev\integration\content\traffictests\benchmarking\ui\Wizard\Rfc3918\Commands\BenchmarkingCreateStreamCommand.cs</t>
  </si>
  <si>
    <t>D:\dev\integration\content\tripleplay\iptv\ui\Commands\EditViewingChannelProfilesCommand.cs</t>
  </si>
  <si>
    <t>D:\dev\integration\content\tripleplay\iptv\ui\Commands\IptvManageMulticastGroupsCommand.cs</t>
  </si>
  <si>
    <t>D:\dev\integration\content\routing\eoam\ui\Views\EoamDetailedLinkTraceResultsForm.cs</t>
  </si>
  <si>
    <t>D:\dev\integration\content\access\dhcpv6\ui\Commands\Dhcpv6SessionInfoCommand.cs</t>
  </si>
  <si>
    <t>D:\dev\integration\content\traffic\l4l7\ui\Controls\ActionSelectionEditor.cs</t>
  </si>
  <si>
    <t>D:\dev\integration\content\traffic\l4l7\ui\Controls\VideoServerClipFileSelectionEditor.cs</t>
  </si>
  <si>
    <t>D:\dev\integration\content\traffic\l2l3\ui\Editors\QoSEditorForm.cs</t>
  </si>
  <si>
    <t>D:\dev\integration\content\traffic\l2l3\ui\Control\EndPointEditor.cs</t>
  </si>
  <si>
    <t>D:\dev\integration\content\traffic\l2l3\ui\View\FormTrafficGroupEdit.cs</t>
  </si>
  <si>
    <t>D:\dev\integration\content\traffic\l2l3\ui\View\StreamBlockColumnGridUtils.cs</t>
  </si>
  <si>
    <t>D:\dev\integration\content\routing\vpn\ui\Wizard\Vpls\VplsCeDeviceConfigCtrl.Designer.cs</t>
  </si>
  <si>
    <t>D:\dev\integration\framework\ui\LoggingPlugin\LoggingViewManager.cs</t>
  </si>
  <si>
    <t>D:\dev\integration\content\traffic\l4l7\ui\View\Sip\SipClientProfileView.cs</t>
  </si>
  <si>
    <t>D:\dev\integration\content\traffic\l4l7\ui\View\ServerProfileView.cs</t>
  </si>
  <si>
    <t>D:\dev\integration\content\routing\rtgconvergence\ui\Controls\RoutingConvergenceInjectCommandEditor.cs</t>
  </si>
  <si>
    <t>D:\dev\integration\content\access\saa\ui\SaaInteractiveWorkItemExtension.cs</t>
  </si>
  <si>
    <t>D:\dev\integration\framework\ui\CorePlugin\Controls\AddChartCounterControl.cs</t>
  </si>
  <si>
    <t>D:\dev\integration\content\traffic\l4l7\ui\ProxyObjects\XmppvJClientConfigProxy.cs</t>
  </si>
  <si>
    <t>D:\dev\integration\content\admin\admin\ui\Equipment\Commands\ConfigurePortLoggingCommand.cs</t>
  </si>
  <si>
    <t>D:\dev\integration\framework\ui\CorePlugin\InteractivePresentationModel.cs</t>
  </si>
  <si>
    <t>D:\dev\integration\content\routing\rtgwizard\ui\Wizard\FRR\FrrTestSummaryPage.cs</t>
  </si>
  <si>
    <t>D:\dev\integration\content\traffic\l4l7\ui\ProxyObjects\VideoClientProtocolConfigProxy.cs</t>
  </si>
  <si>
    <t>D:\dev\integration\framework\ui\CorePlugin\Wizards\DeviceGenWizard\DeviceGenIpv4IfPanel.cs</t>
  </si>
  <si>
    <t>D:\dev\integration\content\routing\vpn\ui\Wizard\VpnMplsTp\VpnMplsSummaryPage.cs</t>
  </si>
  <si>
    <t>D:\dev\integration\content\access\saa\ui\Commands\SaaShowSessionInfoCommand.cs</t>
  </si>
  <si>
    <t>D:\dev\integration\content\access\saa\ui\Commands\SaaStartCommand.cs</t>
  </si>
  <si>
    <t>D:\dev\integration\content\access\saa\ui\Commands\SaaStopCommand.cs</t>
  </si>
  <si>
    <t>D:\dev\integration\framework\ui\CorePlugin\Forms\ManageFiltersForm.designer.cs</t>
  </si>
  <si>
    <t>D:\dev\integration\framework\ui\CorePlugin\Forms\ManageDataMiningForm.Designer.cs</t>
  </si>
  <si>
    <t>D:\dev\integration\framework\ui\CorePlugin\Forms\InterfaceForm.Designer.cs</t>
  </si>
  <si>
    <t>D:\dev\integration\content\traffic\l2l3\ui\Control\PageEditIMIX.cs</t>
  </si>
  <si>
    <t>D:\dev\integration\framework\ui\CorePlugin\Commands\ImportSingleResultViewCommand.cs</t>
  </si>
  <si>
    <t>D:\dev\integration\framework\ui\Utils\Data\BindablePropertyDef.cs</t>
  </si>
  <si>
    <t>D:\dev\integration\framework\ui\BLLInterface\DataModel\ProxyMetaData.cs</t>
  </si>
  <si>
    <t>D:\dev\integration\framework\ui\PDUEditor\PDUData\Template.cs</t>
  </si>
  <si>
    <t>D:\dev\integration\content\device\configurator\ui\Commands\LaunchITestCommand.cs</t>
  </si>
  <si>
    <t>D:\dev\integration\content\routing\lisp\ui\LispInteractiveWorkItemExtension.cs</t>
  </si>
  <si>
    <t>D:\dev\integration\framework\ui\LoggingPlugin\LoggingView.cs</t>
  </si>
  <si>
    <t>D:\dev\integration\content\traffic\l4l7\ui\L4L7CifsInteractiveWorkItemExtension.cs</t>
  </si>
  <si>
    <t>D:\dev\integration\framework\ui\CorePlugin\Commands\CloneResultViewCommand.cs</t>
  </si>
  <si>
    <t>D:\dev\integration\content\traffic\l2l3\ui\View\PfcSettingsForm.cs</t>
  </si>
  <si>
    <t>D:\dev\integration\content\traffic\l2l3\ui\View\PortConfigView10100GigAdvanced.cs</t>
  </si>
  <si>
    <t>D:\dev\integration\content\routing\eoam\ui\Views\EoamStopCommandForm.Designer.cs</t>
  </si>
  <si>
    <t>D:\dev\integration\content\routing\eoam\ui\Views\EoamStopCcGroupForm.Designer.cs</t>
  </si>
  <si>
    <t>D:\dev\integration\framework\ui\CAB\Controls\StcPropertyGrid.cs</t>
  </si>
  <si>
    <t>D:\dev\integration\content\routing\eoam\ui\Views\EoamStartSlmForm.Designer.cs</t>
  </si>
  <si>
    <t>D:\dev\integration\framework\ui\CAB\Controls\StcNumericUpDown.cs</t>
  </si>
  <si>
    <t>D:\dev\integration\content\traffictests\custom\ui\Forms\HandleListSelectorForm.Designer.cs</t>
  </si>
  <si>
    <t>D:\dev\integration\content\traffic\l2l3\ui\Control\PageWizardTrafficDescriptor.Designer.cs</t>
  </si>
  <si>
    <t>D:\dev\integration\content\traffic\l2l3\ui\Control\PageWizardSource.Designer.cs</t>
  </si>
  <si>
    <t>D:\dev\integration\content\traffictests\qosfwd\ui\Control\TrafficClassControl.designer.cs</t>
  </si>
  <si>
    <t>D:\dev\integration\content\traffictests\qosfwd\ui\Control\MinMaxEditControl.designer.cs</t>
  </si>
  <si>
    <t>D:\dev\integration\content\traffictests\dcb\ui\SwitchingFabric\Wizard\SelectTestPage.Designer.cs</t>
  </si>
  <si>
    <t>D:\dev\integration\content\admin\admin\ui\L1Tool\L1ToolFormCommand.cs</t>
  </si>
  <si>
    <t>D:\dev\integration\content\admin\admin\ui\Licensing\Commands\UploadLicenseCommand.cs</t>
  </si>
  <si>
    <t>D:\dev\integration\content\access\dot1x\ui\Commands\Dot1xDownloadCertificatesCommand.cs</t>
  </si>
  <si>
    <t>D:\dev\integration\content\access\dot1x\ui\Commands\NewDot1xPortConfig.cs</t>
  </si>
  <si>
    <t>D:\dev\integration\content\traffic\l4l7\ui\Commands\SaveAsClientProfilesTemplateCommand.cs</t>
  </si>
  <si>
    <t>D:\dev\integration\content\traffic\l4l7\ui\Commands\SaveAsServerProfilesTemplateCommand.cs</t>
  </si>
  <si>
    <t>D:\dev\integration\content\access\l2tp\ui\Controls\L2tpAbortCommandEditor.cs</t>
  </si>
  <si>
    <t>D:\dev\integration\content\access\ancp\ui\Controls\AncpTerminateAdjacencyCommandEditor.cs</t>
  </si>
  <si>
    <t>D:\dev\integration\content\routing\isis\ui\ProxyObjects\IsisRouterConfigProxy.cs</t>
  </si>
  <si>
    <t>D:\dev\integration\content\routing\vpn\ui\VpnInteractiveWorkItemExtension.cs</t>
  </si>
  <si>
    <t>D:\dev\integration\content\traffictests\dcb\ui\Common\Commands\DcbCreateDeviceCommand.cs</t>
  </si>
  <si>
    <t>D:\dev\integration\framework\ui\CorePlugin\Views\ResultPresentationForm.cs</t>
  </si>
  <si>
    <t>D:\dev\integration\content\traffic\l2l3\ui\View\PortConfigView10GigWan.cs</t>
  </si>
  <si>
    <t>D:\dev\integration\content\traffic\l4l7\ui\View\Ftp\FtpServerProfileView.cs</t>
  </si>
  <si>
    <t>D:\dev\integration\content\traffic\l4l7\ui\View\Http\HttpClientProfileView.cs</t>
  </si>
  <si>
    <t>D:\dev\integration\content\traffic\l4l7\ui\View\Http\HttpServerProfileView.cs</t>
  </si>
  <si>
    <t>D:\dev\integration\framework\ui\CorePlugin\Nodes\ResultPresentationNode.cs</t>
  </si>
  <si>
    <t>D:\dev\integration\content\access\l2tp\ui\Commands\L2tpTunnelInfoCommand.cs</t>
  </si>
  <si>
    <t>D:\dev\integration\content\storage\vepa\ui\Commands\AbortVdpCommand.cs</t>
  </si>
  <si>
    <t>D:\dev\integration\content\routing\synce\ui\Commands\SyncEthCommand.cs</t>
  </si>
  <si>
    <t>D:\dev\integration\framework\ui\CorePlugin\Forms\ResultsChangeUnitsViewForm.Designer.cs</t>
  </si>
  <si>
    <t>D:\dev\integration\framework\ui\CorePlugin\LaunchWindow\CategoryControl.Designer.cs</t>
  </si>
  <si>
    <t>D:\dev\integration\framework\ui\CorePlugin\Forms\WildcardForm.Designer.cs</t>
  </si>
  <si>
    <t>D:\dev\integration\framework\ui\CorePlugin\LaunchWindow\LoadConfigPanel.Designer.cs</t>
  </si>
  <si>
    <t>D:\dev\integration\framework\ui\CorePlugin\LaunchWindow\PortDevicePage.Designer.cs</t>
  </si>
  <si>
    <t>D:\dev\integration\framework\ui\CorePlugin\LaunchWindow\ProtocolCheckControl.Designer.cs</t>
  </si>
  <si>
    <t>D:\dev\integration\content\routing\bgp\ui\Forms\BgpCollectionEditor.cs</t>
  </si>
  <si>
    <t>D:\dev\integration\framework\ui\WizardPlugin\WizardPresentationFactory.cs</t>
  </si>
  <si>
    <t>D:\dev\integration\framework\ui\CorePlugin\Views\BrowserView\BrowserPresenter.cs</t>
  </si>
  <si>
    <t>D:\dev\integration\content\routing\rtgcore\ui\RouteViewDataSet.cs</t>
  </si>
  <si>
    <t>D:\dev\integration\content\sample\cars\ui\CarsInteractiveWorkItemExtension.cs</t>
  </si>
  <si>
    <t>D:\dev\integration\framework\ui\CAB\PresentationViews\PresentationTableView.cs</t>
  </si>
  <si>
    <t>D:\dev\integration\framework\ui\BLLInterface\DataModel\ProxyPropertyDef.cs</t>
  </si>
  <si>
    <t>D:\dev\integration\content\routing\eoam\ui\Views\EoamStartAisForm.Designer.cs</t>
  </si>
  <si>
    <t>D:\dev\integration\content\routing\eoam\ui\Views\EoamRemoteCcResultsForm.Designer.cs</t>
  </si>
  <si>
    <t>D:\dev\integration\content\routing\eoam\ui\Views\EoamPreviewNextHopsForm.Designer.cs</t>
  </si>
  <si>
    <t>D:\dev\integration\content\routing\eoam\ui\Views\EoamPreviewMpsForm.Designer.cs</t>
  </si>
  <si>
    <t>D:\dev\integration\content\routing\eoam\ui\Views\EoamMpChildrenForm.Designer.cs</t>
  </si>
  <si>
    <t>D:\dev\integration\content\routing\eoam\ui\Views\EoamPreviewTopologyForm.Designer.cs</t>
  </si>
  <si>
    <t>D:\dev\integration\content\traffic\l2l3\ui\L2L3InteractiveWorkItemExtension.cs</t>
  </si>
  <si>
    <t>D:\dev\integration\content\traffictests\benchmarking\ui\Control\Panel\Params\TrafficGroupCodePointPanel.cs</t>
  </si>
  <si>
    <t>D:\dev\integration\content\traffic\l2l3\ui\Control\SheetGrid.cs</t>
  </si>
  <si>
    <t>D:\dev\integration\content\traffictests\benchmarking\ui\State\Rfc2889\Rfc2889MaxForwardingRateWizStateCtx.cs</t>
  </si>
  <si>
    <t>D:\dev\integration\content\traffictests\benchmarking\ui\State\Rfc2889\Rfc2889StateCtx.cs</t>
  </si>
  <si>
    <t>D:\dev\integration\content\traffictests\benchmarking\ui\State\Rfc2889\Rfc2889ForwardingWizStateCtx.cs</t>
  </si>
  <si>
    <t>D:\dev\integration\content\routing\rtgwizard\ui\Wizard\Convergence\ConvergenceRoutesPage.cs</t>
  </si>
  <si>
    <t>D:\dev\integration\content\learning\arp\ui\Commands\StopArpNdOnAllDevicesCommand.cs</t>
  </si>
  <si>
    <t>D:\dev\integration\content\learning\arp\ui\Commands\StopARPNDOnAllStreamsCommand.cs</t>
  </si>
  <si>
    <t>D:\dev\integration\content\learning\arp\ui\Commands\StopARPNDOnAllRoutersCommand.cs</t>
  </si>
  <si>
    <t>D:\dev\integration\content\mcast\mcastcore\ui\Commands\ManageMulticastGroupsCommand.cs</t>
  </si>
  <si>
    <t>D:\dev\integration\content\learning\arp\ui\Commands\StopLearningCommand.cs</t>
  </si>
  <si>
    <t>D:\dev\integration\content\learning\arp\ui\Commands\StopL2LearningOnAllStreamsCommand.cs</t>
  </si>
  <si>
    <t>D:\dev\integration\content\learning\arp\ui\Commands\StopArpNdOnPortsCommand.cs</t>
  </si>
  <si>
    <t>D:\dev\integration\content\routing\ldp\ui\LdpInteractiveWorkItemExtension.cs</t>
  </si>
  <si>
    <t>D:\dev\integration\content\tripleplay\iptv\ui\Wizard\IptvWizardInteractiveWorkItemExtension.cs</t>
  </si>
  <si>
    <t>D:\dev\integration\content\routing\rsvp\ui\RsvpInteractiveWorkItemExtension.cs</t>
  </si>
  <si>
    <t>D:\dev\integration\framework\ui\Application\StcDashboard\DashboardPresentationModel.cs</t>
  </si>
  <si>
    <t>D:\dev\integration\content\traffic\l4l7\ui\Commands\ProfilesEditorFormCommand.cs</t>
  </si>
  <si>
    <t>D:\dev\integration\content\traffic\l4l7\ui\Commands\RawTcp\EditRawTcpClientProfileCommand.cs</t>
  </si>
  <si>
    <t>D:\dev\integration\content\traffic\l4l7\ui\Commands\Http\EditHttpServerProfileCommand.cs</t>
  </si>
  <si>
    <t>D:\dev\integration\content\traffic\l4l7\ui\Commands\Http\EditHttpClientProfileCommand.cs</t>
  </si>
  <si>
    <t>D:\dev\integration\content\storage\storageio\ui\StorageIOInteractiveWorkItemExtension.cs</t>
  </si>
  <si>
    <t>D:\dev\integration\content\traffic\l2l3\ui\L2L3StreamBlockWorkItemExtension.cs</t>
  </si>
  <si>
    <t>D:\dev\integration\content\traffictests\benchmarking\ui\RfcTestEx\Panel\CongestionTrafficPanel.Designer.cs</t>
  </si>
  <si>
    <t>D:\dev\integration\content\routing\rtgcore\ui\Controls\MplsBindingsView.cs</t>
  </si>
  <si>
    <t>D:\dev\integration\content\routing\rsvp\ui\ProxyObjects\RsvpIngressTunnelParamsProxy.cs</t>
  </si>
  <si>
    <t>D:\dev\integration\content\routing\rsvp\ui\ProxyObjects\RsvpRouterConfigProxy.cs</t>
  </si>
  <si>
    <t>D:\dev\integration\content\routing\rsvp\ui\Forms\EroSubObjects.cs</t>
  </si>
  <si>
    <t>D:\dev\integration\content\routing\rsvp\ui\Forms\DetourObjects.cs</t>
  </si>
  <si>
    <t>D:\dev\integration\content\routing\rsvp\ui\Forms\CustomTlvForm.cs</t>
  </si>
  <si>
    <t>D:\dev\integration\content\routing\ospfv2\ui\Ospfv2RouterConfigTeParams.cs</t>
  </si>
  <si>
    <t>D:\dev\integration\content\routing\ospfv2\ui\Ospfv2LinkTlvTeParams.cs</t>
  </si>
  <si>
    <t>D:\dev\integration\content\traffictests\benchmarking\ui\State\TrafficDescriptorNodeFactory.cs</t>
  </si>
  <si>
    <t>D:\dev\integration\content\traffictests\benchmarking\ui\Data\Topo\EndpointsController.cs</t>
  </si>
  <si>
    <t>D:\dev\integration\framework\ui\UICore\Controls\Forms\ImportListView.cs</t>
  </si>
  <si>
    <t>D:\dev\integration\framework\ui\CorePlugin\Sequencer\Forms\SequencerEditor.cs</t>
  </si>
  <si>
    <t>D:\dev\integration\content\traffic\l2l3\ui\View\PortConfigViewFcGeneral.cs</t>
  </si>
  <si>
    <t>D:\dev\integration\framework\ui\CorePlugin\Views\AddResultFilterDialog.cs</t>
  </si>
  <si>
    <t>D:\dev\integration\framework\ui\CorePlugin\Forms\UserDefaultsForm.cs</t>
  </si>
  <si>
    <t>D:\dev\integration\framework\ui\CAB\Controls\AquaGauge\AquaGauge.cs</t>
  </si>
  <si>
    <t>D:\dev\integration\framework\ui\Application\StcDashboard\Commands\ShowTestSessionFilesCommand.cs</t>
  </si>
  <si>
    <t>D:\dev\integration\content\tripleplay\vqana\ui\Wizard\VqAnalyzerActiveUnicastDevicesPage.cs</t>
  </si>
  <si>
    <t>D:\dev\integration\content\tripleplay\vqana\ui\Wizard\VqAnaTestConfigPage.cs</t>
  </si>
  <si>
    <t>D:\dev\integration\content\traffictests\benchmarking\ui\Control\Panel\Params\Rfc2544\Rfc2544BBFramesParamsPanel.cs</t>
  </si>
  <si>
    <t>D:\dev\integration\framework\ui\CAB\Controls\StcPresentationGrid.cs</t>
  </si>
  <si>
    <t>D:\dev\integration\content\traffictests\benchmarking\ui\RfcTestEx\View\SelectPortView.Designer.cs</t>
  </si>
  <si>
    <t>D:\dev\integration\content\traffictests\benchmarking\ui\RfcTestEx\View\Rfc2889\Rfc2889ErroredFramesFilteringView.Designer.cs</t>
  </si>
  <si>
    <t>D:\dev\integration\content\traffictests\benchmarking\ui\RfcTestEx\Wizard\Rfc2544\Rfc2544SelectTestPage.Designer.cs</t>
  </si>
  <si>
    <t>D:\dev\integration\framework\ui\BLLInterface\ProxyObjects\EmulatedDeviceProxy.cs</t>
  </si>
  <si>
    <t>D:\dev\integration\framework\ui\CorePlugin\Views\ConfigPresentationTableView.cs</t>
  </si>
  <si>
    <t>D:\dev\integration\content\routing\rtgcore\ui\Commands\NewTpStaticBindCommand.cs</t>
  </si>
  <si>
    <t>D:\dev\integration\content\access\dot1x\ui\Wizard\Dot1xHostGenPanel.cs</t>
  </si>
  <si>
    <t>D:\dev\integration\content\routing\mplstpoam\ui\Control\MplsTpOamStartLmCommandControl.cs</t>
  </si>
  <si>
    <t>D:\dev\integration\content\routing\mplstpoam\ui\Control\MplsTpOamStartLckCommandControl.cs</t>
  </si>
  <si>
    <t>D:\dev\integration\content\routing\mplstpoam\ui\Control\MplsTpOamStartCcCommandControl.cs</t>
  </si>
  <si>
    <t>D:\dev\integration\content\routing\mplstpoam\ui\Control\MplsTpOamStartAisCommandControl.cs</t>
  </si>
  <si>
    <t>D:\dev\integration\content\traffictests\benchmarking\ui\Control\QOS\QOSListBuilder.Designer.cs</t>
  </si>
  <si>
    <t>D:\dev\integration\content\traffictests\benchmarking\ui\Control\Panel\Topo\PairPanelwMonitor.Designer.cs</t>
  </si>
  <si>
    <t>D:\dev\integration\content\access\dhcpv6\ui\Commands\Dhcpv6ServerSessionInfoCommand.cs</t>
  </si>
  <si>
    <t>D:\dev\integration\framework\ui\CorePlugin\Commands\HighResolutionSamplingStartCommand.cs</t>
  </si>
  <si>
    <t>D:\dev\integration\content\routing\eoam\ui\Views\EoamDetailedLmResultsForm.Designer.cs</t>
  </si>
  <si>
    <t>D:\dev\integration\content\routing\eoam\ui\Views\EoamDetailedLoopbackResultsForm.Designer.cs</t>
  </si>
  <si>
    <t>D:\dev\integration\content\routing\rtgconvergence\ui\Controls\RoutingConvergenceSetupCommandEditor.cs</t>
  </si>
  <si>
    <t>D:\dev\integration\content\routing\rtgwizard\ui\Wizard\ISISOptions.cs</t>
  </si>
  <si>
    <t>D:\dev\integration\content\traffic\l4l7\ui\View\ClientLoadProfileView.cs</t>
  </si>
  <si>
    <t>D:\dev\integration\content\traffic\l4l7\ui\View\ClientProfileView.cs</t>
  </si>
  <si>
    <t>D:\dev\integration\content\admin\admin\ui\L1Tool\L1ToolForm.cs</t>
  </si>
  <si>
    <t>D:\dev\integration\framework\ui\CorePlugin\Controls\WhereControl.cs</t>
  </si>
  <si>
    <t>D:\dev\integration\content\traffictests\benchmarking\ui\State\WizState.cs</t>
  </si>
  <si>
    <t>D:\dev\integration\content\learning\arp\ui\Commands\PingOnRoutersCommand.cs</t>
  </si>
  <si>
    <t>D:\dev\integration\content\learning\arp\ui\Commands\PingOnStreamsCommand.cs</t>
  </si>
  <si>
    <t>D:\dev\integration\content\learning\arp\ui\Commands\StartARPNDOnAllHostsCommand.cs</t>
  </si>
  <si>
    <t>D:\dev\integration\content\learning\arp\ui\Commands\StartARPNDOnAllStreamsCommand.cs</t>
  </si>
  <si>
    <t>D:\dev\integration\content\learning\arp\ui\Commands\StartARPNDOnAllRoutersCommand.cs</t>
  </si>
  <si>
    <t>D:\dev\integration\content\learning\arp\ui\Commands\StartArpNdOnAllDevicesCommand.cs</t>
  </si>
  <si>
    <t>D:\dev\integration\framework\ui\BLLInterface\ProxyObjects\CSTestSessionProxy.cs</t>
  </si>
  <si>
    <t>D:\dev\integration\content\datacenter\datacenter\ui\TrillInteractiveWorkItemExtension.cs</t>
  </si>
  <si>
    <t>D:\dev\integration\content\access\dhcpv4\ui\Wizard\Dhcpv4HostGenWizard.cs</t>
  </si>
  <si>
    <t>D:\dev\integration\content\access\dhcpv4\ui\Wizard\Dhcpv4RelayAgentHostGenWizard.cs</t>
  </si>
  <si>
    <t>D:\dev\integration\content\access\dhcpv6\ui\Wizard\Dhcpv6HostGenWizard.cs</t>
  </si>
  <si>
    <t>D:\dev\integration\content\access\dhcpv6\ui\Wizard\Dhcpv6RelayAgentHostGenWizard.cs</t>
  </si>
  <si>
    <t>D:\dev\integration\framework\ui\CorePlugin\Editors\EditTagsForm.designer.cs</t>
  </si>
  <si>
    <t>D:\dev\integration\framework\ui\CorePlugin\Editors\TagEditorControl.designer.cs</t>
  </si>
  <si>
    <t>D:\dev\integration\framework\ui\CorePlugin\Forms\AddChassisForm.Designer.cs</t>
  </si>
  <si>
    <t>D:\dev\integration\framework\ui\CorePlugin\Forms\ChooseLinkTypeForm.Designer.cs</t>
  </si>
  <si>
    <t>D:\dev\integration\content\routing\isis\ui\ProxyObjects\IsisLspNeighborConfigProxy.cs</t>
  </si>
  <si>
    <t>D:\dev\integration\content\routing\rsvp\ui\ProxyObjects\RsvpIngressS2lSubLspParamsProxy.cs</t>
  </si>
  <si>
    <t>D:\dev\integration\content\routing\rsvp\ui\ProxyObjects\RsvpEgressTunnelParamsProxy.cs</t>
  </si>
  <si>
    <t>D:\dev\integration\content\routing\rsvp\ui\ProxyObjects\RsvpEgressS2lSubLspParamsProxy.cs</t>
  </si>
  <si>
    <t>D:\dev\integration\framework\ui\CorePlugin\Wizards\CreateNewViewWizard\SelectKindPage.cs</t>
  </si>
  <si>
    <t>D:\dev\integration\content\access\dhcpv4\ui\Controls\Dhcpv4SessionInfoCommandEditor.cs</t>
  </si>
  <si>
    <t>D:\dev\integration\content\access\dhcpv6\ui\Controls\Dhcpv6ServerSessionInfoCommandEditor.cs</t>
  </si>
  <si>
    <t>D:\dev\integration\content\access\dhcpv6\ui\Controls\Dhcpv6SessionInfoCommandEditor.cs</t>
  </si>
  <si>
    <t>D:\dev\integration\content\traffic\l4l7\tools\ui\DpgProtocolDesigner\Data\FlowData.cs</t>
  </si>
  <si>
    <t>D:\dev\integration\content\access\accesstest\ui\Wizard\AccessBgpVpls\AccessBgpVplsTrafficParamsPage.cs</t>
  </si>
  <si>
    <t>D:\dev\integration\content\access\accesstest\ui\Wizard\AccessLdpVpls\AccessLdpVplsTrafficParamsPage.cs</t>
  </si>
  <si>
    <t>D:\dev\integration\framework\ui\PDUEditor\UserControls\FrameEditorCtrl.Helper.cs</t>
  </si>
  <si>
    <t>D:\dev\integration\content\routing\eoam\ui\Views\EoamMpChildrenForm.cs</t>
  </si>
  <si>
    <t>D:\dev\integration\content\traffic\l2l3\ui\Control\PageStreamGeneral.cs</t>
  </si>
  <si>
    <t>D:\dev\integration\framework\ui\CorePlugin\Commands\ResultsChangeUnitsViewCommand.cs</t>
  </si>
  <si>
    <t>D:\dev\integration\framework\ui\CorePlugin\Commands\NewDeviceExCommand.cs</t>
  </si>
  <si>
    <t>D:\dev\integration\framework\ui\BLLInterface\SmartList\SmartList.cs</t>
  </si>
  <si>
    <t>D:\dev\integration\content\storage\csmp\ui\Controls\CsmpTlvControl.cs</t>
  </si>
  <si>
    <t>D:\dev\integration\content\storage\csmp\ui\ProxyObjects\CsmpAgentProtocolConfigProxy.cs</t>
  </si>
  <si>
    <t>D:\dev\integration\content\access\accesstest\ui\AccessTestInteractiveWorkItemExtension.cs</t>
  </si>
  <si>
    <t>D:\dev\integration\framework\ui\Utils\MessageForm.cs</t>
  </si>
  <si>
    <t>D:\dev\integration\framework\ui\CorePlugin\Views\WatchView\RowElement.cs</t>
  </si>
  <si>
    <t>D:\dev\integration\framework\ui\CorePlugin\Wizards\PortRelocationWizard\PortRelocationWizard.cs</t>
  </si>
  <si>
    <t>D:\dev\integration\content\traffictests\qosfwd\ui\Control\TrafficGroupClassMapControl.cs</t>
  </si>
  <si>
    <t>D:\dev\integration\content\access\dot1x\ui\Dot1xInteractiveWorkItemExtension.cs</t>
  </si>
  <si>
    <t>D:\dev\integration\framework\ui\CorePlugin\Forms\CoreIfModifierForm.Designer.cs</t>
  </si>
  <si>
    <t>D:\dev\integration\content\routing\rtgwizard\ui\Wizard\RSVP\MplsRsvpRightSidePage.cs</t>
  </si>
  <si>
    <t>D:\dev\integration\framework\ui\BLLInterface\ProxyObjects\AddResultQueryFromResultObjectCommandProxy.cs</t>
  </si>
  <si>
    <t>D:\dev\integration\content\traffictests\benchmarking\ui\RfcTestEx\Control\SelectPortsControl.Designer.cs</t>
  </si>
  <si>
    <t>D:\dev\integration\framework\ui\CorePlugin\Data\SeriesDataCollection.cs</t>
  </si>
  <si>
    <t>D:\dev\integration\content\routing\lisp\ui\ProxyObjects\LispIpv6SiteConfigProxy.cs</t>
  </si>
  <si>
    <t>D:\dev\integration\content\routing\lldp\ui\Controls\LldpTlvControl.cs</t>
  </si>
  <si>
    <t>D:\dev\integration\content\access\dhcpv4\ui\View\SessionInfoForm.Designer.cs</t>
  </si>
  <si>
    <t>D:\dev\integration\content\access\dhcpv6\ui\View\ServerSessionInfoForm.Designer.cs</t>
  </si>
  <si>
    <t>D:\dev\integration\content\routing\linkoam\ui\Views\LinkOamRouterConfigForm.cs</t>
  </si>
  <si>
    <t>D:\dev\integration\content\mcast\igmpmld\ui\Controls\IgmpMldJoinGroupsCommandEditor.cs</t>
  </si>
  <si>
    <t>D:\dev\integration\content\access\saa\ui\Controls\SaaStopCommandEditor.cs</t>
  </si>
  <si>
    <t>D:\dev\integration\content\access\saa\ui\Controls\SaaStartCommandEditor.cs</t>
  </si>
  <si>
    <t>D:\dev\integration\content\routing\eoam\ui\Controls\EoamStartLinkTraceEditorControl.cs</t>
  </si>
  <si>
    <t>D:\dev\integration\content\traffic\l4l7\ui\Wizards\ApplicationLayerXmppvJOptionsPage.cs</t>
  </si>
  <si>
    <t>D:\dev\integration\framework\ui\CAB\Controls\StcPropertyValueCell.cs</t>
  </si>
  <si>
    <t>D:\dev\integration\content\traffictests\custom\ui\Control\Page\TestParameters.cs</t>
  </si>
  <si>
    <t>D:\dev\integration\content\traffic\l2l3\ui\View\PortConfigViewSonetAlarms.cs</t>
  </si>
  <si>
    <t>D:\dev\integration\content\traffictests\benchmarking\ui\Wizard\Rfc3918\View\Rfc3918TestOptionAdvancedForm.cs</t>
  </si>
  <si>
    <t>D:\dev\integration\content\traffictests\benchmarking\ui\Wizard\Rfc3918\View\Rfc3918MixedClassThroughputForm.cs</t>
  </si>
  <si>
    <t>D:\dev\integration\framework\ui\CorePlugin\Wizards\DeviceGenWizard\DeviceGenConfigDevicePage.cs</t>
  </si>
  <si>
    <t>D:\dev\integration\content\datacenter\datacenter\ui\OtvInteractiveWorkItemExtension.cs</t>
  </si>
  <si>
    <t>D:\dev\integration\framework\ui\Application\StcDashboard\DashboardTrayIcon.cs</t>
  </si>
  <si>
    <t>D:\dev\integration\content\device\configurator\ui\Controls\DutTreeView.cs</t>
  </si>
  <si>
    <t>D:\dev\integration\framework\ui\CorePlugin\Commands\DuplicateProxyCommand.cs</t>
  </si>
  <si>
    <t>D:\dev\integration\framework\ui\CorePlugin\Wizards\CopyAttributesWizard\CopyAttributesProgressPage.cs</t>
  </si>
  <si>
    <t>D:\dev\integration\content\traffic\l2l3\ui\TrafficFileConverter.cs</t>
  </si>
  <si>
    <t>D:\dev\integration\framework\ui\PDUEditor\PDUData\PDU.cs</t>
  </si>
  <si>
    <t>D:\dev\integration\content\traffic\l4l7\ui\Forms\XmppvJ\CapabilityAddFilesPanel.cs</t>
  </si>
  <si>
    <t>D:\dev\integration\content\routing\rsvp\ui\Forms\FastRerouteEditorForm.Designer.cs</t>
  </si>
  <si>
    <t>D:\dev\integration\content\traffic\l2l3\ui\View\PortConfigViewFcAdvanced.cs</t>
  </si>
  <si>
    <t>D:\dev\integration\content\traffic\l2l3\ui\View\AnaCustomFiltersSettingView.cs</t>
  </si>
  <si>
    <t>D:\dev\integration\content\routing\rtgcore\ui\Controls\ProtocolChildRouteCategoryCommandEditor.Designer.cs</t>
  </si>
  <si>
    <t>D:\dev\integration\content\routing\rtgcore\ui\Controls\ProtocolGrandchildRouteCategoryCommandEditor.Designer.cs</t>
  </si>
  <si>
    <t>D:\dev\integration\framework\ui\BLLInterface\ProxyObjects\PortProxy.cs</t>
  </si>
  <si>
    <t>D:\dev\integration\framework\ui\BLLInterface\ProxyObjects\PhysicalTestModuleProxy.cs</t>
  </si>
  <si>
    <t>D:\dev\integration\content\routing\rtgcore\ui\Forms\MplsBindingsForm.cs</t>
  </si>
  <si>
    <t>D:\dev\integration\content\routing\lisp\ui\Form\LispCacheForm.cs</t>
  </si>
  <si>
    <t>D:\dev\integration\content\tripleplay\iptv\ui\ProxyObjects\IptvStbBlockConfigProxy.cs</t>
  </si>
  <si>
    <t>D:\dev\integration\framework\ui\CorePlugin\Sequencer\Controls\CommandEditors\ExternalProcessCommandEditor.cs</t>
  </si>
  <si>
    <t>D:\dev\integration\content\traffic\l4l7\ui\View\XmppvJ\XmppvJClientProfileView.cs</t>
  </si>
  <si>
    <t>D:\dev\integration\framework\ui\PDUEditor\PDUDef\PDULibrary.cs</t>
  </si>
  <si>
    <t>D:\dev\integration\framework\ui\CorePlugin\Commands\ShowCopyAttributtesWizardCommand.cs</t>
  </si>
  <si>
    <t>D:\dev\integration\content\traffictests\benchmarking\ui\Data\Table\MatrixController.cs</t>
  </si>
  <si>
    <t>D:\dev\integration\content\traffictests\benchmarking\ui\Control\Panel\Params\Rfc2544\Rfc2544LatencyParamsPanel.Designer.cs</t>
  </si>
  <si>
    <t>D:\dev\integration\content\traffictests\benchmarking\ui\Control\Panel\Params\Rfc2889\Rfc2889ErroredFramesFilteringPanel.Designer.cs</t>
  </si>
  <si>
    <t>D:\dev\integration\content\traffic\l4l7\ui\Wizards\ApplicationLayerVideoOptionsPage.Designer.cs</t>
  </si>
  <si>
    <t>D:\dev\integration\content\traffic\l4l7\ui\Wizards\ApplicationLayerDpgOptionsPage.Designer.cs</t>
  </si>
  <si>
    <t>D:\dev\integration\content\traffictests\benchmarking\ui\Control\Panel\Params\FrameSizePanel.Designer.cs</t>
  </si>
  <si>
    <t>D:\dev\integration\content\traffictests\benchmarking\ui\Control\Panel\Profiles\Rfc2544\Rfc2544ProfilesPanel.Designer.cs</t>
  </si>
  <si>
    <t>D:\dev\integration\content\access\dhcpv6\ui\View\SessionInfoForm.Designer.cs</t>
  </si>
  <si>
    <t>D:\dev\integration\framework\ui\CorePlugin\Wizards\CreateNewViewWizard\FromPage.designer.cs</t>
  </si>
  <si>
    <t>D:\dev\integration\framework\ui\CorePlugin\Wizards\CreateNewViewWizard\DynamicResultSourcePage.designer.cs</t>
  </si>
  <si>
    <t>D:\dev\integration\framework\ui\CorePlugin\Wizards\CreateLinksWizard\CreateLinksPage.Designer.cs</t>
  </si>
  <si>
    <t>D:\dev\integration\framework\ui\CorePlugin\Wizards\CopyAttributesWizard\CopyAttributesSummaryPage.Designer.cs</t>
  </si>
  <si>
    <t>D:\dev\integration\framework\ui\CorePlugin\Wizards\CreateNewViewWizard\QueryLimitPage.Designer.cs</t>
  </si>
  <si>
    <t>D:\dev\integration\framework\ui\CorePlugin\Wizards\CreateNewViewWizard\IntroPage.Designer.cs</t>
  </si>
  <si>
    <t>D:\dev\integration\content\routing\rtgcore\ui\Commands\EditIndirectlyConnected.cs</t>
  </si>
  <si>
    <t>D:\dev\integration\content\routing\rsvp\ui\Commands\EditEroRroCommand.cs</t>
  </si>
  <si>
    <t>D:\dev\integration\framework\ui\CorePlugin\Views\LandingPage\ReservePortsBase.Designer.cs</t>
  </si>
  <si>
    <t>D:\dev\integration\content\storage\csmp\ui\Command\EditAgentProfileCommand.cs</t>
  </si>
  <si>
    <t>D:\dev\integration\framework\ui\CorePlugin\Views\PortSelectorPanel.Designer.cs</t>
  </si>
  <si>
    <t>D:\dev\integration\content\routing\mplstpoam\ui\Control\MplsTpOamStartCommandControl.cs</t>
  </si>
  <si>
    <t>D:\dev\integration\content\routing\lspping\ui\ProxyObjects\Ipv4EchoRequestConfigProxy.cs</t>
  </si>
  <si>
    <t>D:\dev\integration\framework\ui\CorePlugin\Controls\ResultsReporterOptions.cs</t>
  </si>
  <si>
    <t>D:\dev\integration\content\routing\mplstpoam\ui\Control\MplsTpOamStartSourceTargetCommandControl.cs</t>
  </si>
  <si>
    <t>D:\dev\integration\content\routing\mplstpoam\ui\Control\MplsTpOamStopCommandControl.cs</t>
  </si>
  <si>
    <t>D:\dev\integration\content\routing\eoam\ui\Controls\EoamStopCcGroupEditorControl.cs</t>
  </si>
  <si>
    <t>D:\dev\integration\content\routing\eoam\ui\Controls\EoamChangeRxEnableCommandControl.cs</t>
  </si>
  <si>
    <t>D:\dev\integration\content\routing\eoam\ui\Controls\EoamStopCommandEditorControl.cs</t>
  </si>
  <si>
    <t>D:\dev\integration\content\routing\rtgwizard\ui\Wizard\Mcast\McastDownstreamPortParamsPage.cs</t>
  </si>
  <si>
    <t>D:\dev\integration\framework\ui\CorePlugin\Views\ResultOrganizer\OrganizeViewsControl.cs</t>
  </si>
  <si>
    <t>D:\dev\integration\content\access\dhcpv4\ui\Commands\Dhcpv4StartServerCommand.cs</t>
  </si>
  <si>
    <t>D:\dev\integration\content\access\dhcpv4\ui\Commands\Dhcpv4ShowSessionInfoCommand.cs</t>
  </si>
  <si>
    <t>D:\dev\integration\content\traffic\l2l3\ui\View\TrafficOptionsConfigView.cs</t>
  </si>
  <si>
    <t>D:\dev\integration\content\routing\twamp\ui\Commands\StartTwampHostsCommand.cs</t>
  </si>
  <si>
    <t>D:\dev\integration\content\routing\twamp\ui\Commands\StartTwampProtocolCommand.cs</t>
  </si>
  <si>
    <t>D:\dev\integration\content\routing\twamp\ui\Commands\StopTwampProtocolCommand.cs</t>
  </si>
  <si>
    <t>D:\dev\integration\content\routing\stp\ui\Form\PortsForm.cs</t>
  </si>
  <si>
    <t>D:\dev\integration\content\routing\rtgwizard\ui\Wizard\LDP\LdpProviderPortsPage.cs</t>
  </si>
  <si>
    <t>D:\dev\integration\framework\ui\BLLInterface\DataModel\ProxyBindingQuery.cs</t>
  </si>
  <si>
    <t>D:\dev\integration\framework\ui\BLLInterface\ProxyObjects\DeviceGenVlanIfParamsProxy.cs</t>
  </si>
  <si>
    <t>D:\dev\integration\content\access\accesscore\ui\IntervalTree.cs</t>
  </si>
  <si>
    <t>D:\dev\integration\framework\ui\EOTResultViewPlugin\EotDbNode.cs</t>
  </si>
  <si>
    <t>D:\dev\integration\content\routing\eoam\ui\Commands\EditMegCommand.cs</t>
  </si>
  <si>
    <t>D:\dev\integration\content\routing\eoam\ui\Commands\ActivateNodeCommand.cs</t>
  </si>
  <si>
    <t>D:\dev\integration\framework\ui\BLLInterface\ProxyObjects\DeviceGenAal5IfParamsProxy.cs</t>
  </si>
  <si>
    <t>D:\dev\integration\framework\ui\CorePlugin\Views\EquipmentView\PortSetsToolStripComboBox.cs</t>
  </si>
  <si>
    <t>D:\dev\integration\content\routing\eoam\ui\Wizard\EoamScaleModePage.cs</t>
  </si>
  <si>
    <t>D:\dev\integration\content\traffictests\benchmarking\ui\Data\ProxyAttrBinder.cs</t>
  </si>
  <si>
    <t>D:\dev\integration\content\routing\eoam\ui\Controls\EoamStartSlmControl.cs</t>
  </si>
  <si>
    <t>D:\dev\integration\framework\ui\DebugPlugin\XMLReporters\FrameXMLReporter.cs</t>
  </si>
  <si>
    <t>D:\dev\integration\content\traffictests\benchmarking\ui\BenchmarkingWorkItemExtenstion.cs</t>
  </si>
  <si>
    <t>D:\dev\integration\content\traffictests\benchmarking\ui\Data\Topo\NodeFactory.cs</t>
  </si>
  <si>
    <t>D:\dev\integration\content\traffictests\benchmarking\ui\State\StateFactory.cs</t>
  </si>
  <si>
    <t>D:\dev\integration\content\routing\stp\ui\StpInteractiveWorkItemExtension.cs</t>
  </si>
  <si>
    <t>D:\dev\integration\content\routing\isis\ui\ProxyObjects\IsisLspPlsbInstanceConfigProxy.cs</t>
  </si>
  <si>
    <t>D:\dev\integration\content\traffic\l2l3\ui\View\AnaCustomFiltersSettingView.Designer.cs</t>
  </si>
  <si>
    <t>D:\dev\integration\framework\ui\PDUEditor\Modifiers\PduIfModifierForm.cs</t>
  </si>
  <si>
    <t>D:\dev\integration\framework\ui\PDUEditor\PDUData\FieldData.cs</t>
  </si>
  <si>
    <t>D:\dev\integration\content\traffic\l2l3\ui\Editors\HighResolutionStreamBlockEditor.Designer.cs</t>
  </si>
  <si>
    <t>D:\dev\integration\content\traffictests\dcb\ui\Common\Control\DcbTreeView.cs</t>
  </si>
  <si>
    <t>D:\dev\integration\content\traffic\l2l3\ui\Control\pageLoadList.Designer.cs</t>
  </si>
  <si>
    <t>D:\dev\integration\content\traffictests\benchmarking\ui\Control\Custom\RfcTreeView.cs</t>
  </si>
  <si>
    <t>D:\dev\integration\content\traffic\l2l3\ui\Control\PreviewControl.Designer.cs</t>
  </si>
  <si>
    <t>D:\dev\integration\content\traffic\l2l3\ui\Control\PageWizardTrafficSetup.Designer.cs</t>
  </si>
  <si>
    <t>D:\dev\integration\framework\ui\BLLInterface\ProxyObjects\Ipv6IfProxy.cs</t>
  </si>
  <si>
    <t>D:\dev\integration\framework\ui\BLLInterface\ProxyObjects\Ipv4IfProxy.cs</t>
  </si>
  <si>
    <t>D:\dev\integration\framework\ui\BLLInterface\ProxyObjects\PhysicalPortProxy.cs</t>
  </si>
  <si>
    <t>D:\dev\integration\framework\ui\CorePlugin\Forms\PriorityReceiveEnableForm.cs</t>
  </si>
  <si>
    <t>D:\dev\integration\framework\ui\CorePlugin\Forms\PortSetEditorForm.cs</t>
  </si>
  <si>
    <t>D:\dev\integration\content\routing\rtgwizard\ui\Wizard\LDP\LdpCustomerPortsPage.cs</t>
  </si>
  <si>
    <t>D:\dev\integration\content\sample\cars\ui\Controls\TirePressureControl.cs</t>
  </si>
  <si>
    <t>D:\dev\integration\framework\ui\CorePlugin\Wizards\CopyAttributesWizard\Attributes\CaptureAttributes.cs</t>
  </si>
  <si>
    <t>D:\dev\integration\framework\ui\CorePlugin\Wizards\CopyAttributesWizard\Attributes\GeneratorAttributes.cs</t>
  </si>
  <si>
    <t>D:\dev\integration\content\traffictests\custom\ui\Control\SequencerPreview.cs</t>
  </si>
  <si>
    <t>D:\dev\integration\content\routing\twamp\ui\Commands\NewTwampTestSessionCommand.cs</t>
  </si>
  <si>
    <t>D:\dev\integration\content\tripleplay\vqana\ui\Wizard\VqAnaActiveMembershipConfigPage.cs</t>
  </si>
  <si>
    <t>D:\dev\integration\framework\ui\UICore\Controls\Grid\ViewServices\ViewCommandHandler.cs</t>
  </si>
  <si>
    <t>D:\dev\integration\content\routing\rtgcore\ui\Controls\MplsBindingFiltersEditor.cs</t>
  </si>
  <si>
    <t>D:\dev\integration\framework\ui\Utils\P4Shell.cs</t>
  </si>
  <si>
    <t>D:\dev\integration\framework\ui\CAB\Commands\FileExitCommand.cs</t>
  </si>
  <si>
    <t>D:\dev\integration\framework\ui\CorePlugin\Views\BrowserView\BrowserView.cs</t>
  </si>
  <si>
    <t>D:\dev\integration\content\routing\eoam\ui\Commands\PreviewTopologyCommand.cs</t>
  </si>
  <si>
    <t>D:\dev\integration\content\traffic\l2l3\ui\View\ResultOptionsConfigView.Designer.cs</t>
  </si>
  <si>
    <t>D:\dev\integration\content\traffic\l2l3\ui\View\PortConfigViewSonetConfig.Designer.cs</t>
  </si>
  <si>
    <t>D:\dev\integration\content\traffic\l2l3\ui\View\PortConfigViewFcGeneral.designer.cs</t>
  </si>
  <si>
    <t>D:\dev\integration\content\traffic\l2l3\ui\View\PortConfigView40100GigFiberGeneral.Designer.cs</t>
  </si>
  <si>
    <t>D:\dev\integration\content\traffic\l2l3\ui\Wizards\HighResolutionWizard\HighResolutionConfigPage.Designer.cs</t>
  </si>
  <si>
    <t>D:\dev\integration\content\traffic\l2l3\ui\View\TrafficOptionsConfigView.Designer.cs</t>
  </si>
  <si>
    <t>D:\dev\integration\content\traffic\l2l3\ui\View\StreamBlockEditor.Designer.cs</t>
  </si>
  <si>
    <t>D:\dev\integration\content\traffic\l4l7\ui\Controls\FilterGrid.Designer.cs</t>
  </si>
  <si>
    <t>D:\dev\integration\content\traffic\l4l7\ui\Controls\ActionSelectionEditor.Designer.cs</t>
  </si>
  <si>
    <t>D:\dev\integration\content\routing\rtgcore\ui\Forms\PrefixDistDialog.cs</t>
  </si>
  <si>
    <t>D:\dev\integration\content\routing\eoam\ui\Views\EoamTlvEditor.cs</t>
  </si>
  <si>
    <t>D:\dev\integration\framework\ui\CorePlugin\Forms\DeviceQoSEditorForm.cs</t>
  </si>
  <si>
    <t>D:\dev\integration\framework\ui\CorePlugin\Sequencer\Controls\CommandEditors\SetPropertyCommandEditor.cs</t>
  </si>
  <si>
    <t>D:\dev\integration\content\routing\rtgcore\ui\Forms\ExportFecBindingsCommandEditor.cs</t>
  </si>
  <si>
    <t>D:\dev\integration\content\storage\fc\ui\FcInteractiveWorkItemExtension.cs</t>
  </si>
  <si>
    <t>D:\dev\integration\content\routing\rtgcore\ui\Forms\FillIncrementIpString.Designer.cs</t>
  </si>
  <si>
    <t>D:\dev\integration\framework\ui\DebugPlugin\Views\ProxyBrowser\ProxyBrowser.cs</t>
  </si>
  <si>
    <t>D:\dev\integration\framework\ui\LoggingPlugin\FormPickEvents.cs</t>
  </si>
  <si>
    <t>D:\dev\integration\content\traffictests\benchmarking\ui\Control\Editors\Rfc2544\Rfc2544ThroughputCommandEditor.cs</t>
  </si>
  <si>
    <t>D:\dev\integration\content\tripleplay\iptv\ui\Controls\IptvStartTestCommandEditor.cs</t>
  </si>
  <si>
    <t>D:\dev\integration\framework\ui\CorePlugin\Sequencer\Controls\CommandEditors\NewVerifyResultsValueChainedConditionCommandEditor.cs</t>
  </si>
  <si>
    <t>D:\dev\integration\framework\ui\CorePlugin\Views\ResultPresentationFrame.cs</t>
  </si>
  <si>
    <t>D:\dev\integration\content\traffic\l4l7\ui\Forms\TTPClientForm.Designer.cs</t>
  </si>
  <si>
    <t>D:\dev\integration\content\traffic\l2l3\ui\View\AnaTemplateFilterSettingView.cs</t>
  </si>
  <si>
    <t>D:\dev\integration\content\access\pppox\ui\Commands\PppEditOptionsCommand.cs</t>
  </si>
  <si>
    <t>D:\dev\integration\framework\ui\PDUEditor\Modifiers\GtwyModifierForm.cs</t>
  </si>
  <si>
    <t>D:\dev\integration\content\access\dhcpv6\ui\Commands\EditDhcpv6CustomOptions.cs</t>
  </si>
  <si>
    <t>D:\dev\integration\content\traffic\l2l3\ui\View\PortConfigView40100GigFiberAdvanced.cs</t>
  </si>
  <si>
    <t>D:\dev\integration\content\routing\twamp\ui\TwampInteractiveWorkItemExtension.cs</t>
  </si>
  <si>
    <t>D:\dev\integration\framework\ui\CorePlugin\Views\PortLocationInstancePage.cs</t>
  </si>
  <si>
    <t>D:\dev\integration\content\routing\isis\ui\ProxyObjects\IsisLspPlsbIsidAddrConfigProxy.cs</t>
  </si>
  <si>
    <t>D:\dev\integration\framework\ui\CAB\PresentationModel\PerspectiveManager.cs</t>
  </si>
  <si>
    <t>D:\dev\integration\framework\ui\DebugPlugin\Options\DebugOptionsPage.Designer.cs</t>
  </si>
  <si>
    <t>D:\dev\integration\content\learning\arp\ui\Commands\StartL2RxLearningOnAllStreamBlocksCommand.cs</t>
  </si>
  <si>
    <t>D:\dev\integration\content\routing\rsvp\ui\Commands\OpenAddMulticastGroupMappingsCommand.cs</t>
  </si>
  <si>
    <t>D:\dev\integration\content\routing\rsvp\ui\Commands\NewEroRroCommand.cs</t>
  </si>
  <si>
    <t>D:\dev\integration\content\traffictests\dcb\ui\Common\Panel\Traffic\DcbCongestionTrafficPanel.cs</t>
  </si>
  <si>
    <t>D:\dev\integration\content\routing\linkoam\ui\Views\DataEditorForm.Designer.cs</t>
  </si>
  <si>
    <t>D:\dev\integration\content\routing\linkoam\ui\Controls\LinkOamCriticalEventsSelectionEditor.Designer.cs</t>
  </si>
  <si>
    <t>D:\dev\integration\content\traffic\l2l3\ui\Control\FilterControl.Designer.cs</t>
  </si>
  <si>
    <t>D:\dev\integration\content\routing\linkoam\ui\Controls\LinkOamStartLoopbackControl.Designer.cs</t>
  </si>
  <si>
    <t>D:\dev\integration\content\routing\linkoam\ui\Controls\LinkOamStartOrgSpecPduControl.Designer.cs</t>
  </si>
  <si>
    <t>D:\dev\integration\content\routing\linkoam\ui\Views\LinkOamEventNotificationResultsForm.Designer.cs</t>
  </si>
  <si>
    <t>D:\dev\integration\content\traffic\l2l3\ui\Control\Generator\GroupGeneralSetting.Designer.cs</t>
  </si>
  <si>
    <t>D:\dev\integration\content\traffic\l4l7\ui\Commands\Dpg\LaunchDpgProtocolDesignerCommand.cs</t>
  </si>
  <si>
    <t>D:\dev\integration\content\traffic\l4l7\ui\Commands\Dpg\LoadDpgPlaylistCommand.cs</t>
  </si>
  <si>
    <t>D:\dev\integration\content\traffic\l4l7\ui\Commands\Dpg\EditDpgClientProfileCommand.cs</t>
  </si>
  <si>
    <t>D:\dev\integration\content\traffic\l4l7\ui\Commands\Dpg\EditDpgServerProfileCommand.cs</t>
  </si>
  <si>
    <t>D:\dev\integration\framework\ui\PDUEditor\InterfaceTemplateManager.cs</t>
  </si>
  <si>
    <t>D:\dev\integration\content\traffic\l2l3\ui\Control\LoadListControl.Designer.cs</t>
  </si>
  <si>
    <t>D:\dev\integration\content\routing\synce\ui\Views\SyncEthPortOptions.cs</t>
  </si>
  <si>
    <t>D:\dev\integration\framework\ui\CorePlugin\Wizards\CreateNewViewWizard\DefineChartSeriesPage.cs</t>
  </si>
  <si>
    <t>D:\dev\integration\content\routing\synce\ui\Controls\SyncEthOptionsPage.cs</t>
  </si>
  <si>
    <t>D:\dev\integration\content\traffictests\benchmarking\ui\Control\Editors\Rfc2544\Rfc2544LatencyCommandEditor.cs</t>
  </si>
  <si>
    <t>D:\dev\integration\content\traffic\l2l3\ui\View\PortConfigInteractivePageBase.cs</t>
  </si>
  <si>
    <t>D:\dev\integration\framework\ui\PDUEditor\UserControls\FrameEditorCore.cs</t>
  </si>
  <si>
    <t>D:\dev\integration\framework\ui\CAB\Workspaces\DockWorkspace.cs</t>
  </si>
  <si>
    <t>D:\dev\integration\framework\ui\CAB\StcShellApplication.cs</t>
  </si>
  <si>
    <t>D:\dev\integration\framework\ui\CorePlugin\Forms\GtwyModifierForm.cs</t>
  </si>
  <si>
    <t>D:\dev\integration\framework\ui\CorePlugin\Forms\DuplicatePortSetForm.cs</t>
  </si>
  <si>
    <t>D:\dev\integration\content\traffictests\benchmarking\ui\Control\Page\TrafficDescriptorPage.cs</t>
  </si>
  <si>
    <t>D:\dev\integration\content\traffic\l2l3\ui\Control\PageWizardOption.Designer.cs</t>
  </si>
  <si>
    <t>D:\dev\integration\content\traffic\l2l3\ui\Control\PageWizardOverview.Designer.cs</t>
  </si>
  <si>
    <t>D:\dev\integration\content\traffic\l2l3\ui\View\PfcMeasurementConfigView.Designer.cs</t>
  </si>
  <si>
    <t>D:\dev\integration\content\traffic\l2l3\ui\View\HighResolutionPortConfigView.Designer.cs</t>
  </si>
  <si>
    <t>D:\dev\integration\content\traffic\l2l3\ui\View\FormTrafficBuilder.Designer.cs</t>
  </si>
  <si>
    <t>D:\dev\integration\content\traffic\l2l3\ui\View\FormTrafficGroupCopyDown.Designer.cs</t>
  </si>
  <si>
    <t>D:\dev\integration\content\traffic\l2l3\ui\View\FormTrafficGroup.Designer.cs</t>
  </si>
  <si>
    <t>D:\dev\integration\content\traffic\l2l3\ui\View\FormTrafficProfileSelection.Designer.cs</t>
  </si>
  <si>
    <t>D:\dev\integration\content\traffic\l2l3\ui\View\FormTrafficGroupEdit.Designer.cs</t>
  </si>
  <si>
    <t>D:\dev\integration\framework\ui\BLLInterface\ProxyObjects\DeviceGenIpv4IfParamsProxy.cs</t>
  </si>
  <si>
    <t>D:\dev\integration\content\routing\stp\ui\Form\PortsForm.designer.cs</t>
  </si>
  <si>
    <t>D:\dev\integration\content\routing\stp\ui\Form\MstiVlanForm.designer.cs</t>
  </si>
  <si>
    <t>D:\dev\integration\content\routing\rtgwizard\ui\Wizard\RtgTestWizard.cs</t>
  </si>
  <si>
    <t>D:\dev\integration\content\routing\stp\ui\Form\STPTypeForm.designer.cs</t>
  </si>
  <si>
    <t>D:\dev\integration\framework\ui\CorePlugin\Controls\EnterViewNameControl.cs</t>
  </si>
  <si>
    <t>D:\dev\integration\content\routing\ospfv2\ui\Wizard\RouteTopology\Ospfv2LsaGenProtocolParamsPage.cs</t>
  </si>
  <si>
    <t>D:\dev\integration\content\routing\linkoam\ui\Commands\ViewEventNotificationResultsCommand.cs</t>
  </si>
  <si>
    <t>D:\dev\integration\content\routing\lisp\ui\Command\NewLispSiteCommand.cs</t>
  </si>
  <si>
    <t>D:\dev\integration\framework\ui\CorePlugin\Controls\DynamicPropertyPicker.cs</t>
  </si>
  <si>
    <t>D:\dev\integration\content\routing\ldp\ui\Commands\NewPwSwitchingPointTlvCommand.cs</t>
  </si>
  <si>
    <t>D:\dev\integration\content\routing\linkoam\ui\Commands\EditLinkOamRouterCommand.cs</t>
  </si>
  <si>
    <t>D:\dev\integration\content\routing\linkoam\ui\Commands\ResumeLinkOamCommand.cs</t>
  </si>
  <si>
    <t>D:\dev\integration\content\routing\linkoam\ui\Commands\StartEventNotificationCommand.cs</t>
  </si>
  <si>
    <t>D:\dev\integration\content\routing\linkoam\ui\Commands\StartLinkOamCommand.cs</t>
  </si>
  <si>
    <t>D:\dev\integration\content\routing\linkoam\ui\Commands\StartOrgSpecPduCommand.cs</t>
  </si>
  <si>
    <t>D:\dev\integration\framework\ui\CorePlugin\Wizards\HostGenWizard\HostGenWizard.cs</t>
  </si>
  <si>
    <t>D:\dev\integration\framework\ui\CorePlugin\Wizards\RouterGenWizard\RouterGenWizard.cs</t>
  </si>
  <si>
    <t>D:\dev\integration\framework\ui\CorePlugin\Wizards\DeviceGenWizard\EmulatedDeviceGenWizard.cs</t>
  </si>
  <si>
    <t>D:\dev\integration\content\device\configurator\ui\DutInteractiveWorkItemExtension.cs</t>
  </si>
  <si>
    <t>D:\dev\integration\content\traffictests\benchmarking\ui\Control\Panel\Traffic\Rfc2889TrafficPanel.cs</t>
  </si>
  <si>
    <t>D:\dev\integration\content\traffictests\benchmarking\ui\Control\Panel\Traffic\Rfc2544TrafficPanel.cs</t>
  </si>
  <si>
    <t>D:\dev\integration\content\routing\mplstpoam\ui\Control\MplsTpOamStartLbDiscoveryCommandControl.cs</t>
  </si>
  <si>
    <t>D:\dev\integration\content\routing\mplstpoam\ui\Control\MplsTpOamStartCsfCommandControl.cs</t>
  </si>
  <si>
    <t>D:\dev\integration\framework\ui\CorePlugin\Controls\ChartCustomizer.cs</t>
  </si>
  <si>
    <t>D:\dev\integration\framework\ui\CorePlugin\Sequencer\Controls\CommandEditors\VerifyResultsObjectPicker.cs</t>
  </si>
  <si>
    <t>D:\dev\integration\framework\ui\CorePlugin\Views\ResultChartView.cs</t>
  </si>
  <si>
    <t>D:\dev\integration\content\traffictests\custom\ui\Forms\HandleListSelectorForm.cs</t>
  </si>
  <si>
    <t>D:\dev\integration\framework\ui\BLLInterface\ProxyObjects\ProjectProxy.cs</t>
  </si>
  <si>
    <t>D:\dev\integration\framework\ui\CorePlugin\ResultsReporterIntegration.cs</t>
  </si>
  <si>
    <t>D:\dev\integration\content\routing\linkoam\ui\Views\LinkOamStartVariableRequestForm.Designer.cs</t>
  </si>
  <si>
    <t>D:\dev\integration\content\routing\linkoam\ui\Views\LinkOamGenerateVariablesForm.Designer.cs</t>
  </si>
  <si>
    <t>D:\dev\integration\content\routing\linkoam\ui\Views\LinkOamStartEventNotificationForm.Designer.cs</t>
  </si>
  <si>
    <t>D:\dev\integration\content\routing\linkoam\ui\Views\LinkOamStartForm.Designer.cs</t>
  </si>
  <si>
    <t>D:\dev\integration\content\routing\linkoam\ui\Views\LinkOamStartOrgSpecPduForm.Designer.cs</t>
  </si>
  <si>
    <t>D:\dev\integration\framework\ui\CorePlugin\InteractiveWorkItem.cs</t>
  </si>
  <si>
    <t>D:\dev\integration\content\traffic\l4l7\ui\Forms\VideoServerAddClipsPanel.cs</t>
  </si>
  <si>
    <t>D:\dev\integration\content\traffic\l4l7\ui\FlowDefinitions.cs</t>
  </si>
  <si>
    <t>D:\dev\integration\content\routing\eoam\ui\Controls\EoamStartDelayMeasurementControl.cs</t>
  </si>
  <si>
    <t>D:\dev\integration\content\routing\eoam\ui\Controls\EoamStartCcGroupEditorControl.cs</t>
  </si>
  <si>
    <t>D:\dev\integration\content\routing\rtgcore\ui\Commands\NewMplsLookUpEntryCommand.cs</t>
  </si>
  <si>
    <t>D:\dev\integration\content\routing\rtgcore\ui\Commands\NewMplsBindCommand.cs</t>
  </si>
  <si>
    <t>D:\dev\integration\content\routing\rtgcore\ui\Commands\NewGrandChildrenCommand.cs</t>
  </si>
  <si>
    <t>D:\dev\integration\framework\ui\CAB\Forms\AboutDialog.Designer.cs</t>
  </si>
  <si>
    <t>D:\dev\integration\framework\ui\CAB\Controls\StcFilteredTreeList.Designer.cs</t>
  </si>
  <si>
    <t>D:\dev\integration\framework\ui\CAB\Controls\StcPropertyGrid.Designer.cs</t>
  </si>
  <si>
    <t>D:\dev\integration\content\tripleplay\vqana\ui\Wizard\VqAnaActiveMembershipConfigPage.Designer.cs</t>
  </si>
  <si>
    <t>D:\dev\integration\content\tripleplay\vqana\ui\Wizard\VqAnaTestConfigPage.Designer.cs</t>
  </si>
  <si>
    <t>D:\dev\integration\content\tripleplay\vqana\ui\Wizard\VqAnalyzerActiveUnicastDevicesPage.Designer.cs</t>
  </si>
  <si>
    <t>D:\dev\integration\content\traffic\l4l7\ui\PlaylistDefinitions.cs</t>
  </si>
  <si>
    <t>D:\dev\integration\content\traffic\l4l7\ui\ProxyObjects\CifsClientProtocolConfigProxy.cs</t>
  </si>
  <si>
    <t>D:\dev\integration\content\routing\rtgcore\ui\Forms\MplsBindingsForm.Designer.cs</t>
  </si>
  <si>
    <t>D:\dev\integration\content\traffic\l4l7\ui\ProxyObjects\DpgClientProtocolConfigProxy.cs</t>
  </si>
  <si>
    <t>D:\dev\integration\framework\ui\CorePlugin\Commands\CustomizeResultViewCommand.cs</t>
  </si>
  <si>
    <t>D:\dev\integration\content\access\accesstest\ui\Wizard\AccessBgpVpls\AccessBgpVplsWizard.cs</t>
  </si>
  <si>
    <t>D:\dev\integration\content\access\accesstest\ui\Wizard\AccessLdpVpls\AccessLdpVplsWizard.cs</t>
  </si>
  <si>
    <t>D:\dev\integration\content\routing\isis\ui\Forms\PerPduAuthenticationParamsForm.cs</t>
  </si>
  <si>
    <t>D:\dev\integration\content\routing\isis\ui\Forms\PlsbIsidAddressIsid.cs</t>
  </si>
  <si>
    <t>D:\dev\integration\content\routing\isis\ui\Forms\PlsbLinkMetricForm.cs</t>
  </si>
  <si>
    <t>D:\dev\integration\content\routing\isis\ui\L2TeParams.cs</t>
  </si>
  <si>
    <t>D:\dev\integration\content\routing\isis\ui\L1TeParams.cs</t>
  </si>
  <si>
    <t>D:\dev\integration\framework\ui\CorePlugin\Forms\CoreIfModifierForm.cs</t>
  </si>
  <si>
    <t>D:\dev\integration\framework\ui\CorePlugin\Forms\AdvertisedSpeedsForm.cs</t>
  </si>
  <si>
    <t>D:\dev\integration\content\routing\rtgwizard\ui\Wizard\RSVP\MplsRsvpLeftSidePage.cs</t>
  </si>
  <si>
    <t>D:\dev\integration\content\routing\rtgwizard\ui\Wizard\Mcast\McastUpstreamPortParamsPage.cs</t>
  </si>
  <si>
    <t>D:\dev\integration\content\routing\ospfv3\ui\Wizard\RouteTopology\Ospfv3LsaGenProtocolParamsPage.cs</t>
  </si>
  <si>
    <t>D:\dev\integration\content\routing\ospfv3\ui\Wizard\RouteTopology\Ospfv3LsaGenWizard.cs</t>
  </si>
  <si>
    <t>D:\dev\integration\content\routing\ospfv2\ui\Wizard\RouteTopology\Ospfv2LsaGenWizard.cs</t>
  </si>
  <si>
    <t>D:\dev\integration\content\traffictests\benchmarking\ui\State\Rfc2544\Rfc2544StateCtx.cs</t>
  </si>
  <si>
    <t>D:\dev\integration\framework\ui\UICore\Controls\Grid\ViewServices\FormCustomizeFilter.cs</t>
  </si>
  <si>
    <t>D:\dev\integration\content\traffic\l2l3\ui\L2L3GeneratorWorkItemExtension.cs</t>
  </si>
  <si>
    <t>D:\dev\integration\framework\ui\LoggingPlugin\FormFilter.cs</t>
  </si>
  <si>
    <t>D:\dev\integration\framework\ui\CorePlugin\Sequencer\Controls\CommandEditors\IfCommandEditor.cs</t>
  </si>
  <si>
    <t>D:\dev\integration\content\access\dhcpv6\ui\Dhcpv6InteractiveWorkItemExtension.cs</t>
  </si>
  <si>
    <t>D:\dev\integration\framework\ui\CorePlugin\Views\ResultFrame.cs</t>
  </si>
  <si>
    <t>D:\dev\integration\framework\ui\PDUEditor\UserControls\TemplateSelectCtrl.Designer.cs</t>
  </si>
  <si>
    <t>D:\dev\integration\framework\ui\PDUEditor\UserControls\TemplateQuickSelectCtrl.Designer.cs</t>
  </si>
  <si>
    <t>D:\dev\integration\framework\ui\PDUEditor\UserControls\TemplateLibraryView.cs</t>
  </si>
  <si>
    <t>D:\dev\integration\content\traffic\l2l3\ui\Control\RegisterTrafficBuilder.cs</t>
  </si>
  <si>
    <t>D:\dev\integration\content\traffic\l2l3\ui\View\StreamBlockEditor.cs</t>
  </si>
  <si>
    <t>D:\dev\integration\content\traffictests\benchmarking\ui\Control\Editors\Rfc2544\Rfc2544StreamBlocksSelectionEditor.cs</t>
  </si>
  <si>
    <t>D:\dev\integration\content\traffictests\benchmarking\ui\RfcTestEx\Panel\AssignStreamblocksPanel.cs</t>
  </si>
  <si>
    <t>D:\dev\integration\content\routing\ospfv2\ui\Ospfv2InteractiveWorkItemExtension.cs</t>
  </si>
  <si>
    <t>D:\dev\integration\content\routing\ospfv3\ui\Ospfv3InteractiveWorkItemExtension.cs</t>
  </si>
  <si>
    <t>D:\dev\integration\content\traffic\l4l7\ui\L4L7DpgInteractiveWorkItemExtension.cs</t>
  </si>
  <si>
    <t>D:\dev\integration\content\routing\eoam\ui\Controls\EoamStartLossMeasurementControl.cs</t>
  </si>
  <si>
    <t>D:\dev\integration\content\routing\eoam\ui\Controls\EoamStartLckEditorControl.cs</t>
  </si>
  <si>
    <t>D:\dev\integration\content\routing\ldp\ui\Wizard\RouterGenWizard\LdpRouterGenWizard.cs</t>
  </si>
  <si>
    <t>D:\dev\integration\content\routing\ospfv2\ui\Wizard\RouterGenWizard\Ospfv2RouterGenWizard.cs</t>
  </si>
  <si>
    <t>D:\dev\integration\content\routing\rsvp\ui\Wizard\RouterGenWizard\RsvpRouterGenWizard.cs</t>
  </si>
  <si>
    <t>D:\dev\integration\content\routing\stp\ui\Wizard\RouterGenWizard\StpRouterGenWizard.cs</t>
  </si>
  <si>
    <t>D:\dev\integration\framework\ui\Utils\Validation\MacAddressValidatorAttribute.cs</t>
  </si>
  <si>
    <t>D:\dev\integration\framework\ui\Utils\Validation\WorldWideNameValidatorAttribute.cs</t>
  </si>
  <si>
    <t>D:\dev\integration\framework\ui\CAB\Forms\SplashForm.designer.cs</t>
  </si>
  <si>
    <t>D:\dev\integration\framework\ui\CAB\Forms\SaveAsScriptOptionsForm.Designer.cs</t>
  </si>
  <si>
    <t>D:\dev\integration\framework\ui\CAB\Forms\SaveAsTemplateOptionsForm.Designer.cs</t>
  </si>
  <si>
    <t>D:\dev\integration\framework\ui\CAB\Forms\RemoteExitingForm.Designer.cs</t>
  </si>
  <si>
    <t>D:\dev\integration\framework\ui\CAB\Forms\SetSelectAllForm.Designer.cs</t>
  </si>
  <si>
    <t>D:\dev\integration\content\traffic\l2l3\ui\Commands\NewStreamBlockCommand.cs</t>
  </si>
  <si>
    <t>D:\dev\integration\content\traffic\l2l3\ui\Commands\CommandHelper.cs</t>
  </si>
  <si>
    <t>D:\dev\integration\content\traffic\l2l3\ui\Commands\PauseInterestingResultCommand.cs</t>
  </si>
  <si>
    <t>D:\dev\integration\content\traffic\l2l3\ui\Commands\New16BitAnalyzerFilterCommand.cs</t>
  </si>
  <si>
    <t>D:\dev\integration\content\traffic\l2l3\ui\Commands\New32BitAnalyzerFilterCommand.cs</t>
  </si>
  <si>
    <t>D:\dev\integration\content\routing\rtgwizard\ui\Wizard\RtgTestSummaryPage.cs</t>
  </si>
  <si>
    <t>D:\dev\integration\framework\ui\EOTResultViewPlugin\DbGridView.cs</t>
  </si>
  <si>
    <t>D:\dev\integration\framework\ui\CorePlugin\Commands\ManageFiltersCommand.cs</t>
  </si>
  <si>
    <t>D:\dev\integration\content\tripleplay\iptv\ui\Wizard\IptvTestMulticastGroupsStepControl.Designer.cs</t>
  </si>
  <si>
    <t>D:\dev\integration\framework\ui\CorePlugin\Commands\FillCommand.cs</t>
  </si>
  <si>
    <t>D:\dev\integration\framework\ui\CorePlugin\Commands\LinkChooserCommand.cs</t>
  </si>
  <si>
    <t>D:\dev\integration\content\access\l2tp\ui\Controls\HiddenAvpsForm.cs</t>
  </si>
  <si>
    <t>D:\dev\integration\content\tripleplay\iptv\ui\Wizard\IptvTestSourceHostStepControl.Designer.cs</t>
  </si>
  <si>
    <t>D:\dev\integration\framework\ui\CorePlugin\Data\PortSet.cs</t>
  </si>
  <si>
    <t>D:\dev\integration\content\access\ancp\ui\Controls\AncpTlvControl.Designer.cs</t>
  </si>
  <si>
    <t>D:\dev\integration\content\access\dhcpv4\ui\View\ServerSessionInfoForm.Designer.cs</t>
  </si>
  <si>
    <t>D:\dev\integration\content\traffic\l2l3\ui\View\ColumnFilterSelector.cs</t>
  </si>
  <si>
    <t>D:\dev\integration\framework\ui\CorePlugin\Views\LegendListView.cs</t>
  </si>
  <si>
    <t>D:\dev\integration\framework\ui\DebugPlugin\Commands\ExportGUISurveyCommand.cs</t>
  </si>
  <si>
    <t>D:\dev\integration\framework\ui\DebugPlugin\Commands\ExportFrameSurveyCommand.cs</t>
  </si>
  <si>
    <t>D:\dev\integration\framework\ui\Utils\DevExpressTreeListUtils.cs</t>
  </si>
  <si>
    <t>D:\dev\integration\framework\ui\CorePlugin\Forms\ConfigInfoForm.cs</t>
  </si>
  <si>
    <t>D:\dev\integration\content\routing\rtgcore\ui\Forms\RdRtTypeFillForm.Designer.cs</t>
  </si>
  <si>
    <t>D:\dev\integration\content\routing\rtgcore\ui\ProxyObjects\MplsTpStaticTlvConfigProxy.cs</t>
  </si>
  <si>
    <t>D:\dev\integration\content\traffictests\benchmarking\ui\Control\Panel\Params\Ipv6ExtensionHeaderPanel.Designer.cs</t>
  </si>
  <si>
    <t>D:\dev\integration\content\traffictests\benchmarking\ui\Control\Panel\Params\BurstSizePanel.Designer.cs</t>
  </si>
  <si>
    <t>D:\dev\integration\content\access\dhcpv4\ui\Dhcpv4InteractiveWorkItemExtension.cs</t>
  </si>
  <si>
    <t>D:\dev\integration\framework\ui\UICore\Controls\Grid\ViewServices\FormFilterManager.cs</t>
  </si>
  <si>
    <t>D:\dev\integration\framework\ui\CorePlugin\CoreInteractiveWorkItemExtension.cs</t>
  </si>
  <si>
    <t>D:\dev\integration\framework\ui\PDUEditor\Modifiers\ConfigModifierForm.cs</t>
  </si>
  <si>
    <t>D:\dev\integration\framework\ui\PDUEditor\Forms\TunnelListForm.Designer.cs</t>
  </si>
  <si>
    <t>D:\dev\integration\content\traffic\l2l3\ui\ProxyObjects\ManualScheduleEntryProxy.cs</t>
  </si>
  <si>
    <t>D:\dev\integration\content\access\ancp\ui\Controls\AncpStopKeepAliveCommandEditor.cs</t>
  </si>
  <si>
    <t>D:\dev\integration\content\access\ancp\ui\Controls\AncpStartKeepAliveCommandEditor.cs</t>
  </si>
  <si>
    <t>D:\dev\integration\content\access\ancp\ui\Controls\AncpPortUpCommandEditor.cs</t>
  </si>
  <si>
    <t>D:\dev\integration\content\access\ancp\ui\Controls\AncpPortDownCommandEditor.cs</t>
  </si>
  <si>
    <t>D:\dev\integration\content\access\ancp\ui\Controls\AncpInitiateAdjacencyCommandEditor.cs</t>
  </si>
  <si>
    <t>D:\dev\integration\content\routing\pbbwizard\ui\Wizard\PbbTestWizard.cs</t>
  </si>
  <si>
    <t>D:\dev\integration\content\traffic\l4l7\ui\Wizards\ApplicationLayerWizard.cs</t>
  </si>
  <si>
    <t>D:\dev\integration\framework\ui\CorePlugin\Views\FilterConditionControl.cs</t>
  </si>
  <si>
    <t>D:\dev\integration\content\tripleplay\iptv\ui\Wizard\IptvTestWizard.cs</t>
  </si>
  <si>
    <t>D:\dev\integration\framework\ui\CorePlugin\Wizards\CreateLinksWizard\CreateLinksWizard.cs</t>
  </si>
  <si>
    <t>D:\dev\integration\framework\ui\CorePlugin\Commands\DetectAllSourceMacCommand.cs</t>
  </si>
  <si>
    <t>D:\dev\integration\framework\ui\CorePlugin\Commands\DetachAllPortsCommand.cs</t>
  </si>
  <si>
    <t>D:\dev\integration\content\traffic\l2l3\ui\Commands\ShowDetailedStreamViewCommand.cs</t>
  </si>
  <si>
    <t>D:\dev\integration\content\traffictests\benchmarking\ui\Commands\Rfc2544\CreateRfc2544ProfileProxyCommand.cs</t>
  </si>
  <si>
    <t>D:\dev\integration\content\tripleplay\vqana\ui\Commands\VqAnaStartAllCommand.cs</t>
  </si>
  <si>
    <t>D:\dev\integration\content\traffictests\benchmarking\ui\Commands\Rfc2544\DeleteRfc2544ProfileProxyCommand.cs</t>
  </si>
  <si>
    <t>D:\dev\integration\framework\ui\CorePlugin\Commands\AttachAllPortsCommand.cs</t>
  </si>
  <si>
    <t>D:\dev\integration\content\tripleplay\vqana\ui\Commands\VqAnaStopAllCommand.cs</t>
  </si>
  <si>
    <t>D:\dev\integration\content\routing\rtgcore\ui\Forms\MplsTpPWStatusConfigForm.designer.cs</t>
  </si>
  <si>
    <t>D:\dev\integration\content\routing\rtgcore\ui\Forms\MplsTpLspFaultOamConfigForm.designer.cs</t>
  </si>
  <si>
    <t>D:\dev\integration\content\routing\rtgcore\ui\Forms\EditMplsStaticManualForm.Designer.cs</t>
  </si>
  <si>
    <t>D:\dev\integration\content\routing\rtgcore\ui\Forms\CreateIndirectlyConnectedRoutersForm.Designer.cs</t>
  </si>
  <si>
    <t>D:\dev\integration\content\routing\rtgcore\ui\Controls\RoutingTlvControl.Designer.cs</t>
  </si>
  <si>
    <t>D:\dev\integration\content\routing\rtgcore\ui\Forms\MplsTpStaticTlvEditor.Designer.cs</t>
  </si>
  <si>
    <t>D:\dev\integration\framework\ui\EOTResultViewPlugin\EotDbResultNode.cs</t>
  </si>
  <si>
    <t>D:\dev\integration\content\routing\eoam\ui\Controls\EoamChangeInterfaceStatusCommandControl.cs</t>
  </si>
  <si>
    <t>D:\dev\integration\content\routing\eoam\ui\Controls\EoamChangePortStatusCommandControl.cs</t>
  </si>
  <si>
    <t>D:\dev\integration\framework\ui\CorePlugin\Forms\ExpressionForm.Designer.cs</t>
  </si>
  <si>
    <t>D:\dev\integration\framework\ui\CAB\Options\GeneralOptionsPage.Designer.cs</t>
  </si>
  <si>
    <t>D:\dev\integration\framework\ui\CAB\Options\OptionsForm.Designer.cs</t>
  </si>
  <si>
    <t>D:\dev\integration\framework\ui\CAB\Options\UserDataOptionsPage.Designer.cs</t>
  </si>
  <si>
    <t>D:\dev\integration\framework\ui\CAB\PresentationViews\PresentationTableView.Designer.cs</t>
  </si>
  <si>
    <t>D:\dev\integration\content\routing\ldp\ui\Forms\GracefulRestartTimersForm.Designer.cs</t>
  </si>
  <si>
    <t>D:\dev\integration\content\routing\eoam\ui\Wizard\EoamTopoPage.designer.cs</t>
  </si>
  <si>
    <t>D:\dev\integration\framework\ui\CorePlugin\Forms\EditLinksForm.Designer.cs</t>
  </si>
  <si>
    <t>D:\dev\integration\framework\ui\CorePlugin\Views\DynamicResultView\DynamicResultQueryViewModel.cs</t>
  </si>
  <si>
    <t>D:\dev\integration\content\traffic\l2l3\ui\Commands\TrafficBuilderCommand.cs</t>
  </si>
  <si>
    <t>D:\dev\integration\content\traffic\l2l3\ui\Commands\UnpauseInterestingResultCommand.cs</t>
  </si>
  <si>
    <t>D:\dev\integration\content\traffic\l2l3\ui\Commands\StreamThresholdPortSelectorCommand.cs</t>
  </si>
  <si>
    <t>D:\dev\integration\content\traffic\l2l3\ui\Commands\RegisterReloadCommand.cs</t>
  </si>
  <si>
    <t>D:\dev\integration\content\traffic\l2l3\ui\Commands\RegisterResetDefaultCommand.cs</t>
  </si>
  <si>
    <t>D:\dev\integration\framework\ui\DebugPlugin\Surveyor.cs</t>
  </si>
  <si>
    <t>D:\dev\integration\framework\ui\CorePlugin\Commands\RestartAutoNegotiateCommand.cs</t>
  </si>
  <si>
    <t>D:\dev\integration\framework\ui\CorePlugin\Commands\SaveResultViewCommand.cs</t>
  </si>
  <si>
    <t>D:\dev\integration\framework\ui\CorePlugin\Commands\NewProxyFormCommand.cs</t>
  </si>
  <si>
    <t>D:\dev\integration\framework\ui\BLLInterface\ProxyObjects\VerifyResultsValueChainedConditionCommandProxy.cs</t>
  </si>
  <si>
    <t>D:\dev\integration\framework\ui\CorePlugin\Traffic\Controls\NetworkPointControl.cs</t>
  </si>
  <si>
    <t>D:\dev\integration\framework\ui\UICore\Controls\Forms\GatewayModifierForm.Designer.cs</t>
  </si>
  <si>
    <t>D:\dev\integration\framework\ui\CorePlugin\Service\TclScriptingService.cs</t>
  </si>
  <si>
    <t>D:\dev\integration\framework\ui\CorePlugin\Wizards\CreateNewViewWizard\NameViewPage.cs</t>
  </si>
  <si>
    <t>D:\dev\integration\framework\ui\CorePlugin\Forms\WildcardForm.cs</t>
  </si>
  <si>
    <t>D:\dev\integration\content\routing\eoam\ui\Views\EoamPreviewTopologyForm.cs</t>
  </si>
  <si>
    <t>D:\dev\integration\framework\ui\CorePlugin\Forms\DiagnosticReportForm.Designer.cs</t>
  </si>
  <si>
    <t>D:\dev\integration\framework\ui\CorePlugin\Wizards\CreateNewViewWizard\SelectBaseTypePage.cs</t>
  </si>
  <si>
    <t>D:\dev\integration\content\traffic\l2l3\ui\Commands\CopyToPortsCommand.cs</t>
  </si>
  <si>
    <t>D:\dev\integration\framework\ui\CorePlugin\Commands\SelectMPLSSrcBlockAddressesCommand.cs</t>
  </si>
  <si>
    <t>D:\dev\integration\framework\ui\CorePlugin\Commands\ReservePortsCommand.cs</t>
  </si>
  <si>
    <t>D:\dev\integration\framework\ui\CorePlugin\Commands\SaveEquipmentInfoCommand.cs</t>
  </si>
  <si>
    <t>D:\dev\integration\framework\ui\CorePlugin\Commands\RelocatePortCommand.cs</t>
  </si>
  <si>
    <t>D:\dev\integration\content\traffictests\benchmarking\ui\State\Rfc2544\Rfc2544LatencyWizStateCtx.cs</t>
  </si>
  <si>
    <t>D:\dev\integration\content\traffictests\benchmarking\ui\State\Rfc2544\Rfc2544BBFramesWizStateCtx.cs</t>
  </si>
  <si>
    <t>D:\dev\integration\content\traffictests\benchmarking\ui\State\Rfc2544\Rfc2544FrameLossWizStateCtx.cs</t>
  </si>
  <si>
    <t>D:\dev\integration\content\traffictests\dcb\ui\Common\View\TestOptionsView.cs</t>
  </si>
  <si>
    <t>D:\dev\integration\framework\ui\CAB\Controls\StcTreeView.cs</t>
  </si>
  <si>
    <t>D:\dev\integration\content\traffic\l2l3\ui\Wizards\HighResolutionWizard\HighResolutionWizard.cs</t>
  </si>
  <si>
    <t>D:\dev\integration\content\tripleplay\iptv\ui\Wizard\IptvTestConfigurationStepControl.Designer.cs</t>
  </si>
  <si>
    <t>D:\dev\integration\content\tripleplay\iptv\ui\Wizard\IptvTestClientHostStepControl.Designer.cs</t>
  </si>
  <si>
    <t>D:\dev\integration\content\tripleplay\iptv\ui\Wizard\IptvTestClientConfigurationTestStepControl.Designer.cs</t>
  </si>
  <si>
    <t>D:\dev\integration\content\tripleplay\iptv\ui\Wizard\IptvTestClientSelectionStepControl.Designer.cs</t>
  </si>
  <si>
    <t>D:\dev\integration\content\tripleplay\iptv\ui\Wizard\IptvTestClientConfigurationRealStepControl.Designer.cs</t>
  </si>
  <si>
    <t>D:\dev\integration\framework\ui\UICore\Controls\Forms\ValidatedCollectionEditorForm.cs</t>
  </si>
  <si>
    <t>D:\dev\integration\framework\ui\UICore\Controls\Grid\DropDownHolder.cs</t>
  </si>
  <si>
    <t>D:\dev\integration\framework\ui\WizardSample\SampleStepControl1.Designer.cs</t>
  </si>
  <si>
    <t>D:\dev\integration\framework\ui\WizardPlugin\WizardChooserView.Designer.cs</t>
  </si>
  <si>
    <t>D:\dev\integration\framework\ui\Utils\DataEditor\DataResizeForm.Designer.cs</t>
  </si>
  <si>
    <t>D:\dev\integration\framework\ui\Utils\DataEditor\DataFillForm.Designer.cs</t>
  </si>
  <si>
    <t>D:\dev\integration\framework\ui\WizardPlugin\StdWizardStepPage.Designer.cs</t>
  </si>
  <si>
    <t>D:\dev\integration\framework\ui\UICore\Wizard\InteriorWizardPage.designer.cs</t>
  </si>
  <si>
    <t>D:\dev\integration\framework\ui\UICore\Controls\Grid\ViewServices\FormFields.cs</t>
  </si>
  <si>
    <t>D:\dev\integration\framework\ui\Utils\AssertBox.cs</t>
  </si>
  <si>
    <t>D:\dev\integration\framework\ui\UICore\Wizard\IntroductionWizardPage.designer.cs</t>
  </si>
  <si>
    <t>D:\dev\integration\framework\ui\UICore\Controls\Grid\ViewServices\FormCustomizeLayout.cs</t>
  </si>
  <si>
    <t>D:\dev\integration\framework\ui\UICore\Controls\Grid\StcGrid.cs</t>
  </si>
  <si>
    <t>D:\dev\integration\content\routing\ospfv2\ui\ProxyObjects\RouterLsaProxy.cs</t>
  </si>
  <si>
    <t>D:\dev\integration\content\traffictests\benchmarking\ui\Control\Panel\Profiles\Rfc2544\Rfc2544ProfilesPanel.cs</t>
  </si>
  <si>
    <t>D:\dev\integration\content\routing\vpn\ui\Wizard\Bgp\CeAsNumberForm.Designer.cs</t>
  </si>
  <si>
    <t>D:\dev\integration\content\traffic\l4l7\ui\ProxyObjects\VideoServerProtocolConfigProxy.cs</t>
  </si>
  <si>
    <t>D:\dev\integration\content\routing\eoam\ui\Controls\EoamStartCcEditorControl.cs</t>
  </si>
  <si>
    <t>D:\dev\integration\content\routing\eoam\ui\Controls\EoamStartAisEditorControl.cs</t>
  </si>
  <si>
    <t>D:\dev\integration\content\routing\eoam\ui\Controls\EoamStartLossMeasurementControl.Designer.cs</t>
  </si>
  <si>
    <t>D:\dev\integration\framework\ui\BLLInterface\ProxyObjects\AddResultChartQueryFromResultObjectCommandProxy.cs</t>
  </si>
  <si>
    <t>D:\dev\integration\content\routing\eoam\ui\Controls\EoamStopCcGroupEditorControl.Designer.cs</t>
  </si>
  <si>
    <t>D:\dev\integration\content\routing\eoam\ui\Controls\EoamStartLckEditorControl.Designer.cs</t>
  </si>
  <si>
    <t>D:\dev\integration\framework\ui\CorePlugin\Controls\LogicalPortsList.Designer.cs</t>
  </si>
  <si>
    <t>D:\dev\integration\framework\ui\CorePlugin\Controls\DynamicPropertyPicker.Designer.cs</t>
  </si>
  <si>
    <t>D:\dev\integration\framework\ui\CorePlugin\Controls\ExpressionControl.Designer.cs</t>
  </si>
  <si>
    <t>D:\dev\integration\framework\ui\CorePlugin\Controls\ChartingOptionsPage.Designer.cs</t>
  </si>
  <si>
    <t>D:\dev\integration\framework\ui\CorePlugin\Controls\CustomSortableProxyList.Designer.cs</t>
  </si>
  <si>
    <t>D:\dev\integration\framework\ui\CorePlugin\Controls\ChartCustomizer.Designer.cs</t>
  </si>
  <si>
    <t>D:\dev\integration\content\routing\eoam\ui\Controls\EoamStartLinkTraceEditorControl.Designer.cs</t>
  </si>
  <si>
    <t>D:\dev\integration\content\routing\eoam\ui\Views\EoamDetailedDmResultsForm.Designer.cs</t>
  </si>
  <si>
    <t>D:\dev\integration\content\traffictests\benchmarking\ui\Control\Panel\Options\TestOptions.cs</t>
  </si>
  <si>
    <t>D:\dev\integration\content\traffic\l4l7\ui\View\RawTcp\RawTcpServerProfileView.cs</t>
  </si>
  <si>
    <t>D:\dev\integration\content\traffic\l4l7\ui\View\RawTcp\RawTcpClientProfileView.cs</t>
  </si>
  <si>
    <t>D:\dev\integration\content\traffic\l2l3\ui\View\TSharkSettingDialog.cs</t>
  </si>
  <si>
    <t>D:\dev\integration\content\device\configurator\ui\Forms\ManageCommandMappingForm.cs</t>
  </si>
  <si>
    <t>D:\dev\integration\framework\ui\CorePlugin\Views\EquipmentView\OfflinePortView.cs</t>
  </si>
  <si>
    <t>D:\dev\integration\content\routing\eoam\ui\Controls\EoamStopCommandEditorControl.Designer.cs</t>
  </si>
  <si>
    <t>D:\dev\integration\content\routing\rtgcore\ui\Forms\PrefixDistDialog.Designer.cs</t>
  </si>
  <si>
    <t>D:\dev\integration\content\access\dot1x\ui\Commands\Dot1xCommand.cs</t>
  </si>
  <si>
    <t>D:\dev\integration\content\routing\rtgcore\ui\Forms\NewMplsStaticManualForm.Designer.cs</t>
  </si>
  <si>
    <t>D:\dev\integration\content\routing\rtgcore\ui\Wizard\RouteTopology\RouteTopologyRouteParamsPage.Designer.cs</t>
  </si>
  <si>
    <t>D:\dev\integration\content\routing\stp\ui\Form\StartStopMstiForm.Designer.cs</t>
  </si>
  <si>
    <t>D:\dev\integration\content\routing\rtgcore\ui\Forms\TeParamsDialog.Designer.cs</t>
  </si>
  <si>
    <t>D:\dev\integration\framework\ui\CorePlugin\Wizards\DeviceGenWizard\DeviceGenWizard.cs</t>
  </si>
  <si>
    <t>D:\dev\integration\framework\ui\CorePlugin\Wizards\DeviceGenWizard\DeviceGenStepEditorBox.cs</t>
  </si>
  <si>
    <t>D:\dev\integration\content\traffic\l2l3\ui\Control\EncapsControl.cs</t>
  </si>
  <si>
    <t>D:\dev\integration\framework\ui\CorePlugin\Commands\SaveSystemPerspectiveCommand.cs</t>
  </si>
  <si>
    <t>D:\dev\integration\content\access\l2tp\ui\Commands\L2tpNodeInfoCommand.cs</t>
  </si>
  <si>
    <t>D:\dev\integration\content\traffictests\benchmarking\ui\State\AbstractWizStateCtx.cs</t>
  </si>
  <si>
    <t>D:\dev\integration\content\learning\arp\ui\View\ArpCacheTable.Designer.cs</t>
  </si>
  <si>
    <t>D:\dev\integration\content\mcast\mcastcore\ui\View\MulticastGroupMapperForm.Designer.cs</t>
  </si>
  <si>
    <t>D:\dev\integration\framework\ui\CorePlugin\Commands\NewProtocolCommand.cs</t>
  </si>
  <si>
    <t>D:\dev\integration\content\routing\rsvp\ui\Forms\OptionsEditorForm.designer.cs</t>
  </si>
  <si>
    <t>D:\dev\integration\content\routing\rsvp\ui\Forms\SessionAttributeEditorForm.Designer.cs</t>
  </si>
  <si>
    <t>D:\dev\integration\content\traffictests\benchmarking\ui\RfcTestEx\Panel\IPNextProtocolPanel.cs</t>
  </si>
  <si>
    <t>D:\dev\integration\content\routing\rsvp\ui\Forms\SubLspResultsForm.Designer.cs</t>
  </si>
  <si>
    <t>D:\dev\integration\framework\ui\PDUEditor\PDUData\BaseElement.cs</t>
  </si>
  <si>
    <t>D:\dev\integration\framework\ui\PDUEditor\TemplateManager.cs</t>
  </si>
  <si>
    <t>D:\dev\integration\content\tripleplay\vqana\ui\Wizard\VqAnaWizardInteractiveWorkItemExtension.cs</t>
  </si>
  <si>
    <t>D:\dev\integration\framework\ui\LoggingPlugin\FormSetting.cs</t>
  </si>
  <si>
    <t>D:\dev\integration\framework\ui\PDUEditor\Modifiers\LinkModifiersView.cs</t>
  </si>
  <si>
    <t>D:\dev\integration\content\routing\pbbwizard\ui\Wizard\PbbPages\PbbWizardDescriptionPage.Designer.cs</t>
  </si>
  <si>
    <t>D:\dev\integration\framework\ui\CorePlugin\Controls\WhereControl.Designer.cs</t>
  </si>
  <si>
    <t>D:\dev\integration\framework\ui\UICore\Controls\Forms\FormDuplicate.cs</t>
  </si>
  <si>
    <t>D:\dev\integration\framework\ui\UICore\Controls\Forms\CollectionEditorForm.designer.cs</t>
  </si>
  <si>
    <t>D:\dev\integration\framework\ui\PDUEditor\UserControls\ToSDiffServeEditorFilter.Designer.cs</t>
  </si>
  <si>
    <t>D:\dev\integration\framework\ui\UICore\Controls\Grid\ViewServices\FormCustomizeView.cs</t>
  </si>
  <si>
    <t>D:\dev\integration\content\admin\admin\ui\Equipment\TimeSync.cs</t>
  </si>
  <si>
    <t>D:\dev\integration\content\routing\pim\ui\ProxyObjects\Pimv4RpMapProxy.cs</t>
  </si>
  <si>
    <t>D:\dev\integration\content\routing\pim\ui\ProxyObjects\Pimv6GroupBlkProxy.cs</t>
  </si>
  <si>
    <t>D:\dev\integration\content\access\saa\ui\Controls\SaaSessionInfoCommandEditor.cs</t>
  </si>
  <si>
    <t>D:\dev\integration\content\routing\rtgcore\ui\Controls\LinearProtectionLspControl.cs</t>
  </si>
  <si>
    <t>D:\dev\integration\content\traffic\l2l3\ui\Utils\PduParser.cs</t>
  </si>
  <si>
    <t>D:\dev\integration\framework\ui\CorePlugin\Views\ExposedPropertiesView\ExposedPropertiesView.cs</t>
  </si>
  <si>
    <t>D:\dev\integration\content\device\configurator\ui\Controls\DeviceCommanderOptions.cs</t>
  </si>
  <si>
    <t>D:\dev\integration\framework\ui\CorePlugin\Forms\ImportPerspectiveResultViewForm.cs</t>
  </si>
  <si>
    <t>D:\dev\integration\content\learning\arp\ui\Commands\GetResolvedMACAddressForStreamsCommand.cs</t>
  </si>
  <si>
    <t>D:\dev\integration\content\learning\arp\ui\ArpInteractiveWorkItemExtension.cs</t>
  </si>
  <si>
    <t>D:\dev\integration\content\storage\vic\ui\VicInteractiveWorkItemExtension.cs</t>
  </si>
  <si>
    <t>D:\dev\integration\framework\ui\CorePlugin\LaunchWindow\LoadConfigPanel.cs</t>
  </si>
  <si>
    <t>D:\dev\integration\content\traffic\l2l3\ui\Commands\L2TestBreakLinkCommand.cs</t>
  </si>
  <si>
    <t>D:\dev\integration\content\traffic\l2l3\ui\Commands\GenerateStreamBlockFromPcapCommand.cs</t>
  </si>
  <si>
    <t>D:\dev\integration\content\traffic\l2l3\ui\Commands\EditHighResolutionStreamBlockCommand.cs</t>
  </si>
  <si>
    <t>D:\dev\integration\content\traffictests\dcb\ui\DcbWorkItemExtension.cs</t>
  </si>
  <si>
    <t>D:\dev\integration\framework\ui\CorePlugin\Sequencer\Controls\CommandEditors\VerifyResultsValueChainedConditionGridUserControl.cs</t>
  </si>
  <si>
    <t>D:\dev\integration\framework\ui\UICore\Controls\Grid\ViewServices\ViewService.cs</t>
  </si>
  <si>
    <t>D:\dev\integration\framework\ui\EOTResultViewPlugin\EotResultBrowser.cs</t>
  </si>
  <si>
    <t>D:\dev\integration\framework\ui\CorePlugin\Sequencer\Controls\CommandEditors\VerifyResultsValueChainedConditionUserControl.cs</t>
  </si>
  <si>
    <t>D:\dev\integration\content\access\dhcpv6\ui\Commands\Dhcpv6ServerShowSessionInfoCommand.cs</t>
  </si>
  <si>
    <t>D:\dev\integration\content\access\dhcpv6\ui\Commands\Dhcpv6ServerCommand.cs</t>
  </si>
  <si>
    <t>D:\dev\integration\content\routing\eoam\ui\Views\EoamStartCcForm.cs</t>
  </si>
  <si>
    <t>D:\dev\integration\content\access\saa\ui\View\SessionInfoForm.Designer.cs</t>
  </si>
  <si>
    <t>D:\dev\integration\framework\ui\CorePlugin\Commands\GetAllConfigInfoCommand.cs</t>
  </si>
  <si>
    <t>D:\dev\integration\framework\ui\CorePlugin\Commands\GetConfigInfoCommand.cs</t>
  </si>
  <si>
    <t>D:\dev\integration\framework\ui\CorePlugin\Commands\ImportPerspectiveResultViewCommand.cs</t>
  </si>
  <si>
    <t>D:\dev\integration\framework\ui\CorePlugin\Commands\LinkDeleteCommand.cs</t>
  </si>
  <si>
    <t>D:\dev\integration\content\traffic\l4l7\ui\Commands\Cifs\EditCifsServerProfileCommand.cs</t>
  </si>
  <si>
    <t>D:\dev\integration\framework\ui\BLLInterface\DataModel\ProxyPropertySet.cs</t>
  </si>
  <si>
    <t>D:\dev\integration\content\routing\isis\ui\Commands\NewIpRouteCommand.cs</t>
  </si>
  <si>
    <t>D:\dev\integration\content\routing\isis\ui\Commands\NewMtPortCapTlvCommand.cs</t>
  </si>
  <si>
    <t>D:\dev\integration\content\routing\isis\ui\Commands\NewIsisGrandchildrenCommand.cs</t>
  </si>
  <si>
    <t>D:\dev\integration\content\traffic\l4l7\tools\ui\DpgProtocolDesigner\Utilities\PcapImportUtils.cs</t>
  </si>
  <si>
    <t>D:\dev\integration\content\traffic\l4l7\tools\ui\DpgProtocolDesigner\Utilities\FlowDefParser.cs</t>
  </si>
  <si>
    <t>D:\dev\integration\content\traffic\l4l7\tools\ui\DpgProtocolDesigner\Utilities\FlowCustomDescriptors.cs</t>
  </si>
  <si>
    <t>D:\dev\integration\content\tripleplay\iptv\ui\Controls\IptvWizardMcastHostInfoForm.cs</t>
  </si>
  <si>
    <t>D:\dev\integration\content\tripleplay\iptv\ui\Controls\IptvViewedChannelsSelectionEditor.cs</t>
  </si>
  <si>
    <t>D:\dev\integration\content\traffic\l4l7\ui\Forms\CifsVariablesForm.cs</t>
  </si>
  <si>
    <t>D:\dev\integration\content\traffic\l4l7\ui\Forms\CifsActionListForm.cs</t>
  </si>
  <si>
    <t>D:\dev\integration\content\traffictests\benchmarking\ui\Control\Editors\BenchmarkQoSEditorForm.cs</t>
  </si>
  <si>
    <t>D:\dev\integration\content\traffic\l4l7\ui\Forms\KnownPortsForm.cs</t>
  </si>
  <si>
    <t>D:\dev\integration\content\routing\pbbwizard\ui\Wizard\PbbPages\PbbCustomerPortsPage.Designer.cs</t>
  </si>
  <si>
    <t>D:\dev\integration\content\traffictests\benchmarking\ui\Control\Panel\Header\IPNextProtocolPanel.cs</t>
  </si>
  <si>
    <t>D:\dev\integration\content\traffic\l2l3\ui\View\FormTrafficBuilder.cs</t>
  </si>
  <si>
    <t>D:\dev\integration\content\traffictests\benchmarking\ui\RfcTestEx\Panel\EthIpHeaderPanel.cs</t>
  </si>
  <si>
    <t>D:\dev\integration\content\traffictests\benchmarking\ui\Control\Panel\Header\EthIPHeaderPanel.cs</t>
  </si>
  <si>
    <t>D:\dev\integration\framework\ui\LoggingPlugin\ControlLoggingFilter.cs</t>
  </si>
  <si>
    <t>D:\dev\integration\framework\ui\CorePlugin\Wizards\CopyAttributesWizard\Attributes\PortAttributes.cs</t>
  </si>
  <si>
    <t>D:\dev\integration\framework\ui\CorePlugin\Views\ColumnPicker\ColumnPicker.Designer.cs</t>
  </si>
  <si>
    <t>D:\dev\integration\framework\ui\CorePlugin\Traffic\Forms\FormEndPointSelection.Designer.cs</t>
  </si>
  <si>
    <t>D:\dev\integration\framework\ui\CorePlugin\Traffic\Forms\FormPortSelectOffset.Designer.cs</t>
  </si>
  <si>
    <t>D:\dev\integration\content\access\dhcpv6\ui\Commands\Dhcpv6InfoRequestCommand.cs</t>
  </si>
  <si>
    <t>D:\dev\integration\content\access\dhcpv6\ui\Commands\Dhcpv6RebindCommand.cs</t>
  </si>
  <si>
    <t>D:\dev\integration\content\access\dhcpv6\ui\Commands\Dhcpv6ConfirmCommand.cs</t>
  </si>
  <si>
    <t>D:\dev\integration\content\access\dhcpv6\ui\Commands\Dhcpv6BindCommand.cs</t>
  </si>
  <si>
    <t>D:\dev\integration\framework\ui\WizardPlugin\StdWizardDescriptionPageWithImage.Designer.cs</t>
  </si>
  <si>
    <t>D:\dev\integration\framework\ui\CorePlugin\Controls\MapProxyControl.cs</t>
  </si>
  <si>
    <t>D:\dev\integration\content\traffic\l2l3\ui\View\PortConfigView10100GigGeneral.cs</t>
  </si>
  <si>
    <t>D:\dev\integration\content\access\ancp\ui\Controls\AncpLineProfileSelectionEditor.cs</t>
  </si>
  <si>
    <t>D:\dev\integration\content\traffic\l2l3\ui\ProxyObjects\AnalyzerFrameConfigFilterProxy.cs</t>
  </si>
  <si>
    <t>D:\dev\integration\framework\ui\CorePlugin\Commands\EditInterfaceCommand.cs</t>
  </si>
  <si>
    <t>D:\dev\integration\framework\ui\CorePlugin\Commands\EditTagsCommand.cs</t>
  </si>
  <si>
    <t>D:\dev\integration\framework\ui\CorePlugin\Commands\DetachPortCommand.cs</t>
  </si>
  <si>
    <t>D:\dev\integration\framework\ui\CorePlugin\Commands\DeleteCurrentViewCommand.cs</t>
  </si>
  <si>
    <t>D:\dev\integration\framework\ui\CAB\Controls\TabStrip.cs</t>
  </si>
  <si>
    <t>D:\dev\integration\content\traffictests\benchmarking\ui\State\Rfc2889\Rfc2889BroadcastForwardingWizStateCtx.cs</t>
  </si>
  <si>
    <t>D:\dev\integration\content\traffictests\benchmarking\ui\State\Rfc2889\Rfc2889AddressLearningRateWizStateCtx.cs</t>
  </si>
  <si>
    <t>D:\dev\integration\content\traffictests\benchmarking\ui\State\Rfc2889\Rfc2889AddressCachingCapacityWizStateCtx.cs</t>
  </si>
  <si>
    <t>D:\dev\integration\content\traffictests\benchmarking\ui\State\Rfc2889\Rfc2889BroadcastLatencyWizStateCtx.cs</t>
  </si>
  <si>
    <t>D:\dev\integration\content\traffictests\dcb\ui\Common\Panel\ConfigSummaryPanel.Designer.cs</t>
  </si>
  <si>
    <t>D:\dev\integration\content\traffictests\custom\ui\Wizard\CustomTestWizardDescription.Designer.cs</t>
  </si>
  <si>
    <t>D:\dev\integration\content\traffictests\benchmarking\ui\RfcTestEx\Panel\CongestionTrafficPanel.cs</t>
  </si>
  <si>
    <t>D:\dev\integration\content\traffictests\benchmarking\ui\Wizard\Rfc3918\View\Rfc3918TestOptionGeneralForm.Designer.cs</t>
  </si>
  <si>
    <t>D:\dev\integration\content\traffictests\benchmarking\ui\Wizard\Rfc3918\View\MulticastGroupPanel.Designer.cs</t>
  </si>
  <si>
    <t>D:\dev\integration\framework\ui\CAB\Commands\PresentationFormCommand.cs</t>
  </si>
  <si>
    <t>D:\dev\integration\framework\ui\CAB\Commands\ToolsOptionsCommand.cs</t>
  </si>
  <si>
    <t>D:\dev\integration\framework\ui\CorePlugin\Commands\AddColumnToFilter.cs</t>
  </si>
  <si>
    <t>D:\dev\integration\framework\ui\Utils\MessageBoxService\QuestionForm.cs</t>
  </si>
  <si>
    <t>D:\dev\integration\framework\ui\CorePlugin\Wizards\RouterGenWizard\RouterGenPanel.cs</t>
  </si>
  <si>
    <t>D:\dev\integration\content\routing\pim\ui\PimFileConverter.cs</t>
  </si>
  <si>
    <t>D:\dev\integration\content\traffictests\custom\ui\Wizard\TestParametersTestStep.cs</t>
  </si>
  <si>
    <t>D:\dev\integration\content\traffictests\benchmarking\ui\Wizard\WizardStep.cs</t>
  </si>
  <si>
    <t>D:\dev\integration\content\traffictests\custom\ui\Wizard\TestOptionsTestStep.cs</t>
  </si>
  <si>
    <t>D:\dev\integration\content\access\dhcpv4\ui\Commands\EditCustomProtocolChildCommand.cs</t>
  </si>
  <si>
    <t>D:\dev\integration\content\access\dhcpv6\ui\Commands\EditCustomProtocolChildCommand.cs</t>
  </si>
  <si>
    <t>D:\dev\integration\content\access\ancp\ui\Commands\AncpLineProfileEditCommand.cs</t>
  </si>
  <si>
    <t>D:\dev\integration\framework\ui\CorePlugin\Wizards\SequenceFlapWizard\FlapCommandSelectionPage.cs</t>
  </si>
  <si>
    <t>D:\dev\integration\framework\ui\CorePlugin\Wizards\SequenceFlapWizard\ObjectSelectionPage.cs</t>
  </si>
  <si>
    <t>D:\dev\integration\content\routing\ospfv2\ui\Forms\Ospfv2RouterTypeFrm.Designer.cs</t>
  </si>
  <si>
    <t>D:\dev\integration\content\access\saa\ui\Commands\SaaSessionInfoCommand.cs</t>
  </si>
  <si>
    <t>D:\dev\integration\framework\ui\CorePlugin\Views\LandingPage\LandingPagePanel.Designer.cs</t>
  </si>
  <si>
    <t>D:\dev\integration\framework\ui\CorePlugin\Views\ResultSpeedometerView.designer.cs</t>
  </si>
  <si>
    <t>D:\dev\integration\framework\ui\CorePlugin\Wizards\CopyAttributesWizard\CopyAttributesReadyPage.Designer.cs</t>
  </si>
  <si>
    <t>D:\dev\integration\content\access\dhcpv4\ui\Commands\Dhcpv4StopServerCommand.cs</t>
  </si>
  <si>
    <t>D:\dev\integration\content\routing\lacp\ui\LacpInteractiveWorkItemExtension.cs</t>
  </si>
  <si>
    <t>D:\dev\integration\content\tripleplay\iptv\ui\Definitions\ActiveChannelBlockPropertyDef.cs</t>
  </si>
  <si>
    <t>D:\dev\integration\content\tripleplay\iptv\ui\IptvInteractiveWorkItemExtension.cs</t>
  </si>
  <si>
    <t>D:\dev\integration\framework\ui\Utils\P1Config.cs</t>
  </si>
  <si>
    <t>D:\dev\integration\content\traffictests\benchmarking\ui\Control\Panel\Params\TrafficLoadPanel.Designer.cs</t>
  </si>
  <si>
    <t>D:\dev\integration\content\routing\linkoam\ui\Controls\LinkOamStartVariableRequestControl.Designer.cs</t>
  </si>
  <si>
    <t>D:\dev\integration\content\routing\linkoam\ui\Controls\LinkOamStopControl.Designer.cs</t>
  </si>
  <si>
    <t>D:\dev\integration\content\routing\linkoam\ui\Controls\LinkOamTxOptionsSelectionEditor.Designer.cs</t>
  </si>
  <si>
    <t>D:\dev\integration\content\routing\linkoam\ui\Controls\LinkOamStartControlTemplate.Designer.cs</t>
  </si>
  <si>
    <t>D:\dev\integration\framework\ui\BLLInterface\ProxyObjects\DeviceGenIpv6IfParamsProxy.cs</t>
  </si>
  <si>
    <t>D:\dev\integration\framework\ui\BLLInterface\DataModel\ProxyBinder.cs</t>
  </si>
  <si>
    <t>D:\dev\integration\content\traffictests\benchmarking\ui\RfcTestEx\Wizard\Rfc2889\Rfc2889SelectTestPage.Designer.cs</t>
  </si>
  <si>
    <t>D:\dev\integration\framework\ui\CAB\Commands\FileSaveAsCommand.cs</t>
  </si>
  <si>
    <t>D:\dev\integration\framework\ui\CAB\Commands\FilePropertiesCommand.cs</t>
  </si>
  <si>
    <t>D:\dev\integration\framework\ui\Application\StcDashboard\Commands\ShowExistingTestSessionCommand.cs</t>
  </si>
  <si>
    <t>D:\dev\integration\framework\ui\Application\StcDashboard\Commands\ConnectViewerTestSessionCommand.cs</t>
  </si>
  <si>
    <t>D:\dev\integration\framework\ui\Application\StcDashboard\Commands\ConnectTestSessionCommand.cs</t>
  </si>
  <si>
    <t>D:\dev\integration\content\routing\eoam\ui\EoamHelperClasses.cs</t>
  </si>
  <si>
    <t>D:\dev\integration\content\routing\rsvp\ui\Forms\RecordedRouteSubObjects.cs</t>
  </si>
  <si>
    <t>D:\dev\integration\content\routing\rsvp\ui\Forms\IngressSubLsps.cs</t>
  </si>
  <si>
    <t>D:\dev\integration\content\routing\rsvp\ui\Forms\GmplsParamsForm.cs</t>
  </si>
  <si>
    <t>D:\dev\integration\content\traffictests\benchmarking\ui\RfcTestEx\View\Rfc2889\Rfc2889AutoTrafficView.cs</t>
  </si>
  <si>
    <t>D:\dev\integration\content\routing\eoam\ui\Views\EoamDetailedLinkTraceResultsForm.Designer.cs</t>
  </si>
  <si>
    <t>D:\dev\integration\framework\ui\CorePlugin\Forms\PerspectiveOpenForm.Designer.cs</t>
  </si>
  <si>
    <t>D:\dev\integration\framework\ui\CorePlugin\Forms\PerspectiveSaveAsForm.Designer.cs</t>
  </si>
  <si>
    <t>D:\dev\integration\framework\ui\CorePlugin\Forms\PortSetEditorForm.Designer.cs</t>
  </si>
  <si>
    <t>D:\dev\integration\framework\ui\CorePlugin\Forms\PortSetManagerForm.Designer.cs</t>
  </si>
  <si>
    <t>D:\dev\integration\content\access\dhcpv4\ui\Commands\Dhcpv4ReleaseCommand.cs</t>
  </si>
  <si>
    <t>D:\dev\integration\content\access\dhcpv4\ui\Commands\Dhcpv4BindCommand.cs</t>
  </si>
  <si>
    <t>D:\dev\integration\content\access\dhcpv4\ui\Commands\Dhcpv4ForceRenewFromServerCommand.cs</t>
  </si>
  <si>
    <t>D:\dev\integration\content\access\dhcpv4\ui\Commands\Dhcpv4RebindCommand.cs</t>
  </si>
  <si>
    <t>D:\dev\integration\content\admin\admin\ui\Licensing\LicensingWorkItemExtension.cs</t>
  </si>
  <si>
    <t>D:\dev\integration\content\routing\eoam\ui\Views\EoamTlvEditor.Designer.cs</t>
  </si>
  <si>
    <t>D:\dev\integration\content\routing\eoam\ui\Views\MacAddressForm.Designer.cs</t>
  </si>
  <si>
    <t>D:\dev\integration\content\routing\eoam\ui\Wizard\EoamDutPage.designer.cs</t>
  </si>
  <si>
    <t>D:\dev\integration\content\routing\eoam\ui\Wizard\EoamScaleModePage.designer.cs</t>
  </si>
  <si>
    <t>D:\dev\integration\content\traffictests\qosfwd\ui\Control\TrafficGroupClassMapControl.designer.cs</t>
  </si>
  <si>
    <t>D:\dev\integration\content\traffictests\qosfwd\ui\View\FormClassBuilder.designer.cs</t>
  </si>
  <si>
    <t>D:\dev\integration\content\access\accesstest\ui\Wizard\AncpAcccessLoopGen\AncpAccessLoopWizard.cs</t>
  </si>
  <si>
    <t>D:\dev\integration\content\access\accesstest\ui\Wizard\CeDeviceConfig\AccessCeDeviceWizard.cs</t>
  </si>
  <si>
    <t>D:\dev\integration\content\traffic\l4l7\ui\Commands\Sip\EditSipUaProfileCommand.cs</t>
  </si>
  <si>
    <t>D:\dev\integration\content\traffic\l4l7\ui\Commands\XmppvJ\EditXmppvJClientProfileCommand.cs</t>
  </si>
  <si>
    <t>D:\dev\integration\framework\ui\CAB\PresentationModel\PresentationCommandManager.cs</t>
  </si>
  <si>
    <t>D:\dev\integration\content\learning\arp\ui\Commands\ARPNDCommandBase.cs</t>
  </si>
  <si>
    <t>D:\dev\integration\framework\ui\CorePlugin\Views\ResultPresentationTableView.cs</t>
  </si>
  <si>
    <t>D:\dev\integration\content\sample\cars\ui\ProxyObjects\CarProxy.cs</t>
  </si>
  <si>
    <t>D:\dev\integration\content\sample\cars\ui\Forms\CylinderEditorForm.cs</t>
  </si>
  <si>
    <t>D:\dev\integration\content\routing\stp\ui\ProxyObjects\MstpBridgePortConfigProxy.cs</t>
  </si>
  <si>
    <t>D:\dev\integration\content\routing\stp\ui\ProxyObjects\MstiConfigProxy.cs</t>
  </si>
  <si>
    <t>D:\dev\integration\framework\ui\CorePlugin\Commands\PasteProxyCommand.cs</t>
  </si>
  <si>
    <t>D:\dev\integration\content\sample\cars\ui\Forms\CylinderEditorForm.Designer.cs</t>
  </si>
  <si>
    <t>D:\dev\integration\content\sample\cars\ui\Controls\CarHeaderPanel.Designer.cs</t>
  </si>
  <si>
    <t>D:\dev\integration\content\traffictests\dcb\ui\Common\Presentation\ConfigPresentation.cs</t>
  </si>
  <si>
    <t>D:\dev\integration\content\traffic\l4l7\ui\Utils\Cifs\CifsCustomDescriptors.cs</t>
  </si>
  <si>
    <t>D:\dev\integration\content\routing\rtgconvergence\ui\Controls\RoutingConvergenceMeasureCommandEditor.cs</t>
  </si>
  <si>
    <t>D:\dev\integration\content\routing\pim\ui\Commands\NewIpGroupsCommand.cs</t>
  </si>
  <si>
    <t>D:\dev\integration\content\routing\rtgcore\ui\Wizard\RouterSelectPage.cs</t>
  </si>
  <si>
    <t>D:\dev\integration\framework\ui\CorePlugin\Wizards\DeviceGenWizard\DeviceGenPreviewPanel.cs</t>
  </si>
  <si>
    <t>D:\dev\integration\framework\ui\CorePlugin\Wizards\DeviceGenWizard\DeviceGenIpv6IfPanel.cs</t>
  </si>
  <si>
    <t>D:\dev\integration\framework\ui\CorePlugin\Views\ExposedPropertiesView\ExposedPropertiesViewModel.cs</t>
  </si>
  <si>
    <t>D:\dev\integration\content\traffic\l4l7\ui\View\Dpg\DpgPlaylistDesignerPanel.cs</t>
  </si>
  <si>
    <t>D:\dev\integration\content\routing\eoam\ui\Views\EoamStartLoopbackForm.Designer.cs</t>
  </si>
  <si>
    <t>D:\dev\integration\content\routing\eoam\ui\Views\EoamStartLossMeasurementForm.Designer.cs</t>
  </si>
  <si>
    <t>D:\dev\integration\content\traffic\l4l7\tools\ui\DpgProtocolDesigner\Forms\DpgProtocolDesignerForm.cs</t>
  </si>
  <si>
    <t>D:\dev\integration\content\storage\vepa\ui\Commands\VdpStationCommand.cs</t>
  </si>
  <si>
    <t>D:\dev\integration\framework\ui\CorePlugin\Options\ResultOptionsPage.Designer.cs</t>
  </si>
  <si>
    <t>D:\dev\integration\framework\ui\WizardPlugin\WizardPresenter.cs</t>
  </si>
  <si>
    <t>D:\dev\integration\framework\ui\P1Upgrade\Model.cs</t>
  </si>
  <si>
    <t>D:\dev\integration\framework\ui\CorePlugin\Controls\ExpressionControl.cs</t>
  </si>
  <si>
    <t>D:\dev\integration\content\traffic\l2l3\ui\View\StreamBlockColumnGridEventListeners.cs</t>
  </si>
  <si>
    <t>D:\dev\integration\content\routing\eoam\ui\Views\EoamStartCcGroupForm.Designer.cs</t>
  </si>
  <si>
    <t>D:\dev\integration\content\routing\eoam\ui\Views\EoamStartDelayMeasurementForm.Designer.cs</t>
  </si>
  <si>
    <t>D:\dev\integration\content\traffic\l2l3\ui\View\StreamBlockColumnGridManager.cs</t>
  </si>
  <si>
    <t>D:\dev\integration\content\access\ancp\ui\AncpInteractiveWorkItemExtension.cs</t>
  </si>
  <si>
    <t>D:\dev\integration\framework\ui\LoggingPlugin\Log4NetAdaptor.cs</t>
  </si>
  <si>
    <t>D:\dev\integration\content\traffictests\dcb\ui\PriorityFlowControl\Wizard\SelectTestPage.Designer.cs</t>
  </si>
  <si>
    <t>D:\dev\integration\content\traffictests\dcb\ui\Common\View\SelectDeviceView.Designer.cs</t>
  </si>
  <si>
    <t>D:\dev\integration\content\traffictests\dcb\ui\Common\View\TrafficPropertyView.Designer.cs</t>
  </si>
  <si>
    <t>D:\dev\integration\content\traffictests\dcb\ui\Common\View\TestParameters\ForwardingTestParameterView.Designer.cs</t>
  </si>
  <si>
    <t>D:\dev\integration\content\traffictests\dcb\ui\Common\View\Traffic\MonitorTrafficView.Designer.cs</t>
  </si>
  <si>
    <t>D:\dev\integration\content\learning\arp\ui\Commands\StopARPNDOnAllHostsCommand.cs</t>
  </si>
  <si>
    <t>D:\dev\integration\content\learning\arp\ui\Commands\StartArpNdOnDefaultGatewayCommand.cs</t>
  </si>
  <si>
    <t>D:\dev\integration\content\learning\arp\ui\Commands\StartArpNdOnPortsCommand.cs</t>
  </si>
  <si>
    <t>D:\dev\integration\content\learning\arp\ui\Commands\StartL2LearningOnAllStreamsCommand.cs</t>
  </si>
  <si>
    <t>D:\dev\integration\content\learning\arp\ui\Commands\StartL2RxLearningCommand.cs</t>
  </si>
  <si>
    <t>D:\dev\integration\content\learning\arp\ui\Commands\StartLearningCommand.cs</t>
  </si>
  <si>
    <t>D:\dev\integration\content\learning\arp\ui\Commands\StartRxArpNdOnStreamsCommand.cs</t>
  </si>
  <si>
    <t>D:\dev\integration\content\traffic\l4l7\ui\Commands\RawTcp\EditRawTcpServerProfileCommand.cs</t>
  </si>
  <si>
    <t>D:\dev\integration\content\traffic\l4l7\ui\Commands\SaveAsClientLoadProfilesTemplateCommand.cs</t>
  </si>
  <si>
    <t>D:\dev\integration\content\traffic\l2l3\ui\View\PortConfigViewSonetConfig.cs</t>
  </si>
  <si>
    <t>D:\dev\integration\content\traffictests\dcb\ui\SwitchingFabric\View\CongestionControlGroupView.cs</t>
  </si>
  <si>
    <t>D:\dev\integration\content\routing\rtgwizard\ui\Wizard\FRR\FrrEgressSidePage.cs</t>
  </si>
  <si>
    <t>D:\dev\integration\framework\ui\UICore\Help\StcHelp.cs</t>
  </si>
  <si>
    <t>D:\dev\integration\framework\ui\Utils\DynamicToolTipManager.cs</t>
  </si>
  <si>
    <t>D:\dev\integration\framework\ui\PDUEditor\UserControls\FrameEditorCoreHelper.cs</t>
  </si>
  <si>
    <t>D:\dev\integration\content\traffic\l4l7\tools\ui\DpgProtocolDesigner\Forms\DpgPduDetailEditorForm.cs</t>
  </si>
  <si>
    <t>D:\dev\integration\framework\ui\CorePlugin\Controls\PortSetsTreeView.cs</t>
  </si>
  <si>
    <t>D:\dev\integration\framework\ui\UICore\Controls\Grid\GridWindowsFormEditorService.cs</t>
  </si>
  <si>
    <t>D:\dev\integration\content\access\accesstest\ui\Wizard\Stability\AccessStabilityTrafficPage.cs</t>
  </si>
  <si>
    <t>D:\dev\integration\content\access\ancp\ui\AncpTlvUtil.cs</t>
  </si>
  <si>
    <t>D:\dev\integration\content\traffictests\benchmarking\ui\RfcTestEx\View\Rfc2889\Rfc2889AutoTrafficView.Designer.cs</t>
  </si>
  <si>
    <t>D:\dev\integration\content\traffic\l4l7\ui\ProxyObjects\RawTcpClientProtocolConfigProxy.cs</t>
  </si>
  <si>
    <t>D:\dev\integration\content\routing\mplstpoam\ui\Control\MplsTpOamChangeLckRxEnableCommandControl.cs</t>
  </si>
  <si>
    <t>D:\dev\integration\content\traffic\l4l7\ui\KnownPorts.cs</t>
  </si>
  <si>
    <t>D:\dev\integration\content\routing\mplstpoam\ui\Control\MplsTpOamChangeAisRxEnableCommandControl.cs</t>
  </si>
  <si>
    <t>D:\dev\integration\framework\ui\CorePlugin\Views\BrowserView\TestConfigurationPresenter.cs</t>
  </si>
  <si>
    <t>D:\dev\integration\framework\ui\BLLInterface\FileTransfer\FileTransferList.cs</t>
  </si>
  <si>
    <t>D:\dev\integration\content\traffic\l2l3\ui\View\RegisterViewAdvancedMdio.cs</t>
  </si>
  <si>
    <t>D:\dev\integration\content\routing\eoam\ui\Views\EoamDetailedSlmResultsForm.Designer.cs</t>
  </si>
  <si>
    <t>D:\dev\integration\content\routing\eoam\ui\Views\EoamFindNodeForm.Designer.cs</t>
  </si>
  <si>
    <t>D:\dev\integration\content\routing\eoam\ui\Views\EoamMegForm.Designer.cs</t>
  </si>
  <si>
    <t>D:\dev\integration\content\traffictests\benchmarking\ui\Control\Page\SummaryPage.cs</t>
  </si>
  <si>
    <t>D:\dev\integration\content\access\accesstest\ui\Wizard\AccessConcentrator\AccessConcentratorTrafficPage.cs</t>
  </si>
  <si>
    <t>D:\dev\integration\content\learning\arp\ui\Commands\PingOnHostsCommand.cs</t>
  </si>
  <si>
    <t>D:\dev\integration\content\learning\arp\ui\Commands\L2LearningStartCommand.cs</t>
  </si>
  <si>
    <t>D:\dev\integration\content\device\configurator\ui\Commands\ManageCommandMappingCommand.cs</t>
  </si>
  <si>
    <t>D:\dev\integration\content\device\configurator\ui\Commands\LaunchOpionPageCommand.cs</t>
  </si>
  <si>
    <t>D:\dev\integration\content\routing\rtgwizard\ui\Wizard\FRR\FrrIngressSidePage.cs</t>
  </si>
  <si>
    <t>D:\dev\integration\content\learning\arp\ui\Commands\PingOnPortCommand.cs</t>
  </si>
  <si>
    <t>D:\dev\integration\content\traffic\l4l7\ui\Commands\Ftp\EditFtpServerProfileCommand.cs</t>
  </si>
  <si>
    <t>D:\dev\integration\content\traffic\l4l7\ui\Commands\EditServerProfileCommand.cs</t>
  </si>
  <si>
    <t>D:\dev\integration\content\traffic\l4l7\ui\Commands\EditClientProfileCommand.cs</t>
  </si>
  <si>
    <t>D:\dev\integration\framework\ui\Application\StcDashboard\DashboardWorkItem.cs</t>
  </si>
  <si>
    <t>D:\dev\integration\content\traffictests\benchmarking\ui\RfcTestEx\Wizard\RfcTestStateFactory.cs</t>
  </si>
  <si>
    <t>D:\dev\integration\content\routing\rsvp\ui\ProxyObjects\RsvpP2MpSubGroupParamsProxy.cs</t>
  </si>
  <si>
    <t>D:\dev\integration\content\tripleplay\vqana\ui\ProxyObjects\VqAnalyzerPortGenParamsProxy.cs</t>
  </si>
  <si>
    <t>D:\dev\integration\framework\ui\BLLInterface\ProxyObjects\EthIIIfProxy.cs</t>
  </si>
  <si>
    <t>D:\dev\integration\framework\ui\BLLInterface\ProxyObjects\FcIfProxy.cs</t>
  </si>
  <si>
    <t>D:\dev\integration\framework\ui\BLLInterface\ProxyObjects\GreIfProxy.cs</t>
  </si>
  <si>
    <t>D:\dev\integration\framework\ui\BLLInterface\ProxyObjects\MplsIfProxy.cs</t>
  </si>
  <si>
    <t>D:\dev\integration\framework\ui\BLLInterface\ProxyObjects\PppoeIfProxy.cs</t>
  </si>
  <si>
    <t>D:\dev\integration\framework\ui\BLLInterface\ProxyObjects\VlanIfProxy.cs</t>
  </si>
  <si>
    <t>D:\dev\integration\framework\ui\PDUEditor\UserControls\FrameManagerCtrl.cs</t>
  </si>
  <si>
    <t>D:\dev\integration\content\access\dhcpv4\ui\Controls\Dhcpv4ServerSessionInfoCommandEditor.cs</t>
  </si>
  <si>
    <t>D:\dev\integration\content\traffictests\custom\ui\Control\Page\TestOptionsPage.cs</t>
  </si>
  <si>
    <t>D:\dev\integration\content\traffic\l2l3\ui\ProxyObjects\ResultOptionsProxy.cs</t>
  </si>
  <si>
    <t>D:\dev\integration\content\tripleplay\iptv\ui\Controls\IptvChannelBlockPage.cs</t>
  </si>
  <si>
    <t>D:\dev\integration\content\tripleplay\iptv\ui\Controls\IptvStartTestUserControl.cs</t>
  </si>
  <si>
    <t>D:\dev\integration\content\traffictests\benchmarking\ui\Control\Panel\Topo\FullyMeshPanelwMonitor.Designer.cs</t>
  </si>
  <si>
    <t>D:\dev\integration\content\traffictests\benchmarking\ui\Control\Panel\Topo\CongestionPanel.Designer.cs</t>
  </si>
  <si>
    <t>D:\dev\integration\content\traffictests\benchmarking\ui\Control\Panel\Topo\BackbonePanelwMonitor.Designer.cs</t>
  </si>
  <si>
    <t>D:\dev\integration\content\routing\ldp\ui\ProxyObjects\PseudoWireLspProxy.cs</t>
  </si>
  <si>
    <t>D:\dev\integration\content\traffic\l2l3\ui\View\PortConfigView40100GigFiberGeneral.cs</t>
  </si>
  <si>
    <t>D:\dev\integration\content\mcast\igmpmld\ui\Controls\IgmpMldStopQuerierCommandEditor.cs</t>
  </si>
  <si>
    <t>D:\dev\integration\content\mcast\igmpmld\ui\Controls\IgmpMldRejoinGroupsCommandEditor.cs</t>
  </si>
  <si>
    <t>D:\dev\integration\content\mcast\igmpmld\ui\Controls\IgmpMldStartQuerierCommandEditor.cs</t>
  </si>
  <si>
    <t>D:\dev\integration\content\mcast\igmpmld\ui\Controls\IgmpMldLeaveGroupsCommandEditor.cs</t>
  </si>
  <si>
    <t>D:\dev\integration\content\traffic\l4l7\ui\View\Cifs\CifsClientProfileView.cs</t>
  </si>
  <si>
    <t>D:\dev\integration\content\traffictests\benchmarking\ui\Wizard\Rfc3918\Rfc3918TrafficPage.cs</t>
  </si>
  <si>
    <t>D:\dev\integration\content\routing\stp\ui\ProxyObjects\StpPortConfigProxy.cs</t>
  </si>
  <si>
    <t>D:\dev\integration\content\access\ancp\ui\Controls\AncpMapSubscriberCommandEditor.cs</t>
  </si>
  <si>
    <t>D:\dev\integration\content\access\ancp\ui\Commands\AncpLoopProfileCreateCommand.cs</t>
  </si>
  <si>
    <t>D:\dev\integration\content\mcast\igmpmld\ui\Wizard\IgmpMldHostGenWizard.cs</t>
  </si>
  <si>
    <t>D:\dev\integration\content\access\dhcpv6\ui\Wizard\Dhcpv6ServerHostGenWizard.cs</t>
  </si>
  <si>
    <t>D:\dev\integration\framework\ui\BLLInterface\ProxyObjects\PhysicalChassisManagerProxy.cs</t>
  </si>
  <si>
    <t>D:\dev\integration\content\routing\lisp\ui\Controls\LispCacheViewEditor.cs</t>
  </si>
  <si>
    <t>D:\dev\integration\framework\ui\BLLInterface\ProxyObjects\PfcMeasurementConfigProxy.cs</t>
  </si>
  <si>
    <t>D:\dev\integration\content\routing\eoam\ui\Views\EoamStartLinkTraceForm.Designer.cs</t>
  </si>
  <si>
    <t>D:\dev\integration\content\storage\csmp\ui\Command\LoadClientProfilesTemplateCommand.cs</t>
  </si>
  <si>
    <t>D:\dev\integration\content\routing\eoam\ui\Controls\EoamStartLoopbackEditorControl.cs</t>
  </si>
  <si>
    <t>D:\dev\integration\content\routing\eoam\ui\Views\EoamStartCcForm.Designer.cs</t>
  </si>
  <si>
    <t>D:\dev\integration\content\device\configurator\ui\ProxyObjects\ExternalDeviceCommandAliasConfigProxy.cs</t>
  </si>
  <si>
    <t>D:\dev\integration\content\routing\eoam\ui\Views\EoamStartLckForm.Designer.cs</t>
  </si>
  <si>
    <t>D:\dev\integration\content\traffic\l4l7\ui\View\XmppvJ\XmppvJClientProfileView.Designer.cs</t>
  </si>
  <si>
    <t>D:\dev\integration\content\traffic\l4l7\ui\Controls\VideoServerClipFileSelectionEditor.Designer.cs</t>
  </si>
  <si>
    <t>D:\dev\integration\content\traffic\l4l7\ui\Forms\QoSEditorForm.Designer.cs</t>
  </si>
  <si>
    <t>D:\dev\integration\content\traffic\l4l7\ui\Forms\VideoServerClipFileManagerForm.Designer.cs</t>
  </si>
  <si>
    <t>D:\dev\integration\content\traffic\l4l7\ui\Forms\XmppvJ\CapabilityFilesManagerForm.Designer.cs</t>
  </si>
  <si>
    <t>D:\dev\integration\framework\ui\CorePlugin\Wizards\CreateNewViewWizard\SelectBaseTypePage.Designer.cs</t>
  </si>
  <si>
    <t>D:\dev\integration\framework\ui\CorePlugin\Wizards\CreateNewViewWizard\SelectKindPage.Designer.cs</t>
  </si>
  <si>
    <t>D:\dev\integration\framework\ui\CorePlugin\Wizards\CreateNewViewWizard\WhereConditionPage.Designer.cs</t>
  </si>
  <si>
    <t>D:\dev\integration\framework\ui\CorePlugin\Wizards\DeviceGenWizard\DeviceGenSelectProtoPage.Designer.cs</t>
  </si>
  <si>
    <t>D:\dev\integration\framework\ui\CorePlugin\Wizards\PortRelocationWizard\PortRelocationWizard.Designer.cs</t>
  </si>
  <si>
    <t>D:\dev\integration\framework\ui\CorePlugin\Views\ColumnPicker\ColumnPicker.cs</t>
  </si>
  <si>
    <t>D:\dev\integration\content\access\dhcpv6\ui\Commands\Dhcpv6ReleaseCommand.cs</t>
  </si>
  <si>
    <t>D:\dev\integration\content\routing\lisp\ui\ProxyObjects\LispIpv4SiteConfigProxy.cs</t>
  </si>
  <si>
    <t>D:\dev\integration\framework\ui\CorePlugin\Commands\EditProtocolChildCommand.cs</t>
  </si>
  <si>
    <t>D:\dev\integration\content\traffic\l2l3\ui\View\SonetAdvancedConfig.cs</t>
  </si>
  <si>
    <t>D:\dev\integration\content\routing\ldp\ui\Forms\LdpMacAddrListEditor.cs</t>
  </si>
  <si>
    <t>D:\dev\integration\content\tripleplay\iptv\ui\Wizard\IptvTestMulticastGroupsRealWorldStepControl.Designer.cs</t>
  </si>
  <si>
    <t>D:\dev\integration\content\tripleplay\iptv\ui\Wizard\IptvTestMulticastChannelPortsStepControl.Designer.cs</t>
  </si>
  <si>
    <t>D:\dev\integration\framework\ui\CAB\Workspaces\StcDeckWorkspace.cs</t>
  </si>
  <si>
    <t>D:\dev\integration\content\tripleplay\iptv\ui\Wizard\IptvWizardDescriptionPage.Designer.cs</t>
  </si>
  <si>
    <t>D:\dev\integration\framework\ui\CorePlugin\ChartUtils.cs</t>
  </si>
  <si>
    <t>D:\dev\integration\framework\ui\CorePlugin\Commands\ResultViewGridCommand.cs</t>
  </si>
  <si>
    <t>D:\dev\integration\content\routing\synce\ui\SyncEthInteractiveWorkItemExtension.cs</t>
  </si>
  <si>
    <t>D:\dev\integration\framework\ui\CorePlugin\Forms\ImportPerspectiveResultViewForm.Designer.cs</t>
  </si>
  <si>
    <t>D:\dev\integration\framework\ui\CorePlugin\Forms\GtwyModifierForm.Designer.cs</t>
  </si>
  <si>
    <t>D:\dev\integration\framework\ui\CorePlugin\Forms\DuplicateBlockAddressesForm.Designer.cs</t>
  </si>
  <si>
    <t>D:\dev\integration\framework\ui\CorePlugin\Forms\CustomizeResultViewForm.Designer.cs</t>
  </si>
  <si>
    <t>D:\dev\integration\content\sample\cars\ui\Controls\CarInstancePage.cs</t>
  </si>
  <si>
    <t>D:\dev\integration\framework\ui\CAB\Commands\FileOpenCommand.cs</t>
  </si>
  <si>
    <t>D:\dev\integration\content\routing\mplstpoam\ui\Control\MplsTpOamStartTstCommandControl.cs</t>
  </si>
  <si>
    <t>D:\dev\integration\framework\ui\CAB\LogMonitor.cs</t>
  </si>
  <si>
    <t>D:\dev\integration\content\traffictests\dcb\ui\ProxyObjects\DcbPfcTestCaseConfigProxy.cs</t>
  </si>
  <si>
    <t>D:\dev\integration\framework\ui\CorePlugin\LaunchWindow\PortDevicePage.cs</t>
  </si>
  <si>
    <t>D:\dev\integration\content\traffictests\benchmarking\ui\Data\QoS Record\QosRecord.cs</t>
  </si>
  <si>
    <t>D:\dev\integration\content\traffictests\benchmarking\ui\Data\Protocols\ProtocolsDataView.cs</t>
  </si>
  <si>
    <t>D:\dev\integration\content\traffictests\dcb\ui\Common\Wizard\DcbWizardBase.cs</t>
  </si>
  <si>
    <t>D:\dev\integration\content\traffictests\dcb\ui\ProxyObjects\DcbForwardingTestCaseConfigProxy.cs</t>
  </si>
  <si>
    <t>D:\dev\integration\framework\ui\CorePlugin\Views\LandingPage\LandingPage.cs</t>
  </si>
  <si>
    <t>D:\dev\integration\framework\ui\CorePlugin\LaunchWindow\PowerModeReservePortsPage.cs</t>
  </si>
  <si>
    <t>D:\dev\integration\framework\ui\Utils\ShellCommand.cs</t>
  </si>
  <si>
    <t>D:\dev\integration\content\routing\eoam\ui\EoamInteractiveWorkItemExtension.cs</t>
  </si>
  <si>
    <t>D:\dev\integration\content\traffictests\dcb\ui\Common\View\SelectDeviceView.cs</t>
  </si>
  <si>
    <t>D:\dev\integration\content\traffictests\benchmarking\ui\RfcTestEx\Panel\RfcCongestionTrafficPanel.cs</t>
  </si>
  <si>
    <t>D:\dev\integration\content\traffic\l2l3\ui\View\PfcSettingsForm.Designer.cs</t>
  </si>
  <si>
    <t>D:\dev\integration\content\traffic\l2l3\ui\View\PortConfigInteractivePageBase.Designer.cs</t>
  </si>
  <si>
    <t>D:\dev\integration\content\traffic\l2l3\ui\View\PortConfigView.Designer.cs</t>
  </si>
  <si>
    <t>D:\dev\integration\content\traffic\l2l3\ui\View\PortConfigView10100GigGeneral.Designer.cs</t>
  </si>
  <si>
    <t>D:\dev\integration\content\traffic\l2l3\ui\View\PortConfigView10GigGeneral.Designer.cs</t>
  </si>
  <si>
    <t>D:\dev\integration\content\traffic\l2l3\ui\View\PortConfigView10GigWan.Designer.cs</t>
  </si>
  <si>
    <t>D:\dev\integration\content\access\dhcpv4\ui\Commands\NewPoolCommand.cs</t>
  </si>
  <si>
    <t>D:\dev\integration\content\access\ancp\ui\Controls\AncpUnMapSubscriberCommandEditor.cs</t>
  </si>
  <si>
    <t>D:\dev\integration\content\access\ancp\ui\Controls\AncpTlvControl.cs</t>
  </si>
  <si>
    <t>D:\dev\integration\content\routing\pim\ui\Commands\SwitchTrafficToDataMdtCommand.cs</t>
  </si>
  <si>
    <t>D:\dev\integration\framework\ui\CorePlugin\Sequencer\Controls\CommandEditors\SequencerGotoCommandEditor.cs</t>
  </si>
  <si>
    <t>D:\dev\integration\framework\ui\CorePlugin\Sequencer\Controls\CommandEditors\VerifyResultsValueChainedConditionCommandEditor.cs</t>
  </si>
  <si>
    <t>D:\dev\integration\framework\ui\PDUEditor\Views\CustomEditor.cs</t>
  </si>
  <si>
    <t>D:\dev\integration\framework\ui\CorePlugin\Commands\NewProxyCommand.cs</t>
  </si>
  <si>
    <t>D:\dev\integration\content\routing\stp\ui\Commands\EditMstpBridgePortConfigCommand.cs</t>
  </si>
  <si>
    <t>D:\dev\integration\framework\ui\DebugPlugin\Views\PresentationModelBrowser.cs</t>
  </si>
  <si>
    <t>D:\dev\integration\framework\ui\CorePlugin\Views\BrowserView\BrowserTreeModel.cs</t>
  </si>
  <si>
    <t>D:\dev\integration\content\storage\vepa\ui\VepaInteractiveWorkItemExtension.cs</t>
  </si>
  <si>
    <t>D:\dev\integration\content\access\dhcpv4\ui\Commands\Dhcpv4ServerApplyDefaultPoolAddressCommand.cs</t>
  </si>
  <si>
    <t>D:\dev\integration\content\routing\rip\ui\Commands\NewIpRouteCommand.cs</t>
  </si>
  <si>
    <t>D:\dev\integration\content\traffictests\benchmarking\ui\BenchmarkingRfc3918WorkItemExtenstion.cs</t>
  </si>
  <si>
    <t>D:\dev\integration\content\traffictests\benchmarking\ui\Wizard\AbstarctBenchmarkingWizard.cs</t>
  </si>
  <si>
    <t>D:\dev\integration\content\traffic\l2l3\ui\View\AnalyzerHistogramView.Designer.cs</t>
  </si>
  <si>
    <t>D:\dev\integration\framework\ui\BLLInterface\DataModel\ProxyMetaCache.cs</t>
  </si>
  <si>
    <t>D:\dev\integration\framework\ui\Utils\Data\CompositeBindingList.cs</t>
  </si>
  <si>
    <t>D:\dev\integration\content\admin\admin\ui\Equipment\EquipmentMgmtWorkItemExtension.cs</t>
  </si>
  <si>
    <t>D:\dev\integration\content\tripleplay\vqana\ui\Views\VqAnalyzerOptionsView.cs</t>
  </si>
  <si>
    <t>D:\dev\integration\content\tripleplay\iptv\ui\Wizard\IptvTestConfigurationStepControl.cs</t>
  </si>
  <si>
    <t>D:\dev\integration\content\routing\rtgwizard\ui\Wizard\FRR\FrrExternalProcessCommandUserCtrl.cs</t>
  </si>
  <si>
    <t>D:\dev\integration\content\traffic\l2l3\ui\View\FormPreviewGoto.Designer.cs</t>
  </si>
  <si>
    <t>D:\dev\integration\content\traffic\l2l3\ui\View\FormProtocolQoS.Designer.cs</t>
  </si>
  <si>
    <t>D:\dev\integration\content\traffic\l2l3\ui\View\FormPFCResult.Designer.cs</t>
  </si>
  <si>
    <t>D:\dev\integration\content\traffic\l2l3\ui\View\FormPreview.Designer.cs</t>
  </si>
  <si>
    <t>D:\dev\integration\content\traffic\l2l3\ui\View\FormEditLoadOnly.Designer.cs</t>
  </si>
  <si>
    <t>D:\dev\integration\content\traffic\l2l3\ui\View\FormNetworkSelection.Designer.cs</t>
  </si>
  <si>
    <t>D:\dev\integration\content\traffic\l2l3\ui\View\AnalyzerQosSettingView.Designer.cs</t>
  </si>
  <si>
    <t>D:\dev\integration\content\traffic\l2l3\ui\View\FormEditLoadList.Designer.cs</t>
  </si>
  <si>
    <t>D:\dev\integration\content\routing\linkoam\ui\LinkOamInteractiveWorkItemExtension.cs</t>
  </si>
  <si>
    <t>D:\dev\integration\content\traffic\l2l3\ui\Control\PageWizardFrame.Designer.cs</t>
  </si>
  <si>
    <t>D:\dev\integration\content\traffic\l2l3\ui\Control\PageStreamGroups.Designer.cs</t>
  </si>
  <si>
    <t>D:\dev\integration\content\traffic\l2l3\ui\Control\PageEditIMIX.Designer.cs</t>
  </si>
  <si>
    <t>D:\dev\integration\content\traffic\l2l3\ui\Control\PageStreamFrame.Designer.cs</t>
  </si>
  <si>
    <t>D:\dev\integration\content\mcast\mcastcore\ui\McastcoreInteractiveWorkItemExtension.cs</t>
  </si>
  <si>
    <t>D:\dev\integration\content\routing\linkoam\ui\Commands\ActivateLinkOamCommand.cs</t>
  </si>
  <si>
    <t>D:\dev\integration\framework\ui\CorePlugin\Views\LandingPage\RecentFiles.cs</t>
  </si>
  <si>
    <t>D:\dev\integration\content\access\dhcpv4\ui\ProxyObjects\Dhcpv4ServerDefaultPoolConfigProxy.cs</t>
  </si>
  <si>
    <t>D:\dev\integration\framework\ui\BLLInterface\ProxyObjects\DynamicResultViewProxy.cs</t>
  </si>
  <si>
    <t>D:\dev\integration\content\traffictests\benchmarking\ui\RfcTestEx\Commands\RfcTestCreateDeviceCommand.cs</t>
  </si>
  <si>
    <t>D:\dev\integration\content\routing\linkoam\ui\Views\LinkOamVariableRequestsForm.Designer.cs</t>
  </si>
  <si>
    <t>D:\dev\integration\framework\ui\CorePlugin\Views\DefaultInstanceSmartPart.cs</t>
  </si>
  <si>
    <t>D:\dev\integration\content\traffic\l2l3\ui\View\HighResolutionPortConfigView.cs</t>
  </si>
  <si>
    <t>D:\dev\integration\content\routing\pim\ui\Controls\PimGlobalOptions.cs</t>
  </si>
  <si>
    <t>D:\dev\integration\framework\ui\BLLInterface\DataModel\ProxyFactory.cs</t>
  </si>
  <si>
    <t>D:\dev\integration\content\tripleplay\vqana\ui\Wizard\VqAnaActiveChannelConfigPage.Designer.cs</t>
  </si>
  <si>
    <t>D:\dev\integration\content\traffic\l2l3\ui\View\GeneratorStreamBlockConfigView.Designer.cs</t>
  </si>
  <si>
    <t>D:\dev\integration\content\traffic\l2l3\ui\Commands\PreviewStreamBlockCommand.cs</t>
  </si>
  <si>
    <t>D:\dev\integration\content\traffic\l2l3\ui\Commands\ManualScheduleDisplayCommand.cs</t>
  </si>
  <si>
    <t>D:\dev\integration\content\traffic\l2l3\ui\Commands\EditStreamBlockCommand.cs</t>
  </si>
  <si>
    <t>D:\dev\integration\content\access\dhcpv4\ui\View\RelayAgentHostCountEditor.cs</t>
  </si>
  <si>
    <t>D:\dev\integration\content\access\dhcpv4\ui\View\OptionSelectionForm.cs</t>
  </si>
  <si>
    <t>D:\dev\integration\framework\ui\CAB\PresentationModel\PresentationModel.cs</t>
  </si>
  <si>
    <t>D:\dev\integration\content\traffic\l4l7\ui\Commands\EditClientLoadProfileCommand.cs</t>
  </si>
  <si>
    <t>D:\dev\integration\content\traffic\l4l7\ui\Commands\Dpg\SaveDpgPlaylistCommand.cs</t>
  </si>
  <si>
    <t>D:\dev\integration\content\traffic\l4l7\ui\Commands\Dpg\ManageAllPlaylistsFormCommand.cs</t>
  </si>
  <si>
    <t>D:\dev\integration\content\traffictests\benchmarking\ui\Control\Panel\Topo\BackbonePanelwMonitor.cs</t>
  </si>
  <si>
    <t>D:\dev\integration\content\traffictests\benchmarking\ui\Control\Panel\Topo\PairPanelwMonitor.cs</t>
  </si>
  <si>
    <t>D:\dev\integration\content\traffictests\benchmarking\ui\Control\Panel\Topo\FullyMeshPanelwMonitor.cs</t>
  </si>
  <si>
    <t>D:\dev\integration\content\sample\cars\ui\Controls\RunDiagnosticTestCommandEditor.cs</t>
  </si>
  <si>
    <t>D:\dev\integration\content\sample\cars\ui\Controls\GenerateChildrenOnEditCommandEditor.cs</t>
  </si>
  <si>
    <t>D:\dev\integration\content\traffictests\benchmarking\ui\Control\Editors\Rfc2544\Rfc2544FrameLossCommandEditor.cs</t>
  </si>
  <si>
    <t>D:\dev\integration\content\routing\linkoam\ui\Controls\LinkOamCriticalEventsSelectionEditor.cs</t>
  </si>
  <si>
    <t>D:\dev\integration\content\routing\linkoam\ui\Controls\LinkOamTxOptionsSelectionEditor.cs</t>
  </si>
  <si>
    <t>D:\dev\integration\content\routing\isis\ui\NeighborsTEParams.cs</t>
  </si>
  <si>
    <t>D:\dev\integration\content\routing\linkoam\ui\Commands\StartVariableRequestCommand.cs</t>
  </si>
  <si>
    <t>D:\dev\integration\content\traffictests\benchmarking\ui\Control\Panel\Profiles\Rfc2544\Rfc2544RateProfilesPanel.cs</t>
  </si>
  <si>
    <t>D:\dev\integration\content\traffictests\dcb\ui\Common\View\Traffic\StandardTrafficView.cs</t>
  </si>
  <si>
    <t>D:\dev\integration\content\routing\isis\ui\Commands\NewPerPduAuthenticationParamsCommand.cs</t>
  </si>
  <si>
    <t>D:\dev\integration\content\routing\lacp\ui\Commands\NewLacpProtocol.cs</t>
  </si>
  <si>
    <t>D:\dev\integration\framework\ui\CorePlugin\Sequencer\Controls\CommandEditors\VerifyResultsCounterSelector.cs</t>
  </si>
  <si>
    <t>D:\dev\integration\content\routing\rtgwizard\ui\Wizard\SPB\SpbTestWizard.cs</t>
  </si>
  <si>
    <t>D:\dev\integration\content\routing\rtgwizard\ui\Wizard\Mcast\McastRoutingWizard.cs</t>
  </si>
  <si>
    <t>D:\dev\integration\content\routing\rtgwizard\ui\Wizard\Convergence\ConvergenceWizard.cs</t>
  </si>
  <si>
    <t>D:\dev\integration\content\routing\rtgwizard\ui\Wizard\RSVP\BasicRsvpWizard.cs</t>
  </si>
  <si>
    <t>D:\dev\integration\content\routing\eoam\ui\Wizard\EoamGenWizard.cs</t>
  </si>
  <si>
    <t>D:\dev\integration\content\routing\rip\ui\Wizard\RouteTopology\RipRouteGenWizard.cs</t>
  </si>
  <si>
    <t>D:\dev\integration\framework\ui\CAB\TechnologySelector\TechnologySelector.cs</t>
  </si>
  <si>
    <t>D:\dev\integration\content\routing\linkoam\ui\Views\LinkOamVariableRequestsForm.cs</t>
  </si>
  <si>
    <t>D:\dev\integration\content\routing\eoam\ui\Views\MacAddressForm.cs</t>
  </si>
  <si>
    <t>D:\dev\integration\content\traffictests\benchmarking\ui\RfcTestEx\Panel\TrafficLoadWeightGrid.cs</t>
  </si>
  <si>
    <t>D:\dev\integration\framework\ui\UICore\Utils\CommonModifierHelper.cs</t>
  </si>
  <si>
    <t>D:\dev\integration\framework\ui\PDUEditor\UserControls\PDUDefSelectorForm.Designer.cs</t>
  </si>
  <si>
    <t>D:\dev\integration\framework\ui\PDUEditor\UserControls\SaveTemplateView.cs</t>
  </si>
  <si>
    <t>D:\dev\integration\framework\ui\PDUEditor\Modifiers\GtwyModifierForm.Designer.cs</t>
  </si>
  <si>
    <t>D:\dev\integration\framework\ui\PDUEditor\Modifiers\PduIfModifierForm.Designer.cs</t>
  </si>
  <si>
    <t>D:\dev\integration\framework\ui\PDUEditor\UserControls\ButtonBricks.Designer.cs</t>
  </si>
  <si>
    <t>D:\dev\integration\content\access\ancp\ui\Commands\AncpLoopEditCommand.cs</t>
  </si>
  <si>
    <t>D:\dev\integration\framework\ui\CorePlugin\Commands\FillIncrementCommand.cs</t>
  </si>
  <si>
    <t>D:\dev\integration\content\admin\admin\ui\Licensing\Commands\InstallLicenseCommand.cs</t>
  </si>
  <si>
    <t>D:\dev\integration\content\traffic\l2l3\ui\ProxyObjects\HighResolutionSamplingPortConfigProxy.cs</t>
  </si>
  <si>
    <t>D:\dev\integration\content\traffic\l2l3\ui\ProxyObjects\TimedResultLoggingStartCommandProxy.cs</t>
  </si>
  <si>
    <t>D:\dev\integration\framework\ui\CAB\Forms\PerspectiveConfigSelectForm.Designer.cs</t>
  </si>
  <si>
    <t>D:\dev\integration\framework\ui\CAB\Forms\FileTransferForm.Designer.cs</t>
  </si>
  <si>
    <t>D:\dev\integration\framework\ui\CAB\Forms\FileTransferControl.Designer.cs</t>
  </si>
  <si>
    <t>D:\dev\integration\framework\ui\CAB\Forms\ExitingForm.Designer.cs</t>
  </si>
  <si>
    <t>D:\dev\integration\framework\ui\CAB\Forms\ErrorForm.designer.cs</t>
  </si>
  <si>
    <t>D:\dev\integration\content\tripleplay\vqana\ui\Views\VqDynamicPayloadConfigForm.cs</t>
  </si>
  <si>
    <t>D:\dev\integration\framework\ui\CorePlugin\Commands\CopyViewClipboardCommand.cs</t>
  </si>
  <si>
    <t>D:\dev\integration\framework\ui\CAB\Workspaces\StcTabWorkspace.cs</t>
  </si>
  <si>
    <t>D:\dev\integration\content\routing\isis\ui\Forms\IsisRouterPlsbLinkMetricForm.cs</t>
  </si>
  <si>
    <t>D:\dev\integration\content\routing\eoam\ui\Views\EoamPreviewNextHopsForm.cs</t>
  </si>
  <si>
    <t>D:\dev\integration\content\traffictests\benchmarking\ui\RfcTestEx\View\Rfc2544\Rfc2544Ipv6ParamsView.Designer.cs</t>
  </si>
  <si>
    <t>D:\dev\integration\content\traffictests\benchmarking\ui\RfcTestEx\View\Rfc2544\Rfc2544LatencyParamsView.Designer.cs</t>
  </si>
  <si>
    <t>D:\dev\integration\content\traffictests\benchmarking\ui\RfcTestEx\Panel\TrafficLoadWeightGrid.Designer.cs</t>
  </si>
  <si>
    <t>D:\dev\integration\framework\ui\CorePlugin\Wizards\DeviceGenWizard\DeviceGenStepForm.cs</t>
  </si>
  <si>
    <t>D:\dev\integration\content\routing\rtgwizard\ui\Wizard\FRR\FrrWizard.cs</t>
  </si>
  <si>
    <t>D:\dev\integration\content\routing\rtgwizard\ui\Wizard\LDP\BasicLdpWizard.cs</t>
  </si>
  <si>
    <t>D:\dev\integration\content\access\dhcpv6\ui\Commands\NewPoolCommand.cs</t>
  </si>
  <si>
    <t>D:\dev\integration\content\access\dhcpv6\ui\View\HomeGatewayDeviceCountEditor.cs</t>
  </si>
  <si>
    <t>D:\dev\integration\framework\ui\CorePlugin\Editors\EditTags.cs</t>
  </si>
  <si>
    <t>D:\dev\integration\framework\ui\EOTResultViewPlugin\DbGridView.Designer.cs</t>
  </si>
  <si>
    <t>D:\dev\integration\framework\ui\PDUEditor\Forms\InterfaceForm.Designer.cs</t>
  </si>
  <si>
    <t>D:\dev\integration\framework\ui\DebugPlugin\Views\TclShell.Designer.cs</t>
  </si>
  <si>
    <t>D:\dev\integration\framework\ui\PDUEditor\Forms\NewStreamForm.Designer.cs</t>
  </si>
  <si>
    <t>D:\dev\integration\framework\ui\PDUEditor\Forms\TemplateLibraryForm.Designer.cs</t>
  </si>
  <si>
    <t>D:\dev\integration\framework\ui\PDUEditor\Forms\TosDiffServForm.Designer.cs</t>
  </si>
  <si>
    <t>D:\dev\integration\framework\ui\CorePlugin\Views\DynamicResultView\DynamicResultTableView.cs</t>
  </si>
  <si>
    <t>D:\dev\integration\content\routing\pim\ui\Controls\PimSwitchTrafficCommandEditor.cs</t>
  </si>
  <si>
    <t>D:\dev\integration\content\traffic\l2l3\ui\View\ResultOptionsConfigView.cs</t>
  </si>
  <si>
    <t>D:\dev\integration\content\access\ancp\ui\Controls\AncpAbortCommandEditor.cs</t>
  </si>
  <si>
    <t>D:\dev\integration\framework\ui\WizardSample\SampleStepControl2.Designer.cs</t>
  </si>
  <si>
    <t>D:\dev\integration\framework\ui\WizardSample\SampleStepControl3.Designer.cs</t>
  </si>
  <si>
    <t>D:\dev\integration\framework\ui\WizardSample\SampleWizardDescription.Designer.cs</t>
  </si>
  <si>
    <t>D:\dev\integration\content\routing\rtgwizard\ui\ProxyObjects\McastDownstreamIpv6PortParamsProxy.cs</t>
  </si>
  <si>
    <t>D:\dev\integration\content\traffictests\dcb\ui\Common\Panel\AssignStreamblocksPanel.cs</t>
  </si>
  <si>
    <t>D:\dev\integration\content\routing\rtgwizard\ui\ProxyObjects\McastDownstreamIpv4PortParamsProxy.cs</t>
  </si>
  <si>
    <t>D:\dev\integration\content\access\accesstest\ui\Wizard\Stability\AccessPortSelectionPage.cs</t>
  </si>
  <si>
    <t>D:\dev\integration\framework\ui\CorePlugin\Wizards\DeviceGenWizard\DeviceGenConfigVlanPage.cs</t>
  </si>
  <si>
    <t>D:\dev\integration\content\traffic\l2l3\ui\ProxyObjects\GeneratorConfigProxy.cs</t>
  </si>
  <si>
    <t>D:\dev\integration\content\routing\rsvp\ui\Forms\TSpecsEditorForm.designer.cs</t>
  </si>
  <si>
    <t>D:\dev\integration\content\routing\pbbwizard\ui\Wizard\PbbPages\PbbProviderPortsPage.Designer.cs</t>
  </si>
  <si>
    <t>D:\dev\integration\content\routing\pim\ui\Controls\PimGlobalOptions.Designer.cs</t>
  </si>
  <si>
    <t>D:\dev\integration\framework\ui\CAB\Forms\StcMessageBox.Designer.cs</t>
  </si>
  <si>
    <t>D:\dev\integration\framework\ui\CAB\Forms\UserNotesForm.Designer.cs</t>
  </si>
  <si>
    <t>D:\dev\integration\framework\ui\CAB\Forms\UserDataPathForm.Designer.cs</t>
  </si>
  <si>
    <t>D:\dev\integration\content\traffic\l2l3\ui\Commands\RegisterOpenTemplateCommand.cs</t>
  </si>
  <si>
    <t>D:\dev\integration\content\traffic\l2l3\ui\Commands\RegisterL2TestSaveTemplateCommand.cs</t>
  </si>
  <si>
    <t>D:\dev\integration\content\traffic\l2l3\ui\Commands\RegisterAddRegisterCommand.cs</t>
  </si>
  <si>
    <t>D:\dev\integration\content\routing\isis\ui\Commands\NewLspCommand.cs</t>
  </si>
  <si>
    <t>D:\dev\integration\content\admin\admin\ui\Licensing\Commands\GetLicensesCommand.cs</t>
  </si>
  <si>
    <t>D:\dev\integration\content\traffictests\custom\ui\Control\Editor\IterateComboCommandEditor.cs</t>
  </si>
  <si>
    <t>D:\dev\integration\framework\ui\CorePlugin\Views\ResultGridPanel.cs</t>
  </si>
  <si>
    <t>D:\dev\integration\framework\ui\CorePlugin\Views\LandingPage\ReservePortSets.cs</t>
  </si>
  <si>
    <t>D:\dev\integration\framework\ui\CorePlugin\Views\LandingPage\ReservePorts.cs</t>
  </si>
  <si>
    <t>D:\dev\integration\content\traffictests\benchmarking\ui\State\Rfc2544\Rfc2544ThroughputWizStateCtx.cs</t>
  </si>
  <si>
    <t>D:\dev\integration\content\sample\cars\ui\ProxyObjects\EngineProxy.cs</t>
  </si>
  <si>
    <t>D:\dev\integration\framework\ui\CorePlugin\Commands\AddDrvFilterCommand.cs</t>
  </si>
  <si>
    <t>D:\dev\integration\framework\ui\CorePlugin\Nodes\DynamicResultQueryPresentationNode.cs</t>
  </si>
  <si>
    <t>D:\dev\integration\content\tripleplay\vqana\ui\Wizard\VqAnaActiveHostConfigPage.Designer.cs</t>
  </si>
  <si>
    <t>D:\dev\integration\framework\ui\CAB\Services\XmlValidationHelper.cs</t>
  </si>
  <si>
    <t>D:\dev\integration\content\routing\lacp\ui\Commands\DeleteLacpProtocol.cs</t>
  </si>
  <si>
    <t>D:\dev\integration\content\routing\lacp\ui\Commands\EditLacpGroupCommand.cs</t>
  </si>
  <si>
    <t>D:\dev\integration\framework\ui\CorePlugin\Views\BrowserView\BrowserNormalInputState.cs</t>
  </si>
  <si>
    <t>D:\dev\integration\content\routing\rtgcore\ui\ProxyObjects\RouterConfigProxy.cs</t>
  </si>
  <si>
    <t>D:\dev\integration\framework\ui\UICore\Controls\Forms\ImportListView.designer.cs</t>
  </si>
  <si>
    <t>D:\dev\integration\framework\ui\UICore\Controls\Forms\InterfaceModifierForm.Designer.cs</t>
  </si>
  <si>
    <t>D:\dev\integration\framework\ui\UICore\Controls\Grid\FillService\FillForm.Designer.cs</t>
  </si>
  <si>
    <t>D:\dev\integration\framework\ui\UICore\Controls\Grid\StcGrid.Designer.cs</t>
  </si>
  <si>
    <t>D:\dev\integration\framework\ui\UICore\Controls\Forms\ModifierForm.Designer.cs</t>
  </si>
  <si>
    <t>D:\dev\integration\content\traffictests\benchmarking\ui\RfcTestEx\Panel\EndpointFilterPanel.cs</t>
  </si>
  <si>
    <t>D:\dev\integration\content\access\l2tp\ui\View\L2tpHostCountEditor.cs</t>
  </si>
  <si>
    <t>D:\dev\integration\content\routing\rtgcore\ui\Forms\RouterOrderForm.Designer.cs</t>
  </si>
  <si>
    <t>D:\dev\integration\content\traffic\l2l3\ui\ProxyObjects\HighResolutionSamplingStreamBlockConfigProxy.cs</t>
  </si>
  <si>
    <t>D:\dev\integration\content\traffictests\custom\ui\Control\Editor\ConditionalStreamResultsWaitCommandEditor.cs</t>
  </si>
  <si>
    <t>D:\dev\integration\framework\ui\CorePlugin\Data\UserDefaultsDataManager.cs</t>
  </si>
  <si>
    <t>D:\dev\integration\framework\ui\CorePlugin\Controls\AddChartCounterControl.Designer.cs</t>
  </si>
  <si>
    <t>D:\dev\integration\framework\ui\CAB\TechnologySelector\TechnologySelector.designer.cs</t>
  </si>
  <si>
    <t>D:\dev\integration\content\traffictests\benchmarking\ui\RfcTestEx\Panel\IPHeaderPanelEx.cs</t>
  </si>
  <si>
    <t>D:\dev\integration\content\traffictests\benchmarking\ui\Control\Panel\Header\IPHeaderPanel.cs</t>
  </si>
  <si>
    <t>D:\dev\integration\framework\ui\CorePlugin\Wizards\DeviceGenWizard\DeviceGenConfigGroupPage.cs</t>
  </si>
  <si>
    <t>D:\dev\integration\content\traffic\l4l7\ui\Commands\Cifs\EditCifsClientProfileCommand.cs</t>
  </si>
  <si>
    <t>D:\dev\integration\content\traffic\l4l7\ui\Commands\CreateClientLoadProfileCommand.cs</t>
  </si>
  <si>
    <t>D:\dev\integration\content\storage\csmp\ui\CsmpInteractiveWorkItemExtension.cs</t>
  </si>
  <si>
    <t>D:\dev\integration\content\access\dhcpv6\ui\Commands\Dhcpv6StartServerCommand.cs</t>
  </si>
  <si>
    <t>D:\dev\integration\content\access\dhcpv6\ui\Commands\Dhcpv6ShowSessionInfoCommand.cs</t>
  </si>
  <si>
    <t>D:\dev\integration\content\access\dhcpv6\ui\Commands\Dhcpv6StopServerCommand.cs</t>
  </si>
  <si>
    <t>D:\dev\integration\content\access\accesstest\ui\Wizard\AncpAcccessLoopGen\AncpAccessLoopTlvPage.Designer.cs</t>
  </si>
  <si>
    <t>D:\dev\integration\content\access\accesstest\ui\Wizard\AccessConcentrator\AccessConcentratorSelectPortsPage.Designer.cs</t>
  </si>
  <si>
    <t>D:\dev\integration\content\access\ancp\ui\Controls\AncpAccessLoopEditor.Designer.cs</t>
  </si>
  <si>
    <t>D:\dev\integration\content\access\accesstest\ui\Wizard\Stability\AccessStabilityEndPtPage.Designer.cs</t>
  </si>
  <si>
    <t>D:\dev\integration\content\traffic\l2l3\ui\Control\SetCounterGroupCommandEditor.cs</t>
  </si>
  <si>
    <t>D:\dev\integration\content\access\accesstest\ui\Wizard\AccessConcentrator\AccessConcentratorEndPtPage.Designer.cs</t>
  </si>
  <si>
    <t>D:\dev\integration\content\access\ancp\ui\Controls\AncpLineProfileEditor.Designer.cs</t>
  </si>
  <si>
    <t>D:\dev\integration\framework\ui\CorePlugin\Commands\ShowDeviceWizardCommand.cs</t>
  </si>
  <si>
    <t>D:\dev\integration\framework\ui\CorePlugin\Commands\SelectTechnologiesCommand.cs</t>
  </si>
  <si>
    <t>D:\dev\integration\content\tripleplay\vqana\ui\VqAnaInteractiveWorkItemExtension.cs</t>
  </si>
  <si>
    <t>D:\dev\integration\content\learning\arp\ui\Commands\GetResolvedMACAddressForHostsCommand.cs</t>
  </si>
  <si>
    <t>D:\dev\integration\content\learning\arp\ui\Commands\GetResolvedMACAddressForRoutersCommand.cs</t>
  </si>
  <si>
    <t>D:\dev\integration\framework\ui\CorePlugin\Controls\MapProxyControl.Designer.cs</t>
  </si>
  <si>
    <t>D:\dev\integration\framework\ui\CorePlugin\Controls\UserDefaultsSelector.Designer.cs</t>
  </si>
  <si>
    <t>D:\dev\integration\content\access\dot1x\ui\View\Dot1xPortOptions.cs</t>
  </si>
  <si>
    <t>D:\dev\integration\framework\ui\CAB\Forms\SaveAsScriptOptionsForm.cs</t>
  </si>
  <si>
    <t>D:\dev\integration\content\traffic\l2l3\ui\Commands\CopyAllFiltersToPortsCommand.cs</t>
  </si>
  <si>
    <t>D:\dev\integration\content\traffic\l2l3\ui\Commands\CopyToGeneratorConfigsCommmand.cs</t>
  </si>
  <si>
    <t>D:\dev\integration\framework\ui\CorePlugin\Views\PropertiesView.cs</t>
  </si>
  <si>
    <t>D:\dev\integration\content\traffic\l4l7\ui\ProxyObjects\FtpClientProtocolConfigProxy.cs</t>
  </si>
  <si>
    <t>D:\dev\integration\content\traffic\l4l7\ui\ProxyObjects\HttpClientProtocolConfigProxy.cs</t>
  </si>
  <si>
    <t>D:\dev\integration\framework\ui\CorePlugin\Views\BrowserView\BrowserTreeNode.cs</t>
  </si>
  <si>
    <t>D:\dev\integration\content\routing\eoam\ui\Controls\EoamOptionsControl.Designer.cs</t>
  </si>
  <si>
    <t>D:\dev\integration\content\routing\eoam\ui\Controls\EoamChangeRxEnableCommandControl.Designer.cs</t>
  </si>
  <si>
    <t>D:\dev\integration\content\routing\eoam\ui\Controls\EoamStartCcEditorControl.Designer.cs</t>
  </si>
  <si>
    <t>D:\dev\integration\content\routing\eoam\ui\Controls\EoamStartAisEditorControl.Designer.cs</t>
  </si>
  <si>
    <t>D:\dev\integration\content\routing\eoam\ui\Controls\EoamPortControl.Designer.cs</t>
  </si>
  <si>
    <t>D:\dev\integration\content\routing\eoam\ui\Controls\EoamStartCcGroupEditorControl.Designer.cs</t>
  </si>
  <si>
    <t>D:\dev\integration\framework\ui\CorePlugin\Commands\PerspectiveLoadCommand.cs</t>
  </si>
  <si>
    <t>D:\dev\integration\framework\ui\CorePlugin\Commands\PerspectiveSaveCommand.cs</t>
  </si>
  <si>
    <t>D:\dev\integration\framework\ui\CorePlugin\Commands\PerspectiveDeleteCommand.cs</t>
  </si>
  <si>
    <t>D:\dev\integration\framework\ui\CorePlugin\Commands\RelocateAllPortsCommand.cs</t>
  </si>
  <si>
    <t>D:\dev\integration\content\routing\pbbwizard\ui\Wizard\PbbPages\PbbEoamPage.Designer.cs</t>
  </si>
  <si>
    <t>D:\dev\integration\content\access\pppox\ui\View\PppoL2tpHostCountEditor.cs</t>
  </si>
  <si>
    <t>D:\dev\integration\framework\ui\BLLInterface\DataModel\MetaId.cs</t>
  </si>
  <si>
    <t>D:\dev\integration\framework\ui\UICore\Controls\Grid\ViewServices\FormSort.cs</t>
  </si>
  <si>
    <t>D:\dev\integration\framework\ui\UICore\Controls\Grid\ViewServices\FormGroup.cs</t>
  </si>
  <si>
    <t>D:\dev\integration\framework\ui\UICore\Controls\Grid\ViewServices\FormFilter.cs</t>
  </si>
  <si>
    <t>D:\dev\integration\content\traffictests\benchmarking\ui\State\Rfc2889\Rfc2889CongestionControlWizStateCtx.cs</t>
  </si>
  <si>
    <t>D:\dev\integration\content\traffictests\benchmarking\ui\State\Rfc2889\Rfc2889ErroredFramesFilteringWizStateCtx.cs</t>
  </si>
  <si>
    <t>D:\dev\integration\content\traffictests\benchmarking\ui\State\Rfc2889\Rfc2889ForwardPressureRateWizStateCtx.cs</t>
  </si>
  <si>
    <t>D:\dev\integration\content\traffic\l4l7\ui\Commands\LoadClientLoadProfilesTemplateCommand.cs</t>
  </si>
  <si>
    <t>D:\dev\integration\content\traffic\l4l7\ui\Commands\LoadClientProfilesTemplateCommand.cs</t>
  </si>
  <si>
    <t>D:\dev\integration\content\traffic\l4l7\ui\Commands\LoadServerProfilesTemplateCommand.cs</t>
  </si>
  <si>
    <t>D:\dev\integration\framework\ui\CorePlugin\Editors\TagEditorControl.cs</t>
  </si>
  <si>
    <t>D:\dev\integration\content\tripleplay\iptv\ui\Controls\IptvWizardMcastHostSelectionEditor.cs</t>
  </si>
  <si>
    <t>D:\dev\integration\framework\ui\CAB\Controls\Designers\HorizontalBevelDesigner.cs</t>
  </si>
  <si>
    <t>D:\dev\integration\framework\ui\CAB\Controls\HandleListDropDownPropertyEditor.cs</t>
  </si>
  <si>
    <t>D:\dev\integration\framework\ui\CAB\Controls\MultiLineTextBoxDropDownPropertyEditor.cs</t>
  </si>
  <si>
    <t>D:\dev\integration\framework\ui\CAB\PresentationViews\PresentationForm.cs</t>
  </si>
  <si>
    <t>D:\dev\integration\content\storage\vic\ui\Controls\VicVifsCommandEditor.cs</t>
  </si>
  <si>
    <t>D:\dev\integration\content\storage\vic\ui\Controls\VicDevicesCommandEditor.cs</t>
  </si>
  <si>
    <t>D:\dev\integration\content\routing\bgp\ui\Wizard\ImportRouteTable\ImportRouteTableWizard.cs</t>
  </si>
  <si>
    <t>D:\dev\integration\framework\ui\CAB\Commands\FileOperationsHelper.cs</t>
  </si>
  <si>
    <t>D:\dev\integration\framework\ui\CorePlugin\Editors\EditTagsForm.cs</t>
  </si>
  <si>
    <t>D:\dev\integration\content\traffic\l2l3\ui\Control\pageLoadList.cs</t>
  </si>
  <si>
    <t>D:\dev\integration\content\traffic\l2l3\ui\Commands\ManageTemplateFilterCommand.cs</t>
  </si>
  <si>
    <t>D:\dev\integration\content\traffic\l2l3\ui\Commands\L2TestRestoreLinkCommand.cs</t>
  </si>
  <si>
    <t>D:\dev\integration\content\access\l2tp\ui\Commands\L2tpSessionInfoCommand.cs</t>
  </si>
  <si>
    <t>D:\dev\integration\content\access\dhcpv6\ui\Commands\Dhcpv6AbortCommand.cs</t>
  </si>
  <si>
    <t>D:\dev\integration\content\access\dhcpv6\ui\Commands\Dhcpv6AbortServerCommand.cs</t>
  </si>
  <si>
    <t>D:\dev\integration\content\device\configurator\ui\Forms\SelectDutForm.designer.cs</t>
  </si>
  <si>
    <t>D:\dev\integration\content\device\configurator\ui\Forms\ManageCommandMappingForm.Designer.cs</t>
  </si>
  <si>
    <t>D:\dev\integration\content\device\configurator\ui\Controls\DeviceCommanderOptions.Designer.cs</t>
  </si>
  <si>
    <t>D:\dev\integration\content\device\configurator\ui\Controls\AddDutType.Designer.cs</t>
  </si>
  <si>
    <t>D:\dev\integration\content\device\configurator\ui\Forms\ChangeColumnCaptionForm.Designer.cs</t>
  </si>
  <si>
    <t>D:\dev\integration\content\device\configurator\ui\Forms\AddDutForm.designer.cs</t>
  </si>
  <si>
    <t>D:\dev\integration\framework\ui\CorePlugin\Commands\LinkEncapsulationCommand.cs</t>
  </si>
  <si>
    <t>D:\dev\integration\content\traffic\l2l3\ui\View\AnaTemplateFilterSettingView.Designer.cs</t>
  </si>
  <si>
    <t>D:\dev\integration\content\traffictests\dcb\ui\Common\Panel\QuantaValuePanel.Designer.cs</t>
  </si>
  <si>
    <t>D:\dev\integration\content\traffictests\dcb\ui\Common\Panel\XonDelayPanel.Designer.cs</t>
  </si>
  <si>
    <t>D:\dev\integration\content\traffictests\dcb\ui\Common\Panel\PauseTimePanel.Designer.cs</t>
  </si>
  <si>
    <t>D:\dev\integration\framework\ui\CAB\Commands\FileSaveAsPythonCommand.cs</t>
  </si>
  <si>
    <t>D:\dev\integration\framework\ui\BLLInterface\DataModel\RelationType.cs</t>
  </si>
  <si>
    <t>D:\dev\integration\framework\ui\BLLInterface\DataModel\StcHandle.cs</t>
  </si>
  <si>
    <t xml:space="preserve">Note: #s adjusted as follows: </t>
  </si>
  <si>
    <t>Klocwork Project: integration_UI</t>
  </si>
  <si>
    <t>3/1/13: Yotco project introduced some duplicated issues, new IL baseline will be required once it is fully integrated</t>
  </si>
  <si>
    <t>12/9/12: Klocwork 9.6 version reduced 2079 false positives (1392 IL + 687 BLL)</t>
  </si>
  <si>
    <t xml:space="preserve">4/28/13: IL issues reduced by 66 due to exclusion of softFPGA files from the scan </t>
  </si>
  <si>
    <r>
      <t xml:space="preserve">4/28/13: IL issues increased by 466 due to side effects of CL 640577 (Abhinav </t>
    </r>
    <r>
      <rPr>
        <b/>
        <sz val="8"/>
        <color theme="1"/>
        <rFont val="Calibri"/>
        <family val="2"/>
        <scheme val="minor"/>
      </rPr>
      <t xml:space="preserve">Singhal resolved!)  </t>
    </r>
  </si>
  <si>
    <t xml:space="preserve">5/31/13: IL issues increased by 33 with introduction of C3 targets. </t>
  </si>
  <si>
    <t>11/20/2012: 35 new checkers introduced which added 4684 issues (2791 IL + 1893 BLL) , adjusted history 1/15/12 to 1/14/12</t>
  </si>
  <si>
    <t>Static Analysis Trend :  STC High Impact Defects - STC Integration Branch Since 6/30/13</t>
  </si>
  <si>
    <t>GUI/C++</t>
  </si>
  <si>
    <t>IL/Plugins Goal (15%)</t>
  </si>
  <si>
    <t>Win/BLL Goal (15%)</t>
  </si>
  <si>
    <t>GUI/C++ Goal (15%)</t>
  </si>
  <si>
    <t>Change % since 6/30/13</t>
  </si>
  <si>
    <t>Open GUI/C++ Issues</t>
  </si>
  <si>
    <t xml:space="preserve">7/9/13: Open Adjusted 1/15/12 to 1/14/12 </t>
  </si>
  <si>
    <t>7/9/13: Open Adjusted 1/15/12 to 1/14/13</t>
  </si>
  <si>
    <t>7/9/13: added GUI/C++ data to charts</t>
  </si>
  <si>
    <t>D:\dev\integration\content\traffic\l1\ui\Views\PcsErrorInsertionConfigView.cs</t>
  </si>
  <si>
    <t>D:\dev\integration\content\traffic\l1\ui\L1PortConfigWorkItemExtension.cs</t>
  </si>
  <si>
    <t>D:\dev\integration\content\traffic\l2l3\ui\Commands\StreamThresholdResultDrillDownCommand.cs</t>
  </si>
  <si>
    <t>D:\dev\integration\framework\ui\CorePlugin\Commands\RestoreLinkCommand.cs</t>
  </si>
  <si>
    <t>D:\dev\integration\framework\ui\CorePlugin\Commands\BreakLinkCommand.cs</t>
  </si>
  <si>
    <t>/home/scmbuild/TestCenter/integration/framework/il/common/lib/hal++/common/TardisInfoImp.cpp</t>
  </si>
  <si>
    <t xml:space="preserve"> Issues</t>
  </si>
  <si>
    <t>Total Issues Resolved since 1/15/2012</t>
  </si>
  <si>
    <t>IL and IL Plug-ins</t>
  </si>
  <si>
    <t>D:\dev\integration\framework\ui\PDUEditor\Generator.cs</t>
  </si>
  <si>
    <t>7710</t>
  </si>
  <si>
    <t>7712</t>
  </si>
  <si>
    <t>7713</t>
  </si>
  <si>
    <t>7714</t>
  </si>
  <si>
    <t>7715</t>
  </si>
  <si>
    <t>7716</t>
  </si>
  <si>
    <t>7708</t>
  </si>
  <si>
    <t>7709</t>
  </si>
  <si>
    <t>7726</t>
  </si>
  <si>
    <t>7727</t>
  </si>
  <si>
    <t>7728</t>
  </si>
  <si>
    <t>7729</t>
  </si>
  <si>
    <t>7762</t>
  </si>
  <si>
    <t>7739</t>
  </si>
  <si>
    <t>8377</t>
  </si>
  <si>
    <t>8344</t>
  </si>
  <si>
    <t>8345</t>
  </si>
  <si>
    <t>8341</t>
  </si>
  <si>
    <t>8357</t>
  </si>
  <si>
    <t>8358</t>
  </si>
  <si>
    <t>8268</t>
  </si>
  <si>
    <t>8387</t>
  </si>
  <si>
    <t>4416</t>
  </si>
  <si>
    <t>D:\dev\integration\content\access\accesscore\bll\include\AbstAccessBlockConfig.h</t>
  </si>
  <si>
    <t>4406</t>
  </si>
  <si>
    <t>4407</t>
  </si>
  <si>
    <t>4415</t>
  </si>
  <si>
    <t>D:\dev\integration\framework\bll\core\src\portset\PortSetHandler.cpp</t>
  </si>
  <si>
    <t>4401</t>
  </si>
  <si>
    <t>Total Issues</t>
  </si>
  <si>
    <t>7915</t>
  </si>
  <si>
    <t>7923</t>
  </si>
  <si>
    <t>7916</t>
  </si>
  <si>
    <t>D:\dev\integration\content\traffic\l1\ui\Views\RandomErrorInsertionConfigView.cs</t>
  </si>
  <si>
    <t>7917</t>
  </si>
  <si>
    <t>7924</t>
  </si>
  <si>
    <t>7918</t>
  </si>
  <si>
    <t>D:\dev\integration\content\traffic\l1\ui\Views\RandomErrorInsertionConfigView.Designer.cs</t>
  </si>
  <si>
    <t>7919</t>
  </si>
  <si>
    <t>7776</t>
  </si>
  <si>
    <t>4436</t>
  </si>
  <si>
    <t>D:\dev\integration\framework\bll\core\src\datamodel\VxlanIf.cpp</t>
  </si>
  <si>
    <t>4428</t>
  </si>
  <si>
    <t>D:\dev\integration\framework\bll\core\src\phy\PhyCompensationOptions.cpp</t>
  </si>
  <si>
    <t>4425</t>
  </si>
  <si>
    <t>8463</t>
  </si>
  <si>
    <t>8464</t>
  </si>
  <si>
    <t>8412</t>
  </si>
  <si>
    <t>/home/scmbuild/TestCenter/integration/content/traffic/l2l3/il/Analyzer/AnaAppStat.h</t>
  </si>
  <si>
    <t>8413</t>
  </si>
  <si>
    <t>8414</t>
  </si>
  <si>
    <t>8415</t>
  </si>
  <si>
    <t>8416</t>
  </si>
  <si>
    <t>8417</t>
  </si>
  <si>
    <t>8418</t>
  </si>
  <si>
    <t>8419</t>
  </si>
  <si>
    <t>8420</t>
  </si>
  <si>
    <t>8421</t>
  </si>
  <si>
    <t>/home/scmbuild/TestCenter/integration/content/traffic/l2l3/il/Analyzer/AnalyzerApp.h</t>
  </si>
  <si>
    <t>8422</t>
  </si>
  <si>
    <t>8423</t>
  </si>
  <si>
    <t>8424</t>
  </si>
  <si>
    <t>8462</t>
  </si>
  <si>
    <t>8465</t>
  </si>
  <si>
    <t>Total New Issues</t>
  </si>
  <si>
    <t>7934</t>
  </si>
  <si>
    <t>7935</t>
  </si>
  <si>
    <t>7942</t>
  </si>
  <si>
    <t>D:\dev\integration\framework\ui\CorePlugin\Wizards\PortAggregationWizard\PortAggregationGroupsPage.cs</t>
  </si>
  <si>
    <t>7951</t>
  </si>
  <si>
    <t>D:\dev\integration\framework\ui\PDUEditor\UserControls\HexViewEditor.cs</t>
  </si>
  <si>
    <t>7952</t>
  </si>
  <si>
    <t>7953</t>
  </si>
  <si>
    <t>7954</t>
  </si>
  <si>
    <t>7950</t>
  </si>
  <si>
    <t>D:\dev\integration\framework\ui\PDUEditor\UserControls\HexViewEditor.Designer.cs</t>
  </si>
  <si>
    <t>7948</t>
  </si>
  <si>
    <t>7949</t>
  </si>
  <si>
    <t>8480</t>
  </si>
  <si>
    <t>8481</t>
  </si>
  <si>
    <t>8482</t>
  </si>
  <si>
    <t>8483</t>
  </si>
  <si>
    <t>8474</t>
  </si>
  <si>
    <t>8475</t>
  </si>
  <si>
    <t>8476</t>
  </si>
  <si>
    <t>8477</t>
  </si>
  <si>
    <t>8478</t>
  </si>
  <si>
    <t>8479</t>
  </si>
  <si>
    <t>4454</t>
  </si>
  <si>
    <t>D:\dev\integration\content\routing\lacp\bll\src\LacpLagGenParams.cpp</t>
  </si>
  <si>
    <t>4455</t>
  </si>
  <si>
    <t>4456</t>
  </si>
  <si>
    <t>4457</t>
  </si>
  <si>
    <t>4458</t>
  </si>
  <si>
    <t>4459</t>
  </si>
  <si>
    <t>4460</t>
  </si>
  <si>
    <t>4463</t>
  </si>
  <si>
    <t>D:\dev\integration\framework\bll\core\src\portset\LagGen.cpp</t>
  </si>
  <si>
    <t>7990</t>
  </si>
  <si>
    <t>D:\dev\integration\content\routing\bgp\ui\Forms\MacAddrListEditor.cs</t>
  </si>
  <si>
    <t>7991</t>
  </si>
  <si>
    <t>7974</t>
  </si>
  <si>
    <t>7975</t>
  </si>
  <si>
    <t>8017</t>
  </si>
  <si>
    <t>4511</t>
  </si>
  <si>
    <t>4507</t>
  </si>
  <si>
    <t>4483</t>
  </si>
  <si>
    <t>4476</t>
  </si>
  <si>
    <t>D:\dev\integration\framework\common\lib\ifcommon\MacBlockToIfConverter.cpp</t>
  </si>
  <si>
    <t>8538</t>
  </si>
  <si>
    <t>/home/scmbuild/TestCenter/integration/framework/il/common/apps/hwmgrd/ccpu/IfMgrMsgSetClient.cpp</t>
  </si>
  <si>
    <t>4514</t>
  </si>
  <si>
    <t>4515</t>
  </si>
  <si>
    <t>4516</t>
  </si>
  <si>
    <t>4517</t>
  </si>
  <si>
    <t>4518</t>
  </si>
  <si>
    <t>4519</t>
  </si>
  <si>
    <t>4520</t>
  </si>
  <si>
    <t>4524</t>
  </si>
  <si>
    <t>7839</t>
  </si>
  <si>
    <t>7841</t>
  </si>
  <si>
    <t>4535</t>
  </si>
  <si>
    <t>D:\dev\integration\framework\bll\core\src\PropertyChainingConfig.cpp</t>
  </si>
  <si>
    <t>8545</t>
  </si>
  <si>
    <t>8546</t>
  </si>
  <si>
    <t>8547</t>
  </si>
  <si>
    <t>8549</t>
  </si>
  <si>
    <t>/home/scmbuild/TestCenter/integration/framework/il/common/lib/hal++/ccpu/x86_appliance/VentiCcpuHwinfoImp.cpp</t>
  </si>
  <si>
    <t>8550</t>
  </si>
  <si>
    <t>/home/scmbuild/TestCenter/integration/content/storage/fc/il/fcd/FcoeTxEvent.h</t>
  </si>
  <si>
    <t>D:\dev\integration\framework\ui\CorePlugin\Views\ConfigFilterPanel.cs</t>
  </si>
  <si>
    <t>D:\dev\integration\framework\ui\CorePlugin\Editors\PortAggregationMembersForm.Designer.cs</t>
  </si>
  <si>
    <t>D:\dev\integration\content\traffic\l2l3\ui\View\DeemphasisControl.cs</t>
  </si>
  <si>
    <t>D:\dev\integration\framework\ui\CorePlugin\Forms\SaveAsForm.Designer.cs</t>
  </si>
  <si>
    <t>D:\dev\integration\framework\ui\CorePlugin\Views\ConfigFilterPanel.Designer.cs</t>
  </si>
  <si>
    <t>D:\dev\integration\framework\ui\CorePlugin\Commands\LaunchL1BrowserCommand.cs</t>
  </si>
  <si>
    <t>D:\dev\integration\content\routing\rtgcore\ui\Wizard\RouteTopology\CreateDevicesWizardControl.designer.cs</t>
  </si>
  <si>
    <t>D:\dev\integration\content\traffic\l2l3\ui\View\PortConfigView10GigCopperGeneral.Designer.cs</t>
  </si>
  <si>
    <t>D:\dev\integration\content\traffic\l2l3\ui\View\ResultModeSupportedCountersView.Designer.cs</t>
  </si>
  <si>
    <t>triplelay\*</t>
  </si>
  <si>
    <t>device\configurator\*</t>
  </si>
  <si>
    <t>BLL  Memory Leaks</t>
  </si>
  <si>
    <t>X86/IL  Memory Leaks</t>
  </si>
  <si>
    <t>device/configurator/*</t>
  </si>
  <si>
    <t>routing/*</t>
  </si>
  <si>
    <t>traffictests/*</t>
  </si>
  <si>
    <t>admin/*</t>
  </si>
  <si>
    <t>triplelay/*</t>
  </si>
  <si>
    <t>sample/*</t>
  </si>
  <si>
    <t>learning/*</t>
  </si>
  <si>
    <t>/common/tools/*</t>
  </si>
  <si>
    <t>Total  Issues</t>
  </si>
  <si>
    <t>1976</t>
  </si>
  <si>
    <t>2828</t>
  </si>
  <si>
    <t>2829</t>
  </si>
  <si>
    <t>2830</t>
  </si>
  <si>
    <t>2831</t>
  </si>
  <si>
    <t>2832</t>
  </si>
  <si>
    <t>3795</t>
  </si>
  <si>
    <t>5113</t>
  </si>
  <si>
    <t>5114</t>
  </si>
  <si>
    <t>8</t>
  </si>
  <si>
    <t>3796</t>
  </si>
  <si>
    <t>5115</t>
  </si>
  <si>
    <t>5116</t>
  </si>
  <si>
    <t>25</t>
  </si>
  <si>
    <t>3077</t>
  </si>
  <si>
    <t>3078</t>
  </si>
  <si>
    <t>28</t>
  </si>
  <si>
    <t>29</t>
  </si>
  <si>
    <t>30</t>
  </si>
  <si>
    <t>5117</t>
  </si>
  <si>
    <t>5118</t>
  </si>
  <si>
    <t>5119</t>
  </si>
  <si>
    <t>5120</t>
  </si>
  <si>
    <t>5121</t>
  </si>
  <si>
    <t>4623</t>
  </si>
  <si>
    <t>4624</t>
  </si>
  <si>
    <t>4625</t>
  </si>
  <si>
    <t>4628</t>
  </si>
  <si>
    <t>4629</t>
  </si>
  <si>
    <t>4630</t>
  </si>
  <si>
    <t>4631</t>
  </si>
  <si>
    <t>4634</t>
  </si>
  <si>
    <t>47</t>
  </si>
  <si>
    <t>4444</t>
  </si>
  <si>
    <t>4445</t>
  </si>
  <si>
    <t>4449</t>
  </si>
  <si>
    <t>4450</t>
  </si>
  <si>
    <t>4140</t>
  </si>
  <si>
    <t>4141</t>
  </si>
  <si>
    <t>4142</t>
  </si>
  <si>
    <t>5122</t>
  </si>
  <si>
    <t>5123</t>
  </si>
  <si>
    <t>5124</t>
  </si>
  <si>
    <t>5125</t>
  </si>
  <si>
    <t>4066</t>
  </si>
  <si>
    <t>4067</t>
  </si>
  <si>
    <t>4671</t>
  </si>
  <si>
    <t>4672</t>
  </si>
  <si>
    <t>4673</t>
  </si>
  <si>
    <t>4676</t>
  </si>
  <si>
    <t>4677</t>
  </si>
  <si>
    <t>4678</t>
  </si>
  <si>
    <t>4679</t>
  </si>
  <si>
    <t>4680</t>
  </si>
  <si>
    <t>4683</t>
  </si>
  <si>
    <t>63</t>
  </si>
  <si>
    <t>4170</t>
  </si>
  <si>
    <t>4171</t>
  </si>
  <si>
    <t>4172</t>
  </si>
  <si>
    <t>4173</t>
  </si>
  <si>
    <t>4174</t>
  </si>
  <si>
    <t>4175</t>
  </si>
  <si>
    <t>4176</t>
  </si>
  <si>
    <t>4177</t>
  </si>
  <si>
    <t>4178</t>
  </si>
  <si>
    <t>4179</t>
  </si>
  <si>
    <t>5126</t>
  </si>
  <si>
    <t>5127</t>
  </si>
  <si>
    <t>5128</t>
  </si>
  <si>
    <t>5129</t>
  </si>
  <si>
    <t>4068</t>
  </si>
  <si>
    <t>4069</t>
  </si>
  <si>
    <t>4070</t>
  </si>
  <si>
    <t>4071</t>
  </si>
  <si>
    <t>6409</t>
  </si>
  <si>
    <t>6410</t>
  </si>
  <si>
    <t>6411</t>
  </si>
  <si>
    <t>4217</t>
  </si>
  <si>
    <t>4218</t>
  </si>
  <si>
    <t>4219</t>
  </si>
  <si>
    <t>4696</t>
  </si>
  <si>
    <t>4707</t>
  </si>
  <si>
    <t>4705</t>
  </si>
  <si>
    <t>4723</t>
  </si>
  <si>
    <t>4747</t>
  </si>
  <si>
    <t>4756</t>
  </si>
  <si>
    <t>4757</t>
  </si>
  <si>
    <t>4758</t>
  </si>
  <si>
    <t>4759</t>
  </si>
  <si>
    <t>4485</t>
  </si>
  <si>
    <t>4486</t>
  </si>
  <si>
    <t>5141</t>
  </si>
  <si>
    <t>5142</t>
  </si>
  <si>
    <t>2880</t>
  </si>
  <si>
    <t>2881</t>
  </si>
  <si>
    <t>2882</t>
  </si>
  <si>
    <t>94</t>
  </si>
  <si>
    <t>96</t>
  </si>
  <si>
    <t>97</t>
  </si>
  <si>
    <t>98</t>
  </si>
  <si>
    <t>99</t>
  </si>
  <si>
    <t>2873</t>
  </si>
  <si>
    <t>2874</t>
  </si>
  <si>
    <t>2875</t>
  </si>
  <si>
    <t>2876</t>
  </si>
  <si>
    <t>7381</t>
  </si>
  <si>
    <t>6414</t>
  </si>
  <si>
    <t>6415</t>
  </si>
  <si>
    <t>7523</t>
  </si>
  <si>
    <t>7524</t>
  </si>
  <si>
    <t>7525</t>
  </si>
  <si>
    <t>4500</t>
  </si>
  <si>
    <t>4501</t>
  </si>
  <si>
    <t>4502</t>
  </si>
  <si>
    <t>6416</t>
  </si>
  <si>
    <t>6417</t>
  </si>
  <si>
    <t>6245</t>
  </si>
  <si>
    <t>6439</t>
  </si>
  <si>
    <t>6252</t>
  </si>
  <si>
    <t>6253</t>
  </si>
  <si>
    <t>6254</t>
  </si>
  <si>
    <t>6255</t>
  </si>
  <si>
    <t>6256</t>
  </si>
  <si>
    <t>6440</t>
  </si>
  <si>
    <t>6441</t>
  </si>
  <si>
    <t>6442</t>
  </si>
  <si>
    <t>5150</t>
  </si>
  <si>
    <t>143</t>
  </si>
  <si>
    <t>144</t>
  </si>
  <si>
    <t>5151</t>
  </si>
  <si>
    <t>5152</t>
  </si>
  <si>
    <t>5153</t>
  </si>
  <si>
    <t>3623</t>
  </si>
  <si>
    <t>3624</t>
  </si>
  <si>
    <t>3819</t>
  </si>
  <si>
    <t>3820</t>
  </si>
  <si>
    <t>3821</t>
  </si>
  <si>
    <t>3822</t>
  </si>
  <si>
    <t>3823</t>
  </si>
  <si>
    <t>5154</t>
  </si>
  <si>
    <t>5155</t>
  </si>
  <si>
    <t>5156</t>
  </si>
  <si>
    <t>7420</t>
  </si>
  <si>
    <t>7421</t>
  </si>
  <si>
    <t>5157</t>
  </si>
  <si>
    <t>5158</t>
  </si>
  <si>
    <t>5159</t>
  </si>
  <si>
    <t>3144</t>
  </si>
  <si>
    <t>3145</t>
  </si>
  <si>
    <t>3150</t>
  </si>
  <si>
    <t>3151</t>
  </si>
  <si>
    <t>3152</t>
  </si>
  <si>
    <t>6447</t>
  </si>
  <si>
    <t>6448</t>
  </si>
  <si>
    <t>6451</t>
  </si>
  <si>
    <t>6452</t>
  </si>
  <si>
    <t>6453</t>
  </si>
  <si>
    <t>5160</t>
  </si>
  <si>
    <t>3921</t>
  </si>
  <si>
    <t>3922</t>
  </si>
  <si>
    <t>4077</t>
  </si>
  <si>
    <t>4078</t>
  </si>
  <si>
    <t>6477</t>
  </si>
  <si>
    <t>6172</t>
  </si>
  <si>
    <t>6173</t>
  </si>
  <si>
    <t>5161</t>
  </si>
  <si>
    <t>5162</t>
  </si>
  <si>
    <t>5163</t>
  </si>
  <si>
    <t>5164</t>
  </si>
  <si>
    <t>3799</t>
  </si>
  <si>
    <t>6491</t>
  </si>
  <si>
    <t>4256</t>
  </si>
  <si>
    <t>5172</t>
  </si>
  <si>
    <t>7441</t>
  </si>
  <si>
    <t>7442</t>
  </si>
  <si>
    <t>7443</t>
  </si>
  <si>
    <t>7444</t>
  </si>
  <si>
    <t>7445</t>
  </si>
  <si>
    <t>7446</t>
  </si>
  <si>
    <t>7447</t>
  </si>
  <si>
    <t>7448</t>
  </si>
  <si>
    <t>7449</t>
  </si>
  <si>
    <t>7450</t>
  </si>
  <si>
    <t>7451</t>
  </si>
  <si>
    <t>5173</t>
  </si>
  <si>
    <t>5174</t>
  </si>
  <si>
    <t>5175</t>
  </si>
  <si>
    <t>4329</t>
  </si>
  <si>
    <t>4330</t>
  </si>
  <si>
    <t>4331</t>
  </si>
  <si>
    <t>5176</t>
  </si>
  <si>
    <t>4334</t>
  </si>
  <si>
    <t>4335</t>
  </si>
  <si>
    <t>4336</t>
  </si>
  <si>
    <t>5177</t>
  </si>
  <si>
    <t>4344</t>
  </si>
  <si>
    <t>4345</t>
  </si>
  <si>
    <t>4346</t>
  </si>
  <si>
    <t>5178</t>
  </si>
  <si>
    <t>4361</t>
  </si>
  <si>
    <t>4362</t>
  </si>
  <si>
    <t>4363</t>
  </si>
  <si>
    <t>4367</t>
  </si>
  <si>
    <t>4368</t>
  </si>
  <si>
    <t>4369</t>
  </si>
  <si>
    <t>5180</t>
  </si>
  <si>
    <t>3407</t>
  </si>
  <si>
    <t>3408</t>
  </si>
  <si>
    <t>3409</t>
  </si>
  <si>
    <t>5181</t>
  </si>
  <si>
    <t>3398</t>
  </si>
  <si>
    <t>3399</t>
  </si>
  <si>
    <t>3400</t>
  </si>
  <si>
    <t>4383</t>
  </si>
  <si>
    <t>4384</t>
  </si>
  <si>
    <t>4385</t>
  </si>
  <si>
    <t>5182</t>
  </si>
  <si>
    <t>4386</t>
  </si>
  <si>
    <t>4387</t>
  </si>
  <si>
    <t>4388</t>
  </si>
  <si>
    <t>5183</t>
  </si>
  <si>
    <t>5184</t>
  </si>
  <si>
    <t>226</t>
  </si>
  <si>
    <t>227</t>
  </si>
  <si>
    <t>228</t>
  </si>
  <si>
    <t>5185</t>
  </si>
  <si>
    <t>5186</t>
  </si>
  <si>
    <t>5187</t>
  </si>
  <si>
    <t>240</t>
  </si>
  <si>
    <t>5188</t>
  </si>
  <si>
    <t>5189</t>
  </si>
  <si>
    <t>5190</t>
  </si>
  <si>
    <t>5191</t>
  </si>
  <si>
    <t>5192</t>
  </si>
  <si>
    <t>5193</t>
  </si>
  <si>
    <t>5194</t>
  </si>
  <si>
    <t>5195</t>
  </si>
  <si>
    <t>5196</t>
  </si>
  <si>
    <t>5197</t>
  </si>
  <si>
    <t>5198</t>
  </si>
  <si>
    <t>5199</t>
  </si>
  <si>
    <t>5200</t>
  </si>
  <si>
    <t>5201</t>
  </si>
  <si>
    <t>5202</t>
  </si>
  <si>
    <t>5203</t>
  </si>
  <si>
    <t>5204</t>
  </si>
  <si>
    <t>5205</t>
  </si>
  <si>
    <t>5206</t>
  </si>
  <si>
    <t>5207</t>
  </si>
  <si>
    <t>5208</t>
  </si>
  <si>
    <t>5209</t>
  </si>
  <si>
    <t>5210</t>
  </si>
  <si>
    <t>5211</t>
  </si>
  <si>
    <t>5212</t>
  </si>
  <si>
    <t>5213</t>
  </si>
  <si>
    <t>5214</t>
  </si>
  <si>
    <t>5215</t>
  </si>
  <si>
    <t>5216</t>
  </si>
  <si>
    <t>5217</t>
  </si>
  <si>
    <t>5218</t>
  </si>
  <si>
    <t>6896</t>
  </si>
  <si>
    <t>6897</t>
  </si>
  <si>
    <t>6898</t>
  </si>
  <si>
    <t>5219</t>
  </si>
  <si>
    <t>4965</t>
  </si>
  <si>
    <t>5220</t>
  </si>
  <si>
    <t>5221</t>
  </si>
  <si>
    <t>5222</t>
  </si>
  <si>
    <t>4972</t>
  </si>
  <si>
    <t>4973</t>
  </si>
  <si>
    <t>4974</t>
  </si>
  <si>
    <t>5223</t>
  </si>
  <si>
    <t>7504</t>
  </si>
  <si>
    <t>7505</t>
  </si>
  <si>
    <t>7506</t>
  </si>
  <si>
    <t>5224</t>
  </si>
  <si>
    <t>5225</t>
  </si>
  <si>
    <t>5226</t>
  </si>
  <si>
    <t>5227</t>
  </si>
  <si>
    <t>5228</t>
  </si>
  <si>
    <t>5229</t>
  </si>
  <si>
    <t>5230</t>
  </si>
  <si>
    <t>7436</t>
  </si>
  <si>
    <t>7437</t>
  </si>
  <si>
    <t>7438</t>
  </si>
  <si>
    <t>5231</t>
  </si>
  <si>
    <t>5232</t>
  </si>
  <si>
    <t>5233</t>
  </si>
  <si>
    <t>5234</t>
  </si>
  <si>
    <t>5235</t>
  </si>
  <si>
    <t>5236</t>
  </si>
  <si>
    <t>5237</t>
  </si>
  <si>
    <t>5238</t>
  </si>
  <si>
    <t>5239</t>
  </si>
  <si>
    <t>5240</t>
  </si>
  <si>
    <t>5241</t>
  </si>
  <si>
    <t>5242</t>
  </si>
  <si>
    <t>5243</t>
  </si>
  <si>
    <t>5244</t>
  </si>
  <si>
    <t>5245</t>
  </si>
  <si>
    <t>5246</t>
  </si>
  <si>
    <t>5247</t>
  </si>
  <si>
    <t>5248</t>
  </si>
  <si>
    <t>5249</t>
  </si>
  <si>
    <t>5250</t>
  </si>
  <si>
    <t>5251</t>
  </si>
  <si>
    <t>5252</t>
  </si>
  <si>
    <t>5253</t>
  </si>
  <si>
    <t>5254</t>
  </si>
  <si>
    <t>5255</t>
  </si>
  <si>
    <t>3801</t>
  </si>
  <si>
    <t>4398</t>
  </si>
  <si>
    <t>5259</t>
  </si>
  <si>
    <t>5260</t>
  </si>
  <si>
    <t>4811</t>
  </si>
  <si>
    <t>5266</t>
  </si>
  <si>
    <t>2791</t>
  </si>
  <si>
    <t>2792</t>
  </si>
  <si>
    <t>5268</t>
  </si>
  <si>
    <t>5269</t>
  </si>
  <si>
    <t>305</t>
  </si>
  <si>
    <t>306</t>
  </si>
  <si>
    <t>307</t>
  </si>
  <si>
    <t>4082</t>
  </si>
  <si>
    <t>6512</t>
  </si>
  <si>
    <t>6513</t>
  </si>
  <si>
    <t>6514</t>
  </si>
  <si>
    <t>6515</t>
  </si>
  <si>
    <t>6516</t>
  </si>
  <si>
    <t>6517</t>
  </si>
  <si>
    <t>6518</t>
  </si>
  <si>
    <t>5270</t>
  </si>
  <si>
    <t>5271</t>
  </si>
  <si>
    <t>5272</t>
  </si>
  <si>
    <t>5273</t>
  </si>
  <si>
    <t>5274</t>
  </si>
  <si>
    <t>5275</t>
  </si>
  <si>
    <t>5276</t>
  </si>
  <si>
    <t>5277</t>
  </si>
  <si>
    <t>5278</t>
  </si>
  <si>
    <t>5279</t>
  </si>
  <si>
    <t>5280</t>
  </si>
  <si>
    <t>5281</t>
  </si>
  <si>
    <t>5000</t>
  </si>
  <si>
    <t>5001</t>
  </si>
  <si>
    <t>5002</t>
  </si>
  <si>
    <t>5003</t>
  </si>
  <si>
    <t>5282</t>
  </si>
  <si>
    <t>5283</t>
  </si>
  <si>
    <t>5284</t>
  </si>
  <si>
    <t>5285</t>
  </si>
  <si>
    <t>5286</t>
  </si>
  <si>
    <t>5287</t>
  </si>
  <si>
    <t>5288</t>
  </si>
  <si>
    <t>5289</t>
  </si>
  <si>
    <t>7552</t>
  </si>
  <si>
    <t>5290</t>
  </si>
  <si>
    <t>385</t>
  </si>
  <si>
    <t>7016</t>
  </si>
  <si>
    <t>7018</t>
  </si>
  <si>
    <t>4083</t>
  </si>
  <si>
    <t>3302</t>
  </si>
  <si>
    <t>7024</t>
  </si>
  <si>
    <t>7026</t>
  </si>
  <si>
    <t>3309</t>
  </si>
  <si>
    <t>5338</t>
  </si>
  <si>
    <t>5339</t>
  </si>
  <si>
    <t>5340</t>
  </si>
  <si>
    <t>5341</t>
  </si>
  <si>
    <t>6545</t>
  </si>
  <si>
    <t>6546</t>
  </si>
  <si>
    <t>6547</t>
  </si>
  <si>
    <t>5342</t>
  </si>
  <si>
    <t>3803</t>
  </si>
  <si>
    <t>6550</t>
  </si>
  <si>
    <t>5343</t>
  </si>
  <si>
    <t>5344</t>
  </si>
  <si>
    <t>5345</t>
  </si>
  <si>
    <t>5346</t>
  </si>
  <si>
    <t>5347</t>
  </si>
  <si>
    <t>4084</t>
  </si>
  <si>
    <t>446</t>
  </si>
  <si>
    <t>5348</t>
  </si>
  <si>
    <t>5349</t>
  </si>
  <si>
    <t>5350</t>
  </si>
  <si>
    <t>5351</t>
  </si>
  <si>
    <t>5352</t>
  </si>
  <si>
    <t>3831</t>
  </si>
  <si>
    <t>456</t>
  </si>
  <si>
    <t>2801</t>
  </si>
  <si>
    <t>2802</t>
  </si>
  <si>
    <t>2803</t>
  </si>
  <si>
    <t>5353</t>
  </si>
  <si>
    <t>5354</t>
  </si>
  <si>
    <t>5355</t>
  </si>
  <si>
    <t>5356</t>
  </si>
  <si>
    <t>5359</t>
  </si>
  <si>
    <t>5360</t>
  </si>
  <si>
    <t>5361</t>
  </si>
  <si>
    <t>460</t>
  </si>
  <si>
    <t>5362</t>
  </si>
  <si>
    <t>461</t>
  </si>
  <si>
    <t>5363</t>
  </si>
  <si>
    <t>5364</t>
  </si>
  <si>
    <t>463</t>
  </si>
  <si>
    <t>464</t>
  </si>
  <si>
    <t>465</t>
  </si>
  <si>
    <t>6273</t>
  </si>
  <si>
    <t>6274</t>
  </si>
  <si>
    <t>7484</t>
  </si>
  <si>
    <t>7485</t>
  </si>
  <si>
    <t>7651</t>
  </si>
  <si>
    <t>5365</t>
  </si>
  <si>
    <t>5366</t>
  </si>
  <si>
    <t>3804</t>
  </si>
  <si>
    <t>3352</t>
  </si>
  <si>
    <t>3353</t>
  </si>
  <si>
    <t>7491</t>
  </si>
  <si>
    <t>7492</t>
  </si>
  <si>
    <t>3312</t>
  </si>
  <si>
    <t>3313</t>
  </si>
  <si>
    <t>3805</t>
  </si>
  <si>
    <t>3806</t>
  </si>
  <si>
    <t>6397</t>
  </si>
  <si>
    <t>6398</t>
  </si>
  <si>
    <t>3808</t>
  </si>
  <si>
    <t>534</t>
  </si>
  <si>
    <t>535</t>
  </si>
  <si>
    <t>4809</t>
  </si>
  <si>
    <t>537</t>
  </si>
  <si>
    <t>5367</t>
  </si>
  <si>
    <t>540</t>
  </si>
  <si>
    <t>4085</t>
  </si>
  <si>
    <t>4019</t>
  </si>
  <si>
    <t>4413</t>
  </si>
  <si>
    <t>5369</t>
  </si>
  <si>
    <t>5370</t>
  </si>
  <si>
    <t>5371</t>
  </si>
  <si>
    <t>5372</t>
  </si>
  <si>
    <t>5373</t>
  </si>
  <si>
    <t>5374</t>
  </si>
  <si>
    <t>5375</t>
  </si>
  <si>
    <t>5376</t>
  </si>
  <si>
    <t>5377</t>
  </si>
  <si>
    <t>5378</t>
  </si>
  <si>
    <t>5384</t>
  </si>
  <si>
    <t>5385</t>
  </si>
  <si>
    <t>5386</t>
  </si>
  <si>
    <t>5387</t>
  </si>
  <si>
    <t>7493</t>
  </si>
  <si>
    <t>7494</t>
  </si>
  <si>
    <t>3445</t>
  </si>
  <si>
    <t>3446</t>
  </si>
  <si>
    <t>3447</t>
  </si>
  <si>
    <t>3448</t>
  </si>
  <si>
    <t>3449</t>
  </si>
  <si>
    <t>3450</t>
  </si>
  <si>
    <t>3451</t>
  </si>
  <si>
    <t>3452</t>
  </si>
  <si>
    <t>3453</t>
  </si>
  <si>
    <t>5390</t>
  </si>
  <si>
    <t>5391</t>
  </si>
  <si>
    <t>5392</t>
  </si>
  <si>
    <t>5393</t>
  </si>
  <si>
    <t>5394</t>
  </si>
  <si>
    <t>6612</t>
  </si>
  <si>
    <t>6613</t>
  </si>
  <si>
    <t>6614</t>
  </si>
  <si>
    <t>6615</t>
  </si>
  <si>
    <t>6622</t>
  </si>
  <si>
    <t>6623</t>
  </si>
  <si>
    <t>6624</t>
  </si>
  <si>
    <t>6654</t>
  </si>
  <si>
    <t>6655</t>
  </si>
  <si>
    <t>6658</t>
  </si>
  <si>
    <t>6659</t>
  </si>
  <si>
    <t>6662</t>
  </si>
  <si>
    <t>6663</t>
  </si>
  <si>
    <t>3729</t>
  </si>
  <si>
    <t>3730</t>
  </si>
  <si>
    <t>3731</t>
  </si>
  <si>
    <t>5462</t>
  </si>
  <si>
    <t>5463</t>
  </si>
  <si>
    <t>5464</t>
  </si>
  <si>
    <t>5465</t>
  </si>
  <si>
    <t>5466</t>
  </si>
  <si>
    <t>5467</t>
  </si>
  <si>
    <t>5468</t>
  </si>
  <si>
    <t>7359</t>
  </si>
  <si>
    <t>7360</t>
  </si>
  <si>
    <t>7361</t>
  </si>
  <si>
    <t>7362</t>
  </si>
  <si>
    <t>7363</t>
  </si>
  <si>
    <t>7364</t>
  </si>
  <si>
    <t>7365</t>
  </si>
  <si>
    <t>7366</t>
  </si>
  <si>
    <t>7367</t>
  </si>
  <si>
    <t>5469</t>
  </si>
  <si>
    <t>5470</t>
  </si>
  <si>
    <t>5471</t>
  </si>
  <si>
    <t>5472</t>
  </si>
  <si>
    <t>7474</t>
  </si>
  <si>
    <t>7475</t>
  </si>
  <si>
    <t>7476</t>
  </si>
  <si>
    <t>7477</t>
  </si>
  <si>
    <t>7478</t>
  </si>
  <si>
    <t>7479</t>
  </si>
  <si>
    <t>5484</t>
  </si>
  <si>
    <t>5485</t>
  </si>
  <si>
    <t>5473</t>
  </si>
  <si>
    <t>5474</t>
  </si>
  <si>
    <t>5475</t>
  </si>
  <si>
    <t>5476</t>
  </si>
  <si>
    <t>5477</t>
  </si>
  <si>
    <t>5478</t>
  </si>
  <si>
    <t>5479</t>
  </si>
  <si>
    <t>5480</t>
  </si>
  <si>
    <t>5481</t>
  </si>
  <si>
    <t>6182</t>
  </si>
  <si>
    <t>6183</t>
  </si>
  <si>
    <t>6184</t>
  </si>
  <si>
    <t>7585</t>
  </si>
  <si>
    <t>5482</t>
  </si>
  <si>
    <t>5483</t>
  </si>
  <si>
    <t>4816</t>
  </si>
  <si>
    <t>4817</t>
  </si>
  <si>
    <t>5486</t>
  </si>
  <si>
    <t>5072</t>
  </si>
  <si>
    <t>5073</t>
  </si>
  <si>
    <t>3866</t>
  </si>
  <si>
    <t>3867</t>
  </si>
  <si>
    <t>3063</t>
  </si>
  <si>
    <t>3064</t>
  </si>
  <si>
    <t>3065</t>
  </si>
  <si>
    <t>3066</t>
  </si>
  <si>
    <t>3067</t>
  </si>
  <si>
    <t>3068</t>
  </si>
  <si>
    <t>3069</t>
  </si>
  <si>
    <t>3070</t>
  </si>
  <si>
    <t>3953</t>
  </si>
  <si>
    <t>3954</t>
  </si>
  <si>
    <t>3955</t>
  </si>
  <si>
    <t>3956</t>
  </si>
  <si>
    <t>3957</t>
  </si>
  <si>
    <t>3958</t>
  </si>
  <si>
    <t>3959</t>
  </si>
  <si>
    <t>3960</t>
  </si>
  <si>
    <t>3961</t>
  </si>
  <si>
    <t>3962</t>
  </si>
  <si>
    <t>3963</t>
  </si>
  <si>
    <t>3964</t>
  </si>
  <si>
    <t>3965</t>
  </si>
  <si>
    <t>3966</t>
  </si>
  <si>
    <t>3967</t>
  </si>
  <si>
    <t>7599</t>
  </si>
  <si>
    <t>7648</t>
  </si>
  <si>
    <t>3025</t>
  </si>
  <si>
    <t>3026</t>
  </si>
  <si>
    <t>4055</t>
  </si>
  <si>
    <t>4554</t>
  </si>
  <si>
    <t>2942</t>
  </si>
  <si>
    <t>2900</t>
  </si>
  <si>
    <t>2901</t>
  </si>
  <si>
    <t>5487</t>
  </si>
  <si>
    <t>5488</t>
  </si>
  <si>
    <t>5489</t>
  </si>
  <si>
    <t>5490</t>
  </si>
  <si>
    <t>5491</t>
  </si>
  <si>
    <t>5492</t>
  </si>
  <si>
    <t>5493</t>
  </si>
  <si>
    <t>5494</t>
  </si>
  <si>
    <t>5496</t>
  </si>
  <si>
    <t>5497</t>
  </si>
  <si>
    <t>5498</t>
  </si>
  <si>
    <t>5499</t>
  </si>
  <si>
    <t>5500</t>
  </si>
  <si>
    <t>5495</t>
  </si>
  <si>
    <t>7658</t>
  </si>
  <si>
    <t>5501</t>
  </si>
  <si>
    <t>5502</t>
  </si>
  <si>
    <t>5503</t>
  </si>
  <si>
    <t>5504</t>
  </si>
  <si>
    <t>5505</t>
  </si>
  <si>
    <t>5506</t>
  </si>
  <si>
    <t>5507</t>
  </si>
  <si>
    <t>5508</t>
  </si>
  <si>
    <t>5509</t>
  </si>
  <si>
    <t>5510</t>
  </si>
  <si>
    <t>5511</t>
  </si>
  <si>
    <t>5513</t>
  </si>
  <si>
    <t>5512</t>
  </si>
  <si>
    <t>5075</t>
  </si>
  <si>
    <t>5076</t>
  </si>
  <si>
    <t>5514</t>
  </si>
  <si>
    <t>5515</t>
  </si>
  <si>
    <t>5516</t>
  </si>
  <si>
    <t>5517</t>
  </si>
  <si>
    <t>5518</t>
  </si>
  <si>
    <t>5519</t>
  </si>
  <si>
    <t>5520</t>
  </si>
  <si>
    <t>5521</t>
  </si>
  <si>
    <t>5522</t>
  </si>
  <si>
    <t>5523</t>
  </si>
  <si>
    <t>5524</t>
  </si>
  <si>
    <t>5527</t>
  </si>
  <si>
    <t>863</t>
  </si>
  <si>
    <t>864</t>
  </si>
  <si>
    <t>865</t>
  </si>
  <si>
    <t>3746</t>
  </si>
  <si>
    <t>3747</t>
  </si>
  <si>
    <t>3748</t>
  </si>
  <si>
    <t>7652</t>
  </si>
  <si>
    <t>5528</t>
  </si>
  <si>
    <t>5529</t>
  </si>
  <si>
    <t>3781</t>
  </si>
  <si>
    <t>3782</t>
  </si>
  <si>
    <t>3783</t>
  </si>
  <si>
    <t>5530</t>
  </si>
  <si>
    <t>5525</t>
  </si>
  <si>
    <t>5526</t>
  </si>
  <si>
    <t>5531</t>
  </si>
  <si>
    <t>6928</t>
  </si>
  <si>
    <t>6929</t>
  </si>
  <si>
    <t>897</t>
  </si>
  <si>
    <t>898</t>
  </si>
  <si>
    <t>5532</t>
  </si>
  <si>
    <t>7643</t>
  </si>
  <si>
    <t>5533</t>
  </si>
  <si>
    <t>5534</t>
  </si>
  <si>
    <t>5535</t>
  </si>
  <si>
    <t>4800</t>
  </si>
  <si>
    <t>5536</t>
  </si>
  <si>
    <t>5537</t>
  </si>
  <si>
    <t>4222</t>
  </si>
  <si>
    <t>4223</t>
  </si>
  <si>
    <t>4792</t>
  </si>
  <si>
    <t>4793</t>
  </si>
  <si>
    <t>4794</t>
  </si>
  <si>
    <t>986</t>
  </si>
  <si>
    <t>987</t>
  </si>
  <si>
    <t>990</t>
  </si>
  <si>
    <t>991</t>
  </si>
  <si>
    <t>6688</t>
  </si>
  <si>
    <t>6689</t>
  </si>
  <si>
    <t>6690</t>
  </si>
  <si>
    <t>6691</t>
  </si>
  <si>
    <t>6692</t>
  </si>
  <si>
    <t>6717</t>
  </si>
  <si>
    <t>6718</t>
  </si>
  <si>
    <t>5538</t>
  </si>
  <si>
    <t>5539</t>
  </si>
  <si>
    <t>5540</t>
  </si>
  <si>
    <t>5541</t>
  </si>
  <si>
    <t>5542</t>
  </si>
  <si>
    <t>5543</t>
  </si>
  <si>
    <t>5544</t>
  </si>
  <si>
    <t>5545</t>
  </si>
  <si>
    <t>1013</t>
  </si>
  <si>
    <t>1014</t>
  </si>
  <si>
    <t>5546</t>
  </si>
  <si>
    <t>1025</t>
  </si>
  <si>
    <t>1026</t>
  </si>
  <si>
    <t>5547</t>
  </si>
  <si>
    <t>6284</t>
  </si>
  <si>
    <t>6285</t>
  </si>
  <si>
    <t>3469</t>
  </si>
  <si>
    <t>3470</t>
  </si>
  <si>
    <t>1032</t>
  </si>
  <si>
    <t>1033</t>
  </si>
  <si>
    <t>1034</t>
  </si>
  <si>
    <t>1035</t>
  </si>
  <si>
    <t>1036</t>
  </si>
  <si>
    <t>1037</t>
  </si>
  <si>
    <t>1038</t>
  </si>
  <si>
    <t>3659</t>
  </si>
  <si>
    <t>3660</t>
  </si>
  <si>
    <t>3661</t>
  </si>
  <si>
    <t>3662</t>
  </si>
  <si>
    <t>3663</t>
  </si>
  <si>
    <t>3664</t>
  </si>
  <si>
    <t>3665</t>
  </si>
  <si>
    <t>3666</t>
  </si>
  <si>
    <t>3667</t>
  </si>
  <si>
    <t>3668</t>
  </si>
  <si>
    <t>3669</t>
  </si>
  <si>
    <t>1096</t>
  </si>
  <si>
    <t>1097</t>
  </si>
  <si>
    <t>1098</t>
  </si>
  <si>
    <t>1117</t>
  </si>
  <si>
    <t>5548</t>
  </si>
  <si>
    <t>5549</t>
  </si>
  <si>
    <t>5550</t>
  </si>
  <si>
    <t>5551</t>
  </si>
  <si>
    <t>4032</t>
  </si>
  <si>
    <t>4033</t>
  </si>
  <si>
    <t>4034</t>
  </si>
  <si>
    <t>4035</t>
  </si>
  <si>
    <t>4024</t>
  </si>
  <si>
    <t>4025</t>
  </si>
  <si>
    <t>4026</t>
  </si>
  <si>
    <t>4027</t>
  </si>
  <si>
    <t>4028</t>
  </si>
  <si>
    <t>1146</t>
  </si>
  <si>
    <t>1147</t>
  </si>
  <si>
    <t>1148</t>
  </si>
  <si>
    <t>5086</t>
  </si>
  <si>
    <t>7460</t>
  </si>
  <si>
    <t>7461</t>
  </si>
  <si>
    <t>7430</t>
  </si>
  <si>
    <t>7431</t>
  </si>
  <si>
    <t>7432</t>
  </si>
  <si>
    <t>7427</t>
  </si>
  <si>
    <t>7428</t>
  </si>
  <si>
    <t>5552</t>
  </si>
  <si>
    <t>1169</t>
  </si>
  <si>
    <t>1170</t>
  </si>
  <si>
    <t>5553</t>
  </si>
  <si>
    <t>5554</t>
  </si>
  <si>
    <t>5555</t>
  </si>
  <si>
    <t>5556</t>
  </si>
  <si>
    <t>5557</t>
  </si>
  <si>
    <t>7466</t>
  </si>
  <si>
    <t>5558</t>
  </si>
  <si>
    <t>5559</t>
  </si>
  <si>
    <t>5560</t>
  </si>
  <si>
    <t>5561</t>
  </si>
  <si>
    <t>5562</t>
  </si>
  <si>
    <t>5563</t>
  </si>
  <si>
    <t>5564</t>
  </si>
  <si>
    <t>5565</t>
  </si>
  <si>
    <t>5566</t>
  </si>
  <si>
    <t>5567</t>
  </si>
  <si>
    <t>5568</t>
  </si>
  <si>
    <t>5569</t>
  </si>
  <si>
    <t>5570</t>
  </si>
  <si>
    <t>5571</t>
  </si>
  <si>
    <t>5572</t>
  </si>
  <si>
    <t>5573</t>
  </si>
  <si>
    <t>5574</t>
  </si>
  <si>
    <t>2810</t>
  </si>
  <si>
    <t>2811</t>
  </si>
  <si>
    <t>5575</t>
  </si>
  <si>
    <t>1244</t>
  </si>
  <si>
    <t>1245</t>
  </si>
  <si>
    <t>5576</t>
  </si>
  <si>
    <t>5577</t>
  </si>
  <si>
    <t>5578</t>
  </si>
  <si>
    <t>5579</t>
  </si>
  <si>
    <t>5580</t>
  </si>
  <si>
    <t>5581</t>
  </si>
  <si>
    <t>5582</t>
  </si>
  <si>
    <t>5583</t>
  </si>
  <si>
    <t>7462</t>
  </si>
  <si>
    <t>7463</t>
  </si>
  <si>
    <t>7433</t>
  </si>
  <si>
    <t>7434</t>
  </si>
  <si>
    <t>7435</t>
  </si>
  <si>
    <t>5584</t>
  </si>
  <si>
    <t>5585</t>
  </si>
  <si>
    <t>5586</t>
  </si>
  <si>
    <t>5587</t>
  </si>
  <si>
    <t>5588</t>
  </si>
  <si>
    <t>5589</t>
  </si>
  <si>
    <t>5590</t>
  </si>
  <si>
    <t>5591</t>
  </si>
  <si>
    <t>5592</t>
  </si>
  <si>
    <t>5593</t>
  </si>
  <si>
    <t>5594</t>
  </si>
  <si>
    <t>5595</t>
  </si>
  <si>
    <t>5596</t>
  </si>
  <si>
    <t>5597</t>
  </si>
  <si>
    <t>5598</t>
  </si>
  <si>
    <t>5599</t>
  </si>
  <si>
    <t>5600</t>
  </si>
  <si>
    <t>5601</t>
  </si>
  <si>
    <t>5602</t>
  </si>
  <si>
    <t>5603</t>
  </si>
  <si>
    <t>5604</t>
  </si>
  <si>
    <t>5605</t>
  </si>
  <si>
    <t>5606</t>
  </si>
  <si>
    <t>5607</t>
  </si>
  <si>
    <t>5608</t>
  </si>
  <si>
    <t>4023</t>
  </si>
  <si>
    <t>5609</t>
  </si>
  <si>
    <t>5610</t>
  </si>
  <si>
    <t>5611</t>
  </si>
  <si>
    <t>5612</t>
  </si>
  <si>
    <t>5613</t>
  </si>
  <si>
    <t>5614</t>
  </si>
  <si>
    <t>5615</t>
  </si>
  <si>
    <t>5616</t>
  </si>
  <si>
    <t>5617</t>
  </si>
  <si>
    <t>5618</t>
  </si>
  <si>
    <t>5619</t>
  </si>
  <si>
    <t>5620</t>
  </si>
  <si>
    <t>6922</t>
  </si>
  <si>
    <t>5621</t>
  </si>
  <si>
    <t>5622</t>
  </si>
  <si>
    <t>5623</t>
  </si>
  <si>
    <t>5624</t>
  </si>
  <si>
    <t>4301</t>
  </si>
  <si>
    <t>1347</t>
  </si>
  <si>
    <t>1348</t>
  </si>
  <si>
    <t>5625</t>
  </si>
  <si>
    <t>5626</t>
  </si>
  <si>
    <t>5627</t>
  </si>
  <si>
    <t>5628</t>
  </si>
  <si>
    <t>5629</t>
  </si>
  <si>
    <t>5630</t>
  </si>
  <si>
    <t>5631</t>
  </si>
  <si>
    <t>5632</t>
  </si>
  <si>
    <t>5633</t>
  </si>
  <si>
    <t>5634</t>
  </si>
  <si>
    <t>5635</t>
  </si>
  <si>
    <t>5636</t>
  </si>
  <si>
    <t>5637</t>
  </si>
  <si>
    <t>5638</t>
  </si>
  <si>
    <t>5639</t>
  </si>
  <si>
    <t>5640</t>
  </si>
  <si>
    <t>5641</t>
  </si>
  <si>
    <t>5642</t>
  </si>
  <si>
    <t>5645</t>
  </si>
  <si>
    <t>5643</t>
  </si>
  <si>
    <t>5644</t>
  </si>
  <si>
    <t>3715</t>
  </si>
  <si>
    <t>3716</t>
  </si>
  <si>
    <t>3717</t>
  </si>
  <si>
    <t>5646</t>
  </si>
  <si>
    <t>5647</t>
  </si>
  <si>
    <t>5648</t>
  </si>
  <si>
    <t>5649</t>
  </si>
  <si>
    <t>5650</t>
  </si>
  <si>
    <t>5651</t>
  </si>
  <si>
    <t>5652</t>
  </si>
  <si>
    <t>5653</t>
  </si>
  <si>
    <t>5654</t>
  </si>
  <si>
    <t>5655</t>
  </si>
  <si>
    <t>5656</t>
  </si>
  <si>
    <t>5657</t>
  </si>
  <si>
    <t>3741</t>
  </si>
  <si>
    <t>5658</t>
  </si>
  <si>
    <t>5659</t>
  </si>
  <si>
    <t>5660</t>
  </si>
  <si>
    <t>5661</t>
  </si>
  <si>
    <t>5662</t>
  </si>
  <si>
    <t>1403</t>
  </si>
  <si>
    <t>1404</t>
  </si>
  <si>
    <t>1405</t>
  </si>
  <si>
    <t>1406</t>
  </si>
  <si>
    <t>1407</t>
  </si>
  <si>
    <t>5663</t>
  </si>
  <si>
    <t>5664</t>
  </si>
  <si>
    <t>5665</t>
  </si>
  <si>
    <t>5666</t>
  </si>
  <si>
    <t>5667</t>
  </si>
  <si>
    <t>5668</t>
  </si>
  <si>
    <t>5669</t>
  </si>
  <si>
    <t>5670</t>
  </si>
  <si>
    <t>6753</t>
  </si>
  <si>
    <t>6754</t>
  </si>
  <si>
    <t>6755</t>
  </si>
  <si>
    <t>5671</t>
  </si>
  <si>
    <t>5672</t>
  </si>
  <si>
    <t>1414</t>
  </si>
  <si>
    <t>5673</t>
  </si>
  <si>
    <t>5674</t>
  </si>
  <si>
    <t>5675</t>
  </si>
  <si>
    <t>5676</t>
  </si>
  <si>
    <t>5677</t>
  </si>
  <si>
    <t>5678</t>
  </si>
  <si>
    <t>6193</t>
  </si>
  <si>
    <t>6194</t>
  </si>
  <si>
    <t>5679</t>
  </si>
  <si>
    <t>5680</t>
  </si>
  <si>
    <t>5681</t>
  </si>
  <si>
    <t>5682</t>
  </si>
  <si>
    <t>5683</t>
  </si>
  <si>
    <t>5684</t>
  </si>
  <si>
    <t>5685</t>
  </si>
  <si>
    <t>5686</t>
  </si>
  <si>
    <t>3350</t>
  </si>
  <si>
    <t>5687</t>
  </si>
  <si>
    <t>5688</t>
  </si>
  <si>
    <t>5689</t>
  </si>
  <si>
    <t>5690</t>
  </si>
  <si>
    <t>5691</t>
  </si>
  <si>
    <t>5692</t>
  </si>
  <si>
    <t>5693</t>
  </si>
  <si>
    <t>5694</t>
  </si>
  <si>
    <t>5695</t>
  </si>
  <si>
    <t>5696</t>
  </si>
  <si>
    <t>3934</t>
  </si>
  <si>
    <t>3935</t>
  </si>
  <si>
    <t>3936</t>
  </si>
  <si>
    <t>6756</t>
  </si>
  <si>
    <t>6757</t>
  </si>
  <si>
    <t>6758</t>
  </si>
  <si>
    <t>3351</t>
  </si>
  <si>
    <t>4114</t>
  </si>
  <si>
    <t>4115</t>
  </si>
  <si>
    <t>5697</t>
  </si>
  <si>
    <t>5698</t>
  </si>
  <si>
    <t>5699</t>
  </si>
  <si>
    <t>5700</t>
  </si>
  <si>
    <t>5702</t>
  </si>
  <si>
    <t>1461</t>
  </si>
  <si>
    <t>5701</t>
  </si>
  <si>
    <t>4107</t>
  </si>
  <si>
    <t>4108</t>
  </si>
  <si>
    <t>4109</t>
  </si>
  <si>
    <t>4110</t>
  </si>
  <si>
    <t>4111</t>
  </si>
  <si>
    <t>4112</t>
  </si>
  <si>
    <t>3968</t>
  </si>
  <si>
    <t>3969</t>
  </si>
  <si>
    <t>3970</t>
  </si>
  <si>
    <t>4056</t>
  </si>
  <si>
    <t>7200</t>
  </si>
  <si>
    <t>7203</t>
  </si>
  <si>
    <t>7204</t>
  </si>
  <si>
    <t>7205</t>
  </si>
  <si>
    <t>7206</t>
  </si>
  <si>
    <t>7207</t>
  </si>
  <si>
    <t>7208</t>
  </si>
  <si>
    <t>7209</t>
  </si>
  <si>
    <t>7210</t>
  </si>
  <si>
    <t>7211</t>
  </si>
  <si>
    <t>7212</t>
  </si>
  <si>
    <t>7213</t>
  </si>
  <si>
    <t>7214</t>
  </si>
  <si>
    <t>7215</t>
  </si>
  <si>
    <t>7216</t>
  </si>
  <si>
    <t>7217</t>
  </si>
  <si>
    <t>7218</t>
  </si>
  <si>
    <t>7219</t>
  </si>
  <si>
    <t>7220</t>
  </si>
  <si>
    <t>7221</t>
  </si>
  <si>
    <t>7222</t>
  </si>
  <si>
    <t>7223</t>
  </si>
  <si>
    <t>7224</t>
  </si>
  <si>
    <t>7225</t>
  </si>
  <si>
    <t>7226</t>
  </si>
  <si>
    <t>7227</t>
  </si>
  <si>
    <t>7228</t>
  </si>
  <si>
    <t>7229</t>
  </si>
  <si>
    <t>7230</t>
  </si>
  <si>
    <t>7231</t>
  </si>
  <si>
    <t>7232</t>
  </si>
  <si>
    <t>7233</t>
  </si>
  <si>
    <t>7234</t>
  </si>
  <si>
    <t>7235</t>
  </si>
  <si>
    <t>7280</t>
  </si>
  <si>
    <t>7281</t>
  </si>
  <si>
    <t>7282</t>
  </si>
  <si>
    <t>3156</t>
  </si>
  <si>
    <t>3157</t>
  </si>
  <si>
    <t>3158</t>
  </si>
  <si>
    <t>3159</t>
  </si>
  <si>
    <t>7173</t>
  </si>
  <si>
    <t>7174</t>
  </si>
  <si>
    <t>1506</t>
  </si>
  <si>
    <t>6283</t>
  </si>
  <si>
    <t>3430</t>
  </si>
  <si>
    <t>3431</t>
  </si>
  <si>
    <t>3432</t>
  </si>
  <si>
    <t>1543</t>
  </si>
  <si>
    <t>1544</t>
  </si>
  <si>
    <t>6327</t>
  </si>
  <si>
    <t>1670</t>
  </si>
  <si>
    <t>1671</t>
  </si>
  <si>
    <t>1672</t>
  </si>
  <si>
    <t>7111</t>
  </si>
  <si>
    <t>7112</t>
  </si>
  <si>
    <t>7113</t>
  </si>
  <si>
    <t>7246</t>
  </si>
  <si>
    <t>7247</t>
  </si>
  <si>
    <t>7248</t>
  </si>
  <si>
    <t>7249</t>
  </si>
  <si>
    <t>7250</t>
  </si>
  <si>
    <t>7251</t>
  </si>
  <si>
    <t>4012</t>
  </si>
  <si>
    <t>4013</t>
  </si>
  <si>
    <t>4015</t>
  </si>
  <si>
    <t>4253</t>
  </si>
  <si>
    <t>4254</t>
  </si>
  <si>
    <t>4255</t>
  </si>
  <si>
    <t>6302</t>
  </si>
  <si>
    <t>6303</t>
  </si>
  <si>
    <t>6304</t>
  </si>
  <si>
    <t>6305</t>
  </si>
  <si>
    <t>6306</t>
  </si>
  <si>
    <t>6765</t>
  </si>
  <si>
    <t>6766</t>
  </si>
  <si>
    <t>6767</t>
  </si>
  <si>
    <t>6768</t>
  </si>
  <si>
    <t>6769</t>
  </si>
  <si>
    <t>6770</t>
  </si>
  <si>
    <t>6771</t>
  </si>
  <si>
    <t>6772</t>
  </si>
  <si>
    <t>7554</t>
  </si>
  <si>
    <t>7555</t>
  </si>
  <si>
    <t>6773</t>
  </si>
  <si>
    <t>6774</t>
  </si>
  <si>
    <t>6775</t>
  </si>
  <si>
    <t>6776</t>
  </si>
  <si>
    <t>6777</t>
  </si>
  <si>
    <t>6778</t>
  </si>
  <si>
    <t>6779</t>
  </si>
  <si>
    <t>6782</t>
  </si>
  <si>
    <t>6783</t>
  </si>
  <si>
    <t>1690</t>
  </si>
  <si>
    <t>1691</t>
  </si>
  <si>
    <t>1692</t>
  </si>
  <si>
    <t>1693</t>
  </si>
  <si>
    <t>1694</t>
  </si>
  <si>
    <t>1695</t>
  </si>
  <si>
    <t>1696</t>
  </si>
  <si>
    <t>1697</t>
  </si>
  <si>
    <t>5703</t>
  </si>
  <si>
    <t>5704</t>
  </si>
  <si>
    <t>4227</t>
  </si>
  <si>
    <t>4228</t>
  </si>
  <si>
    <t>4229</t>
  </si>
  <si>
    <t>4230</t>
  </si>
  <si>
    <t>1730</t>
  </si>
  <si>
    <t>1731</t>
  </si>
  <si>
    <t>7610</t>
  </si>
  <si>
    <t>7611</t>
  </si>
  <si>
    <t>7615</t>
  </si>
  <si>
    <t>7616</t>
  </si>
  <si>
    <t>5705</t>
  </si>
  <si>
    <t>5706</t>
  </si>
  <si>
    <t>7010</t>
  </si>
  <si>
    <t>7011</t>
  </si>
  <si>
    <t>7012</t>
  </si>
  <si>
    <t>1754</t>
  </si>
  <si>
    <t>5707</t>
  </si>
  <si>
    <t>5708</t>
  </si>
  <si>
    <t>5709</t>
  </si>
  <si>
    <t>5710</t>
  </si>
  <si>
    <t>5711</t>
  </si>
  <si>
    <t>5712</t>
  </si>
  <si>
    <t>5713</t>
  </si>
  <si>
    <t>5714</t>
  </si>
  <si>
    <t>1762</t>
  </si>
  <si>
    <t>5715</t>
  </si>
  <si>
    <t>5716</t>
  </si>
  <si>
    <t>5717</t>
  </si>
  <si>
    <t>5718</t>
  </si>
  <si>
    <t>5719</t>
  </si>
  <si>
    <t>5720</t>
  </si>
  <si>
    <t>7419</t>
  </si>
  <si>
    <t>5721</t>
  </si>
  <si>
    <t>5722</t>
  </si>
  <si>
    <t>5723</t>
  </si>
  <si>
    <t>5724</t>
  </si>
  <si>
    <t>1766</t>
  </si>
  <si>
    <t>1767</t>
  </si>
  <si>
    <t>1768</t>
  </si>
  <si>
    <t>5725</t>
  </si>
  <si>
    <t>5726</t>
  </si>
  <si>
    <t>5727</t>
  </si>
  <si>
    <t>5728</t>
  </si>
  <si>
    <t>5729</t>
  </si>
  <si>
    <t>5730</t>
  </si>
  <si>
    <t>5731</t>
  </si>
  <si>
    <t>5732</t>
  </si>
  <si>
    <t>5733</t>
  </si>
  <si>
    <t>5734</t>
  </si>
  <si>
    <t>5735</t>
  </si>
  <si>
    <t>5736</t>
  </si>
  <si>
    <t>5737</t>
  </si>
  <si>
    <t>5738</t>
  </si>
  <si>
    <t>5739</t>
  </si>
  <si>
    <t>5740</t>
  </si>
  <si>
    <t>5741</t>
  </si>
  <si>
    <t>5742</t>
  </si>
  <si>
    <t>5743</t>
  </si>
  <si>
    <t>5744</t>
  </si>
  <si>
    <t>5745</t>
  </si>
  <si>
    <t>5746</t>
  </si>
  <si>
    <t>5747</t>
  </si>
  <si>
    <t>5748</t>
  </si>
  <si>
    <t>3658</t>
  </si>
  <si>
    <t>3456</t>
  </si>
  <si>
    <t>3457</t>
  </si>
  <si>
    <t>5749</t>
  </si>
  <si>
    <t>4548</t>
  </si>
  <si>
    <t>4549</t>
  </si>
  <si>
    <t>1802</t>
  </si>
  <si>
    <t>1803</t>
  </si>
  <si>
    <t>1804</t>
  </si>
  <si>
    <t>1805</t>
  </si>
  <si>
    <t>1806</t>
  </si>
  <si>
    <t>1807</t>
  </si>
  <si>
    <t>1808</t>
  </si>
  <si>
    <t>5750</t>
  </si>
  <si>
    <t>1817</t>
  </si>
  <si>
    <t>1820</t>
  </si>
  <si>
    <t>6784</t>
  </si>
  <si>
    <t>6785</t>
  </si>
  <si>
    <t>4134</t>
  </si>
  <si>
    <t>4135</t>
  </si>
  <si>
    <t>6787</t>
  </si>
  <si>
    <t>6788</t>
  </si>
  <si>
    <t>6789</t>
  </si>
  <si>
    <t>3482</t>
  </si>
  <si>
    <t>3483</t>
  </si>
  <si>
    <t>1826</t>
  </si>
  <si>
    <t>1827</t>
  </si>
  <si>
    <t>1828</t>
  </si>
  <si>
    <t>1829</t>
  </si>
  <si>
    <t>1830</t>
  </si>
  <si>
    <t>1831</t>
  </si>
  <si>
    <t>6798</t>
  </si>
  <si>
    <t>6799</t>
  </si>
  <si>
    <t>6803</t>
  </si>
  <si>
    <t>6804</t>
  </si>
  <si>
    <t>6807</t>
  </si>
  <si>
    <t>6812</t>
  </si>
  <si>
    <t>6813</t>
  </si>
  <si>
    <t>6814</t>
  </si>
  <si>
    <t>1846</t>
  </si>
  <si>
    <t>1847</t>
  </si>
  <si>
    <t>1848</t>
  </si>
  <si>
    <t>1849</t>
  </si>
  <si>
    <t>1850</t>
  </si>
  <si>
    <t>1851</t>
  </si>
  <si>
    <t>4506</t>
  </si>
  <si>
    <t>4508</t>
  </si>
  <si>
    <t>6818</t>
  </si>
  <si>
    <t>6819</t>
  </si>
  <si>
    <t>6820</t>
  </si>
  <si>
    <t>6821</t>
  </si>
  <si>
    <t>6825</t>
  </si>
  <si>
    <t>6826</t>
  </si>
  <si>
    <t>6827</t>
  </si>
  <si>
    <t>6828</t>
  </si>
  <si>
    <t>4889</t>
  </si>
  <si>
    <t>7706</t>
  </si>
  <si>
    <t>1853</t>
  </si>
  <si>
    <t>1854</t>
  </si>
  <si>
    <t>1855</t>
  </si>
  <si>
    <t>6833</t>
  </si>
  <si>
    <t>6834</t>
  </si>
  <si>
    <t>1856</t>
  </si>
  <si>
    <t>1857</t>
  </si>
  <si>
    <t>1858</t>
  </si>
  <si>
    <t>1859</t>
  </si>
  <si>
    <t>1860</t>
  </si>
  <si>
    <t>1861</t>
  </si>
  <si>
    <t>4526</t>
  </si>
  <si>
    <t>4527</t>
  </si>
  <si>
    <t>1868</t>
  </si>
  <si>
    <t>1869</t>
  </si>
  <si>
    <t>6851</t>
  </si>
  <si>
    <t>6852</t>
  </si>
  <si>
    <t>6853</t>
  </si>
  <si>
    <t>6854</t>
  </si>
  <si>
    <t>6855</t>
  </si>
  <si>
    <t>6856</t>
  </si>
  <si>
    <t>6857</t>
  </si>
  <si>
    <t>6858</t>
  </si>
  <si>
    <t>6859</t>
  </si>
  <si>
    <t>7130</t>
  </si>
  <si>
    <t>7131</t>
  </si>
  <si>
    <t>6867</t>
  </si>
  <si>
    <t>1883</t>
  </si>
  <si>
    <t>1884</t>
  </si>
  <si>
    <t>6870</t>
  </si>
  <si>
    <t>6871</t>
  </si>
  <si>
    <t>6872</t>
  </si>
  <si>
    <t>6873</t>
  </si>
  <si>
    <t>4280</t>
  </si>
  <si>
    <t>5751</t>
  </si>
  <si>
    <t>5752</t>
  </si>
  <si>
    <t>5753</t>
  </si>
  <si>
    <t>5754</t>
  </si>
  <si>
    <t>5755</t>
  </si>
  <si>
    <t>6162</t>
  </si>
  <si>
    <t>5756</t>
  </si>
  <si>
    <t>5757</t>
  </si>
  <si>
    <t>5758</t>
  </si>
  <si>
    <t>5759</t>
  </si>
  <si>
    <t>5760</t>
  </si>
  <si>
    <t>5761</t>
  </si>
  <si>
    <t>5762</t>
  </si>
  <si>
    <t>5763</t>
  </si>
  <si>
    <t>5764</t>
  </si>
  <si>
    <t>5765</t>
  </si>
  <si>
    <t>1905</t>
  </si>
  <si>
    <t>5766</t>
  </si>
  <si>
    <t>1908</t>
  </si>
  <si>
    <t>1909</t>
  </si>
  <si>
    <t>5767</t>
  </si>
  <si>
    <t>5768</t>
  </si>
  <si>
    <t>5769</t>
  </si>
  <si>
    <t>5770</t>
  </si>
  <si>
    <t>5771</t>
  </si>
  <si>
    <t>4220</t>
  </si>
  <si>
    <t>5772</t>
  </si>
  <si>
    <t>5773</t>
  </si>
  <si>
    <t>1915</t>
  </si>
  <si>
    <t>1916</t>
  </si>
  <si>
    <t>5774</t>
  </si>
  <si>
    <t>5775</t>
  </si>
  <si>
    <t>5776</t>
  </si>
  <si>
    <t>5777</t>
  </si>
  <si>
    <t>7628</t>
  </si>
  <si>
    <t>7629</t>
  </si>
  <si>
    <t>7630</t>
  </si>
  <si>
    <t>7631</t>
  </si>
  <si>
    <t>7657</t>
  </si>
  <si>
    <t>7272</t>
  </si>
  <si>
    <t>7265</t>
  </si>
  <si>
    <t>7266</t>
  </si>
  <si>
    <t>7267</t>
  </si>
  <si>
    <t>7268</t>
  </si>
  <si>
    <t>7269</t>
  </si>
  <si>
    <t>7270</t>
  </si>
  <si>
    <t>7271</t>
  </si>
  <si>
    <t>7317</t>
  </si>
  <si>
    <t>7318</t>
  </si>
  <si>
    <t>7291</t>
  </si>
  <si>
    <t>7292</t>
  </si>
  <si>
    <t>7293</t>
  </si>
  <si>
    <t>7294</t>
  </si>
  <si>
    <t>7296</t>
  </si>
  <si>
    <t>7297</t>
  </si>
  <si>
    <t>7298</t>
  </si>
  <si>
    <t>7299</t>
  </si>
  <si>
    <t>7300</t>
  </si>
  <si>
    <t>7301</t>
  </si>
  <si>
    <t>7302</t>
  </si>
  <si>
    <t>7303</t>
  </si>
  <si>
    <t>7304</t>
  </si>
  <si>
    <t>7305</t>
  </si>
  <si>
    <t>5778</t>
  </si>
  <si>
    <t>5779</t>
  </si>
  <si>
    <t>5780</t>
  </si>
  <si>
    <t>5781</t>
  </si>
  <si>
    <t>5782</t>
  </si>
  <si>
    <t>5783</t>
  </si>
  <si>
    <t>5784</t>
  </si>
  <si>
    <t>5785</t>
  </si>
  <si>
    <t>7567</t>
  </si>
  <si>
    <t>7568</t>
  </si>
  <si>
    <t>5786</t>
  </si>
  <si>
    <t>5787</t>
  </si>
  <si>
    <t>5788</t>
  </si>
  <si>
    <t>5789</t>
  </si>
  <si>
    <t>1964</t>
  </si>
  <si>
    <t>1965</t>
  </si>
  <si>
    <t>1966</t>
  </si>
  <si>
    <t>1967</t>
  </si>
  <si>
    <t>1968</t>
  </si>
  <si>
    <t>5790</t>
  </si>
  <si>
    <t>5791</t>
  </si>
  <si>
    <t>5099</t>
  </si>
  <si>
    <t>5100</t>
  </si>
  <si>
    <t>5792</t>
  </si>
  <si>
    <t>5793</t>
  </si>
  <si>
    <t>1970</t>
  </si>
  <si>
    <t>1971</t>
  </si>
  <si>
    <t>1972</t>
  </si>
  <si>
    <t>5794</t>
  </si>
  <si>
    <t>5795</t>
  </si>
  <si>
    <t>1978</t>
  </si>
  <si>
    <t>5796</t>
  </si>
  <si>
    <t>1982</t>
  </si>
  <si>
    <t>1983</t>
  </si>
  <si>
    <t>1984</t>
  </si>
  <si>
    <t>1985</t>
  </si>
  <si>
    <t>1986</t>
  </si>
  <si>
    <t>5797</t>
  </si>
  <si>
    <t>5798</t>
  </si>
  <si>
    <t>5799</t>
  </si>
  <si>
    <t>5800</t>
  </si>
  <si>
    <t>5801</t>
  </si>
  <si>
    <t>5802</t>
  </si>
  <si>
    <t>5803</t>
  </si>
  <si>
    <t>5804</t>
  </si>
  <si>
    <t>5805</t>
  </si>
  <si>
    <t>5806</t>
  </si>
  <si>
    <t>5807</t>
  </si>
  <si>
    <t>5808</t>
  </si>
  <si>
    <t>5809</t>
  </si>
  <si>
    <t>5810</t>
  </si>
  <si>
    <t>5811</t>
  </si>
  <si>
    <t>5812</t>
  </si>
  <si>
    <t>1992</t>
  </si>
  <si>
    <t>1993</t>
  </si>
  <si>
    <t>1994</t>
  </si>
  <si>
    <t>1995</t>
  </si>
  <si>
    <t>1996</t>
  </si>
  <si>
    <t>5813</t>
  </si>
  <si>
    <t>5814</t>
  </si>
  <si>
    <t>5815</t>
  </si>
  <si>
    <t>5816</t>
  </si>
  <si>
    <t>5817</t>
  </si>
  <si>
    <t>5818</t>
  </si>
  <si>
    <t>5819</t>
  </si>
  <si>
    <t>5820</t>
  </si>
  <si>
    <t>7632</t>
  </si>
  <si>
    <t>7106</t>
  </si>
  <si>
    <t>7107</t>
  </si>
  <si>
    <t>7587</t>
  </si>
  <si>
    <t>7588</t>
  </si>
  <si>
    <t>7661</t>
  </si>
  <si>
    <t>7662</t>
  </si>
  <si>
    <t>5106</t>
  </si>
  <si>
    <t>5822</t>
  </si>
  <si>
    <t>2975</t>
  </si>
  <si>
    <t>2976</t>
  </si>
  <si>
    <t>2977</t>
  </si>
  <si>
    <t>2978</t>
  </si>
  <si>
    <t>2979</t>
  </si>
  <si>
    <t>2980</t>
  </si>
  <si>
    <t>2981</t>
  </si>
  <si>
    <t>5823</t>
  </si>
  <si>
    <t>5824</t>
  </si>
  <si>
    <t>2816</t>
  </si>
  <si>
    <t>5825</t>
  </si>
  <si>
    <t>5826</t>
  </si>
  <si>
    <t>2817</t>
  </si>
  <si>
    <t>5827</t>
  </si>
  <si>
    <t>5828</t>
  </si>
  <si>
    <t>2818</t>
  </si>
  <si>
    <t>5829</t>
  </si>
  <si>
    <t>5830</t>
  </si>
  <si>
    <t>5831</t>
  </si>
  <si>
    <t>5832</t>
  </si>
  <si>
    <t>5833</t>
  </si>
  <si>
    <t>5834</t>
  </si>
  <si>
    <t>5835</t>
  </si>
  <si>
    <t>5836</t>
  </si>
  <si>
    <t>4510</t>
  </si>
  <si>
    <t>4512</t>
  </si>
  <si>
    <t>4513</t>
  </si>
  <si>
    <t>3354</t>
  </si>
  <si>
    <t>3355</t>
  </si>
  <si>
    <t>5837</t>
  </si>
  <si>
    <t>5838</t>
  </si>
  <si>
    <t>5839</t>
  </si>
  <si>
    <t>5840</t>
  </si>
  <si>
    <t>5841</t>
  </si>
  <si>
    <t>5842</t>
  </si>
  <si>
    <t>5843</t>
  </si>
  <si>
    <t>5844</t>
  </si>
  <si>
    <t>5845</t>
  </si>
  <si>
    <t>5846</t>
  </si>
  <si>
    <t>5847</t>
  </si>
  <si>
    <t>3706</t>
  </si>
  <si>
    <t>5848</t>
  </si>
  <si>
    <t>5849</t>
  </si>
  <si>
    <t>5850</t>
  </si>
  <si>
    <t>2027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</si>
  <si>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</si>
  <si>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</si>
  <si>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</si>
  <si>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</si>
  <si>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</si>
  <si>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</si>
  <si>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</si>
  <si>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</si>
  <si>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</si>
  <si>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3391</t>
  </si>
  <si>
    <t>3392</t>
  </si>
  <si>
    <t>3393</t>
  </si>
  <si>
    <t>3394</t>
  </si>
  <si>
    <t>3395</t>
  </si>
  <si>
    <t>3396</t>
  </si>
  <si>
    <t>2103</t>
  </si>
  <si>
    <t>2110</t>
  </si>
  <si>
    <t>2111</t>
  </si>
  <si>
    <t>2118</t>
  </si>
  <si>
    <t>2119</t>
  </si>
  <si>
    <t>5851</t>
  </si>
  <si>
    <t>5852</t>
  </si>
  <si>
    <t>7102</t>
  </si>
  <si>
    <t>7103</t>
  </si>
  <si>
    <t>6269</t>
  </si>
  <si>
    <t>6282</t>
  </si>
  <si>
    <t>5853</t>
  </si>
  <si>
    <t>5854</t>
  </si>
  <si>
    <t>5855</t>
  </si>
  <si>
    <t>7617</t>
  </si>
  <si>
    <t>7618</t>
  </si>
  <si>
    <t>7619</t>
  </si>
  <si>
    <t>7620</t>
  </si>
  <si>
    <t>7621</t>
  </si>
  <si>
    <t>7622</t>
  </si>
  <si>
    <t>7633</t>
  </si>
  <si>
    <t>2134</t>
  </si>
  <si>
    <t>2135</t>
  </si>
  <si>
    <t>2136</t>
  </si>
  <si>
    <t>2137</t>
  </si>
  <si>
    <t>2138</t>
  </si>
  <si>
    <t>2139</t>
  </si>
  <si>
    <t>5856</t>
  </si>
  <si>
    <t>5857</t>
  </si>
  <si>
    <t>5858</t>
  </si>
  <si>
    <t>5859</t>
  </si>
  <si>
    <t>5860</t>
  </si>
  <si>
    <t>5861</t>
  </si>
  <si>
    <t>5862</t>
  </si>
  <si>
    <t>5863</t>
  </si>
  <si>
    <t>5864</t>
  </si>
  <si>
    <t>5865</t>
  </si>
  <si>
    <t>5866</t>
  </si>
  <si>
    <t>6944</t>
  </si>
  <si>
    <t>6945</t>
  </si>
  <si>
    <t>2905</t>
  </si>
  <si>
    <t>5868</t>
  </si>
  <si>
    <t>5869</t>
  </si>
  <si>
    <t>2819</t>
  </si>
  <si>
    <t>5870</t>
  </si>
  <si>
    <t>5871</t>
  </si>
  <si>
    <t>2205</t>
  </si>
  <si>
    <t>2206</t>
  </si>
  <si>
    <t>5872</t>
  </si>
  <si>
    <t>5873</t>
  </si>
  <si>
    <t>5874</t>
  </si>
  <si>
    <t>6894</t>
  </si>
  <si>
    <t>6895</t>
  </si>
  <si>
    <t>6891</t>
  </si>
  <si>
    <t>6892</t>
  </si>
  <si>
    <t>6893</t>
  </si>
  <si>
    <t>5875</t>
  </si>
  <si>
    <t>2225</t>
  </si>
  <si>
    <t>2226</t>
  </si>
  <si>
    <t>2227</t>
  </si>
  <si>
    <t>2228</t>
  </si>
  <si>
    <t>2229</t>
  </si>
  <si>
    <t>2232</t>
  </si>
  <si>
    <t>2233</t>
  </si>
  <si>
    <t>2234</t>
  </si>
  <si>
    <t>2235</t>
  </si>
  <si>
    <t>2236</t>
  </si>
  <si>
    <t>2237</t>
  </si>
  <si>
    <t>2238</t>
  </si>
  <si>
    <t>2239</t>
  </si>
  <si>
    <t>2240</t>
  </si>
  <si>
    <t>6380</t>
  </si>
  <si>
    <t>2247</t>
  </si>
  <si>
    <t>2248</t>
  </si>
  <si>
    <t>2249</t>
  </si>
  <si>
    <t>2250</t>
  </si>
  <si>
    <t>2251</t>
  </si>
  <si>
    <t>2252</t>
  </si>
  <si>
    <t>7168</t>
  </si>
  <si>
    <t>7169</t>
  </si>
  <si>
    <t>2278</t>
  </si>
  <si>
    <t>2279</t>
  </si>
  <si>
    <t>2280</t>
  </si>
  <si>
    <t>2281</t>
  </si>
  <si>
    <t>2282</t>
  </si>
  <si>
    <t>2283</t>
  </si>
  <si>
    <t>2285</t>
  </si>
  <si>
    <t>2287</t>
  </si>
  <si>
    <t>2288</t>
  </si>
  <si>
    <t>5876</t>
  </si>
  <si>
    <t>5877</t>
  </si>
  <si>
    <t>5878</t>
  </si>
  <si>
    <t>5879</t>
  </si>
  <si>
    <t>5880</t>
  </si>
  <si>
    <t>5881</t>
  </si>
  <si>
    <t>5882</t>
  </si>
  <si>
    <t>5883</t>
  </si>
  <si>
    <t>5884</t>
  </si>
  <si>
    <t>5885</t>
  </si>
  <si>
    <t>5886</t>
  </si>
  <si>
    <t>5887</t>
  </si>
  <si>
    <t>5888</t>
  </si>
  <si>
    <t>5889</t>
  </si>
  <si>
    <t>5890</t>
  </si>
  <si>
    <t>5891</t>
  </si>
  <si>
    <t>5892</t>
  </si>
  <si>
    <t>5893</t>
  </si>
  <si>
    <t>5894</t>
  </si>
  <si>
    <t>5895</t>
  </si>
  <si>
    <t>4003</t>
  </si>
  <si>
    <t>4004</t>
  </si>
  <si>
    <t>4005</t>
  </si>
  <si>
    <t>4006</t>
  </si>
  <si>
    <t>4007</t>
  </si>
  <si>
    <t>4008</t>
  </si>
  <si>
    <t>4009</t>
  </si>
  <si>
    <t>2323</t>
  </si>
  <si>
    <t>7496</t>
  </si>
  <si>
    <t>7497</t>
  </si>
  <si>
    <t>7488</t>
  </si>
  <si>
    <t>7489</t>
  </si>
  <si>
    <t>7480</t>
  </si>
  <si>
    <t>7481</t>
  </si>
  <si>
    <t>5896</t>
  </si>
  <si>
    <t>2345</t>
  </si>
  <si>
    <t>3317</t>
  </si>
  <si>
    <t>3318</t>
  </si>
  <si>
    <t>3815</t>
  </si>
  <si>
    <t>3816</t>
  </si>
  <si>
    <t>5897</t>
  </si>
  <si>
    <t>7490</t>
  </si>
  <si>
    <t>3817</t>
  </si>
  <si>
    <t>6879</t>
  </si>
  <si>
    <t>6880</t>
  </si>
  <si>
    <t>6881</t>
  </si>
  <si>
    <t>6882</t>
  </si>
  <si>
    <t>5898</t>
  </si>
  <si>
    <t>5899</t>
  </si>
  <si>
    <t>2360</t>
  </si>
  <si>
    <t>2361</t>
  </si>
  <si>
    <t>2362</t>
  </si>
  <si>
    <t>2363</t>
  </si>
  <si>
    <t>2364</t>
  </si>
  <si>
    <t>2365</t>
  </si>
  <si>
    <t>2366</t>
  </si>
  <si>
    <t>2367</t>
  </si>
  <si>
    <t>2368</t>
  </si>
  <si>
    <t>2369</t>
  </si>
  <si>
    <t>2370</t>
  </si>
  <si>
    <t>2371</t>
  </si>
  <si>
    <t>2372</t>
  </si>
  <si>
    <t>2373</t>
  </si>
  <si>
    <t>2374</t>
  </si>
  <si>
    <t>2375</t>
  </si>
  <si>
    <t>2376</t>
  </si>
  <si>
    <t>2377</t>
  </si>
  <si>
    <t>2378</t>
  </si>
  <si>
    <t>2379</t>
  </si>
  <si>
    <t>2380</t>
  </si>
  <si>
    <t>2381</t>
  </si>
  <si>
    <t>7519</t>
  </si>
  <si>
    <t>7520</t>
  </si>
  <si>
    <t>5900</t>
  </si>
  <si>
    <t>2385</t>
  </si>
  <si>
    <t>2386</t>
  </si>
  <si>
    <t>2387</t>
  </si>
  <si>
    <t>2388</t>
  </si>
  <si>
    <t>2389</t>
  </si>
  <si>
    <t>2390</t>
  </si>
  <si>
    <t>5901</t>
  </si>
  <si>
    <t>5902</t>
  </si>
  <si>
    <t>7087</t>
  </si>
  <si>
    <t>7088</t>
  </si>
  <si>
    <t>4308</t>
  </si>
  <si>
    <t>4309</t>
  </si>
  <si>
    <t>4310</t>
  </si>
  <si>
    <t>4311</t>
  </si>
  <si>
    <t>4312</t>
  </si>
  <si>
    <t>4313</t>
  </si>
  <si>
    <t>4314</t>
  </si>
  <si>
    <t>4906</t>
  </si>
  <si>
    <t>4907</t>
  </si>
  <si>
    <t>7464</t>
  </si>
  <si>
    <t>7465</t>
  </si>
  <si>
    <t>3872</t>
  </si>
  <si>
    <t>3873</t>
  </si>
  <si>
    <t>3874</t>
  </si>
  <si>
    <t>3875</t>
  </si>
  <si>
    <t>3894</t>
  </si>
  <si>
    <t>3895</t>
  </si>
  <si>
    <t>3896</t>
  </si>
  <si>
    <t>3897</t>
  </si>
  <si>
    <t>2403</t>
  </si>
  <si>
    <t>2404</t>
  </si>
  <si>
    <t>2405</t>
  </si>
  <si>
    <t>2406</t>
  </si>
  <si>
    <t>2407</t>
  </si>
  <si>
    <t>2408</t>
  </si>
  <si>
    <t>2409</t>
  </si>
  <si>
    <t>2413</t>
  </si>
  <si>
    <t>2414</t>
  </si>
  <si>
    <t>2415</t>
  </si>
  <si>
    <t>4193</t>
  </si>
  <si>
    <t>4194</t>
  </si>
  <si>
    <t>5903</t>
  </si>
  <si>
    <t>5904</t>
  </si>
  <si>
    <t>5905</t>
  </si>
  <si>
    <t>5906</t>
  </si>
  <si>
    <t>5907</t>
  </si>
  <si>
    <t>5908</t>
  </si>
  <si>
    <t>5909</t>
  </si>
  <si>
    <t>5910</t>
  </si>
  <si>
    <t>5918</t>
  </si>
  <si>
    <t>5919</t>
  </si>
  <si>
    <t>4820</t>
  </si>
  <si>
    <t>5921</t>
  </si>
  <si>
    <t>3888</t>
  </si>
  <si>
    <t>3889</t>
  </si>
  <si>
    <t>2441</t>
  </si>
  <si>
    <t>5922</t>
  </si>
  <si>
    <t>6257</t>
  </si>
  <si>
    <t>4272</t>
  </si>
  <si>
    <t>7198</t>
  </si>
  <si>
    <t>3001</t>
  </si>
  <si>
    <t>4096</t>
  </si>
  <si>
    <t>4097</t>
  </si>
  <si>
    <t>4098</t>
  </si>
  <si>
    <t>5923</t>
  </si>
  <si>
    <t>5924</t>
  </si>
  <si>
    <t>3461</t>
  </si>
  <si>
    <t>3462</t>
  </si>
  <si>
    <t>2909</t>
  </si>
  <si>
    <t>2910</t>
  </si>
  <si>
    <t>2911</t>
  </si>
  <si>
    <t>2912</t>
  </si>
  <si>
    <t>2913</t>
  </si>
  <si>
    <t>2914</t>
  </si>
  <si>
    <t>2915</t>
  </si>
  <si>
    <t>2916</t>
  </si>
  <si>
    <t>2917</t>
  </si>
  <si>
    <t>2918</t>
  </si>
  <si>
    <t>2496</t>
  </si>
  <si>
    <t>2497</t>
  </si>
  <si>
    <t>2498</t>
  </si>
  <si>
    <t>2499</t>
  </si>
  <si>
    <t>2500</t>
  </si>
  <si>
    <t>2501</t>
  </si>
  <si>
    <t>2502</t>
  </si>
  <si>
    <t>2503</t>
  </si>
  <si>
    <t>2504</t>
  </si>
  <si>
    <t>2505</t>
  </si>
  <si>
    <t>2506</t>
  </si>
  <si>
    <t>2507</t>
  </si>
  <si>
    <t>2508</t>
  </si>
  <si>
    <t>2509</t>
  </si>
  <si>
    <t>2510</t>
  </si>
  <si>
    <t>2511</t>
  </si>
  <si>
    <t>2512</t>
  </si>
  <si>
    <t>2513</t>
  </si>
  <si>
    <t>2514</t>
  </si>
  <si>
    <t>2515</t>
  </si>
  <si>
    <t>2516</t>
  </si>
  <si>
    <t>2517</t>
  </si>
  <si>
    <t>2518</t>
  </si>
  <si>
    <t>2519</t>
  </si>
  <si>
    <t>2520</t>
  </si>
  <si>
    <t>2521</t>
  </si>
  <si>
    <t>2522</t>
  </si>
  <si>
    <t>2523</t>
  </si>
  <si>
    <t>2524</t>
  </si>
  <si>
    <t>2525</t>
  </si>
  <si>
    <t>2526</t>
  </si>
  <si>
    <t>2527</t>
  </si>
  <si>
    <t>2528</t>
  </si>
  <si>
    <t>2529</t>
  </si>
  <si>
    <t>2530</t>
  </si>
  <si>
    <t>2531</t>
  </si>
  <si>
    <t>2532</t>
  </si>
  <si>
    <t>2533</t>
  </si>
  <si>
    <t>2534</t>
  </si>
  <si>
    <t>2535</t>
  </si>
  <si>
    <t>2536</t>
  </si>
  <si>
    <t>2537</t>
  </si>
  <si>
    <t>2561</t>
  </si>
  <si>
    <t>2562</t>
  </si>
  <si>
    <t>2563</t>
  </si>
  <si>
    <t>5925</t>
  </si>
  <si>
    <t>5926</t>
  </si>
  <si>
    <t>5927</t>
  </si>
  <si>
    <t>5928</t>
  </si>
  <si>
    <t>5929</t>
  </si>
  <si>
    <t>5930</t>
  </si>
  <si>
    <t>5931</t>
  </si>
  <si>
    <t>5932</t>
  </si>
  <si>
    <t>5933</t>
  </si>
  <si>
    <t>5934</t>
  </si>
  <si>
    <t>5935</t>
  </si>
  <si>
    <t>5936</t>
  </si>
  <si>
    <t>5937</t>
  </si>
  <si>
    <t>5938</t>
  </si>
  <si>
    <t>5939</t>
  </si>
  <si>
    <t>5940</t>
  </si>
  <si>
    <t>5941</t>
  </si>
  <si>
    <t>5942</t>
  </si>
  <si>
    <t>5943</t>
  </si>
  <si>
    <t>5944</t>
  </si>
  <si>
    <t>5945</t>
  </si>
  <si>
    <t>5946</t>
  </si>
  <si>
    <t>5947</t>
  </si>
  <si>
    <t>5948</t>
  </si>
  <si>
    <t>5949</t>
  </si>
  <si>
    <t>5950</t>
  </si>
  <si>
    <t>5951</t>
  </si>
  <si>
    <t>5952</t>
  </si>
  <si>
    <t>5953</t>
  </si>
  <si>
    <t>5954</t>
  </si>
  <si>
    <t>5955</t>
  </si>
  <si>
    <t>5956</t>
  </si>
  <si>
    <t>5957</t>
  </si>
  <si>
    <t>5958</t>
  </si>
  <si>
    <t>5959</t>
  </si>
  <si>
    <t>5960</t>
  </si>
  <si>
    <t>5961</t>
  </si>
  <si>
    <t>5962</t>
  </si>
  <si>
    <t>5963</t>
  </si>
  <si>
    <t>5964</t>
  </si>
  <si>
    <t>5965</t>
  </si>
  <si>
    <t>5966</t>
  </si>
  <si>
    <t>5967</t>
  </si>
  <si>
    <t>5968</t>
  </si>
  <si>
    <t>5969</t>
  </si>
  <si>
    <t>5970</t>
  </si>
  <si>
    <t>5971</t>
  </si>
  <si>
    <t>5972</t>
  </si>
  <si>
    <t>5973</t>
  </si>
  <si>
    <t>5974</t>
  </si>
  <si>
    <t>5975</t>
  </si>
  <si>
    <t>5976</t>
  </si>
  <si>
    <t>5977</t>
  </si>
  <si>
    <t>5978</t>
  </si>
  <si>
    <t>5979</t>
  </si>
  <si>
    <t>5980</t>
  </si>
  <si>
    <t>5981</t>
  </si>
  <si>
    <t>5982</t>
  </si>
  <si>
    <t>5983</t>
  </si>
  <si>
    <t>5984</t>
  </si>
  <si>
    <t>5985</t>
  </si>
  <si>
    <t>5986</t>
  </si>
  <si>
    <t>5987</t>
  </si>
  <si>
    <t>5988</t>
  </si>
  <si>
    <t>5989</t>
  </si>
  <si>
    <t>5990</t>
  </si>
  <si>
    <t>5991</t>
  </si>
  <si>
    <t>5992</t>
  </si>
  <si>
    <t>5993</t>
  </si>
  <si>
    <t>5994</t>
  </si>
  <si>
    <t>5995</t>
  </si>
  <si>
    <t>5996</t>
  </si>
  <si>
    <t>5997</t>
  </si>
  <si>
    <t>5998</t>
  </si>
  <si>
    <t>5999</t>
  </si>
  <si>
    <t>6000</t>
  </si>
  <si>
    <t>6001</t>
  </si>
  <si>
    <t>6002</t>
  </si>
  <si>
    <t>6003</t>
  </si>
  <si>
    <t>6004</t>
  </si>
  <si>
    <t>6005</t>
  </si>
  <si>
    <t>6006</t>
  </si>
  <si>
    <t>6007</t>
  </si>
  <si>
    <t>6008</t>
  </si>
  <si>
    <t>6009</t>
  </si>
  <si>
    <t>6010</t>
  </si>
  <si>
    <t>6011</t>
  </si>
  <si>
    <t>6012</t>
  </si>
  <si>
    <t>6013</t>
  </si>
  <si>
    <t>6014</t>
  </si>
  <si>
    <t>6015</t>
  </si>
  <si>
    <t>6016</t>
  </si>
  <si>
    <t>6017</t>
  </si>
  <si>
    <t>6018</t>
  </si>
  <si>
    <t>6019</t>
  </si>
  <si>
    <t>6020</t>
  </si>
  <si>
    <t>6021</t>
  </si>
  <si>
    <t>6022</t>
  </si>
  <si>
    <t>6023</t>
  </si>
  <si>
    <t>6024</t>
  </si>
  <si>
    <t>6025</t>
  </si>
  <si>
    <t>6026</t>
  </si>
  <si>
    <t>6027</t>
  </si>
  <si>
    <t>6028</t>
  </si>
  <si>
    <t>6029</t>
  </si>
  <si>
    <t>6030</t>
  </si>
  <si>
    <t>6031</t>
  </si>
  <si>
    <t>6032</t>
  </si>
  <si>
    <t>6033</t>
  </si>
  <si>
    <t>6034</t>
  </si>
  <si>
    <t>6035</t>
  </si>
  <si>
    <t>6036</t>
  </si>
  <si>
    <t>6037</t>
  </si>
  <si>
    <t>4832</t>
  </si>
  <si>
    <t>4833</t>
  </si>
  <si>
    <t>4834</t>
  </si>
  <si>
    <t>6038</t>
  </si>
  <si>
    <t>6039</t>
  </si>
  <si>
    <t>6040</t>
  </si>
  <si>
    <t>6041</t>
  </si>
  <si>
    <t>4439</t>
  </si>
  <si>
    <t>4440</t>
  </si>
  <si>
    <t>4441</t>
  </si>
  <si>
    <t>4442</t>
  </si>
  <si>
    <t>4443</t>
  </si>
  <si>
    <t>6042</t>
  </si>
  <si>
    <t>6043</t>
  </si>
  <si>
    <t>6044</t>
  </si>
  <si>
    <t>2585</t>
  </si>
  <si>
    <t>2586</t>
  </si>
  <si>
    <t>2589</t>
  </si>
  <si>
    <t>4292</t>
  </si>
  <si>
    <t>4293</t>
  </si>
  <si>
    <t>6045</t>
  </si>
  <si>
    <t>6046</t>
  </si>
  <si>
    <t>4221</t>
  </si>
  <si>
    <t>6047</t>
  </si>
  <si>
    <t>6048</t>
  </si>
  <si>
    <t>3876</t>
  </si>
  <si>
    <t>3877</t>
  </si>
  <si>
    <t>3878</t>
  </si>
  <si>
    <t>3879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</si>
  <si>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</si>
  <si>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</si>
  <si>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</si>
  <si>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</si>
  <si>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</si>
  <si>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</si>
  <si>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</si>
  <si>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</si>
  <si>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</si>
  <si>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</si>
  <si>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</si>
  <si>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</si>
  <si>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</si>
  <si>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</si>
  <si>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</si>
  <si>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</si>
  <si>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</si>
  <si>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</si>
  <si>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</si>
  <si>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</si>
  <si>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</si>
  <si>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</si>
  <si>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6049</t>
  </si>
  <si>
    <t>6050</t>
  </si>
  <si>
    <t>3880</t>
  </si>
  <si>
    <t>3881</t>
  </si>
  <si>
    <t>3882</t>
  </si>
  <si>
    <t>3883</t>
  </si>
  <si>
    <t>3853</t>
  </si>
  <si>
    <t>3854</t>
  </si>
  <si>
    <t>3855</t>
  </si>
  <si>
    <t>3884</t>
  </si>
  <si>
    <t>3885</t>
  </si>
  <si>
    <t>3343</t>
  </si>
  <si>
    <t>3344</t>
  </si>
  <si>
    <t>3345</t>
  </si>
  <si>
    <t>3346</t>
  </si>
  <si>
    <t>3347</t>
  </si>
  <si>
    <t>3348</t>
  </si>
  <si>
    <t>3718</t>
  </si>
  <si>
    <t>7170</t>
  </si>
  <si>
    <t>6051</t>
  </si>
  <si>
    <t>6052</t>
  </si>
  <si>
    <t>6053</t>
  </si>
  <si>
    <t>2685</t>
  </si>
  <si>
    <t>2686</t>
  </si>
  <si>
    <t>2687</t>
  </si>
  <si>
    <t>2688</t>
  </si>
  <si>
    <t>2689</t>
  </si>
  <si>
    <t>2690</t>
  </si>
  <si>
    <t>6054</t>
  </si>
  <si>
    <t>6055</t>
  </si>
  <si>
    <t>7172</t>
  </si>
  <si>
    <t>2824</t>
  </si>
  <si>
    <t>2737</t>
  </si>
  <si>
    <t>4250</t>
  </si>
  <si>
    <t>4251</t>
  </si>
  <si>
    <t>4248</t>
  </si>
  <si>
    <t>4249</t>
  </si>
  <si>
    <t>6056</t>
  </si>
  <si>
    <t>6057</t>
  </si>
  <si>
    <t>6058</t>
  </si>
  <si>
    <t>2769</t>
  </si>
  <si>
    <t>2770</t>
  </si>
  <si>
    <t>6181</t>
  </si>
  <si>
    <t>6059</t>
  </si>
  <si>
    <t>6060</t>
  </si>
  <si>
    <t>6061</t>
  </si>
  <si>
    <t>6062</t>
  </si>
  <si>
    <t>17</t>
  </si>
  <si>
    <t>3402</t>
  </si>
  <si>
    <t>1681</t>
  </si>
  <si>
    <t>1841</t>
  </si>
  <si>
    <t>1842</t>
  </si>
  <si>
    <t>1843</t>
  </si>
  <si>
    <t>1832</t>
  </si>
  <si>
    <t>2291</t>
  </si>
  <si>
    <t>2298</t>
  </si>
  <si>
    <t>2308</t>
  </si>
  <si>
    <t>2480</t>
  </si>
  <si>
    <t>2491</t>
  </si>
  <si>
    <t>2543</t>
  </si>
  <si>
    <t>3558</t>
  </si>
  <si>
    <t>3569</t>
  </si>
  <si>
    <t>3601</t>
  </si>
  <si>
    <t>3603</t>
  </si>
  <si>
    <t>3605</t>
  </si>
  <si>
    <t>3606</t>
  </si>
  <si>
    <t>3607</t>
  </si>
  <si>
    <t>3033</t>
  </si>
  <si>
    <t>3035</t>
  </si>
  <si>
    <t>3038</t>
  </si>
  <si>
    <t>7973</t>
  </si>
  <si>
    <t>3749</t>
  </si>
  <si>
    <t>742</t>
  </si>
  <si>
    <t>7870</t>
  </si>
  <si>
    <t>7871</t>
  </si>
  <si>
    <t>7834</t>
  </si>
  <si>
    <t>1477</t>
  </si>
  <si>
    <t>3179</t>
  </si>
  <si>
    <t>1484</t>
  </si>
  <si>
    <t>3369</t>
  </si>
  <si>
    <t>3381</t>
  </si>
  <si>
    <t>3940</t>
  </si>
  <si>
    <t>GUI/C#  Memory Leaks</t>
  </si>
  <si>
    <t>8058</t>
  </si>
  <si>
    <t>8059</t>
  </si>
  <si>
    <t>8060</t>
  </si>
  <si>
    <t>D:\dev\integration\content\traffic\l2l3\ui\View\PortConfigView10GigCopperGeneral.cs</t>
  </si>
  <si>
    <t>8563</t>
  </si>
  <si>
    <t>/home/scmbuild/TestCenter/integration/framework/il/common/pymodule/fpga/fpga_embedded_example.cpp</t>
  </si>
  <si>
    <t xml:space="preserve">GUI/C# </t>
  </si>
  <si>
    <t>Memory Leaks</t>
  </si>
  <si>
    <t>IL/X86</t>
  </si>
  <si>
    <t>Comparison to Last Report</t>
  </si>
  <si>
    <t>8067</t>
  </si>
  <si>
    <t>D:\dev\integration\content\admin\admin\ui\Equipment\Commands\ConfigLinkDiscoveryModeCommand.cs</t>
  </si>
  <si>
    <t>8068</t>
  </si>
  <si>
    <t>8069</t>
  </si>
  <si>
    <t>8070</t>
  </si>
  <si>
    <t>8071</t>
  </si>
  <si>
    <t>8072</t>
  </si>
  <si>
    <t>8073</t>
  </si>
  <si>
    <t>8074</t>
  </si>
  <si>
    <t>8075</t>
  </si>
  <si>
    <t>4570</t>
  </si>
  <si>
    <t>D:\dev\integration\framework\ui\automation\sal\src\BllStringSalFacade.cpp</t>
  </si>
  <si>
    <t>9012</t>
  </si>
  <si>
    <t>/home/scmbuild/TestCenter/integration/framework/il/kernel/drivers/phoenix/ds_rtc.c</t>
  </si>
  <si>
    <t>8976</t>
  </si>
  <si>
    <t>/home/scmbuild/TestCenter/integration/framework/il/kernel/linux-2.4.20_mvl31/fs/binfmt_elf.c</t>
  </si>
  <si>
    <t>9098</t>
  </si>
  <si>
    <t>/home/scmbuild/TestCenter/integration/framework/il/kernel/linux-2.4.20_mvl31/fs/nfsd/nfsctl.c</t>
  </si>
  <si>
    <t>9064</t>
  </si>
  <si>
    <t>/home/scmbuild/TestCenter/integration/framework/il/kernel/linux-2.4.20_mvl31/fs/proc/kcore.c</t>
  </si>
  <si>
    <t>9123</t>
  </si>
  <si>
    <t>/home/scmbuild/TestCenter/integration/framework/il/kernel/linux-2.4.20_mvl31/fs/select.c</t>
  </si>
  <si>
    <t>9092</t>
  </si>
  <si>
    <t>/home/scmbuild/TestCenter/integration/framework/il/kernel/linux-2.4.20_mvl31/fs/vfat/namei.c</t>
  </si>
  <si>
    <t>9002</t>
  </si>
  <si>
    <t>/home/scmbuild/TestCenter/integration/framework/il/kernel/linux-2.4.20_mvl31/init/do_mounts.c</t>
  </si>
  <si>
    <t>9003</t>
  </si>
  <si>
    <t>9143</t>
  </si>
  <si>
    <t>/home/scmbuild/TestCenter/integration/framework/il/kernel/linux-2.4.20_mvl31/ipc/shm.c</t>
  </si>
  <si>
    <t>9112</t>
  </si>
  <si>
    <t>/home/scmbuild/TestCenter/integration/framework/il/kernel/linux-2.4.20_mvl31/net/ipv4/raw.c</t>
  </si>
  <si>
    <t>9171</t>
  </si>
  <si>
    <t>/home/scmbuild/TestCenter/integration/framework/il/kernel/linux-2.4.20_mvl31/net/ipv4/udp.c</t>
  </si>
  <si>
    <t>9166</t>
  </si>
  <si>
    <t>/home/scmbuild/TestCenter/integration/framework/il/kernel/linux-2.4.20_mvl31/net/ipv6/tcp_ipv6.c</t>
  </si>
  <si>
    <t>9167</t>
  </si>
  <si>
    <t>8987</t>
  </si>
  <si>
    <t>/home/scmbuild/TestCenter/integration/framework/il/kernel/linux-2.4.20_mvl31/net/sunrpc/clnt.c</t>
  </si>
  <si>
    <t>9103</t>
  </si>
  <si>
    <t>/home/scmbuild/TestCenter/integration/framework/il/kernel/linux-2.4.20_mvl31/net/sunrpc/pmap_clnt.c</t>
  </si>
  <si>
    <t>8931</t>
  </si>
  <si>
    <t>8932</t>
  </si>
  <si>
    <t>8933</t>
  </si>
  <si>
    <t>8934</t>
  </si>
  <si>
    <t>8935</t>
  </si>
  <si>
    <t>8936</t>
  </si>
  <si>
    <t>8937</t>
  </si>
  <si>
    <t>8938</t>
  </si>
  <si>
    <t>8939</t>
  </si>
  <si>
    <t>8940</t>
  </si>
  <si>
    <t>8941</t>
  </si>
  <si>
    <t>8942</t>
  </si>
  <si>
    <t>8943</t>
  </si>
  <si>
    <t>8904</t>
  </si>
  <si>
    <t>8905</t>
  </si>
  <si>
    <t>8908</t>
  </si>
  <si>
    <t>8876</t>
  </si>
  <si>
    <t>8877</t>
  </si>
  <si>
    <t>8878</t>
  </si>
  <si>
    <t>8879</t>
  </si>
  <si>
    <t>8880</t>
  </si>
  <si>
    <t>8881</t>
  </si>
  <si>
    <t>8882</t>
  </si>
  <si>
    <t>8883</t>
  </si>
  <si>
    <t>8884</t>
  </si>
  <si>
    <t>8885</t>
  </si>
  <si>
    <t>8886</t>
  </si>
  <si>
    <t>8887</t>
  </si>
  <si>
    <t>8888</t>
  </si>
  <si>
    <t>8889</t>
  </si>
  <si>
    <t>8890</t>
  </si>
  <si>
    <t>8916</t>
  </si>
  <si>
    <t>8917</t>
  </si>
  <si>
    <t>8918</t>
  </si>
  <si>
    <t>8919</t>
  </si>
  <si>
    <t>8920</t>
  </si>
  <si>
    <t>8921</t>
  </si>
  <si>
    <t>8922</t>
  </si>
  <si>
    <t>8923</t>
  </si>
  <si>
    <t>8924</t>
  </si>
  <si>
    <t>8925</t>
  </si>
  <si>
    <t>8926</t>
  </si>
  <si>
    <t>8927</t>
  </si>
  <si>
    <t>8928</t>
  </si>
  <si>
    <t>8929</t>
  </si>
  <si>
    <t>8930</t>
  </si>
  <si>
    <t>8871</t>
  </si>
  <si>
    <t>/home/scmbuild/TestCenter/integration/content/storage/fc/il/debugconsole/DebugConsole.cpp</t>
  </si>
  <si>
    <t>8567</t>
  </si>
  <si>
    <t>/home/scmbuild/TestCenter/integration/content/traffic/l2l3/il/Generator/stream/IbProxyStreamImpl.cpp</t>
  </si>
  <si>
    <t>8906</t>
  </si>
  <si>
    <t>8907</t>
  </si>
  <si>
    <t>8870</t>
  </si>
  <si>
    <t>8892</t>
  </si>
  <si>
    <t>/home/scmbuild/TestCenter/integration/framework/il/common/lib/mps/mpscore_1_tm_msg.cpp</t>
  </si>
  <si>
    <t>8893</t>
  </si>
  <si>
    <t>8894</t>
  </si>
  <si>
    <t>8895</t>
  </si>
  <si>
    <t>8896</t>
  </si>
  <si>
    <t>8897</t>
  </si>
  <si>
    <t>8898</t>
  </si>
  <si>
    <t>8899</t>
  </si>
  <si>
    <t>8900</t>
  </si>
  <si>
    <t>8901</t>
  </si>
  <si>
    <t>8902</t>
  </si>
  <si>
    <t>8903</t>
  </si>
  <si>
    <t>8891</t>
  </si>
  <si>
    <t>/home/scmbuild/TestCenter/integration/framework/il/freebsd/sys/spirent/glue/glue_intr.c</t>
  </si>
  <si>
    <t>9011</t>
  </si>
  <si>
    <t>/home/scmbuild/TestCenter/integration/framework/il/kernel/drivers/phoenix/dpram_68k.c</t>
  </si>
  <si>
    <t>9023</t>
  </si>
  <si>
    <t>/home/scmbuild/TestCenter/integration/framework/il/kernel/drivers/phoenix/focus.c</t>
  </si>
  <si>
    <t>9024</t>
  </si>
  <si>
    <t>9025</t>
  </si>
  <si>
    <t>9026</t>
  </si>
  <si>
    <t>9027</t>
  </si>
  <si>
    <t>9028</t>
  </si>
  <si>
    <t>9030</t>
  </si>
  <si>
    <t>/home/scmbuild/TestCenter/integration/framework/il/kernel/drivers/phoenix/i2c-adap-inf0.c</t>
  </si>
  <si>
    <t>9031</t>
  </si>
  <si>
    <t>9065</t>
  </si>
  <si>
    <t>/home/scmbuild/TestCenter/integration/framework/il/kernel/drivers/phoenix/lite_tty.c</t>
  </si>
  <si>
    <t>9037</t>
  </si>
  <si>
    <t>/home/scmbuild/TestCenter/integration/framework/il/kernel/linux-2.4.20_mvl31/arch/ppc/kernel/idle.c</t>
  </si>
  <si>
    <t>9061</t>
  </si>
  <si>
    <t>/home/scmbuild/TestCenter/integration/framework/il/kernel/linux-2.4.20_mvl31/arch/ppc/kernel/irq.c</t>
  </si>
  <si>
    <t>9062</t>
  </si>
  <si>
    <t>9063</t>
  </si>
  <si>
    <t>9105</t>
  </si>
  <si>
    <t>/home/scmbuild/TestCenter/integration/framework/il/kernel/linux-2.4.20_mvl31/arch/ppc/kernel/ppc4xx_setup.c</t>
  </si>
  <si>
    <t>9106</t>
  </si>
  <si>
    <t>9107</t>
  </si>
  <si>
    <t>/home/scmbuild/TestCenter/integration/framework/il/kernel/linux-2.4.20_mvl31/arch/ppc/kernel/process.c</t>
  </si>
  <si>
    <t>9108</t>
  </si>
  <si>
    <t>9109</t>
  </si>
  <si>
    <t>/home/scmbuild/TestCenter/integration/framework/il/kernel/linux-2.4.20_mvl31/arch/ppc/kernel/ptrace.c</t>
  </si>
  <si>
    <t>9178</t>
  </si>
  <si>
    <t>/home/scmbuild/TestCenter/integration/framework/il/kernel/linux-2.4.20_mvl31/arch/ppc/platforms/xilinx_ocp/xbasic_types.c</t>
  </si>
  <si>
    <t>9179</t>
  </si>
  <si>
    <t>/home/scmbuild/TestCenter/integration/framework/il/kernel/linux-2.4.20_mvl31/arch/ppc/platforms/xilinx_ocp/xdma_channel_sg.c</t>
  </si>
  <si>
    <t>8977</t>
  </si>
  <si>
    <t>/home/scmbuild/TestCenter/integration/framework/il/kernel/linux-2.4.20_mvl31/drivers/block/blkpg.c</t>
  </si>
  <si>
    <t>9066</t>
  </si>
  <si>
    <t>/home/scmbuild/TestCenter/integration/framework/il/kernel/linux-2.4.20_mvl31/drivers/block/ll_rw_blk.c</t>
  </si>
  <si>
    <t>9067</t>
  </si>
  <si>
    <t>9068</t>
  </si>
  <si>
    <t>/home/scmbuild/TestCenter/integration/framework/il/kernel/linux-2.4.20_mvl31/drivers/block/loop.c</t>
  </si>
  <si>
    <t>9069</t>
  </si>
  <si>
    <t>9070</t>
  </si>
  <si>
    <t>9110</t>
  </si>
  <si>
    <t>/home/scmbuild/TestCenter/integration/framework/il/kernel/linux-2.4.20_mvl31/drivers/char/raw.c</t>
  </si>
  <si>
    <t>9111</t>
  </si>
  <si>
    <t>9127</t>
  </si>
  <si>
    <t>/home/scmbuild/TestCenter/integration/framework/il/kernel/linux-2.4.20_mvl31/drivers/char/serial.c</t>
  </si>
  <si>
    <t>9128</t>
  </si>
  <si>
    <t>9129</t>
  </si>
  <si>
    <t>9130</t>
  </si>
  <si>
    <t>9131</t>
  </si>
  <si>
    <t>9170</t>
  </si>
  <si>
    <t>/home/scmbuild/TestCenter/integration/framework/il/kernel/linux-2.4.20_mvl31/drivers/char/tty_io.c</t>
  </si>
  <si>
    <t>9033</t>
  </si>
  <si>
    <t>/home/scmbuild/TestCenter/integration/framework/il/kernel/linux-2.4.20_mvl31/drivers/i2c/i2c-proc.c</t>
  </si>
  <si>
    <t>9032</t>
  </si>
  <si>
    <t>/home/scmbuild/TestCenter/integration/framework/il/kernel/linux-2.4.20_mvl31/drivers/i2c/xilinx_iic/i2c-algo-xilinx.c</t>
  </si>
  <si>
    <t>9180</t>
  </si>
  <si>
    <t>/home/scmbuild/TestCenter/integration/framework/il/kernel/linux-2.4.20_mvl31/drivers/i2c/xilinx_iic/xiic.c</t>
  </si>
  <si>
    <t>8961</t>
  </si>
  <si>
    <t>/home/scmbuild/TestCenter/integration/framework/il/kernel/linux-2.4.20_mvl31/drivers/net/xilinx_enet/adapter.c</t>
  </si>
  <si>
    <t>8962</t>
  </si>
  <si>
    <t>8968</t>
  </si>
  <si>
    <t>/home/scmbuild/TestCenter/integration/framework/il/kernel/linux-2.4.20_mvl31/fs/attr.c</t>
  </si>
  <si>
    <t>8974</t>
  </si>
  <si>
    <t>8975</t>
  </si>
  <si>
    <t>8978</t>
  </si>
  <si>
    <t>/home/scmbuild/TestCenter/integration/framework/il/kernel/linux-2.4.20_mvl31/fs/block_dev.c</t>
  </si>
  <si>
    <t>8979</t>
  </si>
  <si>
    <t>8980</t>
  </si>
  <si>
    <t>8981</t>
  </si>
  <si>
    <t>/home/scmbuild/TestCenter/integration/framework/il/kernel/linux-2.4.20_mvl31/fs/buffer.c</t>
  </si>
  <si>
    <t>8982</t>
  </si>
  <si>
    <t>8983</t>
  </si>
  <si>
    <t>8984</t>
  </si>
  <si>
    <t>8969</t>
  </si>
  <si>
    <t>/home/scmbuild/TestCenter/integration/framework/il/kernel/linux-2.4.20_mvl31/fs/devfs/base.c</t>
  </si>
  <si>
    <t>8970</t>
  </si>
  <si>
    <t>8971</t>
  </si>
  <si>
    <t>8972</t>
  </si>
  <si>
    <t>8973</t>
  </si>
  <si>
    <t>8995</t>
  </si>
  <si>
    <t>/home/scmbuild/TestCenter/integration/framework/il/kernel/linux-2.4.20_mvl31/fs/devices.c</t>
  </si>
  <si>
    <t>9034</t>
  </si>
  <si>
    <t>/home/scmbuild/TestCenter/integration/framework/il/kernel/linux-2.4.20_mvl31/fs/ext2/ialloc.c</t>
  </si>
  <si>
    <t>9035</t>
  </si>
  <si>
    <t>9036</t>
  </si>
  <si>
    <t>9043</t>
  </si>
  <si>
    <t>/home/scmbuild/TestCenter/integration/framework/il/kernel/linux-2.4.20_mvl31/fs/ext2/inode.c</t>
  </si>
  <si>
    <t>9082</t>
  </si>
  <si>
    <t>/home/scmbuild/TestCenter/integration/framework/il/kernel/linux-2.4.20_mvl31/fs/ext2/namei.c</t>
  </si>
  <si>
    <t>9083</t>
  </si>
  <si>
    <t>9084</t>
  </si>
  <si>
    <t>9085</t>
  </si>
  <si>
    <t>9086</t>
  </si>
  <si>
    <t>9087</t>
  </si>
  <si>
    <t>9044</t>
  </si>
  <si>
    <t>/home/scmbuild/TestCenter/integration/framework/il/kernel/linux-2.4.20_mvl31/fs/ext3/inode.c</t>
  </si>
  <si>
    <t>9045</t>
  </si>
  <si>
    <t>9088</t>
  </si>
  <si>
    <t>/home/scmbuild/TestCenter/integration/framework/il/kernel/linux-2.4.20_mvl31/fs/ext3/namei.c</t>
  </si>
  <si>
    <t>9089</t>
  </si>
  <si>
    <t>9090</t>
  </si>
  <si>
    <t>9091</t>
  </si>
  <si>
    <t>9150</t>
  </si>
  <si>
    <t>/home/scmbuild/TestCenter/integration/framework/il/kernel/linux-2.4.20_mvl31/fs/ext3/super.c</t>
  </si>
  <si>
    <t>9151</t>
  </si>
  <si>
    <t>8996</t>
  </si>
  <si>
    <t>/home/scmbuild/TestCenter/integration/framework/il/kernel/linux-2.4.20_mvl31/fs/fat/dir.c</t>
  </si>
  <si>
    <t>8997</t>
  </si>
  <si>
    <t>8998</t>
  </si>
  <si>
    <t>9079</t>
  </si>
  <si>
    <t>/home/scmbuild/TestCenter/integration/framework/il/kernel/linux-2.4.20_mvl31/fs/fat/misc.c</t>
  </si>
  <si>
    <t>9080</t>
  </si>
  <si>
    <t>9081</t>
  </si>
  <si>
    <t>9018</t>
  </si>
  <si>
    <t>/home/scmbuild/TestCenter/integration/framework/il/kernel/linux-2.4.20_mvl31/fs/file.c</t>
  </si>
  <si>
    <t>9019</t>
  </si>
  <si>
    <t>9020</t>
  </si>
  <si>
    <t>9047</t>
  </si>
  <si>
    <t>/home/scmbuild/TestCenter/integration/framework/il/kernel/linux-2.4.20_mvl31/fs/inode.c</t>
  </si>
  <si>
    <t>8986</t>
  </si>
  <si>
    <t>/home/scmbuild/TestCenter/integration/framework/il/kernel/linux-2.4.20_mvl31/fs/jbd/checkpoint.c</t>
  </si>
  <si>
    <t>9169</t>
  </si>
  <si>
    <t>/home/scmbuild/TestCenter/integration/framework/il/kernel/linux-2.4.20_mvl31/fs/jbd/transaction.c</t>
  </si>
  <si>
    <t>8988</t>
  </si>
  <si>
    <t>/home/scmbuild/TestCenter/integration/framework/il/kernel/linux-2.4.20_mvl31/fs/lockd/clntlock.c</t>
  </si>
  <si>
    <t>8989</t>
  </si>
  <si>
    <t>/home/scmbuild/TestCenter/integration/framework/il/kernel/linux-2.4.20_mvl31/fs/lockd/clntproc.c</t>
  </si>
  <si>
    <t>8990</t>
  </si>
  <si>
    <t>9095</t>
  </si>
  <si>
    <t>/home/scmbuild/TestCenter/integration/framework/il/kernel/linux-2.4.20_mvl31/fs/namespace.c</t>
  </si>
  <si>
    <t>9014</t>
  </si>
  <si>
    <t>/home/scmbuild/TestCenter/integration/framework/il/kernel/linux-2.4.20_mvl31/fs/nfsd/export.c</t>
  </si>
  <si>
    <t>9015</t>
  </si>
  <si>
    <t>9016</t>
  </si>
  <si>
    <t>9099</t>
  </si>
  <si>
    <t>/home/scmbuild/TestCenter/integration/framework/il/kernel/linux-2.4.20_mvl31/fs/nfsd/nfssvc.c</t>
  </si>
  <si>
    <t>9022</t>
  </si>
  <si>
    <t>/home/scmbuild/TestCenter/integration/framework/il/kernel/linux-2.4.20_mvl31/fs/nfs/flushd.c</t>
  </si>
  <si>
    <t>9046</t>
  </si>
  <si>
    <t>/home/scmbuild/TestCenter/integration/framework/il/kernel/linux-2.4.20_mvl31/fs/nfs/inode.c</t>
  </si>
  <si>
    <t>9177</t>
  </si>
  <si>
    <t>/home/scmbuild/TestCenter/integration/framework/il/kernel/linux-2.4.20_mvl31/fs/nfs/write.c</t>
  </si>
  <si>
    <t>8985</t>
  </si>
  <si>
    <t>/home/scmbuild/TestCenter/integration/framework/il/kernel/linux-2.4.20_mvl31/fs/partitions/check.c</t>
  </si>
  <si>
    <t>9114</t>
  </si>
  <si>
    <t>/home/scmbuild/TestCenter/integration/framework/il/kernel/linux-2.4.20_mvl31/fs/readdir.c</t>
  </si>
  <si>
    <t>9115</t>
  </si>
  <si>
    <t>9132</t>
  </si>
  <si>
    <t>/home/scmbuild/TestCenter/integration/framework/il/kernel/linux-2.4.20_mvl31/fs/shfs/shell.c</t>
  </si>
  <si>
    <t>9133</t>
  </si>
  <si>
    <t>9134</t>
  </si>
  <si>
    <t>9093</t>
  </si>
  <si>
    <t>9094</t>
  </si>
  <si>
    <t>8999</t>
  </si>
  <si>
    <t>9000</t>
  </si>
  <si>
    <t>9001</t>
  </si>
  <si>
    <t>9004</t>
  </si>
  <si>
    <t>9005</t>
  </si>
  <si>
    <t>9006</t>
  </si>
  <si>
    <t>9124</t>
  </si>
  <si>
    <t>/home/scmbuild/TestCenter/integration/framework/il/kernel/linux-2.4.20_mvl31/ipc/sem.c</t>
  </si>
  <si>
    <t>9125</t>
  </si>
  <si>
    <t>9126</t>
  </si>
  <si>
    <t>9135</t>
  </si>
  <si>
    <t>9136</t>
  </si>
  <si>
    <t>9137</t>
  </si>
  <si>
    <t>9138</t>
  </si>
  <si>
    <t>9139</t>
  </si>
  <si>
    <t>9140</t>
  </si>
  <si>
    <t>9141</t>
  </si>
  <si>
    <t>9142</t>
  </si>
  <si>
    <t>8991</t>
  </si>
  <si>
    <t>/home/scmbuild/TestCenter/integration/framework/il/kernel/linux-2.4.20_mvl31/kernel/context.c</t>
  </si>
  <si>
    <t>9013</t>
  </si>
  <si>
    <t>/home/scmbuild/TestCenter/integration/framework/il/kernel/linux-2.4.20_mvl31/kernel/exit.c</t>
  </si>
  <si>
    <t>9029</t>
  </si>
  <si>
    <t>/home/scmbuild/TestCenter/integration/framework/il/kernel/linux-2.4.20_mvl31/kernel/fork.c</t>
  </si>
  <si>
    <t>9101</t>
  </si>
  <si>
    <t>/home/scmbuild/TestCenter/integration/framework/il/kernel/linux-2.4.20_mvl31/kernel/panic.c</t>
  </si>
  <si>
    <t>9102</t>
  </si>
  <si>
    <t>9104</t>
  </si>
  <si>
    <t>/home/scmbuild/TestCenter/integration/framework/il/kernel/linux-2.4.20_mvl31/kernel/posix-timers.c</t>
  </si>
  <si>
    <t>9120</t>
  </si>
  <si>
    <t>/home/scmbuild/TestCenter/integration/framework/il/kernel/linux-2.4.20_mvl31/kernel/sched.c</t>
  </si>
  <si>
    <t>9149</t>
  </si>
  <si>
    <t>/home/scmbuild/TestCenter/integration/framework/il/kernel/linux-2.4.20_mvl31/kernel/softirq.c</t>
  </si>
  <si>
    <t>8948</t>
  </si>
  <si>
    <t>/home/scmbuild/TestCenter/integration/framework/il/kernel/linux-2.4.20_mvl31/kernel/timer.c</t>
  </si>
  <si>
    <t>9038</t>
  </si>
  <si>
    <t>/home/scmbuild/TestCenter/integration/framework/il/kernel/linux-2.4.20_mvl31/lib/idr.c</t>
  </si>
  <si>
    <t>9007</t>
  </si>
  <si>
    <t>/home/scmbuild/TestCenter/integration/framework/il/kernel/linux-2.4.20_mvl31/lib/inflate.c</t>
  </si>
  <si>
    <t>9008</t>
  </si>
  <si>
    <t>9009</t>
  </si>
  <si>
    <t>9010</t>
  </si>
  <si>
    <t>9119</t>
  </si>
  <si>
    <t>/home/scmbuild/TestCenter/integration/framework/il/kernel/linux-2.4.20_mvl31/lib/rwsem.c</t>
  </si>
  <si>
    <t>9039</t>
  </si>
  <si>
    <t>/home/scmbuild/TestCenter/integration/framework/il/kernel/linux-2.4.20_mvl31/lib/zlib_inflate/inflate.c</t>
  </si>
  <si>
    <t>9040</t>
  </si>
  <si>
    <t>/home/scmbuild/TestCenter/integration/framework/il/kernel/linux-2.4.20_mvl31/lib/zlib_inflate/inftrees.c</t>
  </si>
  <si>
    <t>9041</t>
  </si>
  <si>
    <t>9042</t>
  </si>
  <si>
    <t>9021</t>
  </si>
  <si>
    <t>/home/scmbuild/TestCenter/integration/framework/il/kernel/linux-2.4.20_mvl31/mm/filemap.c</t>
  </si>
  <si>
    <t>9073</t>
  </si>
  <si>
    <t>/home/scmbuild/TestCenter/integration/framework/il/kernel/linux-2.4.20_mvl31/mm/memory.c</t>
  </si>
  <si>
    <t>9074</t>
  </si>
  <si>
    <t>9075</t>
  </si>
  <si>
    <t>9076</t>
  </si>
  <si>
    <t>9077</t>
  </si>
  <si>
    <t>9078</t>
  </si>
  <si>
    <t>9100</t>
  </si>
  <si>
    <t>/home/scmbuild/TestCenter/integration/framework/il/kernel/linux-2.4.20_mvl31/mm/page_alloc.c</t>
  </si>
  <si>
    <t>9144</t>
  </si>
  <si>
    <t>/home/scmbuild/TestCenter/integration/framework/il/kernel/linux-2.4.20_mvl31/mm/shmem.c</t>
  </si>
  <si>
    <t>9145</t>
  </si>
  <si>
    <t>9146</t>
  </si>
  <si>
    <t>8912</t>
  </si>
  <si>
    <t>/home/scmbuild/TestCenter/integration/framework/il/kernel/linux-2.4.20_mvl31/mm/slab.c</t>
  </si>
  <si>
    <t>8913</t>
  </si>
  <si>
    <t>8914</t>
  </si>
  <si>
    <t>8915</t>
  </si>
  <si>
    <t>9156</t>
  </si>
  <si>
    <t>/home/scmbuild/TestCenter/integration/framework/il/kernel/linux-2.4.20_mvl31/mm/swapfile.c</t>
  </si>
  <si>
    <t>9157</t>
  </si>
  <si>
    <t>9158</t>
  </si>
  <si>
    <t>9159</t>
  </si>
  <si>
    <t>9160</t>
  </si>
  <si>
    <t>9161</t>
  </si>
  <si>
    <t>9162</t>
  </si>
  <si>
    <t>9163</t>
  </si>
  <si>
    <t>9153</t>
  </si>
  <si>
    <t>/home/scmbuild/TestCenter/integration/framework/il/kernel/linux-2.4.20_mvl31/mm/swap_state.c</t>
  </si>
  <si>
    <t>9154</t>
  </si>
  <si>
    <t>9155</t>
  </si>
  <si>
    <t>9173</t>
  </si>
  <si>
    <t>/home/scmbuild/TestCenter/integration/framework/il/kernel/linux-2.4.20_mvl31/mm/vmscan.c</t>
  </si>
  <si>
    <t>9174</t>
  </si>
  <si>
    <t>9175</t>
  </si>
  <si>
    <t>9176</t>
  </si>
  <si>
    <t>8992</t>
  </si>
  <si>
    <t>/home/scmbuild/TestCenter/integration/framework/il/kernel/linux-2.4.20_mvl31/net/core/dev.c</t>
  </si>
  <si>
    <t>8993</t>
  </si>
  <si>
    <t>8994</t>
  </si>
  <si>
    <t>9096</t>
  </si>
  <si>
    <t>/home/scmbuild/TestCenter/integration/framework/il/kernel/linux-2.4.20_mvl31/net/core/netpoll.c</t>
  </si>
  <si>
    <t>9097</t>
  </si>
  <si>
    <t>9118</t>
  </si>
  <si>
    <t>/home/scmbuild/TestCenter/integration/framework/il/kernel/linux-2.4.20_mvl31/net/core/rtnetlink.c</t>
  </si>
  <si>
    <t>9147</t>
  </si>
  <si>
    <t>/home/scmbuild/TestCenter/integration/framework/il/kernel/linux-2.4.20_mvl31/net/core/skbuff.c</t>
  </si>
  <si>
    <t>9148</t>
  </si>
  <si>
    <t>/home/scmbuild/TestCenter/integration/framework/il/kernel/linux-2.4.20_mvl31/net/core/sock.c</t>
  </si>
  <si>
    <t>8965</t>
  </si>
  <si>
    <t>/home/scmbuild/TestCenter/integration/framework/il/kernel/linux-2.4.20_mvl31/net/ipv4/af_inet.c</t>
  </si>
  <si>
    <t>9017</t>
  </si>
  <si>
    <t>/home/scmbuild/TestCenter/integration/framework/il/kernel/linux-2.4.20_mvl31/net/ipv4/fib_hash.c</t>
  </si>
  <si>
    <t>9060</t>
  </si>
  <si>
    <t>/home/scmbuild/TestCenter/integration/framework/il/kernel/linux-2.4.20_mvl31/net/ipv4/ipconfig.c</t>
  </si>
  <si>
    <t>9053</t>
  </si>
  <si>
    <t>/home/scmbuild/TestCenter/integration/framework/il/kernel/linux-2.4.20_mvl31/net/ipv4/ip_fragment.c</t>
  </si>
  <si>
    <t>9054</t>
  </si>
  <si>
    <t>9049</t>
  </si>
  <si>
    <t>/home/scmbuild/TestCenter/integration/framework/il/kernel/linux-2.4.20_mvl31/net/ipv4/netfilter/ip_conntrack_core.c</t>
  </si>
  <si>
    <t>9050</t>
  </si>
  <si>
    <t>/home/scmbuild/TestCenter/integration/framework/il/kernel/linux-2.4.20_mvl31/net/ipv4/netfilter/ip_conntrack_ftp.c</t>
  </si>
  <si>
    <t>9051</t>
  </si>
  <si>
    <t>/home/scmbuild/TestCenter/integration/framework/il/kernel/linux-2.4.20_mvl31/net/ipv4/netfilter/ip_conntrack_proto_icmp.c</t>
  </si>
  <si>
    <t>9052</t>
  </si>
  <si>
    <t>9055</t>
  </si>
  <si>
    <t>/home/scmbuild/TestCenter/integration/framework/il/kernel/linux-2.4.20_mvl31/net/ipv4/netfilter/ip_nat_ftp.c</t>
  </si>
  <si>
    <t>9056</t>
  </si>
  <si>
    <t>/home/scmbuild/TestCenter/integration/framework/il/kernel/linux-2.4.20_mvl31/net/ipv4/netfilter/ip_nat_irc.c</t>
  </si>
  <si>
    <t>9057</t>
  </si>
  <si>
    <t>9058</t>
  </si>
  <si>
    <t>/home/scmbuild/TestCenter/integration/framework/il/kernel/linux-2.4.20_mvl31/net/ipv4/netfilter/ip_nat_rule.c</t>
  </si>
  <si>
    <t>9059</t>
  </si>
  <si>
    <t>8911</t>
  </si>
  <si>
    <t>/home/scmbuild/TestCenter/integration/framework/il/kernel/linux-2.4.20_mvl31/net/ipv4/route.c</t>
  </si>
  <si>
    <t>8944</t>
  </si>
  <si>
    <t>/home/scmbuild/TestCenter/integration/framework/il/kernel/linux-2.4.20_mvl31/net/ipv4/tcp_input.c</t>
  </si>
  <si>
    <t>8945</t>
  </si>
  <si>
    <t>8946</t>
  </si>
  <si>
    <t>9164</t>
  </si>
  <si>
    <t>/home/scmbuild/TestCenter/integration/framework/il/kernel/linux-2.4.20_mvl31/net/ipv4/tcp_ipv4.c</t>
  </si>
  <si>
    <t>9168</t>
  </si>
  <si>
    <t>/home/scmbuild/TestCenter/integration/framework/il/kernel/linux-2.4.20_mvl31/net/ipv4/tcp_minisocks.c</t>
  </si>
  <si>
    <t>8947</t>
  </si>
  <si>
    <t>/home/scmbuild/TestCenter/integration/framework/il/kernel/linux-2.4.20_mvl31/net/ipv4/tcp_timer.c</t>
  </si>
  <si>
    <t>8963</t>
  </si>
  <si>
    <t>/home/scmbuild/TestCenter/integration/framework/il/kernel/linux-2.4.20_mvl31/net/ipv6/addrconf.c</t>
  </si>
  <si>
    <t>8964</t>
  </si>
  <si>
    <t>8966</t>
  </si>
  <si>
    <t>/home/scmbuild/TestCenter/integration/framework/il/kernel/linux-2.4.20_mvl31/net/ipv6/af_inet6.c</t>
  </si>
  <si>
    <t>8872</t>
  </si>
  <si>
    <t>/home/scmbuild/TestCenter/integration/framework/il/kernel/linux-2.4.20_mvl31/net/ipv6/exthdrs.c</t>
  </si>
  <si>
    <t>8873</t>
  </si>
  <si>
    <t>8874</t>
  </si>
  <si>
    <t>8875</t>
  </si>
  <si>
    <t>9048</t>
  </si>
  <si>
    <t>/home/scmbuild/TestCenter/integration/framework/il/kernel/linux-2.4.20_mvl31/net/ipv6/ip6_fib.c</t>
  </si>
  <si>
    <t>8909</t>
  </si>
  <si>
    <t>/home/scmbuild/TestCenter/integration/framework/il/kernel/linux-2.4.20_mvl31/net/ipv6/ip6_output.c</t>
  </si>
  <si>
    <t>9071</t>
  </si>
  <si>
    <t>/home/scmbuild/TestCenter/integration/framework/il/kernel/linux-2.4.20_mvl31/net/ipv6/mcast.c</t>
  </si>
  <si>
    <t>9072</t>
  </si>
  <si>
    <t>9113</t>
  </si>
  <si>
    <t>/home/scmbuild/TestCenter/integration/framework/il/kernel/linux-2.4.20_mvl31/net/ipv6/raw.c</t>
  </si>
  <si>
    <t>9116</t>
  </si>
  <si>
    <t>/home/scmbuild/TestCenter/integration/framework/il/kernel/linux-2.4.20_mvl31/net/ipv6/reassembly.c</t>
  </si>
  <si>
    <t>9117</t>
  </si>
  <si>
    <t>9165</t>
  </si>
  <si>
    <t>9172</t>
  </si>
  <si>
    <t>/home/scmbuild/TestCenter/integration/framework/il/kernel/linux-2.4.20_mvl31/net/ipv6/udp.c</t>
  </si>
  <si>
    <t>8967</t>
  </si>
  <si>
    <t>/home/scmbuild/TestCenter/integration/framework/il/kernel/linux-2.4.20_mvl31/net/packet/af_packet.c</t>
  </si>
  <si>
    <t>9121</t>
  </si>
  <si>
    <t>/home/scmbuild/TestCenter/integration/framework/il/kernel/linux-2.4.20_mvl31/net/sunrpc/sched.c</t>
  </si>
  <si>
    <t>9122</t>
  </si>
  <si>
    <t>9152</t>
  </si>
  <si>
    <t>/home/scmbuild/TestCenter/integration/framework/il/kernel/linux-2.4.20_mvl31/net/sunrpc/svcsock.c</t>
  </si>
  <si>
    <t>check</t>
  </si>
  <si>
    <t>3974</t>
  </si>
  <si>
    <t>Analyze</t>
  </si>
  <si>
    <t>3975</t>
  </si>
  <si>
    <t>3976</t>
  </si>
  <si>
    <t>2479</t>
  </si>
  <si>
    <t>3979</t>
  </si>
  <si>
    <t>3980</t>
  </si>
  <si>
    <t>3981</t>
  </si>
  <si>
    <t>3982</t>
  </si>
  <si>
    <t>3983</t>
  </si>
  <si>
    <t>3984</t>
  </si>
  <si>
    <t>3985</t>
  </si>
  <si>
    <t>3986</t>
  </si>
  <si>
    <t>3987</t>
  </si>
  <si>
    <t>3971</t>
  </si>
  <si>
    <t>3972</t>
  </si>
  <si>
    <t>3973</t>
  </si>
  <si>
    <t>4039</t>
  </si>
  <si>
    <t>3678</t>
  </si>
  <si>
    <t>3679</t>
  </si>
  <si>
    <t>2166</t>
  </si>
  <si>
    <t>2167</t>
  </si>
  <si>
    <t>3686</t>
  </si>
  <si>
    <t>3687</t>
  </si>
  <si>
    <t>3689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</si>
  <si>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</si>
  <si>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</si>
  <si>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</si>
  <si>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</si>
  <si>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</si>
  <si>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</si>
  <si>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</si>
  <si>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</si>
  <si>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</si>
  <si>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</si>
  <si>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2028</t>
  </si>
  <si>
    <t>2016</t>
  </si>
  <si>
    <t>2029</t>
  </si>
  <si>
    <t>2264</t>
  </si>
  <si>
    <t>2421</t>
  </si>
  <si>
    <t>2420</t>
  </si>
  <si>
    <t>Fix</t>
  </si>
  <si>
    <t>2422</t>
  </si>
  <si>
    <t>2423</t>
  </si>
  <si>
    <t>2426</t>
  </si>
  <si>
    <t>2427</t>
  </si>
  <si>
    <t>2428</t>
  </si>
  <si>
    <t>2429</t>
  </si>
  <si>
    <t>398</t>
  </si>
  <si>
    <t>86</t>
  </si>
  <si>
    <t>2150</t>
  </si>
  <si>
    <t>3914</t>
  </si>
  <si>
    <t>2030</t>
  </si>
  <si>
    <t>2878</t>
  </si>
  <si>
    <t>2879</t>
  </si>
  <si>
    <t>2883</t>
  </si>
  <si>
    <t>2884</t>
  </si>
  <si>
    <t>2885</t>
  </si>
  <si>
    <t>2886</t>
  </si>
  <si>
    <t>2887</t>
  </si>
  <si>
    <t>2888</t>
  </si>
  <si>
    <t>2949</t>
  </si>
  <si>
    <t>2950</t>
  </si>
  <si>
    <t>3177</t>
  </si>
  <si>
    <t>3176</t>
  </si>
  <si>
    <t>3178</t>
  </si>
  <si>
    <t>2178</t>
  </si>
  <si>
    <t>2179</t>
  </si>
  <si>
    <t>2947</t>
  </si>
  <si>
    <t>3683</t>
  </si>
  <si>
    <t>204</t>
  </si>
  <si>
    <t>205</t>
  </si>
  <si>
    <t>206</t>
  </si>
  <si>
    <t>207</t>
  </si>
  <si>
    <t>2284</t>
  </si>
  <si>
    <t>3890</t>
  </si>
  <si>
    <t>1654</t>
  </si>
  <si>
    <t>1655</t>
  </si>
  <si>
    <t>1656</t>
  </si>
  <si>
    <t>1657</t>
  </si>
  <si>
    <t>1658</t>
  </si>
  <si>
    <t>1659</t>
  </si>
  <si>
    <t>1660</t>
  </si>
  <si>
    <t>1661</t>
  </si>
  <si>
    <t>1663</t>
  </si>
  <si>
    <t>1664</t>
  </si>
  <si>
    <t>1665</t>
  </si>
  <si>
    <t>1666</t>
  </si>
  <si>
    <t>1667</t>
  </si>
  <si>
    <t>1668</t>
  </si>
  <si>
    <t>1669</t>
  </si>
  <si>
    <t>1673</t>
  </si>
  <si>
    <t>1675</t>
  </si>
  <si>
    <t>2960</t>
  </si>
  <si>
    <t>2961</t>
  </si>
  <si>
    <t>2962</t>
  </si>
  <si>
    <t>2963</t>
  </si>
  <si>
    <t>2964</t>
  </si>
  <si>
    <t>2965</t>
  </si>
  <si>
    <t>2966</t>
  </si>
  <si>
    <t>2967</t>
  </si>
  <si>
    <t>2968</t>
  </si>
  <si>
    <t>2969</t>
  </si>
  <si>
    <t>2970</t>
  </si>
  <si>
    <t>2971</t>
  </si>
  <si>
    <t>2972</t>
  </si>
  <si>
    <t>2973</t>
  </si>
  <si>
    <t>2974</t>
  </si>
  <si>
    <t>2982</t>
  </si>
  <si>
    <t>2983</t>
  </si>
  <si>
    <t>2984</t>
  </si>
  <si>
    <t>2985</t>
  </si>
  <si>
    <t>2986</t>
  </si>
  <si>
    <t>2987</t>
  </si>
  <si>
    <t>2988</t>
  </si>
  <si>
    <t>2989</t>
  </si>
  <si>
    <t>2990</t>
  </si>
  <si>
    <t>2991</t>
  </si>
  <si>
    <t>2992</t>
  </si>
  <si>
    <t>2993</t>
  </si>
  <si>
    <t>2994</t>
  </si>
  <si>
    <t>2995</t>
  </si>
  <si>
    <t>2996</t>
  </si>
  <si>
    <t>2997</t>
  </si>
  <si>
    <t>2998</t>
  </si>
  <si>
    <t>2999</t>
  </si>
  <si>
    <t>3000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</si>
  <si>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</si>
  <si>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</si>
  <si>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</si>
  <si>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</si>
  <si>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</si>
  <si>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</si>
  <si>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</si>
  <si>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</si>
  <si>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</si>
  <si>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</si>
  <si>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</si>
  <si>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3013</t>
  </si>
  <si>
    <t>3014</t>
  </si>
  <si>
    <t>3015</t>
  </si>
  <si>
    <t>3016</t>
  </si>
  <si>
    <t>3017</t>
  </si>
  <si>
    <t>3018</t>
  </si>
  <si>
    <t>3019</t>
  </si>
  <si>
    <t>3020</t>
  </si>
  <si>
    <t>3021</t>
  </si>
  <si>
    <t>3022</t>
  </si>
  <si>
    <t>3023</t>
  </si>
  <si>
    <t>3024</t>
  </si>
  <si>
    <t>3027</t>
  </si>
  <si>
    <t>3028</t>
  </si>
  <si>
    <t>3029</t>
  </si>
  <si>
    <t>3030</t>
  </si>
  <si>
    <t>3031</t>
  </si>
  <si>
    <t>3032</t>
  </si>
  <si>
    <t>3034</t>
  </si>
  <si>
    <t>3036</t>
  </si>
  <si>
    <t>3037</t>
  </si>
  <si>
    <t>3039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</si>
  <si>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</si>
  <si>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</si>
  <si>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</si>
  <si>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</si>
  <si>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</si>
  <si>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</si>
  <si>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</si>
  <si>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</si>
  <si>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</si>
  <si>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</si>
  <si>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</si>
  <si>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</si>
  <si>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</si>
  <si>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</si>
  <si>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</si>
  <si>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</si>
  <si>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</si>
  <si>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</si>
  <si>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</si>
  <si>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</si>
  <si>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</si>
  <si>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</si>
  <si>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4040</t>
  </si>
  <si>
    <t>2318</t>
  </si>
  <si>
    <t>261</t>
  </si>
  <si>
    <t>263</t>
  </si>
  <si>
    <t>264</t>
  </si>
  <si>
    <t>2286</t>
  </si>
  <si>
    <t>2319</t>
  </si>
  <si>
    <t>3948</t>
  </si>
  <si>
    <t>235</t>
  </si>
  <si>
    <t>2399</t>
  </si>
  <si>
    <t>2400</t>
  </si>
  <si>
    <t>2401</t>
  </si>
  <si>
    <t>2402</t>
  </si>
  <si>
    <t>2435</t>
  </si>
  <si>
    <t>2436</t>
  </si>
  <si>
    <t>2437</t>
  </si>
  <si>
    <t>2438</t>
  </si>
  <si>
    <t>2439</t>
  </si>
  <si>
    <t>2440</t>
  </si>
  <si>
    <t>2442</t>
  </si>
  <si>
    <t>2443</t>
  </si>
  <si>
    <t>2444</t>
  </si>
  <si>
    <t>2445</t>
  </si>
  <si>
    <t>2446</t>
  </si>
  <si>
    <t>2447</t>
  </si>
  <si>
    <t>2448</t>
  </si>
  <si>
    <t>2449</t>
  </si>
  <si>
    <t>2450</t>
  </si>
  <si>
    <t>2451</t>
  </si>
  <si>
    <t>2452</t>
  </si>
  <si>
    <t>2453</t>
  </si>
  <si>
    <t>2454</t>
  </si>
  <si>
    <t>2455</t>
  </si>
  <si>
    <t>2456</t>
  </si>
  <si>
    <t>2464</t>
  </si>
  <si>
    <t>508</t>
  </si>
  <si>
    <t>509</t>
  </si>
  <si>
    <t>2538</t>
  </si>
  <si>
    <t>2539</t>
  </si>
  <si>
    <t>2540</t>
  </si>
  <si>
    <t>2541</t>
  </si>
  <si>
    <t>2542</t>
  </si>
  <si>
    <t>2544</t>
  </si>
  <si>
    <t>2545</t>
  </si>
  <si>
    <t>2546</t>
  </si>
  <si>
    <t>2547</t>
  </si>
  <si>
    <t>2548</t>
  </si>
  <si>
    <t>2549</t>
  </si>
  <si>
    <t>2550</t>
  </si>
  <si>
    <t>2551</t>
  </si>
  <si>
    <t>2552</t>
  </si>
  <si>
    <t>2553</t>
  </si>
  <si>
    <t>2595</t>
  </si>
  <si>
    <t>571</t>
  </si>
  <si>
    <t>2556</t>
  </si>
  <si>
    <t>2557</t>
  </si>
  <si>
    <t>2558</t>
  </si>
  <si>
    <t>2559</t>
  </si>
  <si>
    <t>2560</t>
  </si>
  <si>
    <t>2564</t>
  </si>
  <si>
    <t>2565</t>
  </si>
  <si>
    <t>2566</t>
  </si>
  <si>
    <t>2567</t>
  </si>
  <si>
    <t>2568</t>
  </si>
  <si>
    <t>2569</t>
  </si>
  <si>
    <t>2570</t>
  </si>
  <si>
    <t>2571</t>
  </si>
  <si>
    <t>2572</t>
  </si>
  <si>
    <t>2573</t>
  </si>
  <si>
    <t>2574</t>
  </si>
  <si>
    <t>2575</t>
  </si>
  <si>
    <t>2576</t>
  </si>
  <si>
    <t>2579</t>
  </si>
  <si>
    <t>2580</t>
  </si>
  <si>
    <t>2581</t>
  </si>
  <si>
    <t>2582</t>
  </si>
  <si>
    <t>2583</t>
  </si>
  <si>
    <t>2584</t>
  </si>
  <si>
    <t>2587</t>
  </si>
  <si>
    <t>2588</t>
  </si>
  <si>
    <t>2590</t>
  </si>
  <si>
    <t>2591</t>
  </si>
  <si>
    <t>2592</t>
  </si>
  <si>
    <t>2593</t>
  </si>
  <si>
    <t>2594</t>
  </si>
  <si>
    <t>568</t>
  </si>
  <si>
    <t>569</t>
  </si>
  <si>
    <t>570</t>
  </si>
  <si>
    <t>2151</t>
  </si>
  <si>
    <t>2867</t>
  </si>
  <si>
    <t>2868</t>
  </si>
  <si>
    <t>2869</t>
  </si>
  <si>
    <t>2870</t>
  </si>
  <si>
    <t>2871</t>
  </si>
  <si>
    <t>2872</t>
  </si>
  <si>
    <t>3672</t>
  </si>
  <si>
    <t>2045</t>
  </si>
  <si>
    <t>2877</t>
  </si>
  <si>
    <t>4036</t>
  </si>
  <si>
    <t>2865</t>
  </si>
  <si>
    <t>2866</t>
  </si>
  <si>
    <t>2948</t>
  </si>
  <si>
    <t>3671</t>
  </si>
  <si>
    <t>2889</t>
  </si>
  <si>
    <t>2890</t>
  </si>
  <si>
    <t>2895</t>
  </si>
  <si>
    <t>2897</t>
  </si>
  <si>
    <t>2898</t>
  </si>
  <si>
    <t>2899</t>
  </si>
  <si>
    <t>2902</t>
  </si>
  <si>
    <t>2903</t>
  </si>
  <si>
    <t>2904</t>
  </si>
  <si>
    <t>2467</t>
  </si>
  <si>
    <t>2468</t>
  </si>
  <si>
    <t>2469</t>
  </si>
  <si>
    <t>2470</t>
  </si>
  <si>
    <t>2471</t>
  </si>
  <si>
    <t>2472</t>
  </si>
  <si>
    <t>2473</t>
  </si>
  <si>
    <t>2474</t>
  </si>
  <si>
    <t>2475</t>
  </si>
  <si>
    <t>2476</t>
  </si>
  <si>
    <t>2477</t>
  </si>
  <si>
    <t>3978</t>
  </si>
  <si>
    <t>4037</t>
  </si>
  <si>
    <t>2896</t>
  </si>
  <si>
    <t>2114</t>
  </si>
  <si>
    <t>2115</t>
  </si>
  <si>
    <t>2116</t>
  </si>
  <si>
    <t>3126</t>
  </si>
  <si>
    <t>3127</t>
  </si>
  <si>
    <t>3128</t>
  </si>
  <si>
    <t>3129</t>
  </si>
  <si>
    <t>828</t>
  </si>
  <si>
    <t>833</t>
  </si>
  <si>
    <t>834</t>
  </si>
  <si>
    <t>3193</t>
  </si>
  <si>
    <t>3194</t>
  </si>
  <si>
    <t>3195</t>
  </si>
  <si>
    <t>3196</t>
  </si>
  <si>
    <t>3197</t>
  </si>
  <si>
    <t>3198</t>
  </si>
  <si>
    <t>3199</t>
  </si>
  <si>
    <t>3187</t>
  </si>
  <si>
    <t>3188</t>
  </si>
  <si>
    <t>3200</t>
  </si>
  <si>
    <t>92</t>
  </si>
  <si>
    <t>197</t>
  </si>
  <si>
    <t>2320</t>
  </si>
  <si>
    <t>2321</t>
  </si>
  <si>
    <t>2322</t>
  </si>
  <si>
    <t>2324</t>
  </si>
  <si>
    <t>2325</t>
  </si>
  <si>
    <t>2326</t>
  </si>
  <si>
    <t>2327</t>
  </si>
  <si>
    <t>2328</t>
  </si>
  <si>
    <t>2329</t>
  </si>
  <si>
    <t>2330</t>
  </si>
  <si>
    <t>2331</t>
  </si>
  <si>
    <t>2332</t>
  </si>
  <si>
    <t>2333</t>
  </si>
  <si>
    <t>2334</t>
  </si>
  <si>
    <t>2335</t>
  </si>
  <si>
    <t>2336</t>
  </si>
  <si>
    <t>2337</t>
  </si>
  <si>
    <t>3147</t>
  </si>
  <si>
    <t>3148</t>
  </si>
  <si>
    <t>3149</t>
  </si>
  <si>
    <t>3153</t>
  </si>
  <si>
    <t>3154</t>
  </si>
  <si>
    <t>3155</t>
  </si>
  <si>
    <t>3160</t>
  </si>
  <si>
    <t>3161</t>
  </si>
  <si>
    <t>3162</t>
  </si>
  <si>
    <t>3163</t>
  </si>
  <si>
    <t>3164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</si>
  <si>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</si>
  <si>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</si>
  <si>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</si>
  <si>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</si>
  <si>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</si>
  <si>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</si>
  <si>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</si>
  <si>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</si>
  <si>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</si>
  <si>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</si>
  <si>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3175</t>
  </si>
  <si>
    <t>3949</t>
  </si>
  <si>
    <t>3950</t>
  </si>
  <si>
    <t>3951</t>
  </si>
  <si>
    <t>3952</t>
  </si>
  <si>
    <t>3062</t>
  </si>
  <si>
    <t>2044</t>
  </si>
  <si>
    <t>2266</t>
  </si>
  <si>
    <t>2267</t>
  </si>
  <si>
    <t>2268</t>
  </si>
  <si>
    <t>2269</t>
  </si>
  <si>
    <t>2270</t>
  </si>
  <si>
    <t>2271</t>
  </si>
  <si>
    <t>2272</t>
  </si>
  <si>
    <t>2273</t>
  </si>
  <si>
    <t>2274</t>
  </si>
  <si>
    <t>2275</t>
  </si>
  <si>
    <t>2276</t>
  </si>
  <si>
    <t>2277</t>
  </si>
  <si>
    <t>2434</t>
  </si>
  <si>
    <t>2597</t>
  </si>
  <si>
    <t>2804</t>
  </si>
  <si>
    <t>2596</t>
  </si>
  <si>
    <t>2432</t>
  </si>
  <si>
    <t>2433</t>
  </si>
  <si>
    <t>2938</t>
  </si>
  <si>
    <t>2939</t>
  </si>
  <si>
    <t>2940</t>
  </si>
  <si>
    <t>2941</t>
  </si>
  <si>
    <t>2943</t>
  </si>
  <si>
    <t>2944</t>
  </si>
  <si>
    <t>2945</t>
  </si>
  <si>
    <t>3625</t>
  </si>
  <si>
    <t>2382</t>
  </si>
  <si>
    <t>2383</t>
  </si>
  <si>
    <t>2384</t>
  </si>
  <si>
    <t>369</t>
  </si>
  <si>
    <t>2391</t>
  </si>
  <si>
    <t>2392</t>
  </si>
  <si>
    <t>2393</t>
  </si>
  <si>
    <t>2394</t>
  </si>
  <si>
    <t>2395</t>
  </si>
  <si>
    <t>370</t>
  </si>
  <si>
    <t>371</t>
  </si>
  <si>
    <t>2396</t>
  </si>
  <si>
    <t>2397</t>
  </si>
  <si>
    <t>2398</t>
  </si>
  <si>
    <t>372</t>
  </si>
  <si>
    <t>1571</t>
  </si>
  <si>
    <t>1567</t>
  </si>
  <si>
    <t>1568</t>
  </si>
  <si>
    <t>1569</t>
  </si>
  <si>
    <t>1574</t>
  </si>
  <si>
    <t>1575</t>
  </si>
  <si>
    <t>1577</t>
  </si>
  <si>
    <t>2740</t>
  </si>
  <si>
    <t>2781</t>
  </si>
  <si>
    <t>4300</t>
  </si>
  <si>
    <t>2157</t>
  </si>
  <si>
    <t>2158</t>
  </si>
  <si>
    <t>2159</t>
  </si>
  <si>
    <t>3697</t>
  </si>
  <si>
    <t>3893</t>
  </si>
  <si>
    <t>120</t>
  </si>
  <si>
    <t>2487</t>
  </si>
  <si>
    <t>2489</t>
  </si>
  <si>
    <t>701</t>
  </si>
  <si>
    <t>764</t>
  </si>
  <si>
    <t>768</t>
  </si>
  <si>
    <t>9</t>
  </si>
  <si>
    <t>2907</t>
  </si>
  <si>
    <t>2908</t>
  </si>
  <si>
    <t>763</t>
  </si>
  <si>
    <t>3674</t>
  </si>
  <si>
    <t>3675</t>
  </si>
  <si>
    <t>3676</t>
  </si>
  <si>
    <t>3677</t>
  </si>
  <si>
    <t>796</t>
  </si>
  <si>
    <t>3138</t>
  </si>
  <si>
    <t>3143</t>
  </si>
  <si>
    <t>2190</t>
  </si>
  <si>
    <t>2958</t>
  </si>
  <si>
    <t>2007</t>
  </si>
  <si>
    <t>3977</t>
  </si>
  <si>
    <t>3887</t>
  </si>
  <si>
    <t>2711</t>
  </si>
  <si>
    <t>2712</t>
  </si>
  <si>
    <t>2713</t>
  </si>
  <si>
    <t>2714</t>
  </si>
  <si>
    <t>2715</t>
  </si>
  <si>
    <t>2716</t>
  </si>
  <si>
    <t>2717</t>
  </si>
  <si>
    <t>2718</t>
  </si>
  <si>
    <t>2719</t>
  </si>
  <si>
    <t>3992</t>
  </si>
  <si>
    <t>2750</t>
  </si>
  <si>
    <t>321</t>
  </si>
  <si>
    <t>D:\dev\integration\framework\bll\core\src\command\GetStakCommandsMetaDataCommand.cpp</t>
  </si>
  <si>
    <t>2708</t>
  </si>
  <si>
    <t>579</t>
  </si>
  <si>
    <t>2864</t>
  </si>
  <si>
    <t>3945</t>
  </si>
  <si>
    <t>328</t>
  </si>
  <si>
    <t>329</t>
  </si>
  <si>
    <t>330</t>
  </si>
  <si>
    <t>331</t>
  </si>
  <si>
    <t>2952</t>
  </si>
  <si>
    <t>2953</t>
  </si>
  <si>
    <t>2954</t>
  </si>
  <si>
    <t>2955</t>
  </si>
  <si>
    <t>2956</t>
  </si>
  <si>
    <t>2957</t>
  </si>
  <si>
    <t>3946</t>
  </si>
  <si>
    <t>4094</t>
  </si>
  <si>
    <t>4095</t>
  </si>
  <si>
    <t>2602</t>
  </si>
  <si>
    <t>577</t>
  </si>
  <si>
    <t>4356</t>
  </si>
  <si>
    <t>D:\dev\integration\framework\bll\core\src\phy\Ethernet40100GigFiber.cpp</t>
  </si>
  <si>
    <t>4252</t>
  </si>
  <si>
    <t>D:\dev\integration\framework\bll\core\src\phy\EthernetFiber.cpp</t>
  </si>
  <si>
    <t>2709</t>
  </si>
  <si>
    <t>2710</t>
  </si>
  <si>
    <t>2722</t>
  </si>
  <si>
    <t>593</t>
  </si>
  <si>
    <t>594</t>
  </si>
  <si>
    <t>2746</t>
  </si>
  <si>
    <t>2747</t>
  </si>
  <si>
    <t>2748</t>
  </si>
  <si>
    <t>2749</t>
  </si>
  <si>
    <t>664</t>
  </si>
  <si>
    <t>3928</t>
  </si>
  <si>
    <t>3988</t>
  </si>
  <si>
    <t>3989</t>
  </si>
  <si>
    <t>3990</t>
  </si>
  <si>
    <t>710</t>
  </si>
  <si>
    <t>711</t>
  </si>
  <si>
    <t>3142</t>
  </si>
  <si>
    <t>845</t>
  </si>
  <si>
    <t>755</t>
  </si>
  <si>
    <t>773</t>
  </si>
  <si>
    <t>2931</t>
  </si>
  <si>
    <t>2932</t>
  </si>
  <si>
    <t>2933</t>
  </si>
  <si>
    <t>3622</t>
  </si>
  <si>
    <t>107</t>
  </si>
  <si>
    <t>4348</t>
  </si>
  <si>
    <t>D:\dev\integration\framework\bll\pl\bll\include\StakCommand.h</t>
  </si>
  <si>
    <t>3947</t>
  </si>
  <si>
    <t>629</t>
  </si>
  <si>
    <t>627</t>
  </si>
  <si>
    <t>628</t>
  </si>
  <si>
    <t>1584</t>
  </si>
  <si>
    <t>2600</t>
  </si>
  <si>
    <t>2601</t>
  </si>
  <si>
    <t>575</t>
  </si>
  <si>
    <t>1591</t>
  </si>
  <si>
    <t>1595</t>
  </si>
  <si>
    <t>1596</t>
  </si>
  <si>
    <t>4259</t>
  </si>
  <si>
    <t>D:\dev\integration\framework\ui\automation\PlInterface\sPythonPl\sPython_wrap.cxx</t>
  </si>
  <si>
    <t>4260</t>
  </si>
  <si>
    <t>4261</t>
  </si>
  <si>
    <t>4262</t>
  </si>
  <si>
    <t>4263</t>
  </si>
  <si>
    <t>4264</t>
  </si>
  <si>
    <t>4265</t>
  </si>
  <si>
    <t>4266</t>
  </si>
  <si>
    <t>4267</t>
  </si>
  <si>
    <t>4269</t>
  </si>
  <si>
    <t>4270</t>
  </si>
  <si>
    <t>4271</t>
  </si>
  <si>
    <t>4273</t>
  </si>
  <si>
    <t>4274</t>
  </si>
  <si>
    <t>4275</t>
  </si>
  <si>
    <t>4276</t>
  </si>
  <si>
    <t>4282</t>
  </si>
  <si>
    <t>2338</t>
  </si>
  <si>
    <t>2490</t>
  </si>
  <si>
    <t>702</t>
  </si>
  <si>
    <t>2906</t>
  </si>
  <si>
    <t>D:\dev\integration\framework\ui\automation\sal\src\SalStringBllDirectCallConnection.cpp</t>
  </si>
  <si>
    <t>4302</t>
  </si>
  <si>
    <t>4303</t>
  </si>
  <si>
    <t>1652</t>
  </si>
  <si>
    <t>1653</t>
  </si>
  <si>
    <t>3141</t>
  </si>
  <si>
    <t>common\tools\*</t>
  </si>
  <si>
    <t>common\lib\*</t>
  </si>
  <si>
    <t>content\common\*</t>
  </si>
  <si>
    <t>7637</t>
  </si>
  <si>
    <t>7879</t>
  </si>
  <si>
    <t>7880</t>
  </si>
  <si>
    <t>7375</t>
  </si>
  <si>
    <t>4499</t>
  </si>
  <si>
    <t>4489</t>
  </si>
  <si>
    <t>4490</t>
  </si>
  <si>
    <t>4491</t>
  </si>
  <si>
    <t>4492</t>
  </si>
  <si>
    <t>4493</t>
  </si>
  <si>
    <t>4494</t>
  </si>
  <si>
    <t>4495</t>
  </si>
  <si>
    <t>4496</t>
  </si>
  <si>
    <t>4497</t>
  </si>
  <si>
    <t>4498</t>
  </si>
  <si>
    <t>4503</t>
  </si>
  <si>
    <t>4504</t>
  </si>
  <si>
    <t>4505</t>
  </si>
  <si>
    <t>4509</t>
  </si>
  <si>
    <t>7782</t>
  </si>
  <si>
    <t>200</t>
  </si>
  <si>
    <t>201</t>
  </si>
  <si>
    <t>202</t>
  </si>
  <si>
    <t>203</t>
  </si>
  <si>
    <t>5304</t>
  </si>
  <si>
    <t>5305</t>
  </si>
  <si>
    <t>5306</t>
  </si>
  <si>
    <t>5307</t>
  </si>
  <si>
    <t>5308</t>
  </si>
  <si>
    <t>219</t>
  </si>
  <si>
    <t>5302</t>
  </si>
  <si>
    <t>5303</t>
  </si>
  <si>
    <t>7581</t>
  </si>
  <si>
    <t>5094</t>
  </si>
  <si>
    <t>5309</t>
  </si>
  <si>
    <t>5310</t>
  </si>
  <si>
    <t>156</t>
  </si>
  <si>
    <t>1488</t>
  </si>
  <si>
    <t>7594</t>
  </si>
  <si>
    <t>761</t>
  </si>
  <si>
    <t>762</t>
  </si>
  <si>
    <t>765</t>
  </si>
  <si>
    <t>766</t>
  </si>
  <si>
    <t>767</t>
  </si>
  <si>
    <t>769</t>
  </si>
  <si>
    <t>770</t>
  </si>
  <si>
    <t>950</t>
  </si>
  <si>
    <t>951</t>
  </si>
  <si>
    <t>5092</t>
  </si>
  <si>
    <t>5093</t>
  </si>
  <si>
    <t>5171</t>
  </si>
  <si>
    <t>5179</t>
  </si>
  <si>
    <t>5459</t>
  </si>
  <si>
    <t>7606</t>
  </si>
  <si>
    <t>6085</t>
  </si>
  <si>
    <t>6086</t>
  </si>
  <si>
    <t>6087</t>
  </si>
  <si>
    <t>6088</t>
  </si>
  <si>
    <t>6089</t>
  </si>
  <si>
    <t>6090</t>
  </si>
  <si>
    <t>6091</t>
  </si>
  <si>
    <t>6092</t>
  </si>
  <si>
    <t>6093</t>
  </si>
  <si>
    <t>6094</t>
  </si>
  <si>
    <t>6095</t>
  </si>
  <si>
    <t>6096</t>
  </si>
  <si>
    <t>6097</t>
  </si>
  <si>
    <t>6098</t>
  </si>
  <si>
    <t>6099</t>
  </si>
  <si>
    <t>6100</t>
  </si>
  <si>
    <t>6101</t>
  </si>
  <si>
    <t>6102</t>
  </si>
  <si>
    <t>6103</t>
  </si>
  <si>
    <t>6104</t>
  </si>
  <si>
    <t>6105</t>
  </si>
  <si>
    <t>6106</t>
  </si>
  <si>
    <t>6107</t>
  </si>
  <si>
    <t>6108</t>
  </si>
  <si>
    <t>6109</t>
  </si>
  <si>
    <t>6110</t>
  </si>
  <si>
    <t>6111</t>
  </si>
  <si>
    <t>6112</t>
  </si>
  <si>
    <t>6113</t>
  </si>
  <si>
    <t>6114</t>
  </si>
  <si>
    <t>6115</t>
  </si>
  <si>
    <t>6116</t>
  </si>
  <si>
    <t>6117</t>
  </si>
  <si>
    <t>6118</t>
  </si>
  <si>
    <t>6119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</si>
  <si>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</si>
  <si>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</si>
  <si>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</si>
  <si>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</si>
  <si>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</si>
  <si>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</si>
  <si>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</si>
  <si>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</si>
  <si>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</si>
  <si>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</si>
  <si>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</si>
  <si>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</si>
  <si>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6132</t>
  </si>
  <si>
    <t>6133</t>
  </si>
  <si>
    <t>6134</t>
  </si>
  <si>
    <t>6135</t>
  </si>
  <si>
    <t>6136</t>
  </si>
  <si>
    <t>6137</t>
  </si>
  <si>
    <t>6138</t>
  </si>
  <si>
    <t>6139</t>
  </si>
  <si>
    <t>6140</t>
  </si>
  <si>
    <t>6141</t>
  </si>
  <si>
    <t>6142</t>
  </si>
  <si>
    <t>6143</t>
  </si>
  <si>
    <t>6144</t>
  </si>
  <si>
    <t>6145</t>
  </si>
  <si>
    <t>6146</t>
  </si>
  <si>
    <t>6147</t>
  </si>
  <si>
    <t>6148</t>
  </si>
  <si>
    <t>6149</t>
  </si>
  <si>
    <t>6150</t>
  </si>
  <si>
    <t>6151</t>
  </si>
  <si>
    <t>6152</t>
  </si>
  <si>
    <t>6153</t>
  </si>
  <si>
    <t>572</t>
  </si>
  <si>
    <t>6154</t>
  </si>
  <si>
    <t>6155</t>
  </si>
  <si>
    <t>6156</t>
  </si>
  <si>
    <t>6157</t>
  </si>
  <si>
    <t>576</t>
  </si>
  <si>
    <t>6165</t>
  </si>
  <si>
    <t>6166</t>
  </si>
  <si>
    <t>6167</t>
  </si>
  <si>
    <t>6168</t>
  </si>
  <si>
    <t>6169</t>
  </si>
  <si>
    <t>6170</t>
  </si>
  <si>
    <t>6171</t>
  </si>
  <si>
    <t>6174</t>
  </si>
  <si>
    <t>6175</t>
  </si>
  <si>
    <t>6176</t>
  </si>
  <si>
    <t>6177</t>
  </si>
  <si>
    <t>6178</t>
  </si>
  <si>
    <t>6179</t>
  </si>
  <si>
    <t>6180</t>
  </si>
  <si>
    <t>6185</t>
  </si>
  <si>
    <t>6186</t>
  </si>
  <si>
    <t>6187</t>
  </si>
  <si>
    <t>6188</t>
  </si>
  <si>
    <t>6207</t>
  </si>
  <si>
    <t>6208</t>
  </si>
  <si>
    <t>6209</t>
  </si>
  <si>
    <t>6210</t>
  </si>
  <si>
    <t>6211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</si>
  <si>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</si>
  <si>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</si>
  <si>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</si>
  <si>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</si>
  <si>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</si>
  <si>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</si>
  <si>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</si>
  <si>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</si>
  <si>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</si>
  <si>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</si>
  <si>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7872</t>
  </si>
  <si>
    <t>7873</t>
  </si>
  <si>
    <t>7874</t>
  </si>
  <si>
    <t>8129</t>
  </si>
  <si>
    <t>3401</t>
  </si>
  <si>
    <t>1352</t>
  </si>
  <si>
    <t>7829</t>
  </si>
  <si>
    <t>1426</t>
  </si>
  <si>
    <t>1427</t>
  </si>
  <si>
    <t>1428</t>
  </si>
  <si>
    <t>1430</t>
  </si>
  <si>
    <t>4812</t>
  </si>
  <si>
    <t>7674</t>
  </si>
  <si>
    <t>7675</t>
  </si>
  <si>
    <t>7676</t>
  </si>
  <si>
    <t>1554</t>
  </si>
  <si>
    <t>1508</t>
  </si>
  <si>
    <t>1510</t>
  </si>
  <si>
    <t>1513</t>
  </si>
  <si>
    <t>1516</t>
  </si>
  <si>
    <t>1642</t>
  </si>
  <si>
    <t>1688</t>
  </si>
  <si>
    <t>1689</t>
  </si>
  <si>
    <t>7526</t>
  </si>
  <si>
    <t>7528</t>
  </si>
  <si>
    <t>1739</t>
  </si>
  <si>
    <t>1747</t>
  </si>
  <si>
    <t>1751</t>
  </si>
  <si>
    <t>1752</t>
  </si>
  <si>
    <t>7837</t>
  </si>
  <si>
    <t>7838</t>
  </si>
  <si>
    <t>7840</t>
  </si>
  <si>
    <t>7842</t>
  </si>
  <si>
    <t>7843</t>
  </si>
  <si>
    <t>7844</t>
  </si>
  <si>
    <t>7845</t>
  </si>
  <si>
    <t>2099</t>
  </si>
  <si>
    <t>3183</t>
  </si>
  <si>
    <t>3184</t>
  </si>
  <si>
    <t>3185</t>
  </si>
  <si>
    <t>3222</t>
  </si>
  <si>
    <t>3223</t>
  </si>
  <si>
    <t>3224</t>
  </si>
  <si>
    <t>3225</t>
  </si>
  <si>
    <t>3226</t>
  </si>
  <si>
    <t>3228</t>
  </si>
  <si>
    <t>3229</t>
  </si>
  <si>
    <t>3230</t>
  </si>
  <si>
    <t>6527</t>
  </si>
  <si>
    <t>6528</t>
  </si>
  <si>
    <t>6529</t>
  </si>
  <si>
    <t>7864</t>
  </si>
  <si>
    <t>7865</t>
  </si>
  <si>
    <t>7866</t>
  </si>
  <si>
    <t>3638</t>
  </si>
  <si>
    <t>3653</t>
  </si>
  <si>
    <t>3654</t>
  </si>
  <si>
    <t>3682</t>
  </si>
  <si>
    <t>3702</t>
  </si>
  <si>
    <t>3703</t>
  </si>
  <si>
    <t>3870</t>
  </si>
  <si>
    <t>7665</t>
  </si>
  <si>
    <t>7970</t>
  </si>
  <si>
    <t>7971</t>
  </si>
  <si>
    <t>7191</t>
  </si>
  <si>
    <t>7680</t>
  </si>
  <si>
    <t>7681</t>
  </si>
  <si>
    <t>7682</t>
  </si>
  <si>
    <t>1839</t>
  </si>
  <si>
    <t>1840</t>
  </si>
  <si>
    <t>3555</t>
  </si>
  <si>
    <t>4278</t>
  </si>
  <si>
    <t>7850</t>
  </si>
  <si>
    <t>2292</t>
  </si>
  <si>
    <t>2301</t>
  </si>
  <si>
    <t>2302</t>
  </si>
  <si>
    <t>2304</t>
  </si>
  <si>
    <t>2314</t>
  </si>
  <si>
    <t>6420</t>
  </si>
  <si>
    <t>3546</t>
  </si>
  <si>
    <t>6325</t>
  </si>
  <si>
    <t>6335</t>
  </si>
  <si>
    <t>6336</t>
  </si>
  <si>
    <t>6337</t>
  </si>
  <si>
    <t>2598</t>
  </si>
  <si>
    <t>6340</t>
  </si>
  <si>
    <t>6342</t>
  </si>
  <si>
    <t>6344</t>
  </si>
  <si>
    <t>6347</t>
  </si>
  <si>
    <t>2627</t>
  </si>
  <si>
    <t>2630</t>
  </si>
  <si>
    <t>2632</t>
  </si>
  <si>
    <t>2635</t>
  </si>
  <si>
    <t>2636</t>
  </si>
  <si>
    <t>6356</t>
  </si>
  <si>
    <t>2684</t>
  </si>
  <si>
    <t>2701</t>
  </si>
  <si>
    <t>2724</t>
  </si>
  <si>
    <t>2756</t>
  </si>
  <si>
    <t>2767</t>
  </si>
  <si>
    <t>2789</t>
  </si>
  <si>
    <t>2790</t>
  </si>
  <si>
    <t>2805</t>
  </si>
  <si>
    <t>2822</t>
  </si>
  <si>
    <t>2823</t>
  </si>
  <si>
    <t>2859</t>
  </si>
  <si>
    <t>2848</t>
  </si>
  <si>
    <t>6395</t>
  </si>
  <si>
    <t>6399</t>
  </si>
  <si>
    <t>6400</t>
  </si>
  <si>
    <t>6401</t>
  </si>
  <si>
    <t>6402</t>
  </si>
  <si>
    <t>8164</t>
  </si>
  <si>
    <t>3480</t>
  </si>
  <si>
    <t>3481</t>
  </si>
  <si>
    <t>3410</t>
  </si>
  <si>
    <t>3412</t>
  </si>
  <si>
    <t>3513</t>
  </si>
  <si>
    <t>3514</t>
  </si>
  <si>
    <t>3525</t>
  </si>
  <si>
    <t>6800</t>
  </si>
  <si>
    <t>6801</t>
  </si>
  <si>
    <t>6802</t>
  </si>
  <si>
    <t>3533</t>
  </si>
  <si>
    <t>3534</t>
  </si>
  <si>
    <t>3536</t>
  </si>
  <si>
    <t>3537</t>
  </si>
  <si>
    <t>3540</t>
  </si>
  <si>
    <t>3544</t>
  </si>
  <si>
    <t>3551</t>
  </si>
  <si>
    <t>3552</t>
  </si>
  <si>
    <t>6806</t>
  </si>
  <si>
    <t>6808</t>
  </si>
  <si>
    <t>6809</t>
  </si>
  <si>
    <t>6810</t>
  </si>
  <si>
    <t>6811</t>
  </si>
  <si>
    <t>8137</t>
  </si>
  <si>
    <t>3570</t>
  </si>
  <si>
    <t>3573</t>
  </si>
  <si>
    <t>3576</t>
  </si>
  <si>
    <t>3577</t>
  </si>
  <si>
    <t>3578</t>
  </si>
  <si>
    <t>6816</t>
  </si>
  <si>
    <t>3595</t>
  </si>
  <si>
    <t>6822</t>
  </si>
  <si>
    <t>3613</t>
  </si>
  <si>
    <t>3616</t>
  </si>
  <si>
    <t>6823</t>
  </si>
  <si>
    <t>6824</t>
  </si>
  <si>
    <t>3621</t>
  </si>
  <si>
    <t>3626</t>
  </si>
  <si>
    <t>3627</t>
  </si>
  <si>
    <t>3628</t>
  </si>
  <si>
    <t>3630</t>
  </si>
  <si>
    <t>3631</t>
  </si>
  <si>
    <t>3632</t>
  </si>
  <si>
    <t>7672</t>
  </si>
  <si>
    <t>7673</t>
  </si>
  <si>
    <t>1266</t>
  </si>
  <si>
    <t>7521</t>
  </si>
  <si>
    <t>4285</t>
  </si>
  <si>
    <t>4286</t>
  </si>
  <si>
    <t>4287</t>
  </si>
  <si>
    <t>4288</t>
  </si>
  <si>
    <t>3386</t>
  </si>
  <si>
    <t>4047</t>
  </si>
  <si>
    <t>1535</t>
  </si>
  <si>
    <t>1536</t>
  </si>
  <si>
    <t>1525</t>
  </si>
  <si>
    <t>1526</t>
  </si>
  <si>
    <t>1527</t>
  </si>
  <si>
    <t>1528</t>
  </si>
  <si>
    <t>1529</t>
  </si>
  <si>
    <t>1530</t>
  </si>
  <si>
    <t>1531</t>
  </si>
  <si>
    <t>1532</t>
  </si>
  <si>
    <t>5299</t>
  </si>
  <si>
    <t>5300</t>
  </si>
  <si>
    <t>5301</t>
  </si>
  <si>
    <t>1537</t>
  </si>
  <si>
    <t>1538</t>
  </si>
  <si>
    <t>1539</t>
  </si>
  <si>
    <t>1540</t>
  </si>
  <si>
    <t>1541</t>
  </si>
  <si>
    <t>3314</t>
  </si>
  <si>
    <t>3315</t>
  </si>
  <si>
    <t>3316</t>
  </si>
  <si>
    <t>1561</t>
  </si>
  <si>
    <t>1572</t>
  </si>
  <si>
    <t>1573</t>
  </si>
  <si>
    <t>1444</t>
  </si>
  <si>
    <t>1445</t>
  </si>
  <si>
    <t>1448</t>
  </si>
  <si>
    <t>1449</t>
  </si>
  <si>
    <t>1606</t>
  </si>
  <si>
    <t>1607</t>
  </si>
  <si>
    <t>7832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</si>
  <si>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</si>
  <si>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</si>
  <si>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</si>
  <si>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</si>
  <si>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</si>
  <si>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</si>
  <si>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</si>
  <si>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</si>
  <si>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</si>
  <si>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1644</t>
  </si>
  <si>
    <t>1645</t>
  </si>
  <si>
    <t>1646</t>
  </si>
  <si>
    <t>1647</t>
  </si>
  <si>
    <t>1648</t>
  </si>
  <si>
    <t>1649</t>
  </si>
  <si>
    <t>1650</t>
  </si>
  <si>
    <t>1651</t>
  </si>
  <si>
    <t>4043</t>
  </si>
  <si>
    <t>4044</t>
  </si>
  <si>
    <t>4045</t>
  </si>
  <si>
    <t>4046</t>
  </si>
  <si>
    <t>1753</t>
  </si>
  <si>
    <t>1755</t>
  </si>
  <si>
    <t>1756</t>
  </si>
  <si>
    <t>1757</t>
  </si>
  <si>
    <t>1758</t>
  </si>
  <si>
    <t>1517</t>
  </si>
  <si>
    <t>1549</t>
  </si>
  <si>
    <t>1550</t>
  </si>
  <si>
    <t>1551</t>
  </si>
  <si>
    <t>1552</t>
  </si>
  <si>
    <t>1553</t>
  </si>
  <si>
    <t>1576</t>
  </si>
  <si>
    <t>1579</t>
  </si>
  <si>
    <t>1580</t>
  </si>
  <si>
    <t>1581</t>
  </si>
  <si>
    <t>1582</t>
  </si>
  <si>
    <t>1583</t>
  </si>
  <si>
    <t>1585</t>
  </si>
  <si>
    <t>1587</t>
  </si>
  <si>
    <t>1589</t>
  </si>
  <si>
    <t>1590</t>
  </si>
  <si>
    <t>1592</t>
  </si>
  <si>
    <t>1593</t>
  </si>
  <si>
    <t>1594</t>
  </si>
  <si>
    <t>1617</t>
  </si>
  <si>
    <t>1641</t>
  </si>
  <si>
    <t>3212</t>
  </si>
  <si>
    <t>2096</t>
  </si>
  <si>
    <t>2097</t>
  </si>
  <si>
    <t>2098</t>
  </si>
  <si>
    <t>1194</t>
  </si>
  <si>
    <t>1195</t>
  </si>
  <si>
    <t>1196</t>
  </si>
  <si>
    <t>1197</t>
  </si>
  <si>
    <t>1201</t>
  </si>
  <si>
    <t>1203</t>
  </si>
  <si>
    <t>1205</t>
  </si>
  <si>
    <t>1206</t>
  </si>
  <si>
    <t>7383</t>
  </si>
  <si>
    <t>7384</t>
  </si>
  <si>
    <t>1759</t>
  </si>
  <si>
    <t>1874</t>
  </si>
  <si>
    <t>1875</t>
  </si>
  <si>
    <t>1876</t>
  </si>
  <si>
    <t>1877</t>
  </si>
  <si>
    <t>1878</t>
  </si>
  <si>
    <t>1879</t>
  </si>
  <si>
    <t>1880</t>
  </si>
  <si>
    <t>1881</t>
  </si>
  <si>
    <t>1882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</si>
  <si>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</si>
  <si>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</si>
  <si>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</si>
  <si>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</si>
  <si>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</si>
  <si>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</si>
  <si>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</si>
  <si>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</si>
  <si>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</si>
  <si>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</si>
  <si>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</si>
  <si>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2218</t>
  </si>
  <si>
    <t>2219</t>
  </si>
  <si>
    <t>2220</t>
  </si>
  <si>
    <t>2221</t>
  </si>
  <si>
    <t>2222</t>
  </si>
  <si>
    <t>2223</t>
  </si>
  <si>
    <t>2224</t>
  </si>
  <si>
    <t>2256</t>
  </si>
  <si>
    <t>2260</t>
  </si>
  <si>
    <t>2261</t>
  </si>
  <si>
    <t>3929</t>
  </si>
  <si>
    <t>3213</t>
  </si>
  <si>
    <t>3214</t>
  </si>
  <si>
    <t>3215</t>
  </si>
  <si>
    <t>3319</t>
  </si>
  <si>
    <t>3181</t>
  </si>
  <si>
    <t>3182</t>
  </si>
  <si>
    <t>3203</t>
  </si>
  <si>
    <t>3830</t>
  </si>
  <si>
    <t>3828</t>
  </si>
  <si>
    <t>3832</t>
  </si>
  <si>
    <t>3843</t>
  </si>
  <si>
    <t>3846</t>
  </si>
  <si>
    <t>3848</t>
  </si>
  <si>
    <t>3849</t>
  </si>
  <si>
    <t>3850</t>
  </si>
  <si>
    <t>7664</t>
  </si>
  <si>
    <t>7670</t>
  </si>
  <si>
    <t>7671</t>
  </si>
  <si>
    <t>7683</t>
  </si>
  <si>
    <t>7684</t>
  </si>
  <si>
    <t>7685</t>
  </si>
  <si>
    <t>2107</t>
  </si>
  <si>
    <t>2108</t>
  </si>
  <si>
    <t>2109</t>
  </si>
  <si>
    <t>2104</t>
  </si>
  <si>
    <t>2105</t>
  </si>
  <si>
    <t>2106</t>
  </si>
  <si>
    <t>2112</t>
  </si>
  <si>
    <t>2113</t>
  </si>
  <si>
    <t>5920</t>
  </si>
  <si>
    <t>6289</t>
  </si>
  <si>
    <t>6291</t>
  </si>
  <si>
    <t>7667</t>
  </si>
  <si>
    <t>3180</t>
  </si>
  <si>
    <t>3269</t>
  </si>
  <si>
    <t>3270</t>
  </si>
  <si>
    <t>3271</t>
  </si>
  <si>
    <t>6530</t>
  </si>
  <si>
    <t>6531</t>
  </si>
  <si>
    <t>3272</t>
  </si>
  <si>
    <t>3273</t>
  </si>
  <si>
    <t>3274</t>
  </si>
  <si>
    <t>3275</t>
  </si>
  <si>
    <t>3276</t>
  </si>
  <si>
    <t>3277</t>
  </si>
  <si>
    <t>3278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</si>
  <si>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</si>
  <si>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</si>
  <si>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</si>
  <si>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</si>
  <si>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</si>
  <si>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</si>
  <si>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</si>
  <si>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</si>
  <si>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</si>
  <si>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</si>
  <si>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3289</t>
  </si>
  <si>
    <t>3290</t>
  </si>
  <si>
    <t>3291</t>
  </si>
  <si>
    <t>3292</t>
  </si>
  <si>
    <t>3293</t>
  </si>
  <si>
    <t>3294</t>
  </si>
  <si>
    <t>3295</t>
  </si>
  <si>
    <t>3296</t>
  </si>
  <si>
    <t>3297</t>
  </si>
  <si>
    <t>3298</t>
  </si>
  <si>
    <t>3299</t>
  </si>
  <si>
    <t>3300</t>
  </si>
  <si>
    <t>3301</t>
  </si>
  <si>
    <t>3303</t>
  </si>
  <si>
    <t>3304</t>
  </si>
  <si>
    <t>3305</t>
  </si>
  <si>
    <t>3306</t>
  </si>
  <si>
    <t>3307</t>
  </si>
  <si>
    <t>3308</t>
  </si>
  <si>
    <t>3310</t>
  </si>
  <si>
    <t>3311</t>
  </si>
  <si>
    <t>6542</t>
  </si>
  <si>
    <t>2357</t>
  </si>
  <si>
    <t>2358</t>
  </si>
  <si>
    <t>2359</t>
  </si>
  <si>
    <t>2410</t>
  </si>
  <si>
    <t>2411</t>
  </si>
  <si>
    <t>2412</t>
  </si>
  <si>
    <t>2416</t>
  </si>
  <si>
    <t>2417</t>
  </si>
  <si>
    <t>2418</t>
  </si>
  <si>
    <t>2419</t>
  </si>
  <si>
    <t>2424</t>
  </si>
  <si>
    <t>2425</t>
  </si>
  <si>
    <t>2430</t>
  </si>
  <si>
    <t>2431</t>
  </si>
  <si>
    <t>6290</t>
  </si>
  <si>
    <t>3492</t>
  </si>
  <si>
    <t>3493</t>
  </si>
  <si>
    <t>3494</t>
  </si>
  <si>
    <t>3495</t>
  </si>
  <si>
    <t>3907</t>
  </si>
  <si>
    <t>3901</t>
  </si>
  <si>
    <t>3902</t>
  </si>
  <si>
    <t>3903</t>
  </si>
  <si>
    <t>3904</t>
  </si>
  <si>
    <t>3905</t>
  </si>
  <si>
    <t>3906</t>
  </si>
  <si>
    <t>7028</t>
  </si>
  <si>
    <t>3908</t>
  </si>
  <si>
    <t>3909</t>
  </si>
  <si>
    <t>3910</t>
  </si>
  <si>
    <t>3911</t>
  </si>
  <si>
    <t>3923</t>
  </si>
  <si>
    <t>3924</t>
  </si>
  <si>
    <t>3925</t>
  </si>
  <si>
    <t>3926</t>
  </si>
  <si>
    <t>3912</t>
  </si>
  <si>
    <t>3913</t>
  </si>
  <si>
    <t>3915</t>
  </si>
  <si>
    <t>1265</t>
  </si>
  <si>
    <t>1439</t>
  </si>
  <si>
    <t>1440</t>
  </si>
  <si>
    <t>1441</t>
  </si>
  <si>
    <t>1442</t>
  </si>
  <si>
    <t>7400</t>
  </si>
  <si>
    <t>1562</t>
  </si>
  <si>
    <t>1570</t>
  </si>
  <si>
    <t>1824</t>
  </si>
  <si>
    <t>2086</t>
  </si>
  <si>
    <t>2087</t>
  </si>
  <si>
    <t>3326</t>
  </si>
  <si>
    <t>3329</t>
  </si>
  <si>
    <t>3330</t>
  </si>
  <si>
    <t>3331</t>
  </si>
  <si>
    <t>3332</t>
  </si>
  <si>
    <t>3333</t>
  </si>
  <si>
    <t>3349</t>
  </si>
  <si>
    <t>3383</t>
  </si>
  <si>
    <t>3384</t>
  </si>
  <si>
    <t>3818</t>
  </si>
  <si>
    <t>4010</t>
  </si>
  <si>
    <t>4052</t>
  </si>
  <si>
    <t>4053</t>
  </si>
  <si>
    <t>4054</t>
  </si>
  <si>
    <t>7326</t>
  </si>
  <si>
    <t>7327</t>
  </si>
  <si>
    <t>7328</t>
  </si>
  <si>
    <t>7329</t>
  </si>
  <si>
    <t>4057</t>
  </si>
  <si>
    <t>4058</t>
  </si>
  <si>
    <t>4059</t>
  </si>
  <si>
    <t>4060</t>
  </si>
  <si>
    <t>7859</t>
  </si>
  <si>
    <t>7861</t>
  </si>
  <si>
    <t>7580</t>
  </si>
  <si>
    <t>7595</t>
  </si>
  <si>
    <t>3916</t>
  </si>
  <si>
    <t>3917</t>
  </si>
  <si>
    <t>3918</t>
  </si>
  <si>
    <t>3919</t>
  </si>
  <si>
    <t>3920</t>
  </si>
  <si>
    <t>7029</t>
  </si>
  <si>
    <t>7030</t>
  </si>
  <si>
    <t>7031</t>
  </si>
  <si>
    <t>7032</t>
  </si>
  <si>
    <t>7033</t>
  </si>
  <si>
    <t>7034</t>
  </si>
  <si>
    <t>7035</t>
  </si>
  <si>
    <t>7036</t>
  </si>
  <si>
    <t>7037</t>
  </si>
  <si>
    <t>7038</t>
  </si>
  <si>
    <t>7039</t>
  </si>
  <si>
    <t>7040</t>
  </si>
  <si>
    <t>7041</t>
  </si>
  <si>
    <t>7042</t>
  </si>
  <si>
    <t>7043</t>
  </si>
  <si>
    <t>7044</t>
  </si>
  <si>
    <t>7045</t>
  </si>
  <si>
    <t>7046</t>
  </si>
  <si>
    <t>7047</t>
  </si>
  <si>
    <t>7048</t>
  </si>
  <si>
    <t>7049</t>
  </si>
  <si>
    <t>7050</t>
  </si>
  <si>
    <t>7051</t>
  </si>
  <si>
    <t>7052</t>
  </si>
  <si>
    <t>7053</t>
  </si>
  <si>
    <t>7054</t>
  </si>
  <si>
    <t>3927</t>
  </si>
  <si>
    <t>7055</t>
  </si>
  <si>
    <t>7056</t>
  </si>
  <si>
    <t>7057</t>
  </si>
  <si>
    <t>7058</t>
  </si>
  <si>
    <t>7059</t>
  </si>
  <si>
    <t>7060</t>
  </si>
  <si>
    <t>7061</t>
  </si>
  <si>
    <t>7062</t>
  </si>
  <si>
    <t>7063</t>
  </si>
  <si>
    <t>7064</t>
  </si>
  <si>
    <t>7065</t>
  </si>
  <si>
    <t>7066</t>
  </si>
  <si>
    <t>7067</t>
  </si>
  <si>
    <t>7068</t>
  </si>
  <si>
    <t>7069</t>
  </si>
  <si>
    <t>7070</t>
  </si>
  <si>
    <t>7071</t>
  </si>
  <si>
    <t>7072</t>
  </si>
  <si>
    <t>7073</t>
  </si>
  <si>
    <t>7074</t>
  </si>
  <si>
    <t>7075</t>
  </si>
  <si>
    <t>7076</t>
  </si>
  <si>
    <t>7077</t>
  </si>
  <si>
    <t>3930</t>
  </si>
  <si>
    <t>3931</t>
  </si>
  <si>
    <t>3932</t>
  </si>
  <si>
    <t>3933</t>
  </si>
  <si>
    <t>7078</t>
  </si>
  <si>
    <t>7079</t>
  </si>
  <si>
    <t>7080</t>
  </si>
  <si>
    <t>7081</t>
  </si>
  <si>
    <t>7082</t>
  </si>
  <si>
    <t>7083</t>
  </si>
  <si>
    <t>4021</t>
  </si>
  <si>
    <t>4022</t>
  </si>
  <si>
    <t>4042</t>
  </si>
  <si>
    <t>7121</t>
  </si>
  <si>
    <t>7122</t>
  </si>
  <si>
    <t>7123</t>
  </si>
  <si>
    <t>7124</t>
  </si>
  <si>
    <t>7125</t>
  </si>
  <si>
    <t>7126</t>
  </si>
  <si>
    <t>7127</t>
  </si>
  <si>
    <t>7128</t>
  </si>
  <si>
    <t>7129</t>
  </si>
  <si>
    <t>7132</t>
  </si>
  <si>
    <t>7133</t>
  </si>
  <si>
    <t>5148</t>
  </si>
  <si>
    <t>5149</t>
  </si>
  <si>
    <t>7604</t>
  </si>
  <si>
    <t>6293</t>
  </si>
  <si>
    <t>6294</t>
  </si>
  <si>
    <t>5460</t>
  </si>
  <si>
    <t>5461</t>
  </si>
  <si>
    <t>7972</t>
  </si>
  <si>
    <t>7591</t>
  </si>
  <si>
    <t>5455</t>
  </si>
  <si>
    <t>7835</t>
  </si>
  <si>
    <t>7836</t>
  </si>
  <si>
    <t>7932</t>
  </si>
  <si>
    <t>7583</t>
  </si>
  <si>
    <t>4835</t>
  </si>
  <si>
    <t>4836</t>
  </si>
  <si>
    <t>4837</t>
  </si>
  <si>
    <t>4838</t>
  </si>
  <si>
    <t>4839</t>
  </si>
  <si>
    <t>4840</t>
  </si>
  <si>
    <t>4841</t>
  </si>
  <si>
    <t>7848</t>
  </si>
  <si>
    <t>6320</t>
  </si>
  <si>
    <t>6321</t>
  </si>
  <si>
    <t>7598</t>
  </si>
  <si>
    <t>7252</t>
  </si>
  <si>
    <t>7253</t>
  </si>
  <si>
    <t>7254</t>
  </si>
  <si>
    <t>7255</t>
  </si>
  <si>
    <t>7258</t>
  </si>
  <si>
    <t>7259</t>
  </si>
  <si>
    <t>7260</t>
  </si>
  <si>
    <t>7256</t>
  </si>
  <si>
    <t>7257</t>
  </si>
  <si>
    <t>7261</t>
  </si>
  <si>
    <t>7262</t>
  </si>
  <si>
    <t>7263</t>
  </si>
  <si>
    <t>7264</t>
  </si>
  <si>
    <t>7273</t>
  </si>
  <si>
    <t>7603</t>
  </si>
  <si>
    <t>7306</t>
  </si>
  <si>
    <t>7307</t>
  </si>
  <si>
    <t>7308</t>
  </si>
  <si>
    <t>7309</t>
  </si>
  <si>
    <t>7310</t>
  </si>
  <si>
    <t>7311</t>
  </si>
  <si>
    <t>7312</t>
  </si>
  <si>
    <t>7313</t>
  </si>
  <si>
    <t>7314</t>
  </si>
  <si>
    <t>7315</t>
  </si>
  <si>
    <t>7316</t>
  </si>
  <si>
    <t>7319</t>
  </si>
  <si>
    <t>7320</t>
  </si>
  <si>
    <t>7321</t>
  </si>
  <si>
    <t>111</t>
  </si>
  <si>
    <t>5058</t>
  </si>
  <si>
    <t>5059</t>
  </si>
  <si>
    <t>5060</t>
  </si>
  <si>
    <t>5061</t>
  </si>
  <si>
    <t>5062</t>
  </si>
  <si>
    <t>5063</t>
  </si>
  <si>
    <t>5064</t>
  </si>
  <si>
    <t>5065</t>
  </si>
  <si>
    <t>5066</t>
  </si>
  <si>
    <t>5067</t>
  </si>
  <si>
    <t>5068</t>
  </si>
  <si>
    <t>5070</t>
  </si>
  <si>
    <t>5071</t>
  </si>
  <si>
    <t>5074</t>
  </si>
  <si>
    <t>118</t>
  </si>
  <si>
    <t>5077</t>
  </si>
  <si>
    <t>126</t>
  </si>
  <si>
    <t>8337</t>
  </si>
  <si>
    <t>2211</t>
  </si>
  <si>
    <t>22</t>
  </si>
  <si>
    <t>8285</t>
  </si>
  <si>
    <t>4446</t>
  </si>
  <si>
    <t>4448</t>
  </si>
  <si>
    <t>4451</t>
  </si>
  <si>
    <t>4452</t>
  </si>
  <si>
    <t>4453</t>
  </si>
  <si>
    <t>4461</t>
  </si>
  <si>
    <t>4462</t>
  </si>
  <si>
    <t>4464</t>
  </si>
  <si>
    <t>4465</t>
  </si>
  <si>
    <t>4466</t>
  </si>
  <si>
    <t>4467</t>
  </si>
  <si>
    <t>4468</t>
  </si>
  <si>
    <t>4469</t>
  </si>
  <si>
    <t>4470</t>
  </si>
  <si>
    <t>4471</t>
  </si>
  <si>
    <t>4472</t>
  </si>
  <si>
    <t>4473</t>
  </si>
  <si>
    <t>4474</t>
  </si>
  <si>
    <t>4475</t>
  </si>
  <si>
    <t>4477</t>
  </si>
  <si>
    <t>4478</t>
  </si>
  <si>
    <t>4479</t>
  </si>
  <si>
    <t>4480</t>
  </si>
  <si>
    <t>4481</t>
  </si>
  <si>
    <t>7781</t>
  </si>
  <si>
    <t>4482</t>
  </si>
  <si>
    <t>4484</t>
  </si>
  <si>
    <t>4487</t>
  </si>
  <si>
    <t>/home/scmbuild/TestCenter/integration/content/traffic/l2l3/il/Analyzer/AnalyzerWraith.cpp</t>
  </si>
  <si>
    <t>8286</t>
  </si>
  <si>
    <t>8287</t>
  </si>
  <si>
    <t>4846</t>
  </si>
  <si>
    <t>4855</t>
  </si>
  <si>
    <t>4868</t>
  </si>
  <si>
    <t>4876</t>
  </si>
  <si>
    <t>4910</t>
  </si>
  <si>
    <t>4913</t>
  </si>
  <si>
    <t>4914</t>
  </si>
  <si>
    <t>4922</t>
  </si>
  <si>
    <t>4942</t>
  </si>
  <si>
    <t>4945</t>
  </si>
  <si>
    <t>4958</t>
  </si>
  <si>
    <t>4962</t>
  </si>
  <si>
    <t>4979</t>
  </si>
  <si>
    <t>4982</t>
  </si>
  <si>
    <t>5008</t>
  </si>
  <si>
    <t>5014</t>
  </si>
  <si>
    <t>5016</t>
  </si>
  <si>
    <t>5033</t>
  </si>
  <si>
    <t>5039</t>
  </si>
  <si>
    <t>5048</t>
  </si>
  <si>
    <t>5051</t>
  </si>
  <si>
    <t>189</t>
  </si>
  <si>
    <t>8138</t>
  </si>
  <si>
    <t>1068</t>
  </si>
  <si>
    <t>7895</t>
  </si>
  <si>
    <t>/home/scmbuild/TestCenter/integration/content/traffic/l2l3/il/Generator/Driver/refactor/vfd/WraithVfd.cpp</t>
  </si>
  <si>
    <t>7550</t>
  </si>
  <si>
    <t>7551</t>
  </si>
  <si>
    <t>7553</t>
  </si>
  <si>
    <t>6299</t>
  </si>
  <si>
    <t>6300</t>
  </si>
  <si>
    <t>6301</t>
  </si>
  <si>
    <t>6307</t>
  </si>
  <si>
    <t>6308</t>
  </si>
  <si>
    <t>6309</t>
  </si>
  <si>
    <t>6310</t>
  </si>
  <si>
    <t>6311</t>
  </si>
  <si>
    <t>6312</t>
  </si>
  <si>
    <t>6313</t>
  </si>
  <si>
    <t>6314</t>
  </si>
  <si>
    <t>6315</t>
  </si>
  <si>
    <t>6316</t>
  </si>
  <si>
    <t>6317</t>
  </si>
  <si>
    <t>6318</t>
  </si>
  <si>
    <t>7597</t>
  </si>
  <si>
    <t>5081</t>
  </si>
  <si>
    <t>5082</t>
  </si>
  <si>
    <t>5083</t>
  </si>
  <si>
    <t>5084</t>
  </si>
  <si>
    <t>5085</t>
  </si>
  <si>
    <t>6573</t>
  </si>
  <si>
    <t>6919</t>
  </si>
  <si>
    <t>6920</t>
  </si>
  <si>
    <t>6921</t>
  </si>
  <si>
    <t>6978</t>
  </si>
  <si>
    <t>6979</t>
  </si>
  <si>
    <t>6980</t>
  </si>
  <si>
    <t>6981</t>
  </si>
  <si>
    <t>6982</t>
  </si>
  <si>
    <t>6463</t>
  </si>
  <si>
    <t>7084</t>
  </si>
  <si>
    <t>7194</t>
  </si>
  <si>
    <t>6780</t>
  </si>
  <si>
    <t>6781</t>
  </si>
  <si>
    <t>6786</t>
  </si>
  <si>
    <t>6790</t>
  </si>
  <si>
    <t>6791</t>
  </si>
  <si>
    <t>6792</t>
  </si>
  <si>
    <t>6793</t>
  </si>
  <si>
    <t>6794</t>
  </si>
  <si>
    <t>6795</t>
  </si>
  <si>
    <t>6796</t>
  </si>
  <si>
    <t>6797</t>
  </si>
  <si>
    <t>7085</t>
  </si>
  <si>
    <t>7086</t>
  </si>
  <si>
    <t>7089</t>
  </si>
  <si>
    <t>7090</t>
  </si>
  <si>
    <t>7091</t>
  </si>
  <si>
    <t>7092</t>
  </si>
  <si>
    <t>7093</t>
  </si>
  <si>
    <t>7094</t>
  </si>
  <si>
    <t>7095</t>
  </si>
  <si>
    <t>7096</t>
  </si>
  <si>
    <t>7097</t>
  </si>
  <si>
    <t>7098</t>
  </si>
  <si>
    <t>7100</t>
  </si>
  <si>
    <t>7101</t>
  </si>
  <si>
    <t>7104</t>
  </si>
  <si>
    <t>7105</t>
  </si>
  <si>
    <t>7108</t>
  </si>
  <si>
    <t>7109</t>
  </si>
  <si>
    <t>7110</t>
  </si>
  <si>
    <t>7274</t>
  </si>
  <si>
    <t>7275</t>
  </si>
  <si>
    <t>7276</t>
  </si>
  <si>
    <t>7277</t>
  </si>
  <si>
    <t>7278</t>
  </si>
  <si>
    <t>7279</t>
  </si>
  <si>
    <t>7284</t>
  </si>
  <si>
    <t>7285</t>
  </si>
  <si>
    <t>7286</t>
  </si>
  <si>
    <t>7287</t>
  </si>
  <si>
    <t>7288</t>
  </si>
  <si>
    <t>7289</t>
  </si>
  <si>
    <t>7290</t>
  </si>
  <si>
    <t>7295</t>
  </si>
  <si>
    <t>7769</t>
  </si>
  <si>
    <t>7770</t>
  </si>
  <si>
    <t>7592</t>
  </si>
  <si>
    <t>7779</t>
  </si>
  <si>
    <t>7586</t>
  </si>
  <si>
    <t>7883</t>
  </si>
  <si>
    <t>7884</t>
  </si>
  <si>
    <t>7659</t>
  </si>
  <si>
    <t>5311</t>
  </si>
  <si>
    <t>5312</t>
  </si>
  <si>
    <t>5313</t>
  </si>
  <si>
    <t>5314</t>
  </si>
  <si>
    <t>5315</t>
  </si>
  <si>
    <t>5316</t>
  </si>
  <si>
    <t>5317</t>
  </si>
  <si>
    <t>5318</t>
  </si>
  <si>
    <t>5319</t>
  </si>
  <si>
    <t>5320</t>
  </si>
  <si>
    <t>5321</t>
  </si>
  <si>
    <t>5322</t>
  </si>
  <si>
    <t>5323</t>
  </si>
  <si>
    <t>5324</t>
  </si>
  <si>
    <t>5325</t>
  </si>
  <si>
    <t>5326</t>
  </si>
  <si>
    <t>5327</t>
  </si>
  <si>
    <t>5328</t>
  </si>
  <si>
    <t>5329</t>
  </si>
  <si>
    <t>5330</t>
  </si>
  <si>
    <t>5331</t>
  </si>
  <si>
    <t>5332</t>
  </si>
  <si>
    <t>5333</t>
  </si>
  <si>
    <t>5334</t>
  </si>
  <si>
    <t>5335</t>
  </si>
  <si>
    <t>5336</t>
  </si>
  <si>
    <t>5337</t>
  </si>
  <si>
    <t>6526</t>
  </si>
  <si>
    <t>1188</t>
  </si>
  <si>
    <t>1189</t>
  </si>
  <si>
    <t>1190</t>
  </si>
  <si>
    <t>1191</t>
  </si>
  <si>
    <t>3743</t>
  </si>
  <si>
    <t>3744</t>
  </si>
  <si>
    <t>1223</t>
  </si>
  <si>
    <t>1224</t>
  </si>
  <si>
    <t>6845</t>
  </si>
  <si>
    <t>6846</t>
  </si>
  <si>
    <t>6843</t>
  </si>
  <si>
    <t>6844</t>
  </si>
  <si>
    <t>7875</t>
  </si>
  <si>
    <t>7876</t>
  </si>
  <si>
    <t>6865</t>
  </si>
  <si>
    <t>3794</t>
  </si>
  <si>
    <t>6847</t>
  </si>
  <si>
    <t>641</t>
  </si>
  <si>
    <t>3727</t>
  </si>
  <si>
    <t>3728</t>
  </si>
  <si>
    <t>3732</t>
  </si>
  <si>
    <t>3733</t>
  </si>
  <si>
    <t>815</t>
  </si>
  <si>
    <t>3734</t>
  </si>
  <si>
    <t>3735</t>
  </si>
  <si>
    <t>3736</t>
  </si>
  <si>
    <t>3737</t>
  </si>
  <si>
    <t>3738</t>
  </si>
  <si>
    <t>3739</t>
  </si>
  <si>
    <t>3750</t>
  </si>
  <si>
    <t>3751</t>
  </si>
  <si>
    <t>6874</t>
  </si>
  <si>
    <t>6875</t>
  </si>
  <si>
    <t>6876</t>
  </si>
  <si>
    <t>3797</t>
  </si>
  <si>
    <t>3798</t>
  </si>
  <si>
    <t>3800</t>
  </si>
  <si>
    <t>3802</t>
  </si>
  <si>
    <t>3807</t>
  </si>
  <si>
    <t>6877</t>
  </si>
  <si>
    <t>6878</t>
  </si>
  <si>
    <t>3892</t>
  </si>
  <si>
    <t>3754</t>
  </si>
  <si>
    <t>3752</t>
  </si>
  <si>
    <t>3753</t>
  </si>
  <si>
    <t>3755</t>
  </si>
  <si>
    <t>3756</t>
  </si>
  <si>
    <t>3758</t>
  </si>
  <si>
    <t>3761</t>
  </si>
  <si>
    <t>3762</t>
  </si>
  <si>
    <t>3763</t>
  </si>
  <si>
    <t>3764</t>
  </si>
  <si>
    <t>3766</t>
  </si>
  <si>
    <t>3767</t>
  </si>
  <si>
    <t>3768</t>
  </si>
  <si>
    <t>3770</t>
  </si>
  <si>
    <t>3773</t>
  </si>
  <si>
    <t>3774</t>
  </si>
  <si>
    <t>3775</t>
  </si>
  <si>
    <t>3777</t>
  </si>
  <si>
    <t>3778</t>
  </si>
  <si>
    <t>3779</t>
  </si>
  <si>
    <t>3780</t>
  </si>
  <si>
    <t>3784</t>
  </si>
  <si>
    <t>3785</t>
  </si>
  <si>
    <t>3786</t>
  </si>
  <si>
    <t>3787</t>
  </si>
  <si>
    <t>3788</t>
  </si>
  <si>
    <t>3789</t>
  </si>
  <si>
    <t>3791</t>
  </si>
  <si>
    <t>3792</t>
  </si>
  <si>
    <t>3793</t>
  </si>
  <si>
    <t>6997</t>
  </si>
  <si>
    <t>926</t>
  </si>
  <si>
    <t>1149</t>
  </si>
  <si>
    <t>103</t>
  </si>
  <si>
    <t>104</t>
  </si>
  <si>
    <t>5054</t>
  </si>
  <si>
    <t>5055</t>
  </si>
  <si>
    <t>105</t>
  </si>
  <si>
    <t>106</t>
  </si>
  <si>
    <t>5056</t>
  </si>
  <si>
    <t>5057</t>
  </si>
  <si>
    <t>110</t>
  </si>
  <si>
    <t>6866</t>
  </si>
  <si>
    <t>1150</t>
  </si>
  <si>
    <t>1151</t>
  </si>
  <si>
    <t>1152</t>
  </si>
  <si>
    <t>146</t>
  </si>
  <si>
    <t>147</t>
  </si>
  <si>
    <t>5131</t>
  </si>
  <si>
    <t>5132</t>
  </si>
  <si>
    <t>630</t>
  </si>
  <si>
    <t>631</t>
  </si>
  <si>
    <t>632</t>
  </si>
  <si>
    <t>816</t>
  </si>
  <si>
    <t>817</t>
  </si>
  <si>
    <t>818</t>
  </si>
  <si>
    <t>1153</t>
  </si>
  <si>
    <t>1154</t>
  </si>
  <si>
    <t>1155</t>
  </si>
  <si>
    <t>1156</t>
  </si>
  <si>
    <t>802</t>
  </si>
  <si>
    <t>6925</t>
  </si>
  <si>
    <t>6926</t>
  </si>
  <si>
    <t>917</t>
  </si>
  <si>
    <t>1157</t>
  </si>
  <si>
    <t>1158</t>
  </si>
  <si>
    <t>6927</t>
  </si>
  <si>
    <t>918</t>
  </si>
  <si>
    <t>919</t>
  </si>
  <si>
    <t>1159</t>
  </si>
  <si>
    <t>6868</t>
  </si>
  <si>
    <t>820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</si>
  <si>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</si>
  <si>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</si>
  <si>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</si>
  <si>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</si>
  <si>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</si>
  <si>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</si>
  <si>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</si>
  <si>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</si>
  <si>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</si>
  <si>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1171</t>
  </si>
  <si>
    <t>1172</t>
  </si>
  <si>
    <t>1173</t>
  </si>
  <si>
    <t>1174</t>
  </si>
  <si>
    <t>1175</t>
  </si>
  <si>
    <t>1176</t>
  </si>
  <si>
    <t>1177</t>
  </si>
  <si>
    <t>7119</t>
  </si>
  <si>
    <t>7120</t>
  </si>
  <si>
    <t>1027</t>
  </si>
  <si>
    <t>1178</t>
  </si>
  <si>
    <t>1179</t>
  </si>
  <si>
    <t>1180</t>
  </si>
  <si>
    <t>1181</t>
  </si>
  <si>
    <t>1182</t>
  </si>
  <si>
    <t>1072</t>
  </si>
  <si>
    <t>1073</t>
  </si>
  <si>
    <t>1183</t>
  </si>
  <si>
    <t>1184</t>
  </si>
  <si>
    <t>1185</t>
  </si>
  <si>
    <t>1186</t>
  </si>
  <si>
    <t>4381</t>
  </si>
  <si>
    <t>4382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</si>
  <si>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</si>
  <si>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</si>
  <si>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</si>
  <si>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</si>
  <si>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</si>
  <si>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</si>
  <si>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</si>
  <si>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</si>
  <si>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</si>
  <si>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</si>
  <si>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</si>
  <si>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</si>
  <si>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</si>
  <si>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1187</t>
  </si>
  <si>
    <t>1087</t>
  </si>
  <si>
    <t>1088</t>
  </si>
  <si>
    <t>1089</t>
  </si>
  <si>
    <t>1090</t>
  </si>
  <si>
    <t>1091</t>
  </si>
  <si>
    <t>1092</t>
  </si>
  <si>
    <t>1094</t>
  </si>
  <si>
    <t>346</t>
  </si>
  <si>
    <t>352</t>
  </si>
  <si>
    <t>4389</t>
  </si>
  <si>
    <t>4390</t>
  </si>
  <si>
    <t>4391</t>
  </si>
  <si>
    <t>4392</t>
  </si>
  <si>
    <t>4393</t>
  </si>
  <si>
    <t>4394</t>
  </si>
  <si>
    <t>4395</t>
  </si>
  <si>
    <t>4396</t>
  </si>
  <si>
    <t>4397</t>
  </si>
  <si>
    <t>4399</t>
  </si>
  <si>
    <t>4400</t>
  </si>
  <si>
    <t>4402</t>
  </si>
  <si>
    <t>4403</t>
  </si>
  <si>
    <t>4404</t>
  </si>
  <si>
    <t>4405</t>
  </si>
  <si>
    <t>4408</t>
  </si>
  <si>
    <t>4409</t>
  </si>
  <si>
    <t>4410</t>
  </si>
  <si>
    <t>4411</t>
  </si>
  <si>
    <t>4412</t>
  </si>
  <si>
    <t>4414</t>
  </si>
  <si>
    <t>4417</t>
  </si>
  <si>
    <t>4418</t>
  </si>
  <si>
    <t>4419</t>
  </si>
  <si>
    <t>4420</t>
  </si>
  <si>
    <t>4421</t>
  </si>
  <si>
    <t>4422</t>
  </si>
  <si>
    <t>4423</t>
  </si>
  <si>
    <t>4424</t>
  </si>
  <si>
    <t>4426</t>
  </si>
  <si>
    <t>4427</t>
  </si>
  <si>
    <t>1192</t>
  </si>
  <si>
    <t>1193</t>
  </si>
  <si>
    <t>4429</t>
  </si>
  <si>
    <t>4430</t>
  </si>
  <si>
    <t>4431</t>
  </si>
  <si>
    <t>4432</t>
  </si>
  <si>
    <t>4433</t>
  </si>
  <si>
    <t>4434</t>
  </si>
  <si>
    <t>4435</t>
  </si>
  <si>
    <t>4437</t>
  </si>
  <si>
    <t>4438</t>
  </si>
  <si>
    <t>6746</t>
  </si>
  <si>
    <t>6747</t>
  </si>
  <si>
    <t>6748</t>
  </si>
  <si>
    <t>6749</t>
  </si>
  <si>
    <t>6750</t>
  </si>
  <si>
    <t>6751</t>
  </si>
  <si>
    <t>6752</t>
  </si>
  <si>
    <t>6759</t>
  </si>
  <si>
    <t>6760</t>
  </si>
  <si>
    <t>6761</t>
  </si>
  <si>
    <t>6762</t>
  </si>
  <si>
    <t>920</t>
  </si>
  <si>
    <t>6999</t>
  </si>
  <si>
    <t>7000</t>
  </si>
  <si>
    <t>7001</t>
  </si>
  <si>
    <t>7007</t>
  </si>
  <si>
    <t>7008</t>
  </si>
  <si>
    <t>7009</t>
  </si>
  <si>
    <t>7241</t>
  </si>
  <si>
    <t>6869</t>
  </si>
  <si>
    <t>7002</t>
  </si>
  <si>
    <t>7003</t>
  </si>
  <si>
    <t>7004</t>
  </si>
  <si>
    <t>7005</t>
  </si>
  <si>
    <t>7006</t>
  </si>
  <si>
    <t>7877</t>
  </si>
  <si>
    <t>7929</t>
  </si>
  <si>
    <t>/home/scmbuild/TestCenter/integration/content/traffic/l4l7/il/sipd/voipmedia/encrtp/EncRTPGenSession.cpp</t>
  </si>
  <si>
    <t>7931</t>
  </si>
  <si>
    <t>7955</t>
  </si>
  <si>
    <t>5368</t>
  </si>
  <si>
    <t>7330</t>
  </si>
  <si>
    <t>7331</t>
  </si>
  <si>
    <t>7332</t>
  </si>
  <si>
    <t>7333</t>
  </si>
  <si>
    <t>7373</t>
  </si>
  <si>
    <t>7374</t>
  </si>
  <si>
    <t>7577</t>
  </si>
  <si>
    <t>6714</t>
  </si>
  <si>
    <t>6715</t>
  </si>
  <si>
    <t>6729</t>
  </si>
  <si>
    <t>6730</t>
  </si>
  <si>
    <t>6731</t>
  </si>
  <si>
    <t>6732</t>
  </si>
  <si>
    <t>6733</t>
  </si>
  <si>
    <t>6734</t>
  </si>
  <si>
    <t>6735</t>
  </si>
  <si>
    <t>6736</t>
  </si>
  <si>
    <t>6737</t>
  </si>
  <si>
    <t>6716</t>
  </si>
  <si>
    <t>6719</t>
  </si>
  <si>
    <t>6720</t>
  </si>
  <si>
    <t>6721</t>
  </si>
  <si>
    <t>6725</t>
  </si>
  <si>
    <t>6738</t>
  </si>
  <si>
    <t>6739</t>
  </si>
  <si>
    <t>6740</t>
  </si>
  <si>
    <t>6742</t>
  </si>
  <si>
    <t>6743</t>
  </si>
  <si>
    <t>6744</t>
  </si>
  <si>
    <t>6745</t>
  </si>
  <si>
    <t>7677</t>
  </si>
  <si>
    <t>7678</t>
  </si>
  <si>
    <t>7885</t>
  </si>
  <si>
    <t>2215</t>
  </si>
  <si>
    <t>4001</t>
  </si>
  <si>
    <t>4002</t>
  </si>
  <si>
    <t>6466</t>
  </si>
  <si>
    <t>6467</t>
  </si>
  <si>
    <t>659</t>
  </si>
  <si>
    <t>1136</t>
  </si>
  <si>
    <t>7399</t>
  </si>
  <si>
    <t>7401</t>
  </si>
  <si>
    <t>1793</t>
  </si>
  <si>
    <t>2117</t>
  </si>
  <si>
    <t>7571</t>
  </si>
  <si>
    <t>7405</t>
  </si>
  <si>
    <t>2120</t>
  </si>
  <si>
    <t>7575</t>
  </si>
  <si>
    <t>6998</t>
  </si>
  <si>
    <t>157</t>
  </si>
  <si>
    <t>7590</t>
  </si>
  <si>
    <t>1438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</si>
  <si>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</si>
  <si>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</si>
  <si>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</si>
  <si>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</si>
  <si>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</si>
  <si>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</si>
  <si>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</si>
  <si>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</si>
  <si>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</si>
  <si>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</si>
  <si>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7404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</si>
  <si>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</si>
  <si>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</si>
  <si>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</si>
  <si>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</si>
  <si>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</si>
  <si>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</si>
  <si>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</si>
  <si>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</si>
  <si>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</si>
  <si>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</si>
  <si>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</si>
  <si>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</si>
  <si>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</si>
  <si>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</si>
  <si>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</si>
  <si>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</si>
  <si>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</si>
  <si>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</si>
  <si>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</si>
  <si>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</si>
  <si>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</si>
  <si>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1794</t>
  </si>
  <si>
    <t>2121</t>
  </si>
  <si>
    <t>2122</t>
  </si>
  <si>
    <t>7572</t>
  </si>
  <si>
    <t>7602</t>
  </si>
  <si>
    <t>7642</t>
  </si>
  <si>
    <t>7644</t>
  </si>
  <si>
    <t>7645</t>
  </si>
  <si>
    <t>7646</t>
  </si>
  <si>
    <t>7647</t>
  </si>
  <si>
    <t>7649</t>
  </si>
  <si>
    <t>7650</t>
  </si>
  <si>
    <t>7653</t>
  </si>
  <si>
    <t>7654</t>
  </si>
  <si>
    <t>7655</t>
  </si>
  <si>
    <t>7656</t>
  </si>
  <si>
    <t>395</t>
  </si>
  <si>
    <t>7386</t>
  </si>
  <si>
    <t>1473</t>
  </si>
  <si>
    <t>1474</t>
  </si>
  <si>
    <t>7403</t>
  </si>
  <si>
    <t>1795</t>
  </si>
  <si>
    <t>2123</t>
  </si>
  <si>
    <t>2124</t>
  </si>
  <si>
    <t>7574</t>
  </si>
  <si>
    <t>5078</t>
  </si>
  <si>
    <t>5079</t>
  </si>
  <si>
    <t>5165</t>
  </si>
  <si>
    <t>5166</t>
  </si>
  <si>
    <t>5167</t>
  </si>
  <si>
    <t>5168</t>
  </si>
  <si>
    <t>5169</t>
  </si>
  <si>
    <t>5297</t>
  </si>
  <si>
    <t>5298</t>
  </si>
  <si>
    <t>1811</t>
  </si>
  <si>
    <t>2207</t>
  </si>
  <si>
    <t>7582</t>
  </si>
  <si>
    <t>3836</t>
  </si>
  <si>
    <t>3837</t>
  </si>
  <si>
    <t>3838</t>
  </si>
  <si>
    <t>3839</t>
  </si>
  <si>
    <t>7663</t>
  </si>
  <si>
    <t>6286</t>
  </si>
  <si>
    <t>6287</t>
  </si>
  <si>
    <t>7853</t>
  </si>
  <si>
    <t>6243</t>
  </si>
  <si>
    <t>6260</t>
  </si>
  <si>
    <t>6261</t>
  </si>
  <si>
    <t>6264</t>
  </si>
  <si>
    <t>6268</t>
  </si>
  <si>
    <t>2341</t>
  </si>
  <si>
    <t>6763</t>
  </si>
  <si>
    <t>6764</t>
  </si>
  <si>
    <t>754</t>
  </si>
  <si>
    <t>744</t>
  </si>
  <si>
    <t>753</t>
  </si>
  <si>
    <t>141</t>
  </si>
  <si>
    <t>142</t>
  </si>
  <si>
    <t>1486</t>
  </si>
  <si>
    <t>1487</t>
  </si>
  <si>
    <t>1490</t>
  </si>
  <si>
    <t>1796</t>
  </si>
  <si>
    <t>1797</t>
  </si>
  <si>
    <t>1798</t>
  </si>
  <si>
    <t>1799</t>
  </si>
  <si>
    <t>1800</t>
  </si>
  <si>
    <t>1801</t>
  </si>
  <si>
    <t>2208</t>
  </si>
  <si>
    <t>2209</t>
  </si>
  <si>
    <t>7600</t>
  </si>
  <si>
    <t>6419</t>
  </si>
  <si>
    <t>7387</t>
  </si>
  <si>
    <t>7388</t>
  </si>
  <si>
    <t>7389</t>
  </si>
  <si>
    <t>7390</t>
  </si>
  <si>
    <t>7391</t>
  </si>
  <si>
    <t>7392</t>
  </si>
  <si>
    <t>7393</t>
  </si>
  <si>
    <t>7394</t>
  </si>
  <si>
    <t>7395</t>
  </si>
  <si>
    <t>7396</t>
  </si>
  <si>
    <t>7397</t>
  </si>
  <si>
    <t>7402</t>
  </si>
  <si>
    <t>1542</t>
  </si>
  <si>
    <t>1545</t>
  </si>
  <si>
    <t>1546</t>
  </si>
  <si>
    <t>1547</t>
  </si>
  <si>
    <t>1548</t>
  </si>
  <si>
    <t>5456</t>
  </si>
  <si>
    <t>2128</t>
  </si>
  <si>
    <t>2129</t>
  </si>
  <si>
    <t>7573</t>
  </si>
  <si>
    <t>2212</t>
  </si>
  <si>
    <t>2213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</si>
  <si>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</si>
  <si>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</si>
  <si>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</si>
  <si>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</si>
  <si>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</si>
  <si>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</si>
  <si>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</si>
  <si>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</si>
  <si>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</si>
  <si>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</si>
  <si>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</si>
  <si>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7147</t>
  </si>
  <si>
    <t>7148</t>
  </si>
  <si>
    <t>7149</t>
  </si>
  <si>
    <t>7150</t>
  </si>
  <si>
    <t>7151</t>
  </si>
  <si>
    <t>7152</t>
  </si>
  <si>
    <t>1052</t>
  </si>
  <si>
    <t>1054</t>
  </si>
  <si>
    <t>7153</t>
  </si>
  <si>
    <t>7154</t>
  </si>
  <si>
    <t>7155</t>
  </si>
  <si>
    <t>7156</t>
  </si>
  <si>
    <t>7157</t>
  </si>
  <si>
    <t>7158</t>
  </si>
  <si>
    <t>7159</t>
  </si>
  <si>
    <t>7160</t>
  </si>
  <si>
    <t>7171</t>
  </si>
  <si>
    <t>1046</t>
  </si>
  <si>
    <t>7175</t>
  </si>
  <si>
    <t>7176</t>
  </si>
  <si>
    <t>7177</t>
  </si>
  <si>
    <t>7178</t>
  </si>
  <si>
    <t>7179</t>
  </si>
  <si>
    <t>7180</t>
  </si>
  <si>
    <t>7181</t>
  </si>
  <si>
    <t>1047</t>
  </si>
  <si>
    <t>1048</t>
  </si>
  <si>
    <t>7182</t>
  </si>
  <si>
    <t>7183</t>
  </si>
  <si>
    <t>1051</t>
  </si>
  <si>
    <t>7184</t>
  </si>
  <si>
    <t>7185</t>
  </si>
  <si>
    <t>7186</t>
  </si>
  <si>
    <t>7187</t>
  </si>
  <si>
    <t>7188</t>
  </si>
  <si>
    <t>7189</t>
  </si>
  <si>
    <t>7190</t>
  </si>
  <si>
    <t>2210</t>
  </si>
  <si>
    <t>7578</t>
  </si>
  <si>
    <t>7579</t>
  </si>
  <si>
    <t>6239</t>
  </si>
  <si>
    <t>7099</t>
  </si>
  <si>
    <t>1559</t>
  </si>
  <si>
    <t>1760</t>
  </si>
  <si>
    <t>1761</t>
  </si>
  <si>
    <t>138</t>
  </si>
  <si>
    <t>5087</t>
  </si>
  <si>
    <t>5088</t>
  </si>
  <si>
    <t>699</t>
  </si>
  <si>
    <t>6574</t>
  </si>
  <si>
    <t>6575</t>
  </si>
  <si>
    <t>6576</t>
  </si>
  <si>
    <t>6577</t>
  </si>
  <si>
    <t>6578</t>
  </si>
  <si>
    <t>6579</t>
  </si>
  <si>
    <t>6580</t>
  </si>
  <si>
    <t>6581</t>
  </si>
  <si>
    <t>6582</t>
  </si>
  <si>
    <t>6583</t>
  </si>
  <si>
    <t>6584</t>
  </si>
  <si>
    <t>6585</t>
  </si>
  <si>
    <t>6586</t>
  </si>
  <si>
    <t>6587</t>
  </si>
  <si>
    <t>6588</t>
  </si>
  <si>
    <t>6589</t>
  </si>
  <si>
    <t>6590</t>
  </si>
  <si>
    <t>6591</t>
  </si>
  <si>
    <t>703</t>
  </si>
  <si>
    <t>6597</t>
  </si>
  <si>
    <t>6598</t>
  </si>
  <si>
    <t>6599</t>
  </si>
  <si>
    <t>6600</t>
  </si>
  <si>
    <t>6601</t>
  </si>
  <si>
    <t>6602</t>
  </si>
  <si>
    <t>6603</t>
  </si>
  <si>
    <t>6604</t>
  </si>
  <si>
    <t>6605</t>
  </si>
  <si>
    <t>6606</t>
  </si>
  <si>
    <t>6607</t>
  </si>
  <si>
    <t>6608</t>
  </si>
  <si>
    <t>6609</t>
  </si>
  <si>
    <t>6610</t>
  </si>
  <si>
    <t>6611</t>
  </si>
  <si>
    <t>6918</t>
  </si>
  <si>
    <t>7339</t>
  </si>
  <si>
    <t>4062</t>
  </si>
  <si>
    <t>7340</t>
  </si>
  <si>
    <t>7341</t>
  </si>
  <si>
    <t>7342</t>
  </si>
  <si>
    <t>7343</t>
  </si>
  <si>
    <t>7344</t>
  </si>
  <si>
    <t>7345</t>
  </si>
  <si>
    <t>7346</t>
  </si>
  <si>
    <t>7347</t>
  </si>
  <si>
    <t>7348</t>
  </si>
  <si>
    <t>7349</t>
  </si>
  <si>
    <t>7350</t>
  </si>
  <si>
    <t>7351</t>
  </si>
  <si>
    <t>7352</t>
  </si>
  <si>
    <t>7353</t>
  </si>
  <si>
    <t>7354</t>
  </si>
  <si>
    <t>7355</t>
  </si>
  <si>
    <t>7356</t>
  </si>
  <si>
    <t>7357</t>
  </si>
  <si>
    <t>7358</t>
  </si>
  <si>
    <t>5095</t>
  </si>
  <si>
    <t>6421</t>
  </si>
  <si>
    <t>6422</t>
  </si>
  <si>
    <t>956</t>
  </si>
  <si>
    <t>957</t>
  </si>
  <si>
    <t>7027</t>
  </si>
  <si>
    <t>1057</t>
  </si>
  <si>
    <t>1070</t>
  </si>
  <si>
    <t>1071</t>
  </si>
  <si>
    <t>562</t>
  </si>
  <si>
    <t>6592</t>
  </si>
  <si>
    <t>6593</t>
  </si>
  <si>
    <t>6594</t>
  </si>
  <si>
    <t>6595</t>
  </si>
  <si>
    <t>6596</t>
  </si>
  <si>
    <t>6616</t>
  </si>
  <si>
    <t>6617</t>
  </si>
  <si>
    <t>6618</t>
  </si>
  <si>
    <t>6619</t>
  </si>
  <si>
    <t>6620</t>
  </si>
  <si>
    <t>6621</t>
  </si>
  <si>
    <t>6709</t>
  </si>
  <si>
    <t>6710</t>
  </si>
  <si>
    <t>6711</t>
  </si>
  <si>
    <t>6712</t>
  </si>
  <si>
    <t>6713</t>
  </si>
  <si>
    <t>7368</t>
  </si>
  <si>
    <t>7369</t>
  </si>
  <si>
    <t>7370</t>
  </si>
  <si>
    <t>7371</t>
  </si>
  <si>
    <t>6063</t>
  </si>
  <si>
    <t>6064</t>
  </si>
  <si>
    <t>6065</t>
  </si>
  <si>
    <t>6066</t>
  </si>
  <si>
    <t>6067</t>
  </si>
  <si>
    <t>6068</t>
  </si>
  <si>
    <t>3371</t>
  </si>
  <si>
    <t>3372</t>
  </si>
  <si>
    <t>3378</t>
  </si>
  <si>
    <t>3379</t>
  </si>
  <si>
    <t>3380</t>
  </si>
  <si>
    <t>7022</t>
  </si>
  <si>
    <t>1476</t>
  </si>
  <si>
    <t>1485</t>
  </si>
  <si>
    <t>7566</t>
  </si>
  <si>
    <t>7639</t>
  </si>
  <si>
    <t>3810</t>
  </si>
  <si>
    <t>7687</t>
  </si>
  <si>
    <t>7372</t>
  </si>
  <si>
    <t>7377</t>
  </si>
  <si>
    <t>7406</t>
  </si>
  <si>
    <t>158</t>
  </si>
  <si>
    <t>466</t>
  </si>
  <si>
    <t>7771</t>
  </si>
  <si>
    <t>7772</t>
  </si>
  <si>
    <t>7773</t>
  </si>
  <si>
    <t>7774</t>
  </si>
  <si>
    <t>8233</t>
  </si>
  <si>
    <t>/home/scmbuild/TestCenter/integration/framework/il/common/lib/ilprotocol/base/IlProtocolSocketHandler.cpp</t>
  </si>
  <si>
    <t>467</t>
  </si>
  <si>
    <t>468</t>
  </si>
  <si>
    <t>469</t>
  </si>
  <si>
    <t>470</t>
  </si>
  <si>
    <t>6292</t>
  </si>
  <si>
    <t>6625</t>
  </si>
  <si>
    <t>6626</t>
  </si>
  <si>
    <t>7529</t>
  </si>
  <si>
    <t>7530</t>
  </si>
  <si>
    <t>7531</t>
  </si>
  <si>
    <t>7532</t>
  </si>
  <si>
    <t>7533</t>
  </si>
  <si>
    <t>7534</t>
  </si>
  <si>
    <t>7535</t>
  </si>
  <si>
    <t>7536</t>
  </si>
  <si>
    <t>7537</t>
  </si>
  <si>
    <t>7538</t>
  </si>
  <si>
    <t>7539</t>
  </si>
  <si>
    <t>7540</t>
  </si>
  <si>
    <t>7541</t>
  </si>
  <si>
    <t>7542</t>
  </si>
  <si>
    <t>7543</t>
  </si>
  <si>
    <t>7544</t>
  </si>
  <si>
    <t>7545</t>
  </si>
  <si>
    <t>7546</t>
  </si>
  <si>
    <t>7881</t>
  </si>
  <si>
    <t>7882</t>
  </si>
  <si>
    <t>3833</t>
  </si>
  <si>
    <t>3834</t>
  </si>
  <si>
    <t>3835</t>
  </si>
  <si>
    <t>7660</t>
  </si>
  <si>
    <t>6482</t>
  </si>
  <si>
    <t>6483</t>
  </si>
  <si>
    <t>6224</t>
  </si>
  <si>
    <t>6228</t>
  </si>
  <si>
    <t>6236</t>
  </si>
  <si>
    <t>6237</t>
  </si>
  <si>
    <t>6238</t>
  </si>
  <si>
    <t>6240</t>
  </si>
  <si>
    <t>6270</t>
  </si>
  <si>
    <t>6271</t>
  </si>
  <si>
    <t>2340</t>
  </si>
  <si>
    <t>6280</t>
  </si>
  <si>
    <t>6281</t>
  </si>
  <si>
    <t>6322</t>
  </si>
  <si>
    <t>6323</t>
  </si>
  <si>
    <t>6478</t>
  </si>
  <si>
    <t>6479</t>
  </si>
  <si>
    <t>6480</t>
  </si>
  <si>
    <t>6481</t>
  </si>
  <si>
    <t>6627</t>
  </si>
  <si>
    <t>3826</t>
  </si>
  <si>
    <t>288</t>
  </si>
  <si>
    <t>289</t>
  </si>
  <si>
    <t>7161</t>
  </si>
  <si>
    <t>7162</t>
  </si>
  <si>
    <t>7163</t>
  </si>
  <si>
    <t>7164</t>
  </si>
  <si>
    <t>7165</t>
  </si>
  <si>
    <t>7166</t>
  </si>
  <si>
    <t>7167</t>
  </si>
  <si>
    <t>7686</t>
  </si>
  <si>
    <t>458</t>
  </si>
  <si>
    <t>481</t>
  </si>
  <si>
    <t>6461</t>
  </si>
  <si>
    <t>6462</t>
  </si>
  <si>
    <t>454</t>
  </si>
  <si>
    <t>1472</t>
  </si>
  <si>
    <t>1483</t>
  </si>
  <si>
    <t>8269</t>
  </si>
  <si>
    <t>/home/scmbuild/TestCenter/integration/framework/il/common/utils/cttool/ct_timestamp/tx_phytime.cpp</t>
  </si>
  <si>
    <t>6484</t>
  </si>
  <si>
    <t>1450</t>
  </si>
  <si>
    <t>4827</t>
  </si>
  <si>
    <t>4828</t>
  </si>
  <si>
    <t>4829</t>
  </si>
  <si>
    <t>4830</t>
  </si>
  <si>
    <t>4831</t>
  </si>
  <si>
    <t>5080</t>
  </si>
  <si>
    <t>4061</t>
  </si>
  <si>
    <t>7338</t>
  </si>
  <si>
    <t>2356</t>
  </si>
  <si>
    <t>6288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</si>
  <si>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</si>
  <si>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</si>
  <si>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</si>
  <si>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</si>
  <si>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</si>
  <si>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</si>
  <si>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</si>
  <si>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</si>
  <si>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</si>
  <si>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</si>
  <si>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</si>
  <si>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</si>
  <si>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</si>
  <si>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</si>
  <si>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</si>
  <si>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3366</t>
  </si>
  <si>
    <t>3367</t>
  </si>
  <si>
    <t>3370</t>
  </si>
  <si>
    <t>3382</t>
  </si>
  <si>
    <t>6842</t>
  </si>
  <si>
    <t>3812</t>
  </si>
  <si>
    <t>3813</t>
  </si>
  <si>
    <t>3814</t>
  </si>
  <si>
    <t>3891</t>
  </si>
  <si>
    <t>7023</t>
  </si>
  <si>
    <t>2125</t>
  </si>
  <si>
    <t>2126</t>
  </si>
  <si>
    <t>2130</t>
  </si>
  <si>
    <t>4041</t>
  </si>
  <si>
    <t>2217</t>
  </si>
  <si>
    <t>7134</t>
  </si>
  <si>
    <t>1825</t>
  </si>
  <si>
    <t>3938</t>
  </si>
  <si>
    <t>3939</t>
  </si>
  <si>
    <t>3941</t>
  </si>
  <si>
    <t>3942</t>
  </si>
  <si>
    <t>3943</t>
  </si>
  <si>
    <t>3944</t>
  </si>
  <si>
    <t>7116</t>
  </si>
  <si>
    <t>1733</t>
  </si>
  <si>
    <t>1769</t>
  </si>
  <si>
    <t>1771</t>
  </si>
  <si>
    <t>6319</t>
  </si>
  <si>
    <t>4031</t>
  </si>
  <si>
    <t>1809</t>
  </si>
  <si>
    <t>1810</t>
  </si>
  <si>
    <t>7878</t>
  </si>
  <si>
    <t>7197</t>
  </si>
  <si>
    <t>1812</t>
  </si>
  <si>
    <t>1814</t>
  </si>
  <si>
    <t>4063</t>
  </si>
  <si>
    <t>4064</t>
  </si>
  <si>
    <t>4065</t>
  </si>
  <si>
    <t>3742</t>
  </si>
  <si>
    <t>7376</t>
  </si>
  <si>
    <t>7452</t>
  </si>
  <si>
    <t>6524</t>
  </si>
  <si>
    <t>6525</t>
  </si>
  <si>
    <t>6983</t>
  </si>
  <si>
    <t>7831</t>
  </si>
  <si>
    <t>8251</t>
  </si>
  <si>
    <t>/home/scmbuild/TestCenter/integration/framework/il/freebsd/sys/spirent/host/host_sasm.c</t>
  </si>
  <si>
    <t>7322</t>
  </si>
  <si>
    <t>/home/scmbuild/TestCenter/integration/framework/il/freebsd/sys/spirent/vif/vif_mpls_fec.c</t>
  </si>
  <si>
    <t>7239</t>
  </si>
  <si>
    <t>7240</t>
  </si>
  <si>
    <t>/common/lib/*</t>
  </si>
  <si>
    <t>2825</t>
  </si>
  <si>
    <t>2826</t>
  </si>
  <si>
    <t>2827</t>
  </si>
  <si>
    <t>6332</t>
  </si>
  <si>
    <t>6333</t>
  </si>
  <si>
    <t>6334</t>
  </si>
  <si>
    <t>6338</t>
  </si>
  <si>
    <t>14</t>
  </si>
  <si>
    <t>6404</t>
  </si>
  <si>
    <t>33</t>
  </si>
  <si>
    <t>4593</t>
  </si>
  <si>
    <t>6069</t>
  </si>
  <si>
    <t>6070</t>
  </si>
  <si>
    <t>7513</t>
  </si>
  <si>
    <t>36</t>
  </si>
  <si>
    <t>6071</t>
  </si>
  <si>
    <t>6072</t>
  </si>
  <si>
    <t>6073</t>
  </si>
  <si>
    <t>6074</t>
  </si>
  <si>
    <t>6075</t>
  </si>
  <si>
    <t>6076</t>
  </si>
  <si>
    <t>6077</t>
  </si>
  <si>
    <t>6078</t>
  </si>
  <si>
    <t>6079</t>
  </si>
  <si>
    <t>6080</t>
  </si>
  <si>
    <t>40</t>
  </si>
  <si>
    <t>46</t>
  </si>
  <si>
    <t>4604</t>
  </si>
  <si>
    <t>4608</t>
  </si>
  <si>
    <t>4609</t>
  </si>
  <si>
    <t>4612</t>
  </si>
  <si>
    <t>4614</t>
  </si>
  <si>
    <t>4617</t>
  </si>
  <si>
    <t>4622</t>
  </si>
  <si>
    <t>4638</t>
  </si>
  <si>
    <t>4639</t>
  </si>
  <si>
    <t>6405</t>
  </si>
  <si>
    <t>50</t>
  </si>
  <si>
    <t>4447</t>
  </si>
  <si>
    <t>4143</t>
  </si>
  <si>
    <t>4144</t>
  </si>
  <si>
    <t>4145</t>
  </si>
  <si>
    <t>4146</t>
  </si>
  <si>
    <t>4147</t>
  </si>
  <si>
    <t>4528</t>
  </si>
  <si>
    <t>57</t>
  </si>
  <si>
    <t>60</t>
  </si>
  <si>
    <t>4643</t>
  </si>
  <si>
    <t>4644</t>
  </si>
  <si>
    <t>4646</t>
  </si>
  <si>
    <t>4647</t>
  </si>
  <si>
    <t>4648</t>
  </si>
  <si>
    <t>4651</t>
  </si>
  <si>
    <t>4656</t>
  </si>
  <si>
    <t>4659</t>
  </si>
  <si>
    <t>4660</t>
  </si>
  <si>
    <t>4661</t>
  </si>
  <si>
    <t>4662</t>
  </si>
  <si>
    <t>4667</t>
  </si>
  <si>
    <t>4668</t>
  </si>
  <si>
    <t>4669</t>
  </si>
  <si>
    <t>4686</t>
  </si>
  <si>
    <t>4689</t>
  </si>
  <si>
    <t>6408</t>
  </si>
  <si>
    <t>4529</t>
  </si>
  <si>
    <t>4530</t>
  </si>
  <si>
    <t>4531</t>
  </si>
  <si>
    <t>4533</t>
  </si>
  <si>
    <t>4534</t>
  </si>
  <si>
    <t>62</t>
  </si>
  <si>
    <t>4168</t>
  </si>
  <si>
    <t>4169</t>
  </si>
  <si>
    <t>4180</t>
  </si>
  <si>
    <t>4181</t>
  </si>
  <si>
    <t>4182</t>
  </si>
  <si>
    <t>68</t>
  </si>
  <si>
    <t>4564</t>
  </si>
  <si>
    <t>6412</t>
  </si>
  <si>
    <t>6413</t>
  </si>
  <si>
    <t>4215</t>
  </si>
  <si>
    <t>4216</t>
  </si>
  <si>
    <t>7410</t>
  </si>
  <si>
    <t>4960</t>
  </si>
  <si>
    <t>6082</t>
  </si>
  <si>
    <t>73</t>
  </si>
  <si>
    <t>74</t>
  </si>
  <si>
    <t>4538</t>
  </si>
  <si>
    <t>4537</t>
  </si>
  <si>
    <t>87</t>
  </si>
  <si>
    <t>88</t>
  </si>
  <si>
    <t>4762</t>
  </si>
  <si>
    <t>4767</t>
  </si>
  <si>
    <t>4488</t>
  </si>
  <si>
    <t>6384</t>
  </si>
  <si>
    <t>3997</t>
  </si>
  <si>
    <t>3998</t>
  </si>
  <si>
    <t>3509</t>
  </si>
  <si>
    <t>3510</t>
  </si>
  <si>
    <t>3824</t>
  </si>
  <si>
    <t>3825</t>
  </si>
  <si>
    <t>3827</t>
  </si>
  <si>
    <t>3829</t>
  </si>
  <si>
    <t>3655</t>
  </si>
  <si>
    <t>6443</t>
  </si>
  <si>
    <t>6445</t>
  </si>
  <si>
    <t>6446</t>
  </si>
  <si>
    <t>6449</t>
  </si>
  <si>
    <t>6450</t>
  </si>
  <si>
    <t>6458</t>
  </si>
  <si>
    <t>6459</t>
  </si>
  <si>
    <t>6454</t>
  </si>
  <si>
    <t>6455</t>
  </si>
  <si>
    <t>6456</t>
  </si>
  <si>
    <t>6457</t>
  </si>
  <si>
    <t>6460</t>
  </si>
  <si>
    <t>6465</t>
  </si>
  <si>
    <t>6472</t>
  </si>
  <si>
    <t>6473</t>
  </si>
  <si>
    <t>6468</t>
  </si>
  <si>
    <t>6469</t>
  </si>
  <si>
    <t>6470</t>
  </si>
  <si>
    <t>6471</t>
  </si>
  <si>
    <t>6474</t>
  </si>
  <si>
    <t>6475</t>
  </si>
  <si>
    <t>6476</t>
  </si>
  <si>
    <t>6490</t>
  </si>
  <si>
    <t>4316</t>
  </si>
  <si>
    <t>4317</t>
  </si>
  <si>
    <t>4318</t>
  </si>
  <si>
    <t>4320</t>
  </si>
  <si>
    <t>4321</t>
  </si>
  <si>
    <t>4322</t>
  </si>
  <si>
    <t>4323</t>
  </si>
  <si>
    <t>4324</t>
  </si>
  <si>
    <t>4325</t>
  </si>
  <si>
    <t>4326</t>
  </si>
  <si>
    <t>4327</t>
  </si>
  <si>
    <t>4337</t>
  </si>
  <si>
    <t>4338</t>
  </si>
  <si>
    <t>4339</t>
  </si>
  <si>
    <t>4347</t>
  </si>
  <si>
    <t>4349</t>
  </si>
  <si>
    <t>4350</t>
  </si>
  <si>
    <t>4351</t>
  </si>
  <si>
    <t>4353</t>
  </si>
  <si>
    <t>4354</t>
  </si>
  <si>
    <t>4355</t>
  </si>
  <si>
    <t>4358</t>
  </si>
  <si>
    <t>4364</t>
  </si>
  <si>
    <t>4371</t>
  </si>
  <si>
    <t>4372</t>
  </si>
  <si>
    <t>4373</t>
  </si>
  <si>
    <t>4374</t>
  </si>
  <si>
    <t>3414</t>
  </si>
  <si>
    <t>3415</t>
  </si>
  <si>
    <t>3416</t>
  </si>
  <si>
    <t>3417</t>
  </si>
  <si>
    <t>3418</t>
  </si>
  <si>
    <t>3403</t>
  </si>
  <si>
    <t>3404</t>
  </si>
  <si>
    <t>3405</t>
  </si>
  <si>
    <t>4375</t>
  </si>
  <si>
    <t>4376</t>
  </si>
  <si>
    <t>4377</t>
  </si>
  <si>
    <t>4378</t>
  </si>
  <si>
    <t>4379</t>
  </si>
  <si>
    <t>4243</t>
  </si>
  <si>
    <t>4244</t>
  </si>
  <si>
    <t>4245</t>
  </si>
  <si>
    <t>4246</t>
  </si>
  <si>
    <t>6905</t>
  </si>
  <si>
    <t>6906</t>
  </si>
  <si>
    <t>6907</t>
  </si>
  <si>
    <t>4963</t>
  </si>
  <si>
    <t>4964</t>
  </si>
  <si>
    <t>7439</t>
  </si>
  <si>
    <t>7440</t>
  </si>
  <si>
    <t>249</t>
  </si>
  <si>
    <t>250</t>
  </si>
  <si>
    <t>251</t>
  </si>
  <si>
    <t>252</t>
  </si>
  <si>
    <t>6385</t>
  </si>
  <si>
    <t>269</t>
  </si>
  <si>
    <t>6504</t>
  </si>
  <si>
    <t>272</t>
  </si>
  <si>
    <t>4978</t>
  </si>
  <si>
    <t>4983</t>
  </si>
  <si>
    <t>4986</t>
  </si>
  <si>
    <t>4988</t>
  </si>
  <si>
    <t>4989</t>
  </si>
  <si>
    <t>4992</t>
  </si>
  <si>
    <t>3604</t>
  </si>
  <si>
    <t>297</t>
  </si>
  <si>
    <t>3639</t>
  </si>
  <si>
    <t>3640</t>
  </si>
  <si>
    <t>3641</t>
  </si>
  <si>
    <t>4541</t>
  </si>
  <si>
    <t>4543</t>
  </si>
  <si>
    <t>4544</t>
  </si>
  <si>
    <t>6505</t>
  </si>
  <si>
    <t>6506</t>
  </si>
  <si>
    <t>6507</t>
  </si>
  <si>
    <t>6508</t>
  </si>
  <si>
    <t>3937</t>
  </si>
  <si>
    <t>308</t>
  </si>
  <si>
    <t>309</t>
  </si>
  <si>
    <t>6511</t>
  </si>
  <si>
    <t>4995</t>
  </si>
  <si>
    <t>4996</t>
  </si>
  <si>
    <t>4997</t>
  </si>
  <si>
    <t>4998</t>
  </si>
  <si>
    <t>4999</t>
  </si>
  <si>
    <t>6519</t>
  </si>
  <si>
    <t>6326</t>
  </si>
  <si>
    <t>2797</t>
  </si>
  <si>
    <t>2798</t>
  </si>
  <si>
    <t>2799</t>
  </si>
  <si>
    <t>2800</t>
  </si>
  <si>
    <t>6247</t>
  </si>
  <si>
    <t>335</t>
  </si>
  <si>
    <t>336</t>
  </si>
  <si>
    <t>351</t>
  </si>
  <si>
    <t>357</t>
  </si>
  <si>
    <t>6295</t>
  </si>
  <si>
    <t>6296</t>
  </si>
  <si>
    <t>6297</t>
  </si>
  <si>
    <t>6298</t>
  </si>
  <si>
    <t>360</t>
  </si>
  <si>
    <t>361</t>
  </si>
  <si>
    <t>5030</t>
  </si>
  <si>
    <t>5032</t>
  </si>
  <si>
    <t>3549</t>
  </si>
  <si>
    <t>3550</t>
  </si>
  <si>
    <t>D:\dev\integration\content\routing\pim\ui\Commands\GroupMappingCommand.cs</t>
  </si>
  <si>
    <t>405</t>
  </si>
  <si>
    <t>7334</t>
  </si>
  <si>
    <t>4562</t>
  </si>
  <si>
    <t>4563</t>
  </si>
  <si>
    <t>3528</t>
  </si>
  <si>
    <t>3565</t>
  </si>
  <si>
    <t>3566</t>
  </si>
  <si>
    <t>407</t>
  </si>
  <si>
    <t>412</t>
  </si>
  <si>
    <t>415</t>
  </si>
  <si>
    <t>416</t>
  </si>
  <si>
    <t>5034</t>
  </si>
  <si>
    <t>5035</t>
  </si>
  <si>
    <t>5038</t>
  </si>
  <si>
    <t>5042</t>
  </si>
  <si>
    <t>5045</t>
  </si>
  <si>
    <t>3608</t>
  </si>
  <si>
    <t>3602</t>
  </si>
  <si>
    <t>3587</t>
  </si>
  <si>
    <t>3588</t>
  </si>
  <si>
    <t>3589</t>
  </si>
  <si>
    <t>3590</t>
  </si>
  <si>
    <t>3591</t>
  </si>
  <si>
    <t>3592</t>
  </si>
  <si>
    <t>3593</t>
  </si>
  <si>
    <t>3594</t>
  </si>
  <si>
    <t>3596</t>
  </si>
  <si>
    <t>3610</t>
  </si>
  <si>
    <t>3611</t>
  </si>
  <si>
    <t>3598</t>
  </si>
  <si>
    <t>3599</t>
  </si>
  <si>
    <t>6551</t>
  </si>
  <si>
    <t>6552</t>
  </si>
  <si>
    <t>6553</t>
  </si>
  <si>
    <t>6554</t>
  </si>
  <si>
    <t>432</t>
  </si>
  <si>
    <t>435</t>
  </si>
  <si>
    <t>436</t>
  </si>
  <si>
    <t>441</t>
  </si>
  <si>
    <t>4258</t>
  </si>
  <si>
    <t>447</t>
  </si>
  <si>
    <t>448</t>
  </si>
  <si>
    <t>2806</t>
  </si>
  <si>
    <t>2807</t>
  </si>
  <si>
    <t>2808</t>
  </si>
  <si>
    <t>2809</t>
  </si>
  <si>
    <t>5052</t>
  </si>
  <si>
    <t>6189</t>
  </si>
  <si>
    <t>4546</t>
  </si>
  <si>
    <t>D:\dev\integration\content\routing\rtgcore\ui\Wizard\RouteTopology\RouteTopologyWizard.cs</t>
  </si>
  <si>
    <t>7378</t>
  </si>
  <si>
    <t>492</t>
  </si>
  <si>
    <t>493</t>
  </si>
  <si>
    <t>7522</t>
  </si>
  <si>
    <t>3210</t>
  </si>
  <si>
    <t>3211</t>
  </si>
  <si>
    <t>3220</t>
  </si>
  <si>
    <t>3221</t>
  </si>
  <si>
    <t>3227</t>
  </si>
  <si>
    <t>3231</t>
  </si>
  <si>
    <t>3232</t>
  </si>
  <si>
    <t>3233</t>
  </si>
  <si>
    <t>3234</t>
  </si>
  <si>
    <t>3235</t>
  </si>
  <si>
    <t>3236</t>
  </si>
  <si>
    <t>3237</t>
  </si>
  <si>
    <t>3238</t>
  </si>
  <si>
    <t>3239</t>
  </si>
  <si>
    <t>3240</t>
  </si>
  <si>
    <t>3241</t>
  </si>
  <si>
    <t>3242</t>
  </si>
  <si>
    <t>3243</t>
  </si>
  <si>
    <t>3244</t>
  </si>
  <si>
    <t>3245</t>
  </si>
  <si>
    <t>3246</t>
  </si>
  <si>
    <t>3247</t>
  </si>
  <si>
    <t>3248</t>
  </si>
  <si>
    <t>3254</t>
  </si>
  <si>
    <t>3255</t>
  </si>
  <si>
    <t>3256</t>
  </si>
  <si>
    <t>3262</t>
  </si>
  <si>
    <t>3263</t>
  </si>
  <si>
    <t>3264</t>
  </si>
  <si>
    <t>530</t>
  </si>
  <si>
    <t>6936</t>
  </si>
  <si>
    <t>3994</t>
  </si>
  <si>
    <t>4785</t>
  </si>
  <si>
    <t>6352</t>
  </si>
  <si>
    <t>6353</t>
  </si>
  <si>
    <t>4295</t>
  </si>
  <si>
    <t>6357</t>
  </si>
  <si>
    <t>554</t>
  </si>
  <si>
    <t>4801</t>
  </si>
  <si>
    <t>4802</t>
  </si>
  <si>
    <t>4803</t>
  </si>
  <si>
    <t>4804</t>
  </si>
  <si>
    <t>4805</t>
  </si>
  <si>
    <t>4806</t>
  </si>
  <si>
    <t>3442</t>
  </si>
  <si>
    <t>3443</t>
  </si>
  <si>
    <t>3444</t>
  </si>
  <si>
    <t>3454</t>
  </si>
  <si>
    <t>4294</t>
  </si>
  <si>
    <t>6346</t>
  </si>
  <si>
    <t>4138</t>
  </si>
  <si>
    <t>4139</t>
  </si>
  <si>
    <t>6558</t>
  </si>
  <si>
    <t>6559</t>
  </si>
  <si>
    <t>6560</t>
  </si>
  <si>
    <t>6561</t>
  </si>
  <si>
    <t>588</t>
  </si>
  <si>
    <t>592</t>
  </si>
  <si>
    <t>3720</t>
  </si>
  <si>
    <t>3721</t>
  </si>
  <si>
    <t>3722</t>
  </si>
  <si>
    <t>3723</t>
  </si>
  <si>
    <t>3726</t>
  </si>
  <si>
    <t>599</t>
  </si>
  <si>
    <t>3840</t>
  </si>
  <si>
    <t>3841</t>
  </si>
  <si>
    <t>3842</t>
  </si>
  <si>
    <t>3844</t>
  </si>
  <si>
    <t>3845</t>
  </si>
  <si>
    <t>3847</t>
  </si>
  <si>
    <t>4788</t>
  </si>
  <si>
    <t>4791</t>
  </si>
  <si>
    <t>3515</t>
  </si>
  <si>
    <t>3516</t>
  </si>
  <si>
    <t>3521</t>
  </si>
  <si>
    <t>3522</t>
  </si>
  <si>
    <t>7398</t>
  </si>
  <si>
    <t>6645</t>
  </si>
  <si>
    <t>6991</t>
  </si>
  <si>
    <t>6992</t>
  </si>
  <si>
    <t>6628</t>
  </si>
  <si>
    <t>6630</t>
  </si>
  <si>
    <t>6631</t>
  </si>
  <si>
    <t>6632</t>
  </si>
  <si>
    <t>6634</t>
  </si>
  <si>
    <t>6635</t>
  </si>
  <si>
    <t>6638</t>
  </si>
  <si>
    <t>6995</t>
  </si>
  <si>
    <t>6996</t>
  </si>
  <si>
    <t>6639</t>
  </si>
  <si>
    <t>6640</t>
  </si>
  <si>
    <t>6641</t>
  </si>
  <si>
    <t>6642</t>
  </si>
  <si>
    <t>6643</t>
  </si>
  <si>
    <t>6644</t>
  </si>
  <si>
    <t>6646</t>
  </si>
  <si>
    <t>6647</t>
  </si>
  <si>
    <t>6653</t>
  </si>
  <si>
    <t>6656</t>
  </si>
  <si>
    <t>6657</t>
  </si>
  <si>
    <t>6660</t>
  </si>
  <si>
    <t>6661</t>
  </si>
  <si>
    <t>6665</t>
  </si>
  <si>
    <t>6666</t>
  </si>
  <si>
    <t>6667</t>
  </si>
  <si>
    <t>6668</t>
  </si>
  <si>
    <t>6669</t>
  </si>
  <si>
    <t>6670</t>
  </si>
  <si>
    <t>715</t>
  </si>
  <si>
    <t>3496</t>
  </si>
  <si>
    <t>5110</t>
  </si>
  <si>
    <t>5111</t>
  </si>
  <si>
    <t>5112</t>
  </si>
  <si>
    <t>3857</t>
  </si>
  <si>
    <t>3858</t>
  </si>
  <si>
    <t>3859</t>
  </si>
  <si>
    <t>3860</t>
  </si>
  <si>
    <t>3865</t>
  </si>
  <si>
    <t>3869</t>
  </si>
  <si>
    <t>3871</t>
  </si>
  <si>
    <t>4049</t>
  </si>
  <si>
    <t>7511</t>
  </si>
  <si>
    <t>7014</t>
  </si>
  <si>
    <t>7015</t>
  </si>
  <si>
    <t>4550</t>
  </si>
  <si>
    <t>4551</t>
  </si>
  <si>
    <t>4552</t>
  </si>
  <si>
    <t>4553</t>
  </si>
  <si>
    <t>4557</t>
  </si>
  <si>
    <t>4558</t>
  </si>
  <si>
    <t>4559</t>
  </si>
  <si>
    <t>7114</t>
  </si>
  <si>
    <t>7115</t>
  </si>
  <si>
    <t>2919</t>
  </si>
  <si>
    <t>2920</t>
  </si>
  <si>
    <t>2921</t>
  </si>
  <si>
    <t>2922</t>
  </si>
  <si>
    <t>2923</t>
  </si>
  <si>
    <t>2924</t>
  </si>
  <si>
    <t>2925</t>
  </si>
  <si>
    <t>2926</t>
  </si>
  <si>
    <t>2927</t>
  </si>
  <si>
    <t>2928</t>
  </si>
  <si>
    <t>2929</t>
  </si>
  <si>
    <t>2930</t>
  </si>
  <si>
    <t>2934</t>
  </si>
  <si>
    <t>2935</t>
  </si>
  <si>
    <t>2936</t>
  </si>
  <si>
    <t>2937</t>
  </si>
  <si>
    <t>4824</t>
  </si>
  <si>
    <t>4825</t>
  </si>
  <si>
    <t>4826</t>
  </si>
  <si>
    <t>3368</t>
  </si>
  <si>
    <t>7563</t>
  </si>
  <si>
    <t>7467</t>
  </si>
  <si>
    <t>7468</t>
  </si>
  <si>
    <t>7335</t>
  </si>
  <si>
    <t>7336</t>
  </si>
  <si>
    <t>835</t>
  </si>
  <si>
    <t>836</t>
  </si>
  <si>
    <t>6358</t>
  </si>
  <si>
    <t>6359</t>
  </si>
  <si>
    <t>6360</t>
  </si>
  <si>
    <t>6361</t>
  </si>
  <si>
    <t>842</t>
  </si>
  <si>
    <t>843</t>
  </si>
  <si>
    <t>6199</t>
  </si>
  <si>
    <t>6200</t>
  </si>
  <si>
    <t>6201</t>
  </si>
  <si>
    <t>6202</t>
  </si>
  <si>
    <t>6203</t>
  </si>
  <si>
    <t>6204</t>
  </si>
  <si>
    <t>6205</t>
  </si>
  <si>
    <t>6206</t>
  </si>
  <si>
    <t>848</t>
  </si>
  <si>
    <t>849</t>
  </si>
  <si>
    <t>850</t>
  </si>
  <si>
    <t>851</t>
  </si>
  <si>
    <t>852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</si>
  <si>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</si>
  <si>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</si>
  <si>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</si>
  <si>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</si>
  <si>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</si>
  <si>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</si>
  <si>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</si>
  <si>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</si>
  <si>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</si>
  <si>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3745</t>
  </si>
  <si>
    <t>3757</t>
  </si>
  <si>
    <t>3759</t>
  </si>
  <si>
    <t>3760</t>
  </si>
  <si>
    <t>3765</t>
  </si>
  <si>
    <t>3769</t>
  </si>
  <si>
    <t>3771</t>
  </si>
  <si>
    <t>3772</t>
  </si>
  <si>
    <t>885</t>
  </si>
  <si>
    <t>886</t>
  </si>
  <si>
    <t>887</t>
  </si>
  <si>
    <t>888</t>
  </si>
  <si>
    <t>889</t>
  </si>
  <si>
    <t>3776</t>
  </si>
  <si>
    <t>7416</t>
  </si>
  <si>
    <t>7417</t>
  </si>
  <si>
    <t>7418</t>
  </si>
  <si>
    <t>7605</t>
  </si>
  <si>
    <t>6324</t>
  </si>
  <si>
    <t>6930</t>
  </si>
  <si>
    <t>6931</t>
  </si>
  <si>
    <t>6932</t>
  </si>
  <si>
    <t>900</t>
  </si>
  <si>
    <t>901</t>
  </si>
  <si>
    <t>902</t>
  </si>
  <si>
    <t>6365</t>
  </si>
  <si>
    <t>6366</t>
  </si>
  <si>
    <t>6367</t>
  </si>
  <si>
    <t>6371</t>
  </si>
  <si>
    <t>6372</t>
  </si>
  <si>
    <t>6374</t>
  </si>
  <si>
    <t>6375</t>
  </si>
  <si>
    <t>4561</t>
  </si>
  <si>
    <t>3466</t>
  </si>
  <si>
    <t>3071</t>
  </si>
  <si>
    <t>3072</t>
  </si>
  <si>
    <t>3529</t>
  </si>
  <si>
    <t>3530</t>
  </si>
  <si>
    <t>3531</t>
  </si>
  <si>
    <t>3532</t>
  </si>
  <si>
    <t>914</t>
  </si>
  <si>
    <t>915</t>
  </si>
  <si>
    <t>916</t>
  </si>
  <si>
    <t>921</t>
  </si>
  <si>
    <t>922</t>
  </si>
  <si>
    <t>923</t>
  </si>
  <si>
    <t>924</t>
  </si>
  <si>
    <t>925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</si>
  <si>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</si>
  <si>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</si>
  <si>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</si>
  <si>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</si>
  <si>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</si>
  <si>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</si>
  <si>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</si>
  <si>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</si>
  <si>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</si>
  <si>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</si>
  <si>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</si>
  <si>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</si>
  <si>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</si>
  <si>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</si>
  <si>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</si>
  <si>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</si>
  <si>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</si>
  <si>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</si>
  <si>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</si>
  <si>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</si>
  <si>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</si>
  <si>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</si>
  <si>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</si>
  <si>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952</t>
  </si>
  <si>
    <t>953</t>
  </si>
  <si>
    <t>954</t>
  </si>
  <si>
    <t>4799</t>
  </si>
  <si>
    <t>4118</t>
  </si>
  <si>
    <t>4119</t>
  </si>
  <si>
    <t>4120</t>
  </si>
  <si>
    <t>4121</t>
  </si>
  <si>
    <t>4122</t>
  </si>
  <si>
    <t>4123</t>
  </si>
  <si>
    <t>980</t>
  </si>
  <si>
    <t>6671</t>
  </si>
  <si>
    <t>6672</t>
  </si>
  <si>
    <t>6673</t>
  </si>
  <si>
    <t>6674</t>
  </si>
  <si>
    <t>6675</t>
  </si>
  <si>
    <t>6676</t>
  </si>
  <si>
    <t>6677</t>
  </si>
  <si>
    <t>6678</t>
  </si>
  <si>
    <t>6679</t>
  </si>
  <si>
    <t>6680</t>
  </si>
  <si>
    <t>6681</t>
  </si>
  <si>
    <t>6682</t>
  </si>
  <si>
    <t>6683</t>
  </si>
  <si>
    <t>6684</t>
  </si>
  <si>
    <t>6685</t>
  </si>
  <si>
    <t>6686</t>
  </si>
  <si>
    <t>6687</t>
  </si>
  <si>
    <t>6693</t>
  </si>
  <si>
    <t>6694</t>
  </si>
  <si>
    <t>6695</t>
  </si>
  <si>
    <t>6696</t>
  </si>
  <si>
    <t>6697</t>
  </si>
  <si>
    <t>6698</t>
  </si>
  <si>
    <t>6699</t>
  </si>
  <si>
    <t>6700</t>
  </si>
  <si>
    <t>6701</t>
  </si>
  <si>
    <t>6702</t>
  </si>
  <si>
    <t>6703</t>
  </si>
  <si>
    <t>6704</t>
  </si>
  <si>
    <t>6705</t>
  </si>
  <si>
    <t>6706</t>
  </si>
  <si>
    <t>6707</t>
  </si>
  <si>
    <t>6708</t>
  </si>
  <si>
    <t>995</t>
  </si>
  <si>
    <t>996</t>
  </si>
  <si>
    <t>999</t>
  </si>
  <si>
    <t>6722</t>
  </si>
  <si>
    <t>6723</t>
  </si>
  <si>
    <t>6724</t>
  </si>
  <si>
    <t>6726</t>
  </si>
  <si>
    <t>6727</t>
  </si>
  <si>
    <t>6728</t>
  </si>
  <si>
    <t>6741</t>
  </si>
  <si>
    <t>1010</t>
  </si>
  <si>
    <t>3467</t>
  </si>
  <si>
    <t>3468</t>
  </si>
  <si>
    <t>3471</t>
  </si>
  <si>
    <t>3472</t>
  </si>
  <si>
    <t>3473</t>
  </si>
  <si>
    <t>3474</t>
  </si>
  <si>
    <t>3475</t>
  </si>
  <si>
    <t>3476</t>
  </si>
  <si>
    <t>1039</t>
  </si>
  <si>
    <t>1042</t>
  </si>
  <si>
    <t>1043</t>
  </si>
  <si>
    <t>3670</t>
  </si>
  <si>
    <t>3673</t>
  </si>
  <si>
    <t>3680</t>
  </si>
  <si>
    <t>3681</t>
  </si>
  <si>
    <t>3684</t>
  </si>
  <si>
    <t>3688</t>
  </si>
  <si>
    <t>3690</t>
  </si>
  <si>
    <t>3691</t>
  </si>
  <si>
    <t>3692</t>
  </si>
  <si>
    <t>3693</t>
  </si>
  <si>
    <t>3694</t>
  </si>
  <si>
    <t>3695</t>
  </si>
  <si>
    <t>3696</t>
  </si>
  <si>
    <t>3698</t>
  </si>
  <si>
    <t>3699</t>
  </si>
  <si>
    <t>3700</t>
  </si>
  <si>
    <t>3701</t>
  </si>
  <si>
    <t>3704</t>
  </si>
  <si>
    <t>3705</t>
  </si>
  <si>
    <t>1050</t>
  </si>
  <si>
    <t>3503</t>
  </si>
  <si>
    <t>3506</t>
  </si>
  <si>
    <t>1064</t>
  </si>
  <si>
    <t>1099</t>
  </si>
  <si>
    <t>1101</t>
  </si>
  <si>
    <t>1102</t>
  </si>
  <si>
    <t>1103</t>
  </si>
  <si>
    <t>1104</t>
  </si>
  <si>
    <t>1108</t>
  </si>
  <si>
    <t>1109</t>
  </si>
  <si>
    <t>1110</t>
  </si>
  <si>
    <t>1111</t>
  </si>
  <si>
    <t>1112</t>
  </si>
  <si>
    <t>1113</t>
  </si>
  <si>
    <t>1116</t>
  </si>
  <si>
    <t>1118</t>
  </si>
  <si>
    <t>1119</t>
  </si>
  <si>
    <t>1120</t>
  </si>
  <si>
    <t>1121</t>
  </si>
  <si>
    <t>1122</t>
  </si>
  <si>
    <t>1128</t>
  </si>
  <si>
    <t>7425</t>
  </si>
  <si>
    <t>7426</t>
  </si>
  <si>
    <t>1130</t>
  </si>
  <si>
    <t>1131</t>
  </si>
  <si>
    <t>1132</t>
  </si>
  <si>
    <t>1133</t>
  </si>
  <si>
    <t>1134</t>
  </si>
  <si>
    <t>1135</t>
  </si>
  <si>
    <t>1138</t>
  </si>
  <si>
    <t>1139</t>
  </si>
  <si>
    <t>3361</t>
  </si>
  <si>
    <t>3362</t>
  </si>
  <si>
    <t>3419</t>
  </si>
  <si>
    <t>6377</t>
  </si>
  <si>
    <t>6348</t>
  </si>
  <si>
    <t>6349</t>
  </si>
  <si>
    <t>6350</t>
  </si>
  <si>
    <t>6351</t>
  </si>
  <si>
    <t>3491</t>
  </si>
  <si>
    <t>2841</t>
  </si>
  <si>
    <t>2842</t>
  </si>
  <si>
    <t>2843</t>
  </si>
  <si>
    <t>2844</t>
  </si>
  <si>
    <t>4236</t>
  </si>
  <si>
    <t>4237</t>
  </si>
  <si>
    <t>4238</t>
  </si>
  <si>
    <t>4239</t>
  </si>
  <si>
    <t>3335</t>
  </si>
  <si>
    <t>3336</t>
  </si>
  <si>
    <t>3337</t>
  </si>
  <si>
    <t>3338</t>
  </si>
  <si>
    <t>3339</t>
  </si>
  <si>
    <t>6343</t>
  </si>
  <si>
    <t>6345</t>
  </si>
  <si>
    <t>7547</t>
  </si>
  <si>
    <t>7548</t>
  </si>
  <si>
    <t>7549</t>
  </si>
  <si>
    <t>1198</t>
  </si>
  <si>
    <t>1199</t>
  </si>
  <si>
    <t>1200</t>
  </si>
  <si>
    <t>1202</t>
  </si>
  <si>
    <t>4020</t>
  </si>
  <si>
    <t>1246</t>
  </si>
  <si>
    <t>1248</t>
  </si>
  <si>
    <t>1249</t>
  </si>
  <si>
    <t>4240</t>
  </si>
  <si>
    <t>4241</t>
  </si>
  <si>
    <t>1254</t>
  </si>
  <si>
    <t>4926</t>
  </si>
  <si>
    <t>1261</t>
  </si>
  <si>
    <t>1264</t>
  </si>
  <si>
    <t>1268</t>
  </si>
  <si>
    <t>1274</t>
  </si>
  <si>
    <t>1275</t>
  </si>
  <si>
    <t>1278</t>
  </si>
  <si>
    <t>1280</t>
  </si>
  <si>
    <t>1282</t>
  </si>
  <si>
    <t>1286</t>
  </si>
  <si>
    <t>1289</t>
  </si>
  <si>
    <t>1291</t>
  </si>
  <si>
    <t>1296</t>
  </si>
  <si>
    <t>1300</t>
  </si>
  <si>
    <t>1297</t>
  </si>
  <si>
    <t>1304</t>
  </si>
  <si>
    <t>1308</t>
  </si>
  <si>
    <t>1317</t>
  </si>
  <si>
    <t>1318</t>
  </si>
  <si>
    <t>1319</t>
  </si>
  <si>
    <t>1320</t>
  </si>
  <si>
    <t>4038</t>
  </si>
  <si>
    <t>1338</t>
  </si>
  <si>
    <t>6923</t>
  </si>
  <si>
    <t>6924</t>
  </si>
  <si>
    <t>6381</t>
  </si>
  <si>
    <t>6382</t>
  </si>
  <si>
    <t>6383</t>
  </si>
  <si>
    <t>1346</t>
  </si>
  <si>
    <t>1349</t>
  </si>
  <si>
    <t>1350</t>
  </si>
  <si>
    <t>1351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</si>
  <si>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</si>
  <si>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</si>
  <si>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</si>
  <si>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</si>
  <si>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</si>
  <si>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</si>
  <si>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</si>
  <si>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</si>
  <si>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</si>
  <si>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6403</t>
  </si>
  <si>
    <t>6378</t>
  </si>
  <si>
    <t>1389</t>
  </si>
  <si>
    <t>4247</t>
  </si>
  <si>
    <t>1391</t>
  </si>
  <si>
    <t>1392</t>
  </si>
  <si>
    <t>1393</t>
  </si>
  <si>
    <t>2813</t>
  </si>
  <si>
    <t>2812</t>
  </si>
  <si>
    <t>2814</t>
  </si>
  <si>
    <t>3740</t>
  </si>
  <si>
    <t>1402</t>
  </si>
  <si>
    <t>1410</t>
  </si>
  <si>
    <t>1411</t>
  </si>
  <si>
    <t>1413</t>
  </si>
  <si>
    <t>5089</t>
  </si>
  <si>
    <t>5090</t>
  </si>
  <si>
    <t>4810</t>
  </si>
  <si>
    <t>4297</t>
  </si>
  <si>
    <t>1423</t>
  </si>
  <si>
    <t>1424</t>
  </si>
  <si>
    <t>3612</t>
  </si>
  <si>
    <t>5091</t>
  </si>
  <si>
    <t>4116</t>
  </si>
  <si>
    <t>4117</t>
  </si>
  <si>
    <t>4103</t>
  </si>
  <si>
    <t>4105</t>
  </si>
  <si>
    <t>4106</t>
  </si>
  <si>
    <t>7607</t>
  </si>
  <si>
    <t>7608</t>
  </si>
  <si>
    <t>7609</t>
  </si>
  <si>
    <t>4880</t>
  </si>
  <si>
    <t>4881</t>
  </si>
  <si>
    <t>3460</t>
  </si>
  <si>
    <t>1524</t>
  </si>
  <si>
    <t>3433</t>
  </si>
  <si>
    <t>6940</t>
  </si>
  <si>
    <t>6941</t>
  </si>
  <si>
    <t>1558</t>
  </si>
  <si>
    <t>3614</t>
  </si>
  <si>
    <t>3615</t>
  </si>
  <si>
    <t>3617</t>
  </si>
  <si>
    <t>7701</t>
  </si>
  <si>
    <t>1643</t>
  </si>
  <si>
    <t>7559</t>
  </si>
  <si>
    <t>3618</t>
  </si>
  <si>
    <t>4948</t>
  </si>
  <si>
    <t>3619</t>
  </si>
  <si>
    <t>1704</t>
  </si>
  <si>
    <t>1717</t>
  </si>
  <si>
    <t>7013</t>
  </si>
  <si>
    <t>4124</t>
  </si>
  <si>
    <t>4125</t>
  </si>
  <si>
    <t>4126</t>
  </si>
  <si>
    <t>2815</t>
  </si>
  <si>
    <t>5096</t>
  </si>
  <si>
    <t>4132</t>
  </si>
  <si>
    <t>4133</t>
  </si>
  <si>
    <t>3477</t>
  </si>
  <si>
    <t>3478</t>
  </si>
  <si>
    <t>3479</t>
  </si>
  <si>
    <t>1823</t>
  </si>
  <si>
    <t>1836</t>
  </si>
  <si>
    <t>1837</t>
  </si>
  <si>
    <t>1838</t>
  </si>
  <si>
    <t>6805</t>
  </si>
  <si>
    <t>4877</t>
  </si>
  <si>
    <t>4878</t>
  </si>
  <si>
    <t>6815</t>
  </si>
  <si>
    <t>3434</t>
  </si>
  <si>
    <t>6829</t>
  </si>
  <si>
    <t>6830</t>
  </si>
  <si>
    <t>6831</t>
  </si>
  <si>
    <t>6832</t>
  </si>
  <si>
    <t>1864</t>
  </si>
  <si>
    <t>1865</t>
  </si>
  <si>
    <t>1866</t>
  </si>
  <si>
    <t>6835</t>
  </si>
  <si>
    <t>6836</t>
  </si>
  <si>
    <t>6837</t>
  </si>
  <si>
    <t>6838</t>
  </si>
  <si>
    <t>6839</t>
  </si>
  <si>
    <t>6840</t>
  </si>
  <si>
    <t>6841</t>
  </si>
  <si>
    <t>6849</t>
  </si>
  <si>
    <t>6850</t>
  </si>
  <si>
    <t>4525</t>
  </si>
  <si>
    <t>1867</t>
  </si>
  <si>
    <t>6860</t>
  </si>
  <si>
    <t>D:\dev\integration\framework\ui\CorePlugin\Commands\RemovePortAggregationMemberCommand.cs</t>
  </si>
  <si>
    <t>6862</t>
  </si>
  <si>
    <t>6863</t>
  </si>
  <si>
    <t>1872</t>
  </si>
  <si>
    <t>1873</t>
  </si>
  <si>
    <t>3189</t>
  </si>
  <si>
    <t>4277</t>
  </si>
  <si>
    <t>7569</t>
  </si>
  <si>
    <t>D:\dev\integration\framework\ui\CorePlugin\Commands\ShowPortAggregationWizardCommand.cs</t>
  </si>
  <si>
    <t>7570</t>
  </si>
  <si>
    <t>6160</t>
  </si>
  <si>
    <t>6161</t>
  </si>
  <si>
    <t>6163</t>
  </si>
  <si>
    <t>6164</t>
  </si>
  <si>
    <t>1906</t>
  </si>
  <si>
    <t>7517</t>
  </si>
  <si>
    <t>7509</t>
  </si>
  <si>
    <t>7510</t>
  </si>
  <si>
    <t>1918</t>
  </si>
  <si>
    <t>1919</t>
  </si>
  <si>
    <t>3851</t>
  </si>
  <si>
    <t>1930</t>
  </si>
  <si>
    <t>1944</t>
  </si>
  <si>
    <t>4304</t>
  </si>
  <si>
    <t>4305</t>
  </si>
  <si>
    <t>4306</t>
  </si>
  <si>
    <t>4152</t>
  </si>
  <si>
    <t>D:\dev\integration\framework\ui\CorePlugin\Editors\PortAggregationMembersForm.cs</t>
  </si>
  <si>
    <t>5097</t>
  </si>
  <si>
    <t>5098</t>
  </si>
  <si>
    <t>1953</t>
  </si>
  <si>
    <t>6889</t>
  </si>
  <si>
    <t>6890</t>
  </si>
  <si>
    <t>1981</t>
  </si>
  <si>
    <t>1988</t>
  </si>
  <si>
    <t>1989</t>
  </si>
  <si>
    <t>1990</t>
  </si>
  <si>
    <t>1999</t>
  </si>
  <si>
    <t>7589</t>
  </si>
  <si>
    <t>7564</t>
  </si>
  <si>
    <t>4137</t>
  </si>
  <si>
    <t>2009</t>
  </si>
  <si>
    <t>3356</t>
  </si>
  <si>
    <t>3357</t>
  </si>
  <si>
    <t>3358</t>
  </si>
  <si>
    <t>3359</t>
  </si>
  <si>
    <t>3360</t>
  </si>
  <si>
    <t>7593</t>
  </si>
  <si>
    <t>D:\dev\integration\framework\ui\CorePlugin\Sequencer\Controls\CommandEditors\HighResolutionCommandEditor.cs</t>
  </si>
  <si>
    <t>7596</t>
  </si>
  <si>
    <t>4159</t>
  </si>
  <si>
    <t>4160</t>
  </si>
  <si>
    <t>4161</t>
  </si>
  <si>
    <t>4162</t>
  </si>
  <si>
    <t>7612</t>
  </si>
  <si>
    <t>D:\dev\integration\framework\ui\CorePlugin\Sequencer\Controls\CommandEditors\RunPlCommandEditor.cs</t>
  </si>
  <si>
    <t>4900</t>
  </si>
  <si>
    <t>3707</t>
  </si>
  <si>
    <t>3708</t>
  </si>
  <si>
    <t>3709</t>
  </si>
  <si>
    <t>3710</t>
  </si>
  <si>
    <t>3711</t>
  </si>
  <si>
    <t>3712</t>
  </si>
  <si>
    <t>4901</t>
  </si>
  <si>
    <t>4902</t>
  </si>
  <si>
    <t>3436</t>
  </si>
  <si>
    <t>3437</t>
  </si>
  <si>
    <t>3438</t>
  </si>
  <si>
    <t>3439</t>
  </si>
  <si>
    <t>2031</t>
  </si>
  <si>
    <t>2088</t>
  </si>
  <si>
    <t>2089</t>
  </si>
  <si>
    <t>2090</t>
  </si>
  <si>
    <t>2091</t>
  </si>
  <si>
    <t>2092</t>
  </si>
  <si>
    <t>2093</t>
  </si>
  <si>
    <t>2100</t>
  </si>
  <si>
    <t>4547</t>
  </si>
  <si>
    <t>4257</t>
  </si>
  <si>
    <t>4213</t>
  </si>
  <si>
    <t>7337</t>
  </si>
  <si>
    <t>3485</t>
  </si>
  <si>
    <t>3486</t>
  </si>
  <si>
    <t>3487</t>
  </si>
  <si>
    <t>2142</t>
  </si>
  <si>
    <t>2143</t>
  </si>
  <si>
    <t>2144</t>
  </si>
  <si>
    <t>2145</t>
  </si>
  <si>
    <t>2146</t>
  </si>
  <si>
    <t>2147</t>
  </si>
  <si>
    <t>2148</t>
  </si>
  <si>
    <t>2149</t>
  </si>
  <si>
    <t>2152</t>
  </si>
  <si>
    <t>7429</t>
  </si>
  <si>
    <t>2168</t>
  </si>
  <si>
    <t>2169</t>
  </si>
  <si>
    <t>2170</t>
  </si>
  <si>
    <t>2171</t>
  </si>
  <si>
    <t>2172</t>
  </si>
  <si>
    <t>2173</t>
  </si>
  <si>
    <t>2174</t>
  </si>
  <si>
    <t>2175</t>
  </si>
  <si>
    <t>2176</t>
  </si>
  <si>
    <t>2180</t>
  </si>
  <si>
    <t>2181</t>
  </si>
  <si>
    <t>2182</t>
  </si>
  <si>
    <t>2183</t>
  </si>
  <si>
    <t>2892</t>
  </si>
  <si>
    <t>3535</t>
  </si>
  <si>
    <t>7696</t>
  </si>
  <si>
    <t>6883</t>
  </si>
  <si>
    <t>6884</t>
  </si>
  <si>
    <t>3502</t>
  </si>
  <si>
    <t>2241</t>
  </si>
  <si>
    <t>2242</t>
  </si>
  <si>
    <t>2243</t>
  </si>
  <si>
    <t>2244</t>
  </si>
  <si>
    <t>2262</t>
  </si>
  <si>
    <t>2263</t>
  </si>
  <si>
    <t>2265</t>
  </si>
  <si>
    <t>3652</t>
  </si>
  <si>
    <t>2820</t>
  </si>
  <si>
    <t>2821</t>
  </si>
  <si>
    <t>2310</t>
  </si>
  <si>
    <t>2311</t>
  </si>
  <si>
    <t>2312</t>
  </si>
  <si>
    <t>2313</t>
  </si>
  <si>
    <t>2852</t>
  </si>
  <si>
    <t>2853</t>
  </si>
  <si>
    <t>2854</t>
  </si>
  <si>
    <t>2855</t>
  </si>
  <si>
    <t>2856</t>
  </si>
  <si>
    <t>2857</t>
  </si>
  <si>
    <t>2858</t>
  </si>
  <si>
    <t>2860</t>
  </si>
  <si>
    <t>2861</t>
  </si>
  <si>
    <t>2862</t>
  </si>
  <si>
    <t>2315</t>
  </si>
  <si>
    <t>2316</t>
  </si>
  <si>
    <t>7601</t>
  </si>
  <si>
    <t>3620</t>
  </si>
  <si>
    <t>6355</t>
  </si>
  <si>
    <t>5108</t>
  </si>
  <si>
    <t>5109</t>
  </si>
  <si>
    <t>7501</t>
  </si>
  <si>
    <t>2349</t>
  </si>
  <si>
    <t>2351</t>
  </si>
  <si>
    <t>2352</t>
  </si>
  <si>
    <t>2353</t>
  </si>
  <si>
    <t>2354</t>
  </si>
  <si>
    <t>D:\dev\integration\framework\ui\CorePlugin\Wizards\PortAggregationWizard\PortAggregationWizard.cs</t>
  </si>
  <si>
    <t>3190</t>
  </si>
  <si>
    <t>4908</t>
  </si>
  <si>
    <t>4909</t>
  </si>
  <si>
    <t>7527</t>
  </si>
  <si>
    <t>3081</t>
  </si>
  <si>
    <t>6262</t>
  </si>
  <si>
    <t>4818</t>
  </si>
  <si>
    <t>4819</t>
  </si>
  <si>
    <t>4101</t>
  </si>
  <si>
    <t>4102</t>
  </si>
  <si>
    <t>2478</t>
  </si>
  <si>
    <t>2481</t>
  </si>
  <si>
    <t>2482</t>
  </si>
  <si>
    <t>2483</t>
  </si>
  <si>
    <t>2484</t>
  </si>
  <si>
    <t>2485</t>
  </si>
  <si>
    <t>6258</t>
  </si>
  <si>
    <t>2493</t>
  </si>
  <si>
    <t>2495</t>
  </si>
  <si>
    <t>6329</t>
  </si>
  <si>
    <t>6330</t>
  </si>
  <si>
    <t>2624</t>
  </si>
  <si>
    <t>2625</t>
  </si>
  <si>
    <t>2702</t>
  </si>
  <si>
    <t>3084</t>
  </si>
  <si>
    <t>2727</t>
  </si>
  <si>
    <t>6888</t>
  </si>
  <si>
    <t>7498</t>
  </si>
  <si>
    <t>2736</t>
  </si>
  <si>
    <t>4087</t>
  </si>
  <si>
    <t>4088</t>
  </si>
  <si>
    <t>2771</t>
  </si>
  <si>
    <t>2777</t>
  </si>
  <si>
    <t>BLL BACKLOG</t>
  </si>
  <si>
    <t>X86/IL  BACKLOG</t>
  </si>
  <si>
    <t>GUI/C#  BACKLOG</t>
  </si>
  <si>
    <t>8084</t>
  </si>
  <si>
    <t>8085</t>
  </si>
  <si>
    <t>8087</t>
  </si>
  <si>
    <t>D:\dev\integration\framework\ui\EventManagerPlugin\Forms\ConvergenceConfigEditorForm.Designer.cs</t>
  </si>
  <si>
    <t>4582</t>
  </si>
  <si>
    <t>11/24/13: remove unit tests from ui backlog</t>
  </si>
  <si>
    <t>11/24/13: remove unit tests from BLL backlog</t>
  </si>
  <si>
    <t>11/24/13:  IL issues  missed due to KW Configuration error</t>
  </si>
  <si>
    <t>YE 2013 Goal (15%)</t>
  </si>
  <si>
    <t>YE 2013 Goal</t>
  </si>
  <si>
    <t>8101</t>
  </si>
  <si>
    <t>D:\dev\integration\content\routing\lacp\ui\ProxyObjects\LacpPortConfigProxy.cs</t>
  </si>
  <si>
    <t>9212</t>
  </si>
  <si>
    <t>9213</t>
  </si>
  <si>
    <t>9214</t>
  </si>
  <si>
    <t>9215</t>
  </si>
  <si>
    <t>9216</t>
  </si>
  <si>
    <t>9217</t>
  </si>
  <si>
    <t>9218</t>
  </si>
  <si>
    <t>/home/scmbuild/TestCenter/integration/content/routing/il/ngs2-0-1-spirent/src/rstp_new/stpOsCalls.c</t>
  </si>
  <si>
    <t>9202</t>
  </si>
  <si>
    <t>9200</t>
  </si>
  <si>
    <t>9201</t>
  </si>
  <si>
    <t>9211</t>
  </si>
  <si>
    <t>9207</t>
  </si>
  <si>
    <t>/home/scmbuild/TestCenter/integration/content/traffic/l2l3/il/Generator/stat/GenAppStat.cpp</t>
  </si>
  <si>
    <t>9208</t>
  </si>
  <si>
    <t>9209</t>
  </si>
  <si>
    <t>9210</t>
  </si>
  <si>
    <t>/home/scmbuild/TestCenter/integration/content/traffic/l2l3/il/Generator/stat/GenAppStatLag.cpp</t>
  </si>
  <si>
    <t>8949</t>
  </si>
  <si>
    <t>/home/scmbuild/TestCenter/integration/content/traffic/l2l3/il/Generator/stream/StreamInfo.h</t>
  </si>
  <si>
    <t>8950</t>
  </si>
  <si>
    <t>8951</t>
  </si>
  <si>
    <t>8952</t>
  </si>
  <si>
    <t>8953</t>
  </si>
  <si>
    <t>8954</t>
  </si>
  <si>
    <t>8955</t>
  </si>
  <si>
    <t>8956</t>
  </si>
  <si>
    <t>8957</t>
  </si>
  <si>
    <t>8958</t>
  </si>
  <si>
    <t>8959</t>
  </si>
  <si>
    <t>8960</t>
  </si>
  <si>
    <t>9205</t>
  </si>
  <si>
    <t>/home/scmbuild/TestCenter/integration/framework/il/common/apps/hwmgrd/ccpu/Clause22ab.cpp</t>
  </si>
  <si>
    <t>9206</t>
  </si>
  <si>
    <t>9203</t>
  </si>
  <si>
    <t>/home/scmbuild/TestCenter/integration/framework/il/common/lib/hal++/ccpu/common/CcpuOsStatsImp.cpp</t>
  </si>
  <si>
    <t>9204</t>
  </si>
  <si>
    <t>4597</t>
  </si>
  <si>
    <t>4601</t>
  </si>
  <si>
    <t>D:\dev\integration\framework\common\lib\phxrpc\message.cpp</t>
  </si>
  <si>
    <t>4602</t>
  </si>
  <si>
    <t>4603</t>
  </si>
  <si>
    <t>4605</t>
  </si>
  <si>
    <t>4606</t>
  </si>
  <si>
    <t>4607</t>
  </si>
  <si>
    <t>D:\dev\integration\framework\common\lib\phxrpc\tm_bin_decoder.cpp</t>
  </si>
  <si>
    <t>4610</t>
  </si>
  <si>
    <t>4611</t>
  </si>
  <si>
    <t>4613</t>
  </si>
  <si>
    <t>D:\dev\integration\framework\common\lib\phxrpc\tm_creator.cpp</t>
  </si>
  <si>
    <t>4615</t>
  </si>
  <si>
    <t>4616</t>
  </si>
  <si>
    <t>D:\dev\integration\framework\common\lib\phxrpc\tm_date.cpp</t>
  </si>
  <si>
    <t>4618</t>
  </si>
  <si>
    <t>4619</t>
  </si>
  <si>
    <t>4620</t>
  </si>
  <si>
    <t>4621</t>
  </si>
  <si>
    <t>D:\dev\integration\framework\common\lib\phxrpc\tm_file.cpp</t>
  </si>
  <si>
    <t>D:\dev\integration\framework\common\lib\phxrpc\tm_prenamed_struct.cpp</t>
  </si>
  <si>
    <t>D:\dev\integration\framework\common\lib\phxrpc\tm_struct.cpp</t>
  </si>
  <si>
    <t>4626</t>
  </si>
  <si>
    <t>D:\dev\integration\framework\common\lib\phxrpc\tm_tcl_decoder.cpp</t>
  </si>
  <si>
    <t>4627</t>
  </si>
  <si>
    <t>D:\dev\integration\framework\common\lib\phxrpc\tm_tcl_encoder.cpp</t>
  </si>
  <si>
    <t>D:\dev\integration\framework\common\lib\phxrpc\tm_text_creator.cpp</t>
  </si>
  <si>
    <t>4632</t>
  </si>
  <si>
    <t>4633</t>
  </si>
  <si>
    <t>D:\dev\integration\framework\common\lib\phxrpc\tm_utils.cpp</t>
  </si>
  <si>
    <t>4635</t>
  </si>
  <si>
    <t>D:\dev\integration\framework\common\lib\phxrpc\tm_xml_encoder.cpp</t>
  </si>
  <si>
    <t>4636</t>
  </si>
  <si>
    <t>4640</t>
  </si>
  <si>
    <t>D:\dev\integration\framework\ui\automation\sal\src\SalImpl.cpp</t>
  </si>
  <si>
    <t>4642</t>
  </si>
  <si>
    <t>D:\dev\integration\framework\common\lib\phxrpc\tm_json_encoder.cpp</t>
  </si>
  <si>
    <t>4645</t>
  </si>
  <si>
    <t>8113</t>
  </si>
  <si>
    <t>D:\dev\integration\content\routing\rsvp\ui\Forms\MulticastGroupForm.Designer.cs</t>
  </si>
  <si>
    <t>8111</t>
  </si>
  <si>
    <t>8112</t>
  </si>
  <si>
    <t>8114</t>
  </si>
  <si>
    <t>8115</t>
  </si>
  <si>
    <t>8116</t>
  </si>
  <si>
    <t>8117</t>
  </si>
  <si>
    <t>8109</t>
  </si>
  <si>
    <t>192</t>
  </si>
  <si>
    <t>193</t>
  </si>
  <si>
    <t>9222</t>
  </si>
  <si>
    <t>/home/scmbuild/TestCenter/integration/framework/common/lib/phxrpc/tm_json_encoder.cpp</t>
  </si>
  <si>
    <t>9223</t>
  </si>
  <si>
    <t>9224</t>
  </si>
  <si>
    <t>9225</t>
  </si>
  <si>
    <t>unowned</t>
  </si>
  <si>
    <t>SDeVetis</t>
  </si>
  <si>
    <t>cyang</t>
  </si>
  <si>
    <t>kseggelke</t>
  </si>
  <si>
    <t>npeters</t>
  </si>
  <si>
    <t>wseifert</t>
  </si>
  <si>
    <t>John.Keough</t>
  </si>
  <si>
    <t>sgoel</t>
  </si>
  <si>
    <t>aliu</t>
  </si>
  <si>
    <t>abhat</t>
  </si>
  <si>
    <t>mxu</t>
  </si>
  <si>
    <t>kmatsumoto</t>
  </si>
  <si>
    <t>syang</t>
  </si>
  <si>
    <t>yzhao</t>
  </si>
  <si>
    <t>ngavaskar</t>
  </si>
  <si>
    <t>kkanja</t>
  </si>
  <si>
    <t>HKolte</t>
  </si>
  <si>
    <t>HZakir</t>
  </si>
  <si>
    <t>dmorton</t>
  </si>
  <si>
    <t>Chinh.Le</t>
  </si>
  <si>
    <t>ywang</t>
  </si>
  <si>
    <t>Richard.Myers</t>
  </si>
  <si>
    <t>pheffernan</t>
  </si>
  <si>
    <t>KDayton</t>
  </si>
  <si>
    <t>JCardiel</t>
  </si>
  <si>
    <t>Myron.Kwock</t>
  </si>
  <si>
    <t>GUI/C#</t>
  </si>
  <si>
    <t>GUI/C++ Issues</t>
  </si>
  <si>
    <t>Open Now</t>
  </si>
  <si>
    <t>k</t>
  </si>
  <si>
    <t>New IL/Plugin issues currently open in integration branch  since baseline 01/05/14</t>
  </si>
  <si>
    <t>New UI/C++ issues  open in  integration branch since  baseline 1/05/14</t>
  </si>
  <si>
    <t>New BLL issues currently open in integration branch since baseline 01/05/14</t>
  </si>
  <si>
    <t>Static Analysis Trend :  STC Memory Leaks</t>
  </si>
  <si>
    <t>GUI / C#</t>
  </si>
  <si>
    <t>Total Open</t>
  </si>
  <si>
    <t>1/23/2014: Memory leak trend report started</t>
  </si>
  <si>
    <t>10/26/2013: Memory Leaks  reports started</t>
  </si>
  <si>
    <t>Memory Leak Issues</t>
  </si>
  <si>
    <t xml:space="preserve">Notes: </t>
  </si>
  <si>
    <t>New Issues (Current)</t>
  </si>
  <si>
    <t xml:space="preserve">Backlog (Total of unresolved issues) </t>
  </si>
  <si>
    <t xml:space="preserve"> Prior Report</t>
  </si>
  <si>
    <t>Change since prior report</t>
  </si>
  <si>
    <t>Current Actual</t>
  </si>
  <si>
    <t>To Go This Year (15% Goal)</t>
  </si>
  <si>
    <t>% Resolved since 1/1/14</t>
  </si>
  <si>
    <t>To Go This Q      (4% Goal)</t>
  </si>
  <si>
    <t>Change since 1/5/2014</t>
  </si>
  <si>
    <t>Win/BLL C# Issues</t>
  </si>
  <si>
    <t>STC  Issues</t>
  </si>
  <si>
    <t>IL and IL Plug-in C++ Issues</t>
  </si>
  <si>
    <t>Landslide Issues</t>
  </si>
  <si>
    <t>common\channel\*</t>
  </si>
  <si>
    <t>common\learning\*</t>
  </si>
  <si>
    <t xml:space="preserve">Open </t>
  </si>
  <si>
    <t>Resolved %</t>
  </si>
  <si>
    <t>content/v4v6transition/*</t>
  </si>
  <si>
    <t>.</t>
  </si>
  <si>
    <t>*il/common/tools*</t>
  </si>
  <si>
    <t>il/content/traffic/*</t>
  </si>
  <si>
    <t>il/content/storage/*</t>
  </si>
  <si>
    <t>il/framework/common/*</t>
  </si>
  <si>
    <t>il/framework/il/common/*</t>
  </si>
  <si>
    <t>*_il/common/lib*</t>
  </si>
  <si>
    <t>il/framework/il/freebsd/*</t>
  </si>
  <si>
    <t>il/content/routing/*</t>
  </si>
  <si>
    <t>il/content/access/*</t>
  </si>
  <si>
    <t>il/content/cts/*</t>
  </si>
  <si>
    <t>BLL UNINITIALIZED VARIABLES</t>
  </si>
  <si>
    <t>ui\common\lib\*</t>
  </si>
  <si>
    <t>ui\common\tools\*</t>
  </si>
  <si>
    <t>ui\content\access\*</t>
  </si>
  <si>
    <t>ui\content\channel\*</t>
  </si>
  <si>
    <t>ui\content\common\*</t>
  </si>
  <si>
    <t>ui\content\device\*</t>
  </si>
  <si>
    <t>ui\content\routing\*</t>
  </si>
  <si>
    <t>ui\content\sample\*</t>
  </si>
  <si>
    <t>ui\content\traffic\*</t>
  </si>
  <si>
    <t>ui\framework\bll*</t>
  </si>
  <si>
    <t>ui\content\tripleplay\*</t>
  </si>
  <si>
    <t>IL Unitialized Variables</t>
  </si>
  <si>
    <t>UNINITIALIZED VARIABLES</t>
  </si>
  <si>
    <t>GUI/C#   *</t>
  </si>
  <si>
    <t>Note: GUI/C# compiler does not allow unitialized variables.</t>
  </si>
  <si>
    <t>content\datacenter\*</t>
  </si>
  <si>
    <t>Add new column</t>
  </si>
  <si>
    <t>Delete the chart</t>
  </si>
  <si>
    <t>Make new chart up to Total</t>
  </si>
  <si>
    <t>Point the "Current" to the last column</t>
  </si>
  <si>
    <t>NOTES</t>
  </si>
  <si>
    <t>Start of Year 1/1/2015</t>
  </si>
  <si>
    <t>Start 01/1/15</t>
  </si>
  <si>
    <t>FY15 Goal (15%)</t>
  </si>
  <si>
    <t>Resolved Since 1/1/15</t>
  </si>
  <si>
    <t>Total Resolved since 1/1/2015</t>
  </si>
  <si>
    <t>C:\jenkins-devops\workspace\kw_bll_ui\common\lib\ACE_wrappers_5.5.6\ace\IO_Cntl_Msg.inl</t>
  </si>
  <si>
    <t>C:\jenkins-devops\workspace\kw_bll_ui\common\lib\ACE_wrappers_5.5.6\ace\Message_Queue.inl</t>
  </si>
  <si>
    <t>C:\jenkins-devops\workspace\kw_bll_ui\common\lib\ACE_wrappers_5.5.6\ace\OS_Log_Msg_Attributes.inl</t>
  </si>
  <si>
    <t>C:\jenkins-devops\workspace\kw_bll_ui\common\lib\ACE_wrappers_5.5.6\ace\OS_NS_sys_socket.inl</t>
  </si>
  <si>
    <t>C:\jenkins-devops\workspace\kw_bll_ui\common\lib\ACE_wrappers_5.5.6\ace\OS_NS_sys_stat.inl</t>
  </si>
  <si>
    <t>C:\jenkins-devops\workspace\kw_bll_ui\common\lib\ACE_wrappers_5.5.6\ace\OS_NS_Thread.inl</t>
  </si>
  <si>
    <t>C:\jenkins-devops\workspace\kw_bll_ui\common\lib\boost_1_46_1\boost\interprocess\detail\win32_api.hpp</t>
  </si>
  <si>
    <t>C:\jenkins-devops\workspace\kw_bll_ui\common\lib\boost_1_46_1\boost\interprocess\shared_memory_object.hpp</t>
  </si>
  <si>
    <t>C:\jenkins-devops\workspace\kw_bll_ui\common\lib\boost_1_46_1\boost\multi_index\detail\index_matcher.hpp</t>
  </si>
  <si>
    <t>C:\jenkins-devops\workspace\kw_bll_ui\common\lib\boost_1_46_1\boost\serialization\serialization.hpp</t>
  </si>
  <si>
    <t>C:\jenkins-devops\workspace\kw_bll_ui\common\lib\boost_1_46_1\libs\iostreams\src\zlib.cpp</t>
  </si>
  <si>
    <t>C:\jenkins-devops\workspace\kw_bll_ui\common\tools\CodeSynthesis XSD 3.3\include\xsd\cxx\tree\date-time.ixx</t>
  </si>
  <si>
    <t>C:\jenkins-devops\workspace\kw_bll_ui\common\tools\CodeSynthesis XSD 3.3\include\xsd\cxx\tree\elements.hxx</t>
  </si>
  <si>
    <t>C:\jenkins-devops\workspace\kw_bll_ui\content\access\accesscore\bll\include\AbstAccessBlockConfig.h</t>
  </si>
  <si>
    <t>C:\jenkins-devops\workspace\kw_bll_ui\content\access\accesstest\bll\src\AncpAccessLoopGen.cpp</t>
  </si>
  <si>
    <t>C:\jenkins-devops\workspace\kw_bll_ui\content\access\ancp\bll\src\applystates\AncpConfigBlockState.cpp</t>
  </si>
  <si>
    <t>C:\jenkins-devops\workspace\kw_bll_ui\content\access\ancp\bll\src\applystates\AncpConfigPortState.cpp</t>
  </si>
  <si>
    <t>C:\jenkins-devops\workspace\kw_bll_ui\content\access\ancp\bll\src\applystates\AncpDeleteBlockState.cpp</t>
  </si>
  <si>
    <t>C:\jenkins-devops\workspace\kw_bll_ui\content\access\ancp\bll\src\applystates\AncpDeleteIntfState.cpp</t>
  </si>
  <si>
    <t>C:\jenkins-devops\workspace\kw_bll_ui\content\access\ancp\bll\src\config\AncpAccessLoopBlockConfig.cpp</t>
  </si>
  <si>
    <t>C:\jenkins-devops\workspace\kw_bll_ui\content\access\ancp\bll\src\config\AncpDeviceGenProtocolParams.cpp</t>
  </si>
  <si>
    <t>C:\jenkins-devops\workspace\kw_bll_ui\content\access\dhcpv4\bll\src\Dhcpv4BlockConfig.cpp</t>
  </si>
  <si>
    <t>C:\jenkins-devops\workspace\kw_bll_ui\content\access\dhcpv4\bll\src\Dhcpv4ServerConfig.cpp</t>
  </si>
  <si>
    <t>C:\jenkins-devops\workspace\kw_bll_ui\content\access\dhcpv6\bll\src\Dhcpv6ServerConfig.cpp</t>
  </si>
  <si>
    <t>C:\jenkins-devops\workspace\kw_bll_ui\content\access\l2tp\bll\include\AbstL2tpInfoCommand.h</t>
  </si>
  <si>
    <t>C:\jenkins-devops\workspace\kw_bll_ui\content\channel\channel\bll\src\ChannelApplyHandler.cpp</t>
  </si>
  <si>
    <t>C:\jenkins-devops\workspace\kw_bll_ui\content\channel\channel\bll\src\Channel.cpp</t>
  </si>
  <si>
    <t>C:\jenkins-devops\workspace\kw_bll_ui\content\common\contentcore\bll\include\ContentBaseProtocolConfig.h</t>
  </si>
  <si>
    <t>C:\jenkins-devops\workspace\kw_bll_ui\content\common\contentcore\bll\src\common\results\AppBaseResultIlDrivenItemCounter.cpp</t>
  </si>
  <si>
    <t>C:\jenkins-devops\workspace\kw_bll_ui\content\common\rsocket\include\rsocket.hpp</t>
  </si>
  <si>
    <t>C:\jenkins-devops\workspace\kw_bll_ui\content\common\rsocket\src\stc_rsocket.cpp</t>
  </si>
  <si>
    <t>C:\jenkins-devops\workspace\kw_bll_ui\content\device\configurator\bll\adaptor\CommandLineOpts.cpp</t>
  </si>
  <si>
    <t>C:\jenkins-devops\workspace\kw_bll_ui\content\device\configurator\bll\adaptor\EdcApplicationProxy.cpp</t>
  </si>
  <si>
    <t>C:\jenkins-devops\workspace\kw_bll_ui\content\device\configurator\bll\adaptor\EdcApplicationProxy.h</t>
  </si>
  <si>
    <t>C:\jenkins-devops\workspace\kw_bll_ui\content\device\configurator\bll\adaptor\mps\DutHandle.cpp</t>
  </si>
  <si>
    <t>C:\jenkins-devops\workspace\kw_bll_ui\content\device\configurator\bll\adaptor\mps\DutSocket.cpp</t>
  </si>
  <si>
    <t>C:\jenkins-devops\workspace\kw_bll_ui\content\device\configurator\bll\adaptor\Session.cpp</t>
  </si>
  <si>
    <t>C:\jenkins-devops\workspace\kw_bll_ui\content\device\configurator\bll\adaptor\vmware\stdsoap2.cpp</t>
  </si>
  <si>
    <t>C:\jenkins-devops\workspace\kw_bll_ui\content\device\configurator\bll\src\config\EDCPortStatsObject.cpp</t>
  </si>
  <si>
    <t>C:\jenkins-devops\workspace\kw_bll_ui\content\device\configurator\bll\src\EDCObjectObserver.cpp</t>
  </si>
  <si>
    <t>C:\jenkins-devops\workspace\kw_bll_ui\content\device\configurator\bll\src\ExternalDeviceOption.cpp</t>
  </si>
  <si>
    <t>C:\jenkins-devops\workspace\kw_bll_ui\content\routing\bgp\bll\src\BgpLsNonBackboneRouteGenerator.cpp</t>
  </si>
  <si>
    <t>C:\jenkins-devops\workspace\kw_bll_ui\content\routing\bgp\bll\src\BgpRouteGenParams.cpp</t>
  </si>
  <si>
    <t>C:\jenkins-devops\workspace\kw_bll_ui\content\routing\eoam\bll\src\EoamOnValidate.cpp</t>
  </si>
  <si>
    <t>C:\jenkins-devops\workspace\kw_bll_ui\content\routing\isis\bll\src\IsisRouterConfig.cpp</t>
  </si>
  <si>
    <t>C:\jenkins-devops\workspace\kw_bll_ui\content\routing\linkoam\bll\src\LinkOamEventLogCommand.cpp</t>
  </si>
  <si>
    <t>C:\jenkins-devops\workspace\kw_bll_ui\content\routing\linkoam\bll\src\LinkOamGenerateVariableRequestsCommand.cpp</t>
  </si>
  <si>
    <t>C:\jenkins-devops\workspace\kw_bll_ui\content\routing\linkoam\bll\src\LinkOamGenerateVariableResponsesCommand.cpp</t>
  </si>
  <si>
    <t>C:\jenkins-devops\workspace\kw_bll_ui\content\routing\linkoam\bll\src\LinkOamOnApply.cpp</t>
  </si>
  <si>
    <t>C:\jenkins-devops\workspace\kw_bll_ui\content\routing\linkoam\bll\src\LinkOamVariableResponseConfig.cpp</t>
  </si>
  <si>
    <t>C:\jenkins-devops\workspace\kw_bll_ui\content\routing\mplstpoam\bll\src\MplsTpOamCcRemoteResultsCommand.cpp</t>
  </si>
  <si>
    <t>C:\jenkins-devops\workspace\kw_bll_ui\content\routing\mplstpoam\bll\src\MplsTpOamDetailedResultsCommand.cpp</t>
  </si>
  <si>
    <t>C:\jenkins-devops\workspace\kw_bll_ui\content\routing\mplstpoam\bll\src\MplsTpOamDmDetailedResultsCommand.cpp</t>
  </si>
  <si>
    <t>C:\jenkins-devops\workspace\kw_bll_ui\content\routing\mplstpoam\bll\src\MplsTpOamLbDetailedResultsCommand.cpp</t>
  </si>
  <si>
    <t>C:\jenkins-devops\workspace\kw_bll_ui\content\routing\mplstpoam\bll\src\MplsTpOamLmDetailedResultsCommand.cpp</t>
  </si>
  <si>
    <t>C:\jenkins-devops\workspace\kw_bll_ui\content\routing\mplstpoam\bll\src\MplsTpOamMegResults.cpp</t>
  </si>
  <si>
    <t>C:\jenkins-devops\workspace\kw_bll_ui\content\routing\ospfv2\bll\src\Ospfv2RouterConfig.cpp</t>
  </si>
  <si>
    <t>C:\jenkins-devops\workspace\kw_bll_ui\content\routing\ospfv2\bll\src\Ospfv2RouteTopologyGenerator.cpp</t>
  </si>
  <si>
    <t>C:\jenkins-devops\workspace\kw_bll_ui\content\routing\ospfv3\bll\include\Ospfv3LsaCache.h</t>
  </si>
  <si>
    <t>C:\jenkins-devops\workspace\kw_bll_ui\content\routing\ospfv3\bll\src\Ospfv3RouteTopologyGenerator.cpp</t>
  </si>
  <si>
    <t>C:\jenkins-devops\workspace\kw_bll_ui\content\routing\pbbwizard\bll\src\PbbGenCommand.cpp</t>
  </si>
  <si>
    <t>C:\jenkins-devops\workspace\kw_bll_ui\content\routing\pbbwizard\bll\src\PbbGenConfigExpandCommand.cpp</t>
  </si>
  <si>
    <t>C:\jenkins-devops\workspace\kw_bll_ui\content\routing\pbbwizard\bll\src\PbbGen.cpp</t>
  </si>
  <si>
    <t>C:\jenkins-devops\workspace\kw_bll_ui\content\routing\rtgconvergence\bll\src\ConvergenceProtocolBase.cpp</t>
  </si>
  <si>
    <t>C:\jenkins-devops\workspace\kw_bll_ui\content\routing\rtgconvergence\bll\src\RoutingConvergenceInjectCommand.cpp</t>
  </si>
  <si>
    <t>C:\jenkins-devops\workspace\kw_bll_ui\content\routing\rtgconvergence\bll\src\RoutingConvergenceMeasurementProvider.cpp</t>
  </si>
  <si>
    <t>C:\jenkins-devops\workspace\kw_bll_ui\content\routing\rtgconvergence\bll\src\RoutingConvergenceSetupCommand.cpp</t>
  </si>
  <si>
    <t>C:\jenkins-devops\workspace\kw_bll_ui\content\routing\rtgcore\bll\src\Results\RoutingResultCollector.cpp</t>
  </si>
  <si>
    <t>C:\jenkins-devops\workspace\kw_bll_ui\content\routing\rtgcore\bll\src\Results\RoutingResultHandlerAssistant.cpp</t>
  </si>
  <si>
    <t>C:\jenkins-devops\workspace\kw_bll_ui\content\routing\rtgutframework\bll\include\RtgILSimulator.h</t>
  </si>
  <si>
    <t>C:\jenkins-devops\workspace\kw_bll_ui\content\routing\rtgutframework\bll\include\RtgProtocolSimulator.h</t>
  </si>
  <si>
    <t>C:\jenkins-devops\workspace\kw_bll_ui\content\routing\rtgwizard\bll\include\RtgTestGenProtocolHelper.h</t>
  </si>
  <si>
    <t>C:\jenkins-devops\workspace\kw_bll_ui\content\routing\rtgwizard\bll\src\McastGenConfig.cpp</t>
  </si>
  <si>
    <t>C:\jenkins-devops\workspace\kw_bll_ui\content\routing\rtgwizard\bll\src\MplsLdpGen.cpp</t>
  </si>
  <si>
    <t>C:\jenkins-devops\workspace\kw_bll_ui\content\routing\rtgwizard\bll\src\MplsRsvpGen.cpp</t>
  </si>
  <si>
    <t>C:\jenkins-devops\workspace\kw_bll_ui\content\routing\rtgwizard\bll\src\ProviderTestGen.cpp</t>
  </si>
  <si>
    <t>C:\jenkins-devops\workspace\kw_bll_ui\content\routing\rtgwizard\bll\src\RsvpFrrDutPlrMp.cpp</t>
  </si>
  <si>
    <t>C:\jenkins-devops\workspace\kw_bll_ui\content\routing\rtgwizard\bll\src\RtgTestGenDut.cpp</t>
  </si>
  <si>
    <t>C:\jenkins-devops\workspace\kw_bll_ui\content\routing\twamp\bll\src\TwampProtocolConfig.cpp</t>
  </si>
  <si>
    <t>C:\jenkins-devops\workspace\kw_bll_ui\content\routing\twamp\bll\test\testtwamp\TwampILSimulator.h</t>
  </si>
  <si>
    <t>C:\jenkins-devops\workspace\kw_bll_ui\content\routing\twamp\bll\test\testtwamp\TwampProtocolSimulator.h</t>
  </si>
  <si>
    <t>C:\jenkins-devops\workspace\kw_bll_ui\content\routing\vpn\bll\src\VpnGen.cpp</t>
  </si>
  <si>
    <t>C:\jenkins-devops\workspace\kw_bll_ui\content\routing\vpn\bll\src\VpnMplsTpGen.cpp</t>
  </si>
  <si>
    <t>C:\jenkins-devops\workspace\kw_bll_ui\content\sample\cars\bll\include\OnStarConfig.h</t>
  </si>
  <si>
    <t>C:\jenkins-devops\workspace\kw_bll_ui\content\sample\cars\bll\src\DynamicResultProvider.cpp</t>
  </si>
  <si>
    <t>C:\jenkins-devops\workspace\kw_bll_ui\content\sample\cars\bll\src\MessageFloodCommand.cpp</t>
  </si>
  <si>
    <t>C:\jenkins-devops\workspace\kw_bll_ui\content\traffic\l4l7\bll\include\DpgFlow.h</t>
  </si>
  <si>
    <t>C:\jenkins-devops\workspace\kw_bll_ui\content\traffic\l4l7\bll\include\DpgLoadPlaylistCommand.h</t>
  </si>
  <si>
    <t>C:\jenkins-devops\workspace\kw_bll_ui\content\traffic\l4l7\bll\include\L4L7ProtocolConfigBase.h</t>
  </si>
  <si>
    <t>C:\jenkins-devops\workspace\kw_bll_ui\content\traffic\l4l7\bll\include\NpeProtocol.h</t>
  </si>
  <si>
    <t>C:\jenkins-devops\workspace\kw_bll_ui\content\traffic\l4l7\bll\include\RFactor.h</t>
  </si>
  <si>
    <t>C:\jenkins-devops\workspace\kw_bll_ui\content\traffic\l4l7\bll\src\common\PcapConverter.cpp</t>
  </si>
  <si>
    <t>C:\jenkins-devops\workspace\kw_bll_ui\content\traffic\l4l7\bll\src\common\results\L4L7GenericResultCollector.cpp</t>
  </si>
  <si>
    <t>C:\jenkins-devops\workspace\kw_bll_ui\content\traffic\l4l7\bll\src\common\results\L4L7GenericResultHandlerAssistant.cpp</t>
  </si>
  <si>
    <t>C:\jenkins-devops\workspace\kw_bll_ui\content\traffic\l4l7\bll\src\npe\NpeClientProtocolConfig.cpp</t>
  </si>
  <si>
    <t>C:\jenkins-devops\workspace\kw_bll_ui\content\traffic\l4l7\bll\src\npe\NpeProtocol.cpp</t>
  </si>
  <si>
    <t>C:\jenkins-devops\workspace\kw_bll_ui\content\traffic\l4l7\bll\src\sip\SipCreateDataPlaneCommand.cpp</t>
  </si>
  <si>
    <t>C:\jenkins-devops\workspace\kw_bll_ui\framework\bll\base\src\command\ConfigPropertiesCommand.cpp</t>
  </si>
  <si>
    <t>C:\jenkins-devops\workspace\kw_bll_ui\framework\bll\base\src\task\TaskManager.cpp</t>
  </si>
  <si>
    <t>C:\jenkins-devops\workspace\kw_bll_ui\framework\bll\core\src\command\GenericExecutionCommand.cpp</t>
  </si>
  <si>
    <t>C:\jenkins-devops\workspace\kw_bll_ui\framework\bll\core\src\command\GetStakCommandsMetaDataCommand.cpp</t>
  </si>
  <si>
    <t>C:\jenkins-devops\workspace\kw_bll_ui\framework\bll\core\src\command\PfcMeasureResponseTimeCommand.cpp</t>
  </si>
  <si>
    <t>C:\jenkins-devops\workspace\kw_bll_ui\framework\bll\core\src\devicegen\DeviceGen.cpp</t>
  </si>
  <si>
    <t>C:\jenkins-devops\workspace\kw_bll_ui\framework\bll\core\src\GreIfBaseResultHandlerAssistant.cpp</t>
  </si>
  <si>
    <t>C:\jenkins-devops\workspace\kw_bll_ui\framework\bll\core\src\messenger\DeviceServerImpl.cpp</t>
  </si>
  <si>
    <t>C:\jenkins-devops\workspace\kw_bll_ui\framework\bll\core\src\messenger\PhxRpcSession.cpp</t>
  </si>
  <si>
    <t>C:\jenkins-devops\workspace\kw_bll_ui\framework\bll\core\src\phy\Ieee80211Phy.cpp</t>
  </si>
  <si>
    <t>C:\jenkins-devops\workspace\kw_bll_ui\framework\bll\core\src\physicalchassis\ManagePortGroupImpl.cpp</t>
  </si>
  <si>
    <t>C:\jenkins-devops\workspace\kw_bll_ui\framework\bll\core\src\PropertyChainingConfig.cpp</t>
  </si>
  <si>
    <t>C:\jenkins-devops\workspace\kw_bll_ui\framework\bll\core\src\result\CoreIlResultsNotificationManager.cpp</t>
  </si>
  <si>
    <t>C:\jenkins-devops\workspace\kw_bll_ui\framework\bll\core\src\util\CoreRpcSimulator.cpp</t>
  </si>
  <si>
    <t>C:\jenkins-devops\workspace\kw_bll_ui\framework\bll\pl\bll\include\StakCommandRunHandler.h</t>
  </si>
  <si>
    <t>C:\jenkins-devops\workspace\kw_bll_ui\framework\common\lib\phxrpc\tm_creator.cpp</t>
  </si>
  <si>
    <t>C:\jenkins-devops\workspace\kw_bll_ui\framework\common\lib\phxrpc\tm_struct.cpp</t>
  </si>
  <si>
    <t>C:\jenkins-devops\workspace\kw_bll_ui\framework\common\lib\xmlstream\XmlStreamParser.cpp</t>
  </si>
  <si>
    <t>C:\jenkins-devops\workspace\kw_bll_ui\framework\ui\automation\PlInterface\sPythonPl\sPython_wrap.cxx</t>
  </si>
  <si>
    <t>C:\jenkins-devops\workspace\kw_bll_ui\framework\ui\automation\sal\src\BllStringSalFacade.cpp</t>
  </si>
  <si>
    <t>C:\jenkins-devops\workspace\kw_bll_ui\framework\ui\automation\sal\src\FileTransferManager.cpp</t>
  </si>
  <si>
    <t>C:\jenkins-devops\workspace\kw_bll_ui\framework\ui\automation\sal\src\SalCommands.cpp</t>
  </si>
  <si>
    <t>C:\jenkins-devops\workspace\kw_bll_ui\framework\ui\automation\sal\src\SalImpl.cpp</t>
  </si>
  <si>
    <t>C:\jenkins-devops\workspace\kw_bll_ui\framework\ui\automation\sJava\stcJNI.cpp</t>
  </si>
  <si>
    <t>C:\jenkins-devops\workspace\kw_bll_ui\content\access\accesscore\ui\IntervalTree.cs</t>
  </si>
  <si>
    <t>C:\jenkins-devops\workspace\kw_bll_ui\content\access\accesstest\ui\Wizard\AccessConcentrator\AccessConcentratorTrafficPage.cs</t>
  </si>
  <si>
    <t>C:\jenkins-devops\workspace\kw_bll_ui\content\access\accesstest\ui\Wizard\AncpAcccessLoopGen\AncpAccessLoopWizard.cs</t>
  </si>
  <si>
    <t>C:\jenkins-devops\workspace\kw_bll_ui\content\access\ancp\ui\AncpTlvUtil.cs</t>
  </si>
  <si>
    <t>C:\jenkins-devops\workspace\kw_bll_ui\content\access\ancp\ui\Commands\AncpLoopProfileCreateCommand.cs</t>
  </si>
  <si>
    <t>C:\jenkins-devops\workspace\kw_bll_ui\content\access\ancp\ui\Controls\AncpLineProfileSelectionEditor.cs</t>
  </si>
  <si>
    <t>C:\jenkins-devops\workspace\kw_bll_ui\content\access\ancp\ui\Controls\AncpMapSubscriberCommandEditor.cs</t>
  </si>
  <si>
    <t>C:\jenkins-devops\workspace\kw_bll_ui\content\access\ancp\ui\Controls\AncpUnMapSubscriberCommandEditor.cs</t>
  </si>
  <si>
    <t>C:\jenkins-devops\workspace\kw_bll_ui\content\access\dhcpv6\ui\Dhcpv6InteractiveWorkItemExtension.cs</t>
  </si>
  <si>
    <t>C:\jenkins-devops\workspace\kw_bll_ui\content\access\dot1x\ui\Commands\Dot1xDownloadCertificatesCommand.cs</t>
  </si>
  <si>
    <t>C:\jenkins-devops\workspace\kw_bll_ui\content\access\dot1x\ui\Dot1xInteractiveWorkItemExtension.cs</t>
  </si>
  <si>
    <t>C:\jenkins-devops\workspace\kw_bll_ui\content\access\dot1x\ui\Wizard\Dot1xHostGenPanel.cs</t>
  </si>
  <si>
    <t>C:\jenkins-devops\workspace\kw_bll_ui\content\access\l2tp\ui\Commands\L2tpNodeInfoCommand.cs</t>
  </si>
  <si>
    <t>C:\jenkins-devops\workspace\kw_bll_ui\content\access\l2tp\ui\Commands\L2tpSessionInfoCommand.cs</t>
  </si>
  <si>
    <t>C:\jenkins-devops\workspace\kw_bll_ui\content\access\l2tp\ui\Commands\L2tpTunnelInfoCommand.cs</t>
  </si>
  <si>
    <t>C:\jenkins-devops\workspace\kw_bll_ui\content\access\l2tp\ui\View\L2tpHostCountEditor.cs</t>
  </si>
  <si>
    <t>C:\jenkins-devops\workspace\kw_bll_ui\content\admin\admin\ui\Equipment\Commands\ConfigLinkDiscoveryModeCommand.cs</t>
  </si>
  <si>
    <t>C:\jenkins-devops\workspace\kw_bll_ui\content\admin\admin\ui\Equipment\Commands\GetEquipmentLogsCommand.cs</t>
  </si>
  <si>
    <t>C:\jenkins-devops\workspace\kw_bll_ui\content\admin\admin\ui\Equipment\Commands\PortGroupSizeCommand.cs</t>
  </si>
  <si>
    <t>C:\jenkins-devops\workspace\kw_bll_ui\content\admin\admin\ui\Equipment\TimeSync.cs</t>
  </si>
  <si>
    <t>C:\jenkins-devops\workspace\kw_bll_ui\content\admin\admin\ui\Firmware\FirmwareInstallForm.cs</t>
  </si>
  <si>
    <t>C:\jenkins-devops\workspace\kw_bll_ui\content\admin\admin\ui\L1Tool\L1ToolFormCommand.cs</t>
  </si>
  <si>
    <t>C:\jenkins-devops\workspace\kw_bll_ui\content\admin\admin\ui\L1Tool\L1ToolForm.cs</t>
  </si>
  <si>
    <t>C:\jenkins-devops\workspace\kw_bll_ui\content\admin\admin\ui\Licensing\Commands\InstallLicenseCommand.cs</t>
  </si>
  <si>
    <t>C:\jenkins-devops\workspace\kw_bll_ui\content\admin\admin\ui\Licensing\Commands\UploadLicenseCommand.cs</t>
  </si>
  <si>
    <t>C:\jenkins-devops\workspace\kw_bll_ui\content\admin\admin\ui\Licensing\Licensing.cs</t>
  </si>
  <si>
    <t>C:\jenkins-devops\workspace\kw_bll_ui\content\admin\admin\ui\Licensing\LicensingWorkItemExtension.cs</t>
  </si>
  <si>
    <t>C:\jenkins-devops\workspace\kw_bll_ui\content\device\configurator\ui\Commands\ChangCaptionCommand.cs</t>
  </si>
  <si>
    <t>C:\jenkins-devops\workspace\kw_bll_ui\content\device\configurator\ui\Commands\LaunchITestCommand.cs</t>
  </si>
  <si>
    <t>C:\jenkins-devops\workspace\kw_bll_ui\content\device\configurator\ui\Commands\ManageCommandMappingCommand.cs</t>
  </si>
  <si>
    <t>C:\jenkins-devops\workspace\kw_bll_ui\content\device\configurator\ui\Controls\DeviceCommanderOptions.cs</t>
  </si>
  <si>
    <t>C:\jenkins-devops\workspace\kw_bll_ui\content\device\configurator\ui\DutInteractiveWorkItemExtension.cs</t>
  </si>
  <si>
    <t>C:\jenkins-devops\workspace\kw_bll_ui\content\device\configurator\ui\Forms\AddDutForm.designer.cs</t>
  </si>
  <si>
    <t>C:\jenkins-devops\workspace\kw_bll_ui\content\device\configurator\ui\Forms\ManageCommandMappingForm.cs</t>
  </si>
  <si>
    <t>C:\jenkins-devops\workspace\kw_bll_ui\content\device\configurator\ui\Forms\SelectDutForm.designer.cs</t>
  </si>
  <si>
    <t>C:\jenkins-devops\workspace\kw_bll_ui\content\routing\bgp\ui\BgpInteractiveWorkItemExtension.cs</t>
  </si>
  <si>
    <t>C:\jenkins-devops\workspace\kw_bll_ui\content\routing\bgp\ui\Forms\MultiColumnCollectionEditorForm.designer.cs</t>
  </si>
  <si>
    <t>C:\jenkins-devops\workspace\kw_bll_ui\content\routing\bgp\ui\ProxyObjects\BgpMvpnType1RouteConfigProxy.cs</t>
  </si>
  <si>
    <t>C:\jenkins-devops\workspace\kw_bll_ui\content\routing\bgp\ui\Wizard\RouteTopology\BgpRouteGenWizard.cs</t>
  </si>
  <si>
    <t>C:\jenkins-devops\workspace\kw_bll_ui\content\routing\eoam\ui\Commands\EditMegCommand.cs</t>
  </si>
  <si>
    <t>C:\jenkins-devops\workspace\kw_bll_ui\content\routing\eoam\ui\Commands\PreviewTopologyCommand.cs</t>
  </si>
  <si>
    <t>C:\jenkins-devops\workspace\kw_bll_ui\content\routing\eoam\ui\Controls\EoamChangeRxEnableCommandControl.cs</t>
  </si>
  <si>
    <t>C:\jenkins-devops\workspace\kw_bll_ui\content\routing\eoam\ui\Controls\EoamOptionsControl.cs</t>
  </si>
  <si>
    <t>C:\jenkins-devops\workspace\kw_bll_ui\content\routing\eoam\ui\Controls\EoamStartAisEditorControl.cs</t>
  </si>
  <si>
    <t>C:\jenkins-devops\workspace\kw_bll_ui\content\routing\eoam\ui\Controls\EoamStartCcEditorControl.cs</t>
  </si>
  <si>
    <t>C:\jenkins-devops\workspace\kw_bll_ui\content\routing\eoam\ui\Controls\EoamStartCcGroupEditorControl.cs</t>
  </si>
  <si>
    <t>C:\jenkins-devops\workspace\kw_bll_ui\content\routing\eoam\ui\Controls\EoamStartDelayMeasurementControl.cs</t>
  </si>
  <si>
    <t>C:\jenkins-devops\workspace\kw_bll_ui\content\routing\eoam\ui\Controls\EoamStartLckEditorControl.cs</t>
  </si>
  <si>
    <t>C:\jenkins-devops\workspace\kw_bll_ui\content\routing\eoam\ui\Controls\EoamStartLinkTraceEditorControl.cs</t>
  </si>
  <si>
    <t>C:\jenkins-devops\workspace\kw_bll_ui\content\routing\eoam\ui\Controls\EoamStartLoopbackEditorControl.cs</t>
  </si>
  <si>
    <t>C:\jenkins-devops\workspace\kw_bll_ui\content\routing\eoam\ui\Controls\EoamStartLossMeasurementControl.cs</t>
  </si>
  <si>
    <t>C:\jenkins-devops\workspace\kw_bll_ui\content\routing\eoam\ui\Controls\EoamStartSlmControl.cs</t>
  </si>
  <si>
    <t>C:\jenkins-devops\workspace\kw_bll_ui\content\routing\eoam\ui\EoamHelperClasses.cs</t>
  </si>
  <si>
    <t>C:\jenkins-devops\workspace\kw_bll_ui\content\routing\eoam\ui\EoamInteractiveWorkItemExtension.cs</t>
  </si>
  <si>
    <t>C:\jenkins-devops\workspace\kw_bll_ui\content\routing\eoam\ui\Views\EoamDetailedLinkTraceResultsForm.cs</t>
  </si>
  <si>
    <t>C:\jenkins-devops\workspace\kw_bll_ui\content\routing\eoam\ui\Views\EoamMegForm.cs</t>
  </si>
  <si>
    <t>C:\jenkins-devops\workspace\kw_bll_ui\content\routing\eoam\ui\Views\EoamMpChildrenForm.cs</t>
  </si>
  <si>
    <t>C:\jenkins-devops\workspace\kw_bll_ui\content\routing\eoam\ui\Views\EoamPreviewNextHopsForm.cs</t>
  </si>
  <si>
    <t>C:\jenkins-devops\workspace\kw_bll_ui\content\routing\eoam\ui\Views\EoamPreviewTopologyForm.cs</t>
  </si>
  <si>
    <t>C:\jenkins-devops\workspace\kw_bll_ui\content\routing\eoam\ui\Views\EoamStartCcForm.cs</t>
  </si>
  <si>
    <t>C:\jenkins-devops\workspace\kw_bll_ui\content\routing\eoam\ui\Views\EoamTlvEditor.cs</t>
  </si>
  <si>
    <t>C:\jenkins-devops\workspace\kw_bll_ui\content\routing\eoam\ui\Views\MacAddressForm.cs</t>
  </si>
  <si>
    <t>C:\jenkins-devops\workspace\kw_bll_ui\content\routing\eoam\ui\Wizard\EoamDutPage.designer.cs</t>
  </si>
  <si>
    <t>C:\jenkins-devops\workspace\kw_bll_ui\content\routing\eoam\ui\Wizard\EoamRemoteMepCalculator.cs</t>
  </si>
  <si>
    <t>C:\jenkins-devops\workspace\kw_bll_ui\content\routing\eoam\ui\Wizard\EoamScaleModePage.cs</t>
  </si>
  <si>
    <t>C:\jenkins-devops\workspace\kw_bll_ui\content\routing\eoam\ui\Wizard\EoamScaleModePage.designer.cs</t>
  </si>
  <si>
    <t>C:\jenkins-devops\workspace\kw_bll_ui\content\routing\eoam\ui\Wizard\EoamTopoPage.designer.cs</t>
  </si>
  <si>
    <t>C:\jenkins-devops\workspace\kw_bll_ui\content\routing\ldp\ui\Forms\LdpMacAddrListEditor.cs</t>
  </si>
  <si>
    <t>C:\jenkins-devops\workspace\kw_bll_ui\content\routing\ldp\ui\LdpInteractiveWorkItemExtension.cs</t>
  </si>
  <si>
    <t>C:\jenkins-devops\workspace\kw_bll_ui\content\routing\ldp\ui\ProxyObjects\PseudoWireLspProxy.cs</t>
  </si>
  <si>
    <t>C:\jenkins-devops\workspace\kw_bll_ui\content\routing\linkoam\ui\Commands\ResumeLinkOamCommand.cs</t>
  </si>
  <si>
    <t>C:\jenkins-devops\workspace\kw_bll_ui\content\routing\linkoam\ui\Commands\StartEventNotificationCommand.cs</t>
  </si>
  <si>
    <t>C:\jenkins-devops\workspace\kw_bll_ui\content\routing\linkoam\ui\Commands\StartLinkOamCommand.cs</t>
  </si>
  <si>
    <t>C:\jenkins-devops\workspace\kw_bll_ui\content\routing\linkoam\ui\Commands\StartOrgSpecPduCommand.cs</t>
  </si>
  <si>
    <t>C:\jenkins-devops\workspace\kw_bll_ui\content\routing\linkoam\ui\Commands\StartVariableRequestCommand.cs</t>
  </si>
  <si>
    <t>C:\jenkins-devops\workspace\kw_bll_ui\content\routing\linkoam\ui\Commands\ViewEventNotificationResultsCommand.cs</t>
  </si>
  <si>
    <t>C:\jenkins-devops\workspace\kw_bll_ui\content\routing\linkoam\ui\Controls\LinkOamCriticalEventsSelectionEditor.cs</t>
  </si>
  <si>
    <t>C:\jenkins-devops\workspace\kw_bll_ui\content\routing\linkoam\ui\Controls\LinkOamTxOptionsSelectionEditor.cs</t>
  </si>
  <si>
    <t>C:\jenkins-devops\workspace\kw_bll_ui\content\routing\linkoam\ui\LinkOamInteractiveWorkItemExtension.cs</t>
  </si>
  <si>
    <t>C:\jenkins-devops\workspace\kw_bll_ui\content\routing\linkoam\ui\Views\LinkOamRouterConfigForm.cs</t>
  </si>
  <si>
    <t>C:\jenkins-devops\workspace\kw_bll_ui\content\routing\linkoam\ui\Views\LinkOamVariableRequestsForm.cs</t>
  </si>
  <si>
    <t>C:\jenkins-devops\workspace\kw_bll_ui\content\routing\mplstpoam\ui\Control\MplsTpOamStartCommandControl.cs</t>
  </si>
  <si>
    <t>C:\jenkins-devops\workspace\kw_bll_ui\content\routing\mplstpoam\ui\Control\MplsTpOamStartCsfCommandControl.cs</t>
  </si>
  <si>
    <t>C:\jenkins-devops\workspace\kw_bll_ui\content\routing\mplstpoam\ui\Control\MplsTpOamStartSourceTargetCommandControl.cs</t>
  </si>
  <si>
    <t>C:\jenkins-devops\workspace\kw_bll_ui\content\routing\ospfv2\ui\Commands\NewEroCommand.cs</t>
  </si>
  <si>
    <t>C:\jenkins-devops\workspace\kw_bll_ui\content\routing\ospfv2\ui\Forms\EroObjects.cs</t>
  </si>
  <si>
    <t>C:\jenkins-devops\workspace\kw_bll_ui\content\routing\ospfv2\ui\Ospfv2LinkTlvTeParams.cs</t>
  </si>
  <si>
    <t>C:\jenkins-devops\workspace\kw_bll_ui\content\routing\ospfv2\ui\Ospfv2RouterConfigTeParams.cs</t>
  </si>
  <si>
    <t>C:\jenkins-devops\workspace\kw_bll_ui\content\routing\ospfv2\ui\ProxyObjects\RouterLsaProxy.cs</t>
  </si>
  <si>
    <t>C:\jenkins-devops\workspace\kw_bll_ui\content\routing\ospfv2\ui\Wizard\RouteTopology\Ospfv2LsaGenProtocolParamsPage.cs</t>
  </si>
  <si>
    <t>C:\jenkins-devops\workspace\kw_bll_ui\content\routing\pim\ui\Commands\NewIpGroupsCommand.cs</t>
  </si>
  <si>
    <t>C:\jenkins-devops\workspace\kw_bll_ui\content\routing\rip\ui\Commands\NewIpRouteCommand.cs</t>
  </si>
  <si>
    <t>C:\jenkins-devops\workspace\kw_bll_ui\content\routing\rsvp\ui\Commands\EditEroRroCommand.cs</t>
  </si>
  <si>
    <t>C:\jenkins-devops\workspace\kw_bll_ui\content\routing\rsvp\ui\Commands\NewEroRroCommand.cs</t>
  </si>
  <si>
    <t>C:\jenkins-devops\workspace\kw_bll_ui\content\routing\rsvp\ui\Forms\CustomTlvForm.cs</t>
  </si>
  <si>
    <t>C:\jenkins-devops\workspace\kw_bll_ui\content\routing\rsvp\ui\Forms\DetourObjects.cs</t>
  </si>
  <si>
    <t>C:\jenkins-devops\workspace\kw_bll_ui\content\routing\rsvp\ui\Forms\EroSubObjects.cs</t>
  </si>
  <si>
    <t>C:\jenkins-devops\workspace\kw_bll_ui\content\routing\rsvp\ui\Forms\GmplsParamsForm.cs</t>
  </si>
  <si>
    <t>C:\jenkins-devops\workspace\kw_bll_ui\content\routing\rsvp\ui\Forms\IngressSubLsps.cs</t>
  </si>
  <si>
    <t>C:\jenkins-devops\workspace\kw_bll_ui\content\routing\rsvp\ui\Forms\OptionsEditorForm.designer.cs</t>
  </si>
  <si>
    <t>C:\jenkins-devops\workspace\kw_bll_ui\content\routing\rsvp\ui\Forms\RecordedRouteSubObjects.cs</t>
  </si>
  <si>
    <t>C:\jenkins-devops\workspace\kw_bll_ui\content\routing\rsvp\ui\Forms\TSpecsEditorForm.designer.cs</t>
  </si>
  <si>
    <t>C:\jenkins-devops\workspace\kw_bll_ui\content\routing\rsvp\ui\ProxyObjects\RsvpEgressTunnelParamsProxy.cs</t>
  </si>
  <si>
    <t>C:\jenkins-devops\workspace\kw_bll_ui\content\routing\rsvp\ui\ProxyObjects\RsvpRouterConfigProxy.cs</t>
  </si>
  <si>
    <t>C:\jenkins-devops\workspace\kw_bll_ui\content\routing\rtgcore\ui\Commands\EditIndirectlyConnected.cs</t>
  </si>
  <si>
    <t>C:\jenkins-devops\workspace\kw_bll_ui\content\routing\rtgcore\ui\Commands\NewGrandChildrenCommand.cs</t>
  </si>
  <si>
    <t>C:\jenkins-devops\workspace\kw_bll_ui\content\routing\rtgcore\ui\Commands\NewMplsBindCommand.cs</t>
  </si>
  <si>
    <t>C:\jenkins-devops\workspace\kw_bll_ui\content\routing\rtgcore\ui\Commands\NewMplsLookUpEntryCommand.cs</t>
  </si>
  <si>
    <t>C:\jenkins-devops\workspace\kw_bll_ui\content\routing\rtgcore\ui\Commands\NewTpStaticBindCommand.cs</t>
  </si>
  <si>
    <t>C:\jenkins-devops\workspace\kw_bll_ui\content\routing\rtgcore\ui\Controls\HexBox\HexBox.cs</t>
  </si>
  <si>
    <t>C:\jenkins-devops\workspace\kw_bll_ui\content\routing\rtgcore\ui\Controls\LinearProtectionLspControl.cs</t>
  </si>
  <si>
    <t>C:\jenkins-devops\workspace\kw_bll_ui\content\routing\rtgcore\ui\Controls\MplsBindingFiltersEditor.cs</t>
  </si>
  <si>
    <t>C:\jenkins-devops\workspace\kw_bll_ui\content\routing\rtgcore\ui\Controls\MplsBindingsView.cs</t>
  </si>
  <si>
    <t>C:\jenkins-devops\workspace\kw_bll_ui\content\routing\rtgcore\ui\Controls\MplsBind\MplsSegmentRoutingBindControl.cs</t>
  </si>
  <si>
    <t>C:\jenkins-devops\workspace\kw_bll_ui\content\routing\rtgcore\ui\Forms\ExportFecBindingsCommandEditor.cs</t>
  </si>
  <si>
    <t>C:\jenkins-devops\workspace\kw_bll_ui\content\routing\rtgcore\ui\Forms\MplsBindingsForm.cs</t>
  </si>
  <si>
    <t>C:\jenkins-devops\workspace\kw_bll_ui\content\routing\rtgcore\ui\Forms\MplsTpLspFaultOamConfigForm.designer.cs</t>
  </si>
  <si>
    <t>C:\jenkins-devops\workspace\kw_bll_ui\content\routing\rtgcore\ui\Forms\MplsTpPWStatusConfigForm.cs</t>
  </si>
  <si>
    <t>C:\jenkins-devops\workspace\kw_bll_ui\content\routing\rtgcore\ui\Forms\MplsTpPWStatusConfigForm.designer.cs</t>
  </si>
  <si>
    <t>C:\jenkins-devops\workspace\kw_bll_ui\content\routing\rtgcore\ui\Forms\PrefixDistDialog.cs</t>
  </si>
  <si>
    <t>C:\jenkins-devops\workspace\kw_bll_ui\content\routing\rtgcore\ui\Forms\TeParamsDialog.cs</t>
  </si>
  <si>
    <t>C:\jenkins-devops\workspace\kw_bll_ui\content\routing\rtgcore\ui\ProxyObjects\MplsTpStaticTlvConfigProxy.cs</t>
  </si>
  <si>
    <t>C:\jenkins-devops\workspace\kw_bll_ui\content\routing\rtgcore\ui\ProxyObjects\RouterConfigProxy.cs</t>
  </si>
  <si>
    <t>C:\jenkins-devops\workspace\kw_bll_ui\content\routing\rtgcore\ui\RouteViewDataSet.cs</t>
  </si>
  <si>
    <t>C:\jenkins-devops\workspace\kw_bll_ui\content\routing\rtgcore\ui\RoutingInteractiveWorkItemExtension.cs</t>
  </si>
  <si>
    <t>C:\jenkins-devops\workspace\kw_bll_ui\content\routing\rtgcore\ui\Wizard\Diagram\DiagramArrow.cs</t>
  </si>
  <si>
    <t>C:\jenkins-devops\workspace\kw_bll_ui\content\routing\rtgcore\ui\Wizard\Diagram\DiagramArrowLink.cs</t>
  </si>
  <si>
    <t>C:\jenkins-devops\workspace\kw_bll_ui\content\routing\rtgcore\ui\Wizard\Diagram\DiagramLink.cs</t>
  </si>
  <si>
    <t>C:\jenkins-devops\workspace\kw_bll_ui\content\routing\rtgcore\ui\Wizard\Diagram\EitherSideLabels.cs</t>
  </si>
  <si>
    <t>C:\jenkins-devops\workspace\kw_bll_ui\content\routing\rtgcore\ui\Wizard\RouterSelectPage.cs</t>
  </si>
  <si>
    <t>C:\jenkins-devops\workspace\kw_bll_ui\content\routing\rtgcore\ui\Wizard\RouteTopology\CreateDevicesWizardControl.designer.cs</t>
  </si>
  <si>
    <t>C:\jenkins-devops\workspace\kw_bll_ui\content\routing\rtgcore\ui\Wizard\RouteTopology\RouteTopologyWizard.cs</t>
  </si>
  <si>
    <t>C:\jenkins-devops\workspace\kw_bll_ui\content\routing\rtgwizard\ui\Wizard\Convergence\ConvergenceRoutesPage.cs</t>
  </si>
  <si>
    <t>C:\jenkins-devops\workspace\kw_bll_ui\content\routing\rtgwizard\ui\Wizard\FRR\FrrEgressSidePage.cs</t>
  </si>
  <si>
    <t>C:\jenkins-devops\workspace\kw_bll_ui\content\routing\rtgwizard\ui\Wizard\FRR\FrrExternalProcessCommandUserCtrl.cs</t>
  </si>
  <si>
    <t>C:\jenkins-devops\workspace\kw_bll_ui\content\routing\rtgwizard\ui\Wizard\FRR\FrrIngressSidePage.cs</t>
  </si>
  <si>
    <t>C:\jenkins-devops\workspace\kw_bll_ui\content\routing\rtgwizard\ui\Wizard\FRR\FrrTestSummaryPage.cs</t>
  </si>
  <si>
    <t>C:\jenkins-devops\workspace\kw_bll_ui\content\routing\rtgwizard\ui\Wizard\FRR\FrrWizard.cs</t>
  </si>
  <si>
    <t>C:\jenkins-devops\workspace\kw_bll_ui\content\routing\rtgwizard\ui\Wizard\LDP\BasicLdpWizard.cs</t>
  </si>
  <si>
    <t>C:\jenkins-devops\workspace\kw_bll_ui\content\routing\rtgwizard\ui\Wizard\LDP\LdpCustomerPortsPage.cs</t>
  </si>
  <si>
    <t>C:\jenkins-devops\workspace\kw_bll_ui\content\routing\rtgwizard\ui\Wizard\LDP\LdpProviderPortsPage.cs</t>
  </si>
  <si>
    <t>C:\jenkins-devops\workspace\kw_bll_ui\content\routing\rtgwizard\ui\Wizard\RSVP\MplsRsvpLeftSidePage.cs</t>
  </si>
  <si>
    <t>C:\jenkins-devops\workspace\kw_bll_ui\content\routing\rtgwizard\ui\Wizard\RSVP\MplsRsvpRightSidePage.cs</t>
  </si>
  <si>
    <t>C:\jenkins-devops\workspace\kw_bll_ui\content\routing\rtgwizard\ui\Wizard\RtgTestSummaryPage.cs</t>
  </si>
  <si>
    <t>C:\jenkins-devops\workspace\kw_bll_ui\content\routing\rtgwizard\ui\Wizard\RtgTestWizard.cs</t>
  </si>
  <si>
    <t>C:\jenkins-devops\workspace\kw_bll_ui\content\routing\twamp\ui\Commands\NewTwampTestSessionCommand.cs</t>
  </si>
  <si>
    <t>C:\jenkins-devops\workspace\kw_bll_ui\content\sample\cars\ui\CarsInteractiveWorkItemExtension.cs</t>
  </si>
  <si>
    <t>C:\jenkins-devops\workspace\kw_bll_ui\content\sample\cars\ui\Controls\TirePressureControl.cs</t>
  </si>
  <si>
    <t>C:\jenkins-devops\workspace\kw_bll_ui\content\sample\cars\ui\Forms\CylinderEditorForm.cs</t>
  </si>
  <si>
    <t>C:\jenkins-devops\workspace\kw_bll_ui\content\sample\cars\ui\ProxyObjects\CarProxy.cs</t>
  </si>
  <si>
    <t>C:\jenkins-devops\workspace\kw_bll_ui\content\sample\cars\ui\ProxyObjects\EngineProxy.cs</t>
  </si>
  <si>
    <t>C:\jenkins-devops\workspace\kw_bll_ui\content\traffic\l1\ui\L1PortConfigWorkItemExtension.cs</t>
  </si>
  <si>
    <t>C:\jenkins-devops\workspace\kw_bll_ui\content\traffic\l1\ui\Views\PcsErrorInsertionConfigView.cs</t>
  </si>
  <si>
    <t>C:\jenkins-devops\workspace\kw_bll_ui\content\traffic\l1\ui\Views\RandomErrorInsertionConfigView.cs</t>
  </si>
  <si>
    <t>C:\jenkins-devops\workspace\kw_bll_ui\content\traffic\l4l7\tools\ui\DpgProtocolDesigner\Controls\FlowPacketsPanel.cs</t>
  </si>
  <si>
    <t>C:\jenkins-devops\workspace\kw_bll_ui\content\traffic\l4l7\tools\ui\DpgProtocolDesigner\Data\FlowData.cs</t>
  </si>
  <si>
    <t>C:\jenkins-devops\workspace\kw_bll_ui\content\traffic\l4l7\tools\ui\DpgProtocolDesigner\Forms\DpgPduDetailEditorForm.cs</t>
  </si>
  <si>
    <t>C:\jenkins-devops\workspace\kw_bll_ui\content\traffic\l4l7\tools\ui\DpgProtocolDesigner\Forms\DpgProtocolDesignerForm.cs</t>
  </si>
  <si>
    <t>C:\jenkins-devops\workspace\kw_bll_ui\content\traffic\l4l7\tools\ui\DpgProtocolDesigner\Utilities\FlowCustomDescriptors.cs</t>
  </si>
  <si>
    <t>C:\jenkins-devops\workspace\kw_bll_ui\content\traffic\l4l7\tools\ui\DpgProtocolDesigner\Utilities\FlowDefParser.cs</t>
  </si>
  <si>
    <t>C:\jenkins-devops\workspace\kw_bll_ui\content\traffic\l4l7\tools\ui\DpgProtocolDesigner\Utilities\PcapImportUtils.cs</t>
  </si>
  <si>
    <t>C:\jenkins-devops\workspace\kw_bll_ui\content\traffic\l4l7\ui\Commands\CreateClientLoadProfileCommand.cs</t>
  </si>
  <si>
    <t>C:\jenkins-devops\workspace\kw_bll_ui\content\traffic\l4l7\ui\Commands\Dpg\LaunchDpgProtocolDesignerCommand.cs</t>
  </si>
  <si>
    <t>C:\jenkins-devops\workspace\kw_bll_ui\content\traffic\l4l7\ui\Commands\Dpg\LoadDpgPlaylistCommand.cs</t>
  </si>
  <si>
    <t>C:\jenkins-devops\workspace\kw_bll_ui\content\traffic\l4l7\ui\Commands\Dpg\ManageAllPlaylistsFormCommand.cs</t>
  </si>
  <si>
    <t>C:\jenkins-devops\workspace\kw_bll_ui\content\traffic\l4l7\ui\Commands\Dpg\SaveDpgPlaylistCommand.cs</t>
  </si>
  <si>
    <t>C:\jenkins-devops\workspace\kw_bll_ui\content\traffic\l4l7\ui\Commands\LoadClientLoadProfilesTemplateCommand.cs</t>
  </si>
  <si>
    <t>C:\jenkins-devops\workspace\kw_bll_ui\content\traffic\l4l7\ui\Commands\LoadClientProfilesTemplateCommand.cs</t>
  </si>
  <si>
    <t>C:\jenkins-devops\workspace\kw_bll_ui\content\traffic\l4l7\ui\Commands\LoadServerProfilesTemplateCommand.cs</t>
  </si>
  <si>
    <t>C:\jenkins-devops\workspace\kw_bll_ui\content\traffic\l4l7\ui\Commands\ProfilesEditorFormCommand.cs</t>
  </si>
  <si>
    <t>C:\jenkins-devops\workspace\kw_bll_ui\content\traffic\l4l7\ui\Commands\SaveAsClientProfilesTemplateCommand.cs</t>
  </si>
  <si>
    <t>C:\jenkins-devops\workspace\kw_bll_ui\content\traffic\l4l7\ui\Commands\SaveAsServerProfilesTemplateCommand.cs</t>
  </si>
  <si>
    <t>C:\jenkins-devops\workspace\kw_bll_ui\content\traffic\l4l7\ui\Controls\ActionSelectionEditor.cs</t>
  </si>
  <si>
    <t>C:\jenkins-devops\workspace\kw_bll_ui\content\traffic\l4l7\ui\FlowDefinitions.cs</t>
  </si>
  <si>
    <t>C:\jenkins-devops\workspace\kw_bll_ui\content\traffic\l4l7\ui\Forms\CifsActionListForm.cs</t>
  </si>
  <si>
    <t>C:\jenkins-devops\workspace\kw_bll_ui\content\traffic\l4l7\ui\Forms\CifsVariablesForm.cs</t>
  </si>
  <si>
    <t>C:\jenkins-devops\workspace\kw_bll_ui\content\traffic\l4l7\ui\Forms\KnownPortsForm.cs</t>
  </si>
  <si>
    <t>C:\jenkins-devops\workspace\kw_bll_ui\content\traffic\l4l7\ui\Forms\XmppvJ\CapabilityAddFilesPanel.cs</t>
  </si>
  <si>
    <t>C:\jenkins-devops\workspace\kw_bll_ui\content\traffic\l4l7\ui\KnownPorts.cs</t>
  </si>
  <si>
    <t>C:\jenkins-devops\workspace\kw_bll_ui\content\traffic\l4l7\ui\L4L7CifsInteractiveWorkItemExtension.cs</t>
  </si>
  <si>
    <t>C:\jenkins-devops\workspace\kw_bll_ui\content\traffic\l4l7\ui\L4L7DpgInteractiveWorkItemExtension.cs</t>
  </si>
  <si>
    <t>C:\jenkins-devops\workspace\kw_bll_ui\content\traffic\l4l7\ui\L4L7InteractiveWorkItemExtension.cs</t>
  </si>
  <si>
    <t>C:\jenkins-devops\workspace\kw_bll_ui\content\traffic\l4l7\ui\PlaylistDefinitions.cs</t>
  </si>
  <si>
    <t>C:\jenkins-devops\workspace\kw_bll_ui\content\traffic\l4l7\ui\ProxyObjects\CifsClientProtocolConfigProxy.cs</t>
  </si>
  <si>
    <t>C:\jenkins-devops\workspace\kw_bll_ui\content\traffic\l4l7\ui\ProxyObjects\DpgClientProtocolConfigProxy.cs</t>
  </si>
  <si>
    <t>C:\jenkins-devops\workspace\kw_bll_ui\content\traffic\l4l7\ui\ProxyObjects\FtpClientProtocolConfigProxy.cs</t>
  </si>
  <si>
    <t>C:\jenkins-devops\workspace\kw_bll_ui\content\traffic\l4l7\ui\ProxyObjects\HttpClientProtocolConfigProxy.cs</t>
  </si>
  <si>
    <t>C:\jenkins-devops\workspace\kw_bll_ui\content\traffic\l4l7\ui\ProxyObjects\RawTcpClientProtocolConfigProxy.cs</t>
  </si>
  <si>
    <t>C:\jenkins-devops\workspace\kw_bll_ui\content\traffic\l4l7\ui\Utils\Cifs\CifsCustomDescriptors.cs</t>
  </si>
  <si>
    <t>C:\jenkins-devops\workspace\kw_bll_ui\content\traffic\l4l7\ui\View\Cifs\CifsClientProfileView.cs</t>
  </si>
  <si>
    <t>C:\jenkins-devops\workspace\kw_bll_ui\content\traffic\l4l7\ui\View\ClientLoadProfileView.cs</t>
  </si>
  <si>
    <t>C:\jenkins-devops\workspace\kw_bll_ui\content\traffic\l4l7\ui\View\ClientProfileView.cs</t>
  </si>
  <si>
    <t>C:\jenkins-devops\workspace\kw_bll_ui\content\traffic\l4l7\ui\View\Dpg\DpgPlaylistDesignerPanel.cs</t>
  </si>
  <si>
    <t>C:\jenkins-devops\workspace\kw_bll_ui\content\traffic\l4l7\ui\View\Ftp\FtpServerProfileView.cs</t>
  </si>
  <si>
    <t>C:\jenkins-devops\workspace\kw_bll_ui\content\traffic\l4l7\ui\View\Http\HttpClientProfileView.cs</t>
  </si>
  <si>
    <t>C:\jenkins-devops\workspace\kw_bll_ui\content\traffic\l4l7\ui\View\Http\HttpServerProfileView.cs</t>
  </si>
  <si>
    <t>C:\jenkins-devops\workspace\kw_bll_ui\content\traffic\l4l7\ui\View\ServerProfileView.cs</t>
  </si>
  <si>
    <t>C:\jenkins-devops\workspace\kw_bll_ui\content\traffic\l4l7\ui\View\Sip\SipClientProfileView.cs</t>
  </si>
  <si>
    <t>C:\jenkins-devops\workspace\kw_bll_ui\framework\ui\Application\StcDashboard\Commands\ShowTestSessionFilesCommand.cs</t>
  </si>
  <si>
    <t>C:\jenkins-devops\workspace\kw_bll_ui\framework\ui\Application\StcDashboard\DashboardPresentationModel.cs</t>
  </si>
  <si>
    <t>C:\jenkins-devops\workspace\kw_bll_ui\framework\ui\Application\StcDashboard\DashboardTrayIcon.cs</t>
  </si>
  <si>
    <t>C:\jenkins-devops\workspace\kw_bll_ui\framework\ui\Application\StcDashboard\DashboardWorkItem.cs</t>
  </si>
  <si>
    <t>C:\jenkins-devops\workspace\kw_bll_ui\framework\ui\BLLInterface\DataModel\MetaId.cs</t>
  </si>
  <si>
    <t>C:\jenkins-devops\workspace\kw_bll_ui\framework\ui\BLLInterface\DataModel\ProxyBinder.cs</t>
  </si>
  <si>
    <t>C:\jenkins-devops\workspace\kw_bll_ui\framework\ui\BLLInterface\DataModel\ProxyBindingQuery.cs</t>
  </si>
  <si>
    <t>C:\jenkins-devops\workspace\kw_bll_ui\framework\ui\BLLInterface\DataModel\ProxyMetaCache.cs</t>
  </si>
  <si>
    <t>C:\jenkins-devops\workspace\kw_bll_ui\framework\ui\BLLInterface\DataModel\ProxyMetaData.cs</t>
  </si>
  <si>
    <t>C:\jenkins-devops\workspace\kw_bll_ui\framework\ui\BLLInterface\DataModel\ProxyPropertyDef.cs</t>
  </si>
  <si>
    <t>C:\jenkins-devops\workspace\kw_bll_ui\framework\ui\BLLInterface\DataModel\ProxyPropertySet.cs</t>
  </si>
  <si>
    <t>C:\jenkins-devops\workspace\kw_bll_ui\framework\ui\BLLInterface\DataModel\RelationType.cs</t>
  </si>
  <si>
    <t>C:\jenkins-devops\workspace\kw_bll_ui\framework\ui\BLLInterface\DataModel\StcHandle.cs</t>
  </si>
  <si>
    <t>C:\jenkins-devops\workspace\kw_bll_ui\framework\ui\BLLInterface\FileTransfer\FileTransferList.cs</t>
  </si>
  <si>
    <t>C:\jenkins-devops\workspace\kw_bll_ui\framework\ui\BLLInterface\ProxyObjects\AddResultChartQueryFromResultObjectCommandProxy.cs</t>
  </si>
  <si>
    <t>C:\jenkins-devops\workspace\kw_bll_ui\framework\ui\BLLInterface\ProxyObjects\ApplyToILCommandProxy.cs</t>
  </si>
  <si>
    <t>C:\jenkins-devops\workspace\kw_bll_ui\framework\ui\BLLInterface\ProxyObjects\CSTestSessionProxy.cs</t>
  </si>
  <si>
    <t>C:\jenkins-devops\workspace\kw_bll_ui\framework\ui\BLLInterface\ProxyObjects\DeviceGenAal5IfParamsProxy.cs</t>
  </si>
  <si>
    <t>C:\jenkins-devops\workspace\kw_bll_ui\framework\ui\BLLInterface\ProxyObjects\DeviceGenEthIIIfParamsProxy.cs</t>
  </si>
  <si>
    <t>C:\jenkins-devops\workspace\kw_bll_ui\framework\ui\BLLInterface\ProxyObjects\DeviceGenIpv4IfParamsProxy.cs</t>
  </si>
  <si>
    <t>C:\jenkins-devops\workspace\kw_bll_ui\framework\ui\BLLInterface\ProxyObjects\DeviceGenIpv6IfParamsProxy.cs</t>
  </si>
  <si>
    <t>C:\jenkins-devops\workspace\kw_bll_ui\framework\ui\BLLInterface\ProxyObjects\DeviceGenVlanIfParamsProxy.cs</t>
  </si>
  <si>
    <t>C:\jenkins-devops\workspace\kw_bll_ui\framework\ui\BLLInterface\ProxyObjects\DynamicResultViewProxy.cs</t>
  </si>
  <si>
    <t>C:\jenkins-devops\workspace\kw_bll_ui\framework\ui\BLLInterface\ProxyObjects\EmulatedDeviceProxy.cs</t>
  </si>
  <si>
    <t>C:\jenkins-devops\workspace\kw_bll_ui\framework\ui\BLLInterface\ProxyObjects\EthIIIfProxy.cs</t>
  </si>
  <si>
    <t>C:\jenkins-devops\workspace\kw_bll_ui\framework\ui\BLLInterface\ProxyObjects\FcIfProxy.cs</t>
  </si>
  <si>
    <t>C:\jenkins-devops\workspace\kw_bll_ui\framework\ui\BLLInterface\ProxyObjects\Ipv4IfProxy.cs</t>
  </si>
  <si>
    <t>C:\jenkins-devops\workspace\kw_bll_ui\framework\ui\BLLInterface\ProxyObjects\Ipv6IfProxy.cs</t>
  </si>
  <si>
    <t>C:\jenkins-devops\workspace\kw_bll_ui\framework\ui\BLLInterface\ProxyObjects\MplsIfProxy.cs</t>
  </si>
  <si>
    <t>C:\jenkins-devops\workspace\kw_bll_ui\framework\ui\BLLInterface\ProxyObjects\PfcMeasurementConfigProxy.cs</t>
  </si>
  <si>
    <t>C:\jenkins-devops\workspace\kw_bll_ui\framework\ui\BLLInterface\ProxyObjects\PhyProxy.cs</t>
  </si>
  <si>
    <t>C:\jenkins-devops\workspace\kw_bll_ui\framework\ui\BLLInterface\ProxyObjects\PhysicalChassisManagerProxy.cs</t>
  </si>
  <si>
    <t>C:\jenkins-devops\workspace\kw_bll_ui\framework\ui\BLLInterface\ProxyObjects\PhysicalTestModuleProxy.cs</t>
  </si>
  <si>
    <t>C:\jenkins-devops\workspace\kw_bll_ui\framework\ui\BLLInterface\ProxyObjects\PppoeIfProxy.cs</t>
  </si>
  <si>
    <t>C:\jenkins-devops\workspace\kw_bll_ui\framework\ui\BLLInterface\ProxyObjects\ProjectProxy.cs</t>
  </si>
  <si>
    <t>C:\jenkins-devops\workspace\kw_bll_ui\framework\ui\BLLInterface\ProxyObjects\VerifyResultsValueChainedConditionCommandProxy.cs</t>
  </si>
  <si>
    <t>C:\jenkins-devops\workspace\kw_bll_ui\framework\ui\BLLInterface\ProxyObjects\VlanIfProxy.cs</t>
  </si>
  <si>
    <t>C:\jenkins-devops\workspace\kw_bll_ui\framework\ui\BLLInterface\SmartList\SmartList.cs</t>
  </si>
  <si>
    <t>C:\jenkins-devops\workspace\kw_bll_ui\framework\ui\CAB\Controls\AquaGauge\AquaGauge.cs</t>
  </si>
  <si>
    <t>C:\jenkins-devops\workspace\kw_bll_ui\framework\ui\CAB\Controls\MultiLineTextBoxDropDownPropertyEditor.cs</t>
  </si>
  <si>
    <t>C:\jenkins-devops\workspace\kw_bll_ui\framework\ui\CAB\Controls\StcNumericUpDown.cs</t>
  </si>
  <si>
    <t>C:\jenkins-devops\workspace\kw_bll_ui\framework\ui\CAB\Controls\StcPresentationGrid.cs</t>
  </si>
  <si>
    <t>C:\jenkins-devops\workspace\kw_bll_ui\framework\ui\CAB\Controls\StcPropertyGrid.cs</t>
  </si>
  <si>
    <t>C:\jenkins-devops\workspace\kw_bll_ui\framework\ui\CAB\Controls\StcPropertyValueCell.cs</t>
  </si>
  <si>
    <t>C:\jenkins-devops\workspace\kw_bll_ui\framework\ui\CAB\Controls\StcTreeView.cs</t>
  </si>
  <si>
    <t>C:\jenkins-devops\workspace\kw_bll_ui\framework\ui\CAB\Forms\ErrorForm.designer.cs</t>
  </si>
  <si>
    <t>C:\jenkins-devops\workspace\kw_bll_ui\framework\ui\CAB\Forms\ShellForm.cs</t>
  </si>
  <si>
    <t>C:\jenkins-devops\workspace\kw_bll_ui\framework\ui\CAB\Forms\SplashForm.designer.cs</t>
  </si>
  <si>
    <t>C:\jenkins-devops\workspace\kw_bll_ui\framework\ui\CAB\LogMonitor.cs</t>
  </si>
  <si>
    <t>C:\jenkins-devops\workspace\kw_bll_ui\framework\ui\CAB\PresentationModel\PresentationCommandManager.cs</t>
  </si>
  <si>
    <t>C:\jenkins-devops\workspace\kw_bll_ui\framework\ui\CAB\PresentationViews\PresentationForm.cs</t>
  </si>
  <si>
    <t>C:\jenkins-devops\workspace\kw_bll_ui\framework\ui\CAB\PresentationViews\PresentationTableView.cs</t>
  </si>
  <si>
    <t>C:\jenkins-devops\workspace\kw_bll_ui\framework\ui\CAB\Services\XmlValidationHelper.cs</t>
  </si>
  <si>
    <t>C:\jenkins-devops\workspace\kw_bll_ui\framework\ui\CAB\StcShellApplication.cs</t>
  </si>
  <si>
    <t>C:\jenkins-devops\workspace\kw_bll_ui\framework\ui\CAB\TechnologySelector\TechnologySelector.designer.cs</t>
  </si>
  <si>
    <t>C:\jenkins-devops\workspace\kw_bll_ui\framework\ui\CAB\Workspaces\DockWorkspace.cs</t>
  </si>
  <si>
    <t>C:\jenkins-devops\workspace\kw_bll_ui\framework\ui\CAB\Workspaces\StcTabWorkspace.cs</t>
  </si>
  <si>
    <t>C:\jenkins-devops\workspace\kw_bll_ui\framework\ui\CorePlugin\ChartUtils.cs</t>
  </si>
  <si>
    <t>C:\jenkins-devops\workspace\kw_bll_ui\framework\ui\CorePlugin\Commands\ExportPresentationTableViewCommand.cs</t>
  </si>
  <si>
    <t>C:\jenkins-devops\workspace\kw_bll_ui\framework\ui\CorePlugin\Commands\ManageVirtualMachinesFormCommand.cs</t>
  </si>
  <si>
    <t>C:\jenkins-devops\workspace\kw_bll_ui\framework\ui\CorePlugin\Controls\AddChartCounterControl.cs</t>
  </si>
  <si>
    <t>C:\jenkins-devops\workspace\kw_bll_ui\framework\ui\CorePlugin\Controls\ChartCustomizer.cs</t>
  </si>
  <si>
    <t>C:\jenkins-devops\workspace\kw_bll_ui\framework\ui\CorePlugin\Controls\DynamicPropertyPicker.cs</t>
  </si>
  <si>
    <t>C:\jenkins-devops\workspace\kw_bll_ui\framework\ui\CorePlugin\Controls\EnterViewNameControl.cs</t>
  </si>
  <si>
    <t>C:\jenkins-devops\workspace\kw_bll_ui\framework\ui\CorePlugin\Controls\MapProxyControl.cs</t>
  </si>
  <si>
    <t>C:\jenkins-devops\workspace\kw_bll_ui\framework\ui\CorePlugin\Controls\PortSetsTreeView.cs</t>
  </si>
  <si>
    <t>C:\jenkins-devops\workspace\kw_bll_ui\framework\ui\CorePlugin\Controls\ResultsReporterOptions.cs</t>
  </si>
  <si>
    <t>C:\jenkins-devops\workspace\kw_bll_ui\framework\ui\CorePlugin\Controls\WhereControl.cs</t>
  </si>
  <si>
    <t>C:\jenkins-devops\workspace\kw_bll_ui\framework\ui\CorePlugin\Data\SeriesDataCollection.cs</t>
  </si>
  <si>
    <t>C:\jenkins-devops\workspace\kw_bll_ui\framework\ui\CorePlugin\Data\UserDefaultsDataManager.cs</t>
  </si>
  <si>
    <t>C:\jenkins-devops\workspace\kw_bll_ui\framework\ui\CorePlugin\Editors\ManageTagsForm.designer.cs</t>
  </si>
  <si>
    <t>C:\jenkins-devops\workspace\kw_bll_ui\framework\ui\CorePlugin\Forms\AdvertisedSpeedsForm.cs</t>
  </si>
  <si>
    <t>C:\jenkins-devops\workspace\kw_bll_ui\framework\ui\CorePlugin\Forms\ConfigInfoForm.cs</t>
  </si>
  <si>
    <t>C:\jenkins-devops\workspace\kw_bll_ui\framework\ui\CorePlugin\Forms\CoreIfModifierForm.cs</t>
  </si>
  <si>
    <t>C:\jenkins-devops\workspace\kw_bll_ui\framework\ui\CorePlugin\Forms\DeviceQoSEditorForm.cs</t>
  </si>
  <si>
    <t>C:\jenkins-devops\workspace\kw_bll_ui\framework\ui\CorePlugin\Forms\DuplicatePortSetForm.cs</t>
  </si>
  <si>
    <t>C:\jenkins-devops\workspace\kw_bll_ui\framework\ui\CorePlugin\Forms\GtwyModifierForm.cs</t>
  </si>
  <si>
    <t>C:\jenkins-devops\workspace\kw_bll_ui\framework\ui\CorePlugin\Forms\ImportPerspectiveResultViewForm.cs</t>
  </si>
  <si>
    <t>C:\jenkins-devops\workspace\kw_bll_ui\framework\ui\CorePlugin\Forms\ManageFiltersForm.designer.cs</t>
  </si>
  <si>
    <t>C:\jenkins-devops\workspace\kw_bll_ui\framework\ui\CorePlugin\Forms\PortSetEditorForm.cs</t>
  </si>
  <si>
    <t>C:\jenkins-devops\workspace\kw_bll_ui\framework\ui\CorePlugin\Forms\PriorityReceiveEnableForm.cs</t>
  </si>
  <si>
    <t>C:\jenkins-devops\workspace\kw_bll_ui\framework\ui\CorePlugin\Forms\UserDefaultsForm.cs</t>
  </si>
  <si>
    <t>C:\jenkins-devops\workspace\kw_bll_ui\framework\ui\CorePlugin\Forms\WildcardForm.cs</t>
  </si>
  <si>
    <t>C:\jenkins-devops\workspace\kw_bll_ui\framework\ui\CorePlugin\InteractivePresentationModel.cs</t>
  </si>
  <si>
    <t>C:\jenkins-devops\workspace\kw_bll_ui\framework\ui\CorePlugin\InteractiveWorkItem.cs</t>
  </si>
  <si>
    <t>C:\jenkins-devops\workspace\kw_bll_ui\framework\ui\CorePlugin\LaunchWindow\LaunchChassisBannerManager.cs</t>
  </si>
  <si>
    <t>C:\jenkins-devops\workspace\kw_bll_ui\framework\ui\CorePlugin\LaunchWindow\LoadConfigPanel.cs</t>
  </si>
  <si>
    <t>C:\jenkins-devops\workspace\kw_bll_ui\framework\ui\CorePlugin\LaunchWindow\PortDevicePage.cs</t>
  </si>
  <si>
    <t>C:\jenkins-devops\workspace\kw_bll_ui\framework\ui\CorePlugin\LaunchWindow\PowerModeReservePortsPage.cs</t>
  </si>
  <si>
    <t>C:\jenkins-devops\workspace\kw_bll_ui\framework\ui\CorePlugin\Nodes\ResultPresentationNode.cs</t>
  </si>
  <si>
    <t>C:\jenkins-devops\workspace\kw_bll_ui\framework\ui\CorePlugin\ResultsReporterIntegration.cs</t>
  </si>
  <si>
    <t>C:\jenkins-devops\workspace\kw_bll_ui\framework\ui\CorePlugin\Sequencer\Controls\CommandEditors\ExternalProcessCommandEditor.cs</t>
  </si>
  <si>
    <t>C:\jenkins-devops\workspace\kw_bll_ui\framework\ui\CorePlugin\Sequencer\Controls\CommandEditors\RunPlCommandEditor.cs</t>
  </si>
  <si>
    <t>C:\jenkins-devops\workspace\kw_bll_ui\framework\ui\CorePlugin\Sequencer\Controls\CommandEditors\SetPropertyCommandEditor.cs</t>
  </si>
  <si>
    <t>C:\jenkins-devops\workspace\kw_bll_ui\framework\ui\CorePlugin\Sequencer\Controls\CommandEditors\VerifyResultsValueChainedConditionCommandEditor.cs</t>
  </si>
  <si>
    <t>C:\jenkins-devops\workspace\kw_bll_ui\framework\ui\CorePlugin\Sequencer\Controls\CommandEditors\VerifyResultsValueChainedConditionGridUserControl.cs</t>
  </si>
  <si>
    <t>C:\jenkins-devops\workspace\kw_bll_ui\framework\ui\CorePlugin\Sequencer\Controls\CommandEditors\VerifyResultsValueChainedConditionGridUserControl.designer.cs</t>
  </si>
  <si>
    <t>C:\jenkins-devops\workspace\kw_bll_ui\framework\ui\CorePlugin\Sequencer\Controls\CommandEditors\VerifyResultsValueChainedConditionUserControl.cs</t>
  </si>
  <si>
    <t>C:\jenkins-devops\workspace\kw_bll_ui\framework\ui\CorePlugin\Sequencer\Controls\SequencerView.cs</t>
  </si>
  <si>
    <t>C:\jenkins-devops\workspace\kw_bll_ui\framework\ui\CorePlugin\Sequencer\Controls\SequencerView.designer.cs</t>
  </si>
  <si>
    <t>C:\jenkins-devops\workspace\kw_bll_ui\framework\ui\CorePlugin\Sequencer\Forms\SequencerEditor.cs</t>
  </si>
  <si>
    <t>C:\jenkins-devops\workspace\kw_bll_ui\framework\ui\CorePlugin\Service\TclScriptingService.cs</t>
  </si>
  <si>
    <t>C:\jenkins-devops\workspace\kw_bll_ui\framework\ui\CorePlugin\TestMethodology\Wizard\ConsumeTestCaseWizard\CollectEditableParamValuesPage.cs</t>
  </si>
  <si>
    <t>C:\jenkins-devops\workspace\kw_bll_ui\framework\ui\CorePlugin\Traffic\Controls\NetworkPointControl.cs</t>
  </si>
  <si>
    <t>C:\jenkins-devops\workspace\kw_bll_ui\framework\ui\CorePlugin\Views\BrowserView\BrowserNormalInputState.cs</t>
  </si>
  <si>
    <t>C:\jenkins-devops\workspace\kw_bll_ui\framework\ui\CorePlugin\Views\BrowserView\BrowserPresenter.cs</t>
  </si>
  <si>
    <t>C:\jenkins-devops\workspace\kw_bll_ui\framework\ui\CorePlugin\Views\BrowserView\BrowserTreeModel.cs</t>
  </si>
  <si>
    <t>C:\jenkins-devops\workspace\kw_bll_ui\framework\ui\CorePlugin\Views\BrowserView\BrowserTreeNode.cs</t>
  </si>
  <si>
    <t>C:\jenkins-devops\workspace\kw_bll_ui\framework\ui\CorePlugin\Views\BrowserView\BrowserView.cs</t>
  </si>
  <si>
    <t>C:\jenkins-devops\workspace\kw_bll_ui\framework\ui\CorePlugin\Views\BrowserView\TestConfigurationPresenter.cs</t>
  </si>
  <si>
    <t>C:\jenkins-devops\workspace\kw_bll_ui\framework\ui\CorePlugin\Views\ConfigFilterPanel.cs</t>
  </si>
  <si>
    <t>C:\jenkins-devops\workspace\kw_bll_ui\framework\ui\CorePlugin\Views\ConfigPresentationTableView.cs</t>
  </si>
  <si>
    <t>C:\jenkins-devops\workspace\kw_bll_ui\framework\ui\CorePlugin\Views\DynamicResultView\DynamicResultQueryViewModel.cs</t>
  </si>
  <si>
    <t>C:\jenkins-devops\workspace\kw_bll_ui\framework\ui\CorePlugin\Views\DynamicResultView\DynamicResultTableView.cs</t>
  </si>
  <si>
    <t>C:\jenkins-devops\workspace\kw_bll_ui\framework\ui\CorePlugin\Views\EquipmentView\ConnectionManager.cs</t>
  </si>
  <si>
    <t>C:\jenkins-devops\workspace\kw_bll_ui\framework\ui\CorePlugin\Views\EquipmentView\OnlinePortView.cs</t>
  </si>
  <si>
    <t>C:\jenkins-devops\workspace\kw_bll_ui\framework\ui\CorePlugin\Views\EquipmentView\OnlinePortView.designer.cs</t>
  </si>
  <si>
    <t>C:\jenkins-devops\workspace\kw_bll_ui\framework\ui\CorePlugin\Views\EquipmentView\PortSetsToolStripComboBox.cs</t>
  </si>
  <si>
    <t>C:\jenkins-devops\workspace\kw_bll_ui\framework\ui\CorePlugin\Views\ExposedPropertiesView\ExposedPropertiesView.cs</t>
  </si>
  <si>
    <t>C:\jenkins-devops\workspace\kw_bll_ui\framework\ui\CorePlugin\Views\ExposedPropertiesView\ExposedPropertiesViewModel.cs</t>
  </si>
  <si>
    <t>C:\jenkins-devops\workspace\kw_bll_ui\framework\ui\CorePlugin\Views\FilterSingleConditionControl.cs</t>
  </si>
  <si>
    <t>C:\jenkins-devops\workspace\kw_bll_ui\framework\ui\CorePlugin\Views\LandingPage\LandingPage.cs</t>
  </si>
  <si>
    <t>C:\jenkins-devops\workspace\kw_bll_ui\framework\ui\CorePlugin\Views\LandingPage\RecentFiles.cs</t>
  </si>
  <si>
    <t>C:\jenkins-devops\workspace\kw_bll_ui\framework\ui\CorePlugin\Views\LandingPage\ReservePorts.cs</t>
  </si>
  <si>
    <t>C:\jenkins-devops\workspace\kw_bll_ui\framework\ui\CorePlugin\Views\LandingPage\ReservePortSets.cs</t>
  </si>
  <si>
    <t>C:\jenkins-devops\workspace\kw_bll_ui\framework\ui\CorePlugin\Views\ResultChartView.cs</t>
  </si>
  <si>
    <t>C:\jenkins-devops\workspace\kw_bll_ui\framework\ui\CorePlugin\Views\ResultFrame.cs</t>
  </si>
  <si>
    <t>C:\jenkins-devops\workspace\kw_bll_ui\framework\ui\CorePlugin\Views\ResultGridPanel.cs</t>
  </si>
  <si>
    <t>C:\jenkins-devops\workspace\kw_bll_ui\framework\ui\CorePlugin\Views\ResultOrganizer\OrganizeViewsControl.cs</t>
  </si>
  <si>
    <t>C:\jenkins-devops\workspace\kw_bll_ui\framework\ui\CorePlugin\Views\ResultPresentationForm.cs</t>
  </si>
  <si>
    <t>C:\jenkins-devops\workspace\kw_bll_ui\framework\ui\CorePlugin\Views\ResultPresentationFrame.cs</t>
  </si>
  <si>
    <t>C:\jenkins-devops\workspace\kw_bll_ui\framework\ui\CorePlugin\Views\ResultPresentationTableView.cs</t>
  </si>
  <si>
    <t>C:\jenkins-devops\workspace\kw_bll_ui\framework\ui\CorePlugin\Views\ResultSpeedometerView.designer.cs</t>
  </si>
  <si>
    <t>C:\jenkins-devops\workspace\kw_bll_ui\framework\ui\CorePlugin\Wizards\CopyAttributesWizard\Attributes\AnalyzerAttributes.cs</t>
  </si>
  <si>
    <t>C:\jenkins-devops\workspace\kw_bll_ui\framework\ui\CorePlugin\Wizards\CopyAttributesWizard\Attributes\CaptureAttributes.cs</t>
  </si>
  <si>
    <t>C:\jenkins-devops\workspace\kw_bll_ui\framework\ui\CorePlugin\Wizards\CopyAttributesWizard\Attributes\PortAttributes.cs</t>
  </si>
  <si>
    <t>C:\jenkins-devops\workspace\kw_bll_ui\framework\ui\CorePlugin\Wizards\CopyAttributesWizard\CopyAttributesProgressPage.cs</t>
  </si>
  <si>
    <t>C:\jenkins-devops\workspace\kw_bll_ui\framework\ui\CorePlugin\Wizards\CreateNewViewWizard\DefineChartSeriesPage.cs</t>
  </si>
  <si>
    <t>C:\jenkins-devops\workspace\kw_bll_ui\framework\ui\CorePlugin\Wizards\CreateNewViewWizard\DynamicResultSourcePage.designer.cs</t>
  </si>
  <si>
    <t>C:\jenkins-devops\workspace\kw_bll_ui\framework\ui\CorePlugin\Wizards\CreateNewViewWizard\FromPage.designer.cs</t>
  </si>
  <si>
    <t>C:\jenkins-devops\workspace\kw_bll_ui\framework\ui\CorePlugin\Wizards\CreateNewViewWizard\NameViewPage.cs</t>
  </si>
  <si>
    <t>C:\jenkins-devops\workspace\kw_bll_ui\framework\ui\CorePlugin\Wizards\CreateNewViewWizard\SelectBaseTypePage.cs</t>
  </si>
  <si>
    <t>C:\jenkins-devops\workspace\kw_bll_ui\framework\ui\CorePlugin\Wizards\DeviceGenWizard\DeviceGenConfigDevicePage.cs</t>
  </si>
  <si>
    <t>C:\jenkins-devops\workspace\kw_bll_ui\framework\ui\CorePlugin\Wizards\DeviceGenWizard\DeviceGenConfigGroupPage.cs</t>
  </si>
  <si>
    <t>C:\jenkins-devops\workspace\kw_bll_ui\framework\ui\CorePlugin\Wizards\DeviceGenWizard\DeviceGenIpv4IfPanel.cs</t>
  </si>
  <si>
    <t>C:\jenkins-devops\workspace\kw_bll_ui\framework\ui\CorePlugin\Wizards\DeviceGenWizard\DeviceGenIpv6IfPanel.cs</t>
  </si>
  <si>
    <t>C:\jenkins-devops\workspace\kw_bll_ui\framework\ui\CorePlugin\Wizards\DeviceGenWizard\DeviceGenPreviewPanel.cs</t>
  </si>
  <si>
    <t>C:\jenkins-devops\workspace\kw_bll_ui\framework\ui\CorePlugin\Wizards\DeviceGenWizard\DeviceGenStepEditorBox.cs</t>
  </si>
  <si>
    <t>C:\jenkins-devops\workspace\kw_bll_ui\framework\ui\CorePlugin\Wizards\DeviceGenWizard\DeviceGenStepForm.cs</t>
  </si>
  <si>
    <t>C:\jenkins-devops\workspace\kw_bll_ui\framework\ui\CorePlugin\Wizards\DeviceGenWizard\DeviceGenWizard.cs</t>
  </si>
  <si>
    <t>C:\jenkins-devops\workspace\kw_bll_ui\framework\ui\CorePlugin\Wizards\PortAggregationWizard\PortAggregationGroupsPage.cs</t>
  </si>
  <si>
    <t>C:\jenkins-devops\workspace\kw_bll_ui\framework\ui\CorePlugin\Wizards\PortAggregationWizard\PortAggregationWizard.cs</t>
  </si>
  <si>
    <t>C:\jenkins-devops\workspace\kw_bll_ui\framework\ui\CorePlugin\Wizards\PortRelocationWizard\PortRelocationWizard.cs</t>
  </si>
  <si>
    <t>C:\jenkins-devops\workspace\kw_bll_ui\framework\ui\CorePlugin\Wizards\RouterGenWizard\RouterGenPanel.cs</t>
  </si>
  <si>
    <t>C:\jenkins-devops\workspace\kw_bll_ui\framework\ui\CorePlugin\Wizards\SequenceFlapWizard\ObjectSelectionPage.cs</t>
  </si>
  <si>
    <t>C:\jenkins-devops\workspace\kw_bll_ui\framework\ui\DebugPlugin\Commands\ExportFrameSurveyCommand.cs</t>
  </si>
  <si>
    <t>C:\jenkins-devops\workspace\kw_bll_ui\framework\ui\DebugPlugin\Commands\ExportGUISurveyCommand.cs</t>
  </si>
  <si>
    <t>C:\jenkins-devops\workspace\kw_bll_ui\framework\ui\DebugPlugin\Surveyor.cs</t>
  </si>
  <si>
    <t>C:\jenkins-devops\workspace\kw_bll_ui\framework\ui\DebugPlugin\Views\PresentationModelBrowser.cs</t>
  </si>
  <si>
    <t>C:\jenkins-devops\workspace\kw_bll_ui\framework\ui\DebugPlugin\Views\ProxyBrowser\ProxyBrowser.cs</t>
  </si>
  <si>
    <t>C:\jenkins-devops\workspace\kw_bll_ui\framework\ui\DebugPlugin\XMLReporters\FrameXMLReporter.cs</t>
  </si>
  <si>
    <t>C:\jenkins-devops\workspace\kw_bll_ui\framework\ui\EOTResultViewPlugin\DbGridView.cs</t>
  </si>
  <si>
    <t>C:\jenkins-devops\workspace\kw_bll_ui\framework\ui\EOTResultViewPlugin\EotDbNode.cs</t>
  </si>
  <si>
    <t>C:\jenkins-devops\workspace\kw_bll_ui\framework\ui\EOTResultViewPlugin\EotResultBrowser.cs</t>
  </si>
  <si>
    <t>C:\jenkins-devops\workspace\kw_bll_ui\framework\ui\LoggingPlugin\Log4NetAdaptor.cs</t>
  </si>
  <si>
    <t>C:\jenkins-devops\workspace\kw_bll_ui\framework\ui\LoggingPlugin\LoggingView.cs</t>
  </si>
  <si>
    <t>C:\jenkins-devops\workspace\kw_bll_ui\framework\ui\LoggingPlugin\LoggingViewManager.cs</t>
  </si>
  <si>
    <t>C:\jenkins-devops\workspace\kw_bll_ui\framework\ui\P1Upgrade\Model.cs</t>
  </si>
  <si>
    <t>C:\jenkins-devops\workspace\kw_bll_ui\framework\ui\PDUEditor\FilterTemplateManager.cs</t>
  </si>
  <si>
    <t>C:\jenkins-devops\workspace\kw_bll_ui\framework\ui\PDUEditor\Generator.cs</t>
  </si>
  <si>
    <t>C:\jenkins-devops\workspace\kw_bll_ui\framework\ui\PDUEditor\InterfaceTemplateManager.cs</t>
  </si>
  <si>
    <t>C:\jenkins-devops\workspace\kw_bll_ui\framework\ui\PDUEditor\Modifiers\GtwyModifierForm.cs</t>
  </si>
  <si>
    <t>C:\jenkins-devops\workspace\kw_bll_ui\framework\ui\PDUEditor\Modifiers\LinkModifiersView.cs</t>
  </si>
  <si>
    <t>C:\jenkins-devops\workspace\kw_bll_ui\framework\ui\PDUEditor\Modifiers\PduIfModifierForm.cs</t>
  </si>
  <si>
    <t>C:\jenkins-devops\workspace\kw_bll_ui\framework\ui\PDUEditor\PDUData\BaseElement.cs</t>
  </si>
  <si>
    <t>C:\jenkins-devops\workspace\kw_bll_ui\framework\ui\PDUEditor\PDUData\FieldData.cs</t>
  </si>
  <si>
    <t>C:\jenkins-devops\workspace\kw_bll_ui\framework\ui\PDUEditor\PDUData\PDU.cs</t>
  </si>
  <si>
    <t>C:\jenkins-devops\workspace\kw_bll_ui\framework\ui\PDUEditor\PDUData\Template.cs</t>
  </si>
  <si>
    <t>C:\jenkins-devops\workspace\kw_bll_ui\framework\ui\PDUEditor\PDUDef\PDULibrary.cs</t>
  </si>
  <si>
    <t>C:\jenkins-devops\workspace\kw_bll_ui\framework\ui\PDUEditor\TemplateManager.cs</t>
  </si>
  <si>
    <t>C:\jenkins-devops\workspace\kw_bll_ui\framework\ui\PDUEditor\UserControls\FrameEditorCoreHelper.cs</t>
  </si>
  <si>
    <t>C:\jenkins-devops\workspace\kw_bll_ui\framework\ui\PDUEditor\UserControls\FrameEditorCtrl.cs</t>
  </si>
  <si>
    <t>C:\jenkins-devops\workspace\kw_bll_ui\framework\ui\PDUEditor\UserControls\FrameEditorCtrl.Helper.cs</t>
  </si>
  <si>
    <t>C:\jenkins-devops\workspace\kw_bll_ui\framework\ui\PDUEditor\UserControls\FrameManagerCtrl.cs</t>
  </si>
  <si>
    <t>C:\jenkins-devops\workspace\kw_bll_ui\framework\ui\PDUEditor\UserControls\HexViewEditor.cs</t>
  </si>
  <si>
    <t>C:\jenkins-devops\workspace\kw_bll_ui\framework\ui\PDUEditor\UserControls\SaveTemplateView.cs</t>
  </si>
  <si>
    <t>C:\jenkins-devops\workspace\kw_bll_ui\framework\ui\PDUEditor\UserControls\TemplateLibraryView.cs</t>
  </si>
  <si>
    <t>C:\jenkins-devops\workspace\kw_bll_ui\framework\ui\PDUEditor\UserControls\ToSDiffServeEditor.cs</t>
  </si>
  <si>
    <t>C:\jenkins-devops\workspace\kw_bll_ui\framework\ui\PDUEditor\Views\CustomEditor.cs</t>
  </si>
  <si>
    <t>C:\jenkins-devops\workspace\kw_bll_ui\framework\ui\UICore\Controls\Forms\CollectionEditorForm.designer.cs</t>
  </si>
  <si>
    <t>C:\jenkins-devops\workspace\kw_bll_ui\framework\ui\UICore\Controls\Forms\EditorListView.designer.cs</t>
  </si>
  <si>
    <t>C:\jenkins-devops\workspace\kw_bll_ui\framework\ui\UICore\Controls\Forms\FormDuplicate.cs</t>
  </si>
  <si>
    <t>C:\jenkins-devops\workspace\kw_bll_ui\framework\ui\UICore\Controls\Forms\ImportListView.cs</t>
  </si>
  <si>
    <t>C:\jenkins-devops\workspace\kw_bll_ui\framework\ui\UICore\Controls\Forms\ImportListView.designer.cs</t>
  </si>
  <si>
    <t>C:\jenkins-devops\workspace\kw_bll_ui\framework\ui\UICore\Controls\Forms\ValidatedCollectionEditorForm.cs</t>
  </si>
  <si>
    <t>C:\jenkins-devops\workspace\kw_bll_ui\framework\ui\UICore\Controls\Grid\DropDownHolder.cs</t>
  </si>
  <si>
    <t>C:\jenkins-devops\workspace\kw_bll_ui\framework\ui\UICore\Controls\Grid\FillService\FillDataGenerator.cs</t>
  </si>
  <si>
    <t>C:\jenkins-devops\workspace\kw_bll_ui\framework\ui\UICore\Controls\Grid\GridWindowsFormEditorService.cs</t>
  </si>
  <si>
    <t>C:\jenkins-devops\workspace\kw_bll_ui\framework\ui\UICore\Controls\Grid\StcGrid.cs</t>
  </si>
  <si>
    <t>C:\jenkins-devops\workspace\kw_bll_ui\framework\ui\UICore\Controls\Grid\ViewServices\FormCustomizeFilter.cs</t>
  </si>
  <si>
    <t>C:\jenkins-devops\workspace\kw_bll_ui\framework\ui\UICore\Controls\Grid\ViewServices\FormCustomizeLayout.cs</t>
  </si>
  <si>
    <t>C:\jenkins-devops\workspace\kw_bll_ui\framework\ui\UICore\Controls\Grid\ViewServices\FormCustomizeView.cs</t>
  </si>
  <si>
    <t>C:\jenkins-devops\workspace\kw_bll_ui\framework\ui\UICore\Controls\Grid\ViewServices\FormFields.cs</t>
  </si>
  <si>
    <t>C:\jenkins-devops\workspace\kw_bll_ui\framework\ui\UICore\Controls\Grid\ViewServices\FormFilter.cs</t>
  </si>
  <si>
    <t>C:\jenkins-devops\workspace\kw_bll_ui\framework\ui\UICore\Controls\Grid\ViewServices\FormFilterManager.cs</t>
  </si>
  <si>
    <t>C:\jenkins-devops\workspace\kw_bll_ui\framework\ui\UICore\Controls\Grid\ViewServices\FormGroup.cs</t>
  </si>
  <si>
    <t>C:\jenkins-devops\workspace\kw_bll_ui\framework\ui\UICore\Controls\Grid\ViewServices\FormSort.cs</t>
  </si>
  <si>
    <t>C:\jenkins-devops\workspace\kw_bll_ui\framework\ui\UICore\Controls\Grid\ViewServices\ViewCommandHandler.cs</t>
  </si>
  <si>
    <t>C:\jenkins-devops\workspace\kw_bll_ui\framework\ui\UICore\Controls\Grid\ViewServices\ViewService.cs</t>
  </si>
  <si>
    <t>C:\jenkins-devops\workspace\kw_bll_ui\framework\ui\UICore\Help\StcHelp.cs</t>
  </si>
  <si>
    <t>C:\jenkins-devops\workspace\kw_bll_ui\framework\ui\UICore\Wizard\InteriorWizardPage.designer.cs</t>
  </si>
  <si>
    <t>C:\jenkins-devops\workspace\kw_bll_ui\framework\ui\UICore\Wizard\IntroductionWizardPage.designer.cs</t>
  </si>
  <si>
    <t>C:\jenkins-devops\workspace\kw_bll_ui\framework\ui\Utils\AssertBox.cs</t>
  </si>
  <si>
    <t>C:\jenkins-devops\workspace\kw_bll_ui\framework\ui\Utils\Data\CompositeBindingList.cs</t>
  </si>
  <si>
    <t>C:\jenkins-devops\workspace\kw_bll_ui\framework\ui\Utils\DynamicToolTipManager.cs</t>
  </si>
  <si>
    <t>C:\jenkins-devops\workspace\kw_bll_ui\framework\ui\Utils\P1Config.cs</t>
  </si>
  <si>
    <t>C:\jenkins-devops\workspace\kw_bll_ui\framework\ui\CAB\CAB.Test\PresentationFrameTest.cs</t>
  </si>
  <si>
    <t>C:\jenkins-devops\workspace\kw_bll_ui\framework\ui\CAB\CAB.Test\StcPresentationGridTest.cs</t>
  </si>
  <si>
    <t>C:\jenkins-devops\workspace\kw_bll_ui\framework\ui\CAB\CAB.Test\StcPropertyValueTest.cs</t>
  </si>
  <si>
    <t>C:\jenkins-devops\workspace\kw_bll_ui\framework\ui\CorePlugin\CorePlugin.Test\DeleteProxyCommandTest.cs</t>
  </si>
  <si>
    <t>/home/spirent/jenkins-devops/workspace/kw_il/common/lib/ACE_wrappers_5.5.6/ace/Message_Queue.inl</t>
  </si>
  <si>
    <t>/home/spirent/jenkins-devops/workspace/kw_il/common/lib/boost_1_39_0/boost/date_time/gregorian/conversion.hpp</t>
  </si>
  <si>
    <t>/home/spirent/jenkins-devops/workspace/kw_il/common/lib/protobuf/2.4.1/include/google/protobuf/descriptor.h</t>
  </si>
  <si>
    <t>/home/spirent/jenkins-devops/workspace/kw_il/common/tools/tinyxpath/xpath_stream.h</t>
  </si>
  <si>
    <t>/home/spirent/jenkins-devops/workspace/kw_il/common/tools/tinyxpath/xpath_syntax.h</t>
  </si>
  <si>
    <t>/home/spirent/jenkins-devops/workspace/kw_il/content/access/ancp/il/ancpd/AncpAccessNodeBlock.cpp</t>
  </si>
  <si>
    <t>/home/spirent/jenkins-devops/workspace/kw_il/content/access/ancp/il/ancpd/AncpAccessNode.cpp</t>
  </si>
  <si>
    <t>/home/spirent/jenkins-devops/workspace/kw_il/content/access/ancp/il/ancpd/AncpAccessProfile.h</t>
  </si>
  <si>
    <t>/home/spirent/jenkins-devops/workspace/kw_il/content/access/ancp/il/ancpd/AncpClientConnectionHandler.cpp</t>
  </si>
  <si>
    <t>/home/spirent/jenkins-devops/workspace/kw_il/content/access/ancp/il/ancpd/AncpCommandLineOpts.cpp</t>
  </si>
  <si>
    <t>/home/spirent/jenkins-devops/workspace/kw_il/content/access/ancp/il/ancpd/AncpCore.cpp</t>
  </si>
  <si>
    <t>/home/spirent/jenkins-devops/workspace/kw_il/content/access/ancp/il/ancpd/AncpMsgSetSrv_1.cpp</t>
  </si>
  <si>
    <t>/home/spirent/jenkins-devops/workspace/kw_il/content/access/dhcpv6/il/dhcpv6d/Dhcpv6Core.cpp</t>
  </si>
  <si>
    <t>/home/spirent/jenkins-devops/workspace/kw_il/content/access/dhcpv6/il/dhcpv6d/Dhcpv6MsgSetSrv_1.cpp</t>
  </si>
  <si>
    <t>/home/spirent/jenkins-devops/workspace/kw_il/content/access/dhcpv6/il/dhcpv6d/Dhcpv6Port.cpp</t>
  </si>
  <si>
    <t>/home/spirent/jenkins-devops/workspace/kw_il/content/access/dhcpv6/il/dhcpv6d/main.cpp</t>
  </si>
  <si>
    <t>/home/spirent/jenkins-devops/workspace/kw_il/content/access/dhcpv6/il/server/DhcpMessage.cpp</t>
  </si>
  <si>
    <t>/home/spirent/jenkins-devops/workspace/kw_il/content/access/dot1x/il/AAAClient/src/Dot1xMessage.cc</t>
  </si>
  <si>
    <t>/home/spirent/jenkins-devops/workspace/kw_il/content/access/dot1x/il/AAAClient/src/Dot1xMessage.h</t>
  </si>
  <si>
    <t>/home/spirent/jenkins-devops/workspace/kw_il/content/access/dot1x/il/AAAClient/src/EAPOpenSslApi.cc</t>
  </si>
  <si>
    <t>/home/spirent/jenkins-devops/workspace/kw_il/content/access/dot1x/il/AAAClient/src/EAPStatusQuery.h</t>
  </si>
  <si>
    <t>/home/spirent/jenkins-devops/workspace/kw_il/content/access/dot1x/il/AAAClient/src/EAP_TLV.h</t>
  </si>
  <si>
    <t>/home/spirent/jenkins-devops/workspace/kw_il/content/access/dot1x/il/dot1xd/Dot1xApplicationProxy.cpp</t>
  </si>
  <si>
    <t>/home/spirent/jenkins-devops/workspace/kw_il/content/access/dot1x/il/framework/src/Dot1xPacket.cpp</t>
  </si>
  <si>
    <t>/home/spirent/jenkins-devops/workspace/kw_il/content/access/pppox/il/pppd/l2tp_local.cpp</t>
  </si>
  <si>
    <t>/home/spirent/jenkins-devops/workspace/kw_il/content/access/pppox/il/pppd/PppEventThread.cpp</t>
  </si>
  <si>
    <t>/home/spirent/jenkins-devops/workspace/kw_il/content/access/pppox/il/pppd/PppRxThread.cpp</t>
  </si>
  <si>
    <t>/home/spirent/jenkins-devops/workspace/kw_il/content/access/saa/il/saad/SaaBlock.cpp</t>
  </si>
  <si>
    <t>/home/spirent/jenkins-devops/workspace/kw_il/content/cts/tsm/il/rsocketd/CtsFecUpdaterInterfacePublic.cpp</t>
  </si>
  <si>
    <t>/home/spirent/jenkins-devops/workspace/kw_il/content/cts/tsm/il/rsocketd/SocketInterface.cpp</t>
  </si>
  <si>
    <t>/home/spirent/jenkins-devops/workspace/kw_il/content/cts/tsm/il/rsocketd/SocketInterface.h</t>
  </si>
  <si>
    <t>/home/spirent/jenkins-devops/workspace/kw_il/content/routing/il/common/topology/BindingTable.cpp</t>
  </si>
  <si>
    <t>/home/spirent/jenkins-devops/workspace/kw_il/content/routing/il/lldp/LldpApplication.cpp</t>
  </si>
  <si>
    <t>/home/spirent/jenkins-devops/workspace/kw_il/content/routing/il/mplsoamd/MplsOamDevice.h</t>
  </si>
  <si>
    <t>/home/spirent/jenkins-devops/workspace/kw_il/content/routing/il/mplstpd/protocol/MplsTpBlockEntity.cpp</t>
  </si>
  <si>
    <t>/home/spirent/jenkins-devops/workspace/kw_il/content/routing/il/mplstpd/protocol/MplsTpLsp.cpp</t>
  </si>
  <si>
    <t>/home/spirent/jenkins-devops/workspace/kw_il/content/routing/il/mplstpd/protocol/MplsTpPw.cpp</t>
  </si>
  <si>
    <t>/home/spirent/jenkins-devops/workspace/kw_il/content/routing/il/mplstpoamd/MplsTpOamMep.cpp</t>
  </si>
  <si>
    <t>/home/spirent/jenkins-devops/workspace/kw_il/content/routing/il/ngc2-7-3-spirent/src/aspath/aspath.c</t>
  </si>
  <si>
    <t>/home/spirent/jenkins-devops/workspace/kw_il/content/routing/il/ngc2-7-3-spirent/src/aspath/re2dfa.c</t>
  </si>
  <si>
    <t>/home/spirent/jenkins-devops/workspace/kw_il/content/routing/il/ngc2-7-3-spirent/src/aspath/reparse.c</t>
  </si>
  <si>
    <t>/home/spirent/jenkins-devops/workspace/kw_il/content/routing/il/ngc2-7-3-spirent/src/bgp/bgp.c</t>
  </si>
  <si>
    <t>/home/spirent/jenkins-devops/workspace/kw_il/content/routing/il/ngc2-7-3-spirent/src/bgp/bgp.h</t>
  </si>
  <si>
    <t>/home/spirent/jenkins-devops/workspace/kw_il/content/routing/il/ngc2-7-3-spirent/src/bgp/bgp_orf.c</t>
  </si>
  <si>
    <t>/home/spirent/jenkins-devops/workspace/kw_il/content/routing/il/ngc2-7-3-spirent/src/bgp/bgp_sync.c</t>
  </si>
  <si>
    <t>/home/spirent/jenkins-devops/workspace/kw_il/content/routing/il/ngc2-7-3-spirent/src/binder/mplsoam/Subscription.cpp</t>
  </si>
  <si>
    <t>/home/spirent/jenkins-devops/workspace/kw_il/content/routing/il/ngc2-7-3-spirent/src/fibheap/fibheap.c</t>
  </si>
  <si>
    <t>/home/spirent/jenkins-devops/workspace/kw_il/content/routing/il/ngc2-7-3-spirent/src/gated/dget_iproute.c</t>
  </si>
  <si>
    <t>/home/spirent/jenkins-devops/workspace/kw_il/content/routing/il/ngc2-7-3-spirent/src/gated/dget_ipv6route.c</t>
  </si>
  <si>
    <t>/home/spirent/jenkins-devops/workspace/kw_il/content/routing/il/ngc2-7-3-spirent/src/gated/grand.c</t>
  </si>
  <si>
    <t>/home/spirent/jenkins-devops/workspace/kw_il/content/routing/il/ngc2-7-3-spirent/src/gated/if.c</t>
  </si>
  <si>
    <t>/home/spirent/jenkins-devops/workspace/kw_il/content/routing/il/ngc2-7-3-spirent/src/gated/if_task.c</t>
  </si>
  <si>
    <t>/home/spirent/jenkins-devops/workspace/kw_il/content/routing/il/ngc2-7-3-spirent/src/gated/lrtimer.c</t>
  </si>
  <si>
    <t>/home/spirent/jenkins-devops/workspace/kw_il/content/routing/il/ngc2-7-3-spirent/src/gated/parse.c</t>
  </si>
  <si>
    <t>/home/spirent/jenkins-devops/workspace/kw_il/content/routing/il/ngc2-7-3-spirent/src/gated/policy.c</t>
  </si>
  <si>
    <t>/home/spirent/jenkins-devops/workspace/kw_il/content/routing/il/ngc2-7-3-spirent/src/gated/rt_multirib.c</t>
  </si>
  <si>
    <t>/home/spirent/jenkins-devops/workspace/kw_il/content/routing/il/ngc2-7-3-spirent/src/gated/rt_radix.c</t>
  </si>
  <si>
    <t>/home/spirent/jenkins-devops/workspace/kw_il/content/routing/il/ngc2-7-3-spirent/src/gated/rt_static.c</t>
  </si>
  <si>
    <t>/home/spirent/jenkins-devops/workspace/kw_il/content/routing/il/ngc2-7-3-spirent/src/gated/rt_table.c</t>
  </si>
  <si>
    <t>/home/spirent/jenkins-devops/workspace/kw_il/content/routing/il/ngc2-7-3-spirent/src/gated/sockaddr.c</t>
  </si>
  <si>
    <t>/home/spirent/jenkins-devops/workspace/kw_il/content/routing/il/ngc2-7-3-spirent/src/gated/str.c</t>
  </si>
  <si>
    <t>/home/spirent/jenkins-devops/workspace/kw_il/content/routing/il/ngc2-7-3-spirent/src/gated/targets.c</t>
  </si>
  <si>
    <t>/home/spirent/jenkins-devops/workspace/kw_il/content/routing/il/ngc2-7-3-spirent/src/gated/task.c</t>
  </si>
  <si>
    <t>/home/spirent/jenkins-devops/workspace/kw_il/content/routing/il/ngc2-7-3-spirent/src/gated/task_cb.c</t>
  </si>
  <si>
    <t>/home/spirent/jenkins-devops/workspace/kw_il/content/routing/il/ngc2-7-3-spirent/src/krt/nvram.c</t>
  </si>
  <si>
    <t>/home/spirent/jenkins-devops/workspace/kw_il/content/routing/il/ngc2-7-3-spirent/src/krt_os/krt_ifread_netlink.c</t>
  </si>
  <si>
    <t>/home/spirent/jenkins-devops/workspace/kw_il/content/routing/il/ngc2-7-3-spirent/src/krt_os/krt_rt_netlink.c</t>
  </si>
  <si>
    <t>/home/spirent/jenkins-devops/workspace/kw_il/content/routing/il/ngc2-7-3-spirent/src/krt_os/krt_rtread_netlink.c</t>
  </si>
  <si>
    <t>/home/spirent/jenkins-devops/workspace/kw_il/content/routing/il/ngc2-7-3-spirent/src/ldp/ldp_label.c</t>
  </si>
  <si>
    <t>/home/spirent/jenkins-devops/workspace/kw_il/content/routing/il/ngc2-7-3-spirent/src/ldp/ldp_route.c</t>
  </si>
  <si>
    <t>/home/spirent/jenkins-devops/workspace/kw_il/content/routing/il/ngc2-7-3-spirent/src/ldp/ldp_session.c</t>
  </si>
  <si>
    <t>/home/spirent/jenkins-devops/workspace/kw_il/content/routing/il/ngc2-7-3-spirent/src/mioagt/mpls_new_mio.c</t>
  </si>
  <si>
    <t>/home/spirent/jenkins-devops/workspace/kw_il/content/routing/il/ngc2-7-3-spirent/src/mioagt/rsvp_new_mio.c</t>
  </si>
  <si>
    <t>/home/spirent/jenkins-devops/workspace/kw_il/content/routing/il/ngc2-7-3-spirent/src/mpbgp6/mpbgp6.c</t>
  </si>
  <si>
    <t>/home/spirent/jenkins-devops/workspace/kw_il/content/routing/il/ngc2-7-3-spirent/src/mplscore/mpls_dget_ipftn.c</t>
  </si>
  <si>
    <t>/home/spirent/jenkins-devops/workspace/kw_il/content/routing/il/ngc2-7-3-spirent/src/mplscore/mpls_dget_xc.c</t>
  </si>
  <si>
    <t>/home/spirent/jenkins-devops/workspace/kw_il/content/routing/il/ngc2-7-3-spirent/src/mplscore/mpls_if.c</t>
  </si>
  <si>
    <t>/home/spirent/jenkins-devops/workspace/kw_il/content/routing/il/ngc2-7-3-spirent/src/mplscore/mpls_label.c</t>
  </si>
  <si>
    <t>/home/spirent/jenkins-devops/workspace/kw_il/content/routing/il/ngc2-7-3-spirent/src/mplscore/mpls_lib.c</t>
  </si>
  <si>
    <t>/home/spirent/jenkins-devops/workspace/kw_il/content/routing/il/ngc2-7-3-spirent/src/mplscore/mpls_mio.c</t>
  </si>
  <si>
    <t>/home/spirent/jenkins-devops/workspace/kw_il/content/routing/il/ngc2-7-3-spirent/src/mplscore/mpls_rtm.c</t>
  </si>
  <si>
    <t>/home/spirent/jenkins-devops/workspace/kw_il/content/routing/il/ngc2-7-3-spirent/src/mps_manager/spirent_ldp_ami_msg.cpp</t>
  </si>
  <si>
    <t>/home/spirent/jenkins-devops/workspace/kw_il/content/routing/il/ngc2-7-3-spirent/src/new_isis/new_isis_circuit.c</t>
  </si>
  <si>
    <t>/home/spirent/jenkins-devops/workspace/kw_il/content/routing/il/ngc2-7-3-spirent/src/new_isis/new_isis_cspf.c</t>
  </si>
  <si>
    <t>/home/spirent/jenkins-devops/workspace/kw_il/content/routing/il/ngc2-7-3-spirent/src/new_isis/new_isis_dget_lsdb.c</t>
  </si>
  <si>
    <t>/home/spirent/jenkins-devops/workspace/kw_il/content/routing/il/ngc2-7-3-spirent/src/new_isis/new_isis_flood.c</t>
  </si>
  <si>
    <t>/home/spirent/jenkins-devops/workspace/kw_il/content/routing/il/ngc2-7-3-spirent/src/new_isis/new_isis_gen.c</t>
  </si>
  <si>
    <t>/home/spirent/jenkins-devops/workspace/kw_il/content/routing/il/ngc2-7-3-spirent/src/new_isis/new_isis_pkts.c</t>
  </si>
  <si>
    <t>/home/spirent/jenkins-devops/workspace/kw_il/content/routing/il/ngc2-7-3-spirent/src/new_isis/new_isis_rt.c</t>
  </si>
  <si>
    <t>/home/spirent/jenkins-devops/workspace/kw_il/content/routing/il/ngc2-7-3-spirent/src/new_isis/new_isis_test.c</t>
  </si>
  <si>
    <t>/home/spirent/jenkins-devops/workspace/kw_il/content/routing/il/ngc2-7-3-spirent/src/new_ospf/new_ospf.c</t>
  </si>
  <si>
    <t>/home/spirent/jenkins-devops/workspace/kw_il/content/routing/il/ngc2-7-3-spirent/src/new_ospf/new_ospf_exch.c</t>
  </si>
  <si>
    <t>/home/spirent/jenkins-devops/workspace/kw_il/content/routing/il/ngc2-7-3-spirent/src/new_ospf/new_ospf_ls.c</t>
  </si>
  <si>
    <t>/home/spirent/jenkins-devops/workspace/kw_il/content/routing/il/ngc2-7-3-spirent/src/new_ospf/new_ospf_opaque.c</t>
  </si>
  <si>
    <t>/home/spirent/jenkins-devops/workspace/kw_il/content/routing/il/ngc2-7-3-spirent/src/new_ospf/new_ospf_rxmon.c</t>
  </si>
  <si>
    <t>/home/spirent/jenkins-devops/workspace/kw_il/content/routing/il/ngc2-7-3-spirent/src/ospf3/ospf3.c</t>
  </si>
  <si>
    <t>/home/spirent/jenkins-devops/workspace/kw_il/content/routing/il/ngc2-7-3-spirent/src/ripng/ripng_send.c</t>
  </si>
  <si>
    <t>/home/spirent/jenkins-devops/workspace/kw_il/content/routing/il/ngc2-7-3-spirent/src/ripng/ripng_test.c</t>
  </si>
  <si>
    <t>/home/spirent/jenkins-devops/workspace/kw_il/content/routing/il/ngc2-7-3-spirent/src/rip/rip_dget_db.c</t>
  </si>
  <si>
    <t>/home/spirent/jenkins-devops/workspace/kw_il/content/routing/il/ngc2-7-3-spirent/src/rsvp/rsvp_intf.c</t>
  </si>
  <si>
    <t>/home/spirent/jenkins-devops/workspace/kw_il/content/routing/il/ngc2-7-3-spirent/src/rsvp/rsvp_local.c</t>
  </si>
  <si>
    <t>/home/spirent/jenkins-devops/workspace/kw_il/content/routing/il/ngc2-7-3-spirent/src/rsvp/rsvp_main.c</t>
  </si>
  <si>
    <t>/home/spirent/jenkins-devops/workspace/kw_il/content/routing/il/ngc2-7-3-spirent/src/rsvp/rsvp_nbr.c</t>
  </si>
  <si>
    <t>/home/spirent/jenkins-devops/workspace/kw_il/content/routing/il/ngc2-7-3-spirent/src/rsvp/rsvp_parse.c</t>
  </si>
  <si>
    <t>/home/spirent/jenkins-devops/workspace/kw_il/content/routing/il/ngc2-7-3-spirent/src/rsvp/rsvp_path.c</t>
  </si>
  <si>
    <t>/home/spirent/jenkins-devops/workspace/kw_il/content/routing/il/ngc2-7-3-spirent/src/rsvp/rsvp_ror.c</t>
  </si>
  <si>
    <t>/home/spirent/jenkins-devops/workspace/kw_il/content/routing/il/ngc2-7-3-spirent/src/rsvp/rsvp_spirent.c</t>
  </si>
  <si>
    <t>/home/spirent/jenkins-devops/workspace/kw_il/content/routing/il/ngc2-7-3-spirent/src/rsvp/rsvp_state_ops.c</t>
  </si>
  <si>
    <t>/home/spirent/jenkins-devops/workspace/kw_il/content/routing/il/ngc2-7-3-spirent/src/rsvp/rsvp_tcb.c</t>
  </si>
  <si>
    <t>/home/spirent/jenkins-devops/workspace/kw_il/content/routing/il/ngc2-7-3-spirent/src/rsvp/rsvp_time.c</t>
  </si>
  <si>
    <t>/home/spirent/jenkins-devops/workspace/kw_il/content/routing/il/ngc2-7-3-spirent/src/standalone/str.c</t>
  </si>
  <si>
    <t>/home/spirent/jenkins-devops/workspace/kw_il/content/routing/il/ngc2-7-3-spirent/src/tem/new_tm_rsvp.c</t>
  </si>
  <si>
    <t>/home/spirent/jenkins-devops/workspace/kw_il/content/routing/il/ngc2-7-3-spirent/src/tem/new_tm_stm.c</t>
  </si>
  <si>
    <t>/home/spirent/jenkins-devops/workspace/kw_il/content/routing/il/ngc2-7-3-spirent/src/util/avl.c</t>
  </si>
  <si>
    <t>/home/spirent/jenkins-devops/workspace/kw_il/content/routing/il/ngc2-7-3-spirent/src/util/ght.c</t>
  </si>
  <si>
    <t>/home/spirent/jenkins-devops/workspace/kw_il/content/routing/il/ngc2-7-3-spirent/src/util/pprefix.c</t>
  </si>
  <si>
    <t>/home/spirent/jenkins-devops/workspace/kw_il/content/routing/il/ngc2-7-3-spirent/src/util/prefix.c</t>
  </si>
  <si>
    <t>/home/spirent/jenkins-devops/workspace/kw_il/content/routing/il/ngc2-7-3-spirent/src/util/ptree.c</t>
  </si>
  <si>
    <t>/home/spirent/jenkins-devops/workspace/kw_il/content/routing/il/ngc2-7-3-spirent/src/util/spirent_collections.h</t>
  </si>
  <si>
    <t>/home/spirent/jenkins-devops/workspace/kw_il/content/routing/il/ngc2-7-3-spirent/src/util/trace.c</t>
  </si>
  <si>
    <t>/home/spirent/jenkins-devops/workspace/kw_il/content/routing/il/ngc2-7-3-spirent/src/util/vif_adapter.cpp</t>
  </si>
  <si>
    <t>/home/spirent/jenkins-devops/workspace/kw_il/content/routing/il/ngs2-0-1-spirent/src/dot1x/dot1x.c</t>
  </si>
  <si>
    <t>/home/spirent/jenkins-devops/workspace/kw_il/content/routing/il/ngs2-0-1-spirent/src/dot1x/dot1x_dget.c</t>
  </si>
  <si>
    <t>/home/spirent/jenkins-devops/workspace/kw_il/content/routing/il/ngs2-0-1-spirent/src/dot1x/portstm.c</t>
  </si>
  <si>
    <t>/home/spirent/jenkins-devops/workspace/kw_il/content/routing/il/ngs2-0-1-spirent/src/garp/garpsys.c</t>
  </si>
  <si>
    <t>/home/spirent/jenkins-devops/workspace/kw_il/content/routing/il/ngs2-0-1-spirent/src/garp/gid.c</t>
  </si>
  <si>
    <t>/home/spirent/jenkins-devops/workspace/kw_il/content/routing/il/ngs2-0-1-spirent/src/garp/gip.c</t>
  </si>
  <si>
    <t>/home/spirent/jenkins-devops/workspace/kw_il/content/routing/il/ngs2-0-1-spirent/src/gatedcompat/kvm.c</t>
  </si>
  <si>
    <t>/home/spirent/jenkins-devops/workspace/kw_il/content/routing/il/ngs2-0-1-spirent/src/gmrp/bridgegmrp.c</t>
  </si>
  <si>
    <t>/home/spirent/jenkins-devops/workspace/kw_il/content/routing/il/ngs2-0-1-spirent/src/gmrp/gmd.c</t>
  </si>
  <si>
    <t>/home/spirent/jenkins-devops/workspace/kw_il/content/routing/il/ngs2-0-1-spirent/src/gmrp/gmr.c</t>
  </si>
  <si>
    <t>/home/spirent/jenkins-devops/workspace/kw_il/content/routing/il/ngs2-0-1-spirent/src/gmrp/gmrp.c</t>
  </si>
  <si>
    <t>/home/spirent/jenkins-devops/workspace/kw_il/content/routing/il/ngs2-0-1-spirent/src/gmrp/gmrp_dget.c</t>
  </si>
  <si>
    <t>/home/spirent/jenkins-devops/workspace/kw_il/content/routing/il/ngs2-0-1-spirent/src/gvrp/gvr.c</t>
  </si>
  <si>
    <t>/home/spirent/jenkins-devops/workspace/kw_il/content/routing/il/ngs2-0-1-spirent/src/gvrp/gvrp.c</t>
  </si>
  <si>
    <t>/home/spirent/jenkins-devops/workspace/kw_il/content/routing/il/ngs2-0-1-spirent/src/gvrp/gvrp_dget.c</t>
  </si>
  <si>
    <t>/home/spirent/jenkins-devops/workspace/kw_il/content/routing/il/ngs2-0-1-spirent/src/gvrp/vfdb.c</t>
  </si>
  <si>
    <t>/home/spirent/jenkins-devops/workspace/kw_il/content/routing/il/ngs2-0-1-spirent/src/igmp_snoop/igmp_snoop.c</t>
  </si>
  <si>
    <t>/home/spirent/jenkins-devops/workspace/kw_il/content/routing/il/ngs2-0-1-spirent/src/igmp_snoop/igmp_snoop_dget.c</t>
  </si>
  <si>
    <t>/home/spirent/jenkins-devops/workspace/kw_il/content/routing/il/ngs2-0-1-spirent/src/l2d_acl/l2d_acl.c</t>
  </si>
  <si>
    <t>/home/spirent/jenkins-devops/workspace/kw_il/content/routing/il/ngs2-0-1-spirent/src/l2d/dget_version.c</t>
  </si>
  <si>
    <t>/home/spirent/jenkins-devops/workspace/kw_il/content/routing/il/ngs2-0-1-spirent/src/l2d/fibheap.c</t>
  </si>
  <si>
    <t>/home/spirent/jenkins-devops/workspace/kw_il/content/routing/il/ngs2-0-1-spirent/src/l2d_gii/gii.c</t>
  </si>
  <si>
    <t>/home/spirent/jenkins-devops/workspace/kw_il/content/routing/il/ngs2-0-1-spirent/src/l2d_gii/gii_mio.c</t>
  </si>
  <si>
    <t>/home/spirent/jenkins-devops/workspace/kw_il/content/routing/il/ngs2-0-1-spirent/src/l2d/gmsg.c</t>
  </si>
  <si>
    <t>/home/spirent/jenkins-devops/workspace/kw_il/content/routing/il/ngs2-0-1-spirent/src/l2d/grand.c</t>
  </si>
  <si>
    <t>/home/spirent/jenkins-devops/workspace/kw_il/content/routing/il/ngs2-0-1-spirent/src/l2d_hal/pmux.c</t>
  </si>
  <si>
    <t>/home/spirent/jenkins-devops/workspace/kw_il/content/routing/il/ngs2-0-1-spirent/src/l2d/lrtimer.c</t>
  </si>
  <si>
    <t>/home/spirent/jenkins-devops/workspace/kw_il/content/routing/il/ngs2-0-1-spirent/src/l2d_mio/acl_mio.c</t>
  </si>
  <si>
    <t>/home/spirent/jenkins-devops/workspace/kw_il/content/routing/il/ngs2-0-1-spirent/src/l2d_mio/agt.c</t>
  </si>
  <si>
    <t>/home/spirent/jenkins-devops/workspace/kw_il/content/routing/il/ngs2-0-1-spirent/src/l2d_mio/igmp_snoop_mio.c</t>
  </si>
  <si>
    <t>/home/spirent/jenkins-devops/workspace/kw_il/content/routing/il/ngs2-0-1-spirent/src/l2d_mio/layer2_mio.c</t>
  </si>
  <si>
    <t>/home/spirent/jenkins-devops/workspace/kw_il/content/routing/il/ngs2-0-1-spirent/src/l2d_mio/mio.c</t>
  </si>
  <si>
    <t>/home/spirent/jenkins-devops/workspace/kw_il/content/routing/il/ngs2-0-1-spirent/src/l2d_mio/mio_dget.c</t>
  </si>
  <si>
    <t>/home/spirent/jenkins-devops/workspace/kw_il/content/routing/il/ngs2-0-1-spirent/src/l2d_mio/mio_error.c</t>
  </si>
  <si>
    <t>/home/spirent/jenkins-devops/workspace/kw_il/content/routing/il/ngs2-0-1-spirent/src/l2d_mio/mstp_mio.c</t>
  </si>
  <si>
    <t>/home/spirent/jenkins-devops/workspace/kw_il/content/routing/il/ngs2-0-1-spirent/src/l2d_mio/stp_mio.c</t>
  </si>
  <si>
    <t>/home/spirent/jenkins-devops/workspace/kw_il/content/routing/il/ngs2-0-1-spirent/src/l2d_os/linux/pmux_packet_socket.c</t>
  </si>
  <si>
    <t>/home/spirent/jenkins-devops/workspace/kw_il/content/routing/il/ngs2-0-1-spirent/src/l2d_os/linux/pout_sendto.c</t>
  </si>
  <si>
    <t>/home/spirent/jenkins-devops/workspace/kw_il/content/routing/il/ngs2-0-1-spirent/src/l2d/parse.c</t>
  </si>
  <si>
    <t>/home/spirent/jenkins-devops/workspace/kw_il/content/routing/il/ngs2-0-1-spirent/src/l2d/pkt_bfrs.c</t>
  </si>
  <si>
    <t>/home/spirent/jenkins-devops/workspace/kw_il/content/routing/il/ngs2-0-1-spirent/src/l2d_smux/smux_asn1.c</t>
  </si>
  <si>
    <t>/home/spirent/jenkins-devops/workspace/kw_il/content/routing/il/ngs2-0-1-spirent/src/l2d_smux/smux.c</t>
  </si>
  <si>
    <t>/home/spirent/jenkins-devops/workspace/kw_il/content/routing/il/ngs2-0-1-spirent/src/l2d_smux/smux_snmp.c</t>
  </si>
  <si>
    <t>/home/spirent/jenkins-devops/workspace/kw_il/content/routing/il/ngs2-0-1-spirent/src/l2d/sockaddr.c</t>
  </si>
  <si>
    <t>/home/spirent/jenkins-devops/workspace/kw_il/content/routing/il/ngs2-0-1-spirent/src/l2d/str.c</t>
  </si>
  <si>
    <t>/home/spirent/jenkins-devops/workspace/kw_il/content/routing/il/ngs2-0-1-spirent/src/l2d/task.c</t>
  </si>
  <si>
    <t>/home/spirent/jenkins-devops/workspace/kw_il/content/routing/il/ngs2-0-1-spirent/src/l2d/task_cb.c</t>
  </si>
  <si>
    <t>/home/spirent/jenkins-devops/workspace/kw_il/content/routing/il/ngs2-0-1-spirent/src/macm/macman.c</t>
  </si>
  <si>
    <t>/home/spirent/jenkins-devops/workspace/kw_il/content/routing/il/ngs2-0-1-spirent/src/macm/macm_dget.c</t>
  </si>
  <si>
    <t>/home/spirent/jenkins-devops/workspace/kw_il/content/routing/il/ngs2-0-1-spirent/src/macm/macmevent.c</t>
  </si>
  <si>
    <t>/home/spirent/jenkins-devops/workspace/kw_il/content/routing/il/ngs2-0-1-spirent/src/mps_manager/LacpStatsDbAdapter.cpp</t>
  </si>
  <si>
    <t>/home/spirent/jenkins-devops/workspace/kw_il/content/routing/il/ngs2-0-1-spirent/src/mps_manager/MstiStatsDbAdapter.cpp</t>
  </si>
  <si>
    <t>/home/spirent/jenkins-devops/workspace/kw_il/content/routing/il/ngs2-0-1-spirent/src/mps_manager/MstpStatsDbAdapter.cpp</t>
  </si>
  <si>
    <t>/home/spirent/jenkins-devops/workspace/kw_il/content/routing/il/ngs2-0-1-spirent/src/portm/pagg_dget.c</t>
  </si>
  <si>
    <t>/home/spirent/jenkins-devops/workspace/kw_il/content/routing/il/ngs2-0-1-spirent/src/portm/port_agg.c</t>
  </si>
  <si>
    <t>/home/spirent/jenkins-devops/workspace/kw_il/content/routing/il/ngs2-0-1-spirent/src/portm/port_dget.c</t>
  </si>
  <si>
    <t>/home/spirent/jenkins-devops/workspace/kw_il/content/routing/il/ngs2-0-1-spirent/src/portm/port_lacp.c</t>
  </si>
  <si>
    <t>/home/spirent/jenkins-devops/workspace/kw_il/content/routing/il/ngs2-0-1-spirent/src/portm/portman.c</t>
  </si>
  <si>
    <t>/home/spirent/jenkins-devops/workspace/kw_il/content/routing/il/ngs2-0-1-spirent/src/rstp_new/mstp_cli.c</t>
  </si>
  <si>
    <t>/home/spirent/jenkins-devops/workspace/kw_il/content/routing/il/ngs2-0-1-spirent/src/rstp_new/mstp_core.c</t>
  </si>
  <si>
    <t>/home/spirent/jenkins-devops/workspace/kw_il/content/routing/il/ngs2-0-1-spirent/src/rstp_new/mstp_dget.c</t>
  </si>
  <si>
    <t>/home/spirent/jenkins-devops/workspace/kw_il/content/routing/il/ngs2-0-1-spirent/src/rstp_new/mstp_init.c</t>
  </si>
  <si>
    <t>/home/spirent/jenkins-devops/workspace/kw_il/content/routing/il/ngs2-0-1-spirent/src/rstp_new/mstp_port_roletransition.c</t>
  </si>
  <si>
    <t>/home/spirent/jenkins-devops/workspace/kw_il/content/routing/il/ngs2-0-1-spirent/src/rstp_new/rstp_cli.c</t>
  </si>
  <si>
    <t>/home/spirent/jenkins-devops/workspace/kw_il/content/routing/il/ngs2-0-1-spirent/src/rstp_new/rstp_core.c</t>
  </si>
  <si>
    <t>/home/spirent/jenkins-devops/workspace/kw_il/content/routing/il/ngs2-0-1-spirent/src/rstp_new/rstp_init.c</t>
  </si>
  <si>
    <t>/home/spirent/jenkins-devops/workspace/kw_il/content/routing/il/ngs2-0-1-spirent/src/rstp_new/stpApi.c</t>
  </si>
  <si>
    <t>/home/spirent/jenkins-devops/workspace/kw_il/content/routing/il/ngs2-0-1-spirent/src/rstp_new/stp.c</t>
  </si>
  <si>
    <t>/home/spirent/jenkins-devops/workspace/kw_il/content/routing/il/ngs2-0-1-spirent/src/rstp_new/stpCore.c</t>
  </si>
  <si>
    <t>/home/spirent/jenkins-devops/workspace/kw_il/content/routing/il/ngs2-0-1-spirent/src/rstp_new/stp_dget.c</t>
  </si>
  <si>
    <t>/home/spirent/jenkins-devops/workspace/kw_il/content/routing/il/ngs2-0-1-spirent/src/rstp_new/stpInit.c</t>
  </si>
  <si>
    <t>/home/spirent/jenkins-devops/workspace/kw_il/content/routing/il/ngs2-0-1-spirent/src/rstp_new/stpOsCalls.c</t>
  </si>
  <si>
    <t>/home/spirent/jenkins-devops/workspace/kw_il/content/routing/il/ngs2-0-1-spirent/src/rstp_new/stpPort.c</t>
  </si>
  <si>
    <t>/home/spirent/jenkins-devops/workspace/kw_il/content/routing/il/ngs2-0-1-spirent/src/util/avl.c</t>
  </si>
  <si>
    <t>/home/spirent/jenkins-devops/workspace/kw_il/content/routing/il/ngs2-0-1-spirent/src/util/block.c</t>
  </si>
  <si>
    <t>/home/spirent/jenkins-devops/workspace/kw_il/content/routing/il/ngs2-0-1-spirent/src/util/garray.c</t>
  </si>
  <si>
    <t>/home/spirent/jenkins-devops/workspace/kw_il/content/routing/il/ngs2-0-1-spirent/src/util/ght.c</t>
  </si>
  <si>
    <t>/home/spirent/jenkins-devops/workspace/kw_il/content/routing/il/ngs2-0-1-spirent/src/util/itimer.c</t>
  </si>
  <si>
    <t>/home/spirent/jenkins-devops/workspace/kw_il/content/routing/il/ngs2-0-1-spirent/src/util/lgda.c</t>
  </si>
  <si>
    <t>/home/spirent/jenkins-devops/workspace/kw_il/content/routing/il/ngs2-0-1-spirent/src/util/pprefix.c</t>
  </si>
  <si>
    <t>/home/spirent/jenkins-devops/workspace/kw_il/content/routing/il/ngs2-0-1-spirent/src/util/prefix.c</t>
  </si>
  <si>
    <t>/home/spirent/jenkins-devops/workspace/kw_il/content/routing/il/ngs2-0-1-spirent/src/util/ptree.c</t>
  </si>
  <si>
    <t>/home/spirent/jenkins-devops/workspace/kw_il/content/routing/il/ngs2-0-1-spirent/src/util/sigcontext.c</t>
  </si>
  <si>
    <t>/home/spirent/jenkins-devops/workspace/kw_il/content/routing/il/ngs2-0-1-spirent/src/util/trace.c</t>
  </si>
  <si>
    <t>/home/spirent/jenkins-devops/workspace/kw_il/content/routing/il/ngs2-0-1-spirent/src/util/util.c</t>
  </si>
  <si>
    <t>/home/spirent/jenkins-devops/workspace/kw_il/content/routing/il/ngs2-0-1-spirent/src/vlanm/vlanm.c</t>
  </si>
  <si>
    <t>/home/spirent/jenkins-devops/workspace/kw_il/content/routing/il/ngs2-0-1-spirent/src/vlanm/vlanm_qinq.c</t>
  </si>
  <si>
    <t>/home/spirent/jenkins-devops/workspace/kw_il/content/routing/il/pimd/pim_1_server_msg.cpp</t>
  </si>
  <si>
    <t>/home/spirent/jenkins-devops/workspace/kw_il/content/routing/il/pimd/pim_comm.cpp</t>
  </si>
  <si>
    <t>/home/spirent/jenkins-devops/workspace/kw_il/content/routing/il/stpd/stp_bpdu.cpp</t>
  </si>
  <si>
    <t>/home/spirent/jenkins-devops/workspace/kw_il/content/routing/il/stpd/stp_comm.cpp</t>
  </si>
  <si>
    <t>/home/spirent/jenkins-devops/workspace/kw_il/content/routing/il/stpd/stp_debug.cpp</t>
  </si>
  <si>
    <t>/home/spirent/jenkins-devops/workspace/kw_il/content/routing/il/stpd/stp_if.cpp</t>
  </si>
  <si>
    <t>/home/spirent/jenkins-devops/workspace/kw_il/content/routing/il/stpd/stp_node.cpp</t>
  </si>
  <si>
    <t>/home/spirent/jenkins-devops/workspace/kw_il/content/routing/il/stpd/stp_parse.cpp</t>
  </si>
  <si>
    <t>/home/spirent/jenkins-devops/workspace/kw_il/content/routing/il/stpd/StpStatsDbAdapter.cpp</t>
  </si>
  <si>
    <t>/home/spirent/jenkins-devops/workspace/kw_il/content/routing/il/stpd/stp_to.cpp</t>
  </si>
  <si>
    <t>/home/spirent/jenkins-devops/workspace/kw_il/content/routing/il/stpd/transmit.cpp</t>
  </si>
  <si>
    <t>/home/spirent/jenkins-devops/workspace/kw_il/content/routing/il/stpd/vector.cpp</t>
  </si>
  <si>
    <t>/home/spirent/jenkins-devops/workspace/kw_il/content/storage/vepa/il/vepad/VepaApplicationProxy.cpp</t>
  </si>
  <si>
    <t>/home/spirent/jenkins-devops/workspace/kw_il/content/storage/vic/il/vicd/VicApplicationProxy.cpp</t>
  </si>
  <si>
    <t>/home/spirent/jenkins-devops/workspace/kw_il/content/traffic/capture/il/CapDrv1G.cpp</t>
  </si>
  <si>
    <t>/home/spirent/jenkins-devops/workspace/kw_il/content/traffic/capture/il/CapPktMgr.cpp</t>
  </si>
  <si>
    <t>/home/spirent/jenkins-devops/workspace/kw_il/content/traffic/capture/il/CaptureAppl.h</t>
  </si>
  <si>
    <t>/home/spirent/jenkins-devops/workspace/kw_il/content/traffic/capture/il/CapUtils.cpp</t>
  </si>
  <si>
    <t>/home/spirent/jenkins-devops/workspace/kw_il/content/traffic/l2l3/il/Analyzer/AnaAppStat.h</t>
  </si>
  <si>
    <t>/home/spirent/jenkins-devops/workspace/kw_il/content/traffic/l2l3/il/Analyzer/Analyzer10G.cpp</t>
  </si>
  <si>
    <t>/home/spirent/jenkins-devops/workspace/kw_il/content/traffic/l2l3/il/Analyzer/AnalyzerApp.h</t>
  </si>
  <si>
    <t>/home/spirent/jenkins-devops/workspace/kw_il/content/traffic/l2l3/il/Analyzer/AnalyzerBanshee.cpp</t>
  </si>
  <si>
    <t>/home/spirent/jenkins-devops/workspace/kw_il/content/traffic/l2l3/il/Analyzer/AnalyzerIceboyHardFPGA.h</t>
  </si>
  <si>
    <t>/home/spirent/jenkins-devops/workspace/kw_il/content/traffic/l2l3/il/Analyzer/AnalyzerMystWolv.cpp</t>
  </si>
  <si>
    <t>/home/spirent/jenkins-devops/workspace/kw_il/content/traffic/l2l3/il/Analyzer/AnalyzerSoftFPGA.cpp</t>
  </si>
  <si>
    <t>/home/spirent/jenkins-devops/workspace/kw_il/content/traffic/l2l3/il/Analyzer/AnalyzerThunderbirdHardFPGA.h</t>
  </si>
  <si>
    <t>/home/spirent/jenkins-devops/workspace/kw_il/content/traffic/l2l3/il/Analyzer/AnalyzerWraith.cpp</t>
  </si>
  <si>
    <t>/home/spirent/jenkins-devops/workspace/kw_il/content/traffic/l2l3/il/Analyzer/CacheMaintDriver.cpp</t>
  </si>
  <si>
    <t>/home/spirent/jenkins-devops/workspace/kw_il/content/traffic/l2l3/il/Analyzer/DiffServStatsStrategy.cpp</t>
  </si>
  <si>
    <t>/home/spirent/jenkins-devops/workspace/kw_il/content/traffic/l2l3/il/Analyzer/GroupCounters.cpp</t>
  </si>
  <si>
    <t>/home/spirent/jenkins-devops/workspace/kw_il/content/traffic/l2l3/il/Analyzer/StreamCounters.cpp</t>
  </si>
  <si>
    <t>/home/spirent/jenkins-devops/workspace/kw_il/content/traffic/l2l3/il/Generator/Driver/refactor/GeneratorStruct.h</t>
  </si>
  <si>
    <t>/home/spirent/jenkins-devops/workspace/kw_il/content/traffic/l2l3/il/Generator/Driver/refactor/GeneratorUtils.cpp</t>
  </si>
  <si>
    <t>/home/spirent/jenkins-devops/workspace/kw_il/content/traffic/l2l3/il/Generator/Driver/refactor/hwaccess/BansheeMemMap.cpp</t>
  </si>
  <si>
    <t>/home/spirent/jenkins-devops/workspace/kw_il/content/traffic/l2l3/il/Generator/Driver/refactor/hwaccess/ColossusSfpgaMemMap.cpp</t>
  </si>
  <si>
    <t>/home/spirent/jenkins-devops/workspace/kw_il/content/traffic/l2l3/il/Generator/Driver/refactor/MemoryBlockManager.cpp</t>
  </si>
  <si>
    <t>/home/spirent/jenkins-devops/workspace/kw_il/content/traffic/l2l3/il/Generator/Driver/refactor/vfd/WraithVfd.cpp</t>
  </si>
  <si>
    <t>/home/spirent/jenkins-devops/workspace/kw_il/content/traffic/l2l3/il/Generator/GeneratorApp.cpp</t>
  </si>
  <si>
    <t>/home/spirent/jenkins-devops/workspace/kw_il/content/traffic/l2l3/il/Generator/Learning/Ipv6Header.h</t>
  </si>
  <si>
    <t>/home/spirent/jenkins-devops/workspace/kw_il/content/traffic/l2l3/il/Generator/Learning/ND.cpp</t>
  </si>
  <si>
    <t>/home/spirent/jenkins-devops/workspace/kw_il/content/traffic/l2l3/il/Generator/scheduler/CbrAlgo.cpp</t>
  </si>
  <si>
    <t>/home/spirent/jenkins-devops/workspace/kw_il/content/traffic/l2l3/il/Generator/stat/GenAppStat.cpp</t>
  </si>
  <si>
    <t>/home/spirent/jenkins-devops/workspace/kw_il/content/traffic/l2l3/il/Generator/stream/IbProxyStreamImpl.cpp</t>
  </si>
  <si>
    <t>/home/spirent/jenkins-devops/workspace/kw_il/content/traffic/l2l3/il/Generator/stream/StreamInfo.h</t>
  </si>
  <si>
    <t>/home/spirent/jenkins-devops/workspace/kw_il/content/traffic/l2l3/il/Generator/vfdrit/StreamIdVFD.cpp</t>
  </si>
  <si>
    <t>/home/spirent/jenkins-devops/workspace/kw_il/content/traffic/l2l3/il/Generator/vfdrit/StutterVFD.cpp</t>
  </si>
  <si>
    <t>/home/spirent/jenkins-devops/workspace/kw_il/content/traffic/l2l3/il/Generator/vfdrit/VFDModifier.cpp</t>
  </si>
  <si>
    <t>/home/spirent/jenkins-devops/workspace/kw_il/content/traffic/l2l3/il/Generator/vfdrit/VfdModVerifierImpl.cpp</t>
  </si>
  <si>
    <t>/home/spirent/jenkins-devops/workspace/kw_il/content/traffic/l2l3/il/pfc/hwaccess/NamedRegisterMap.h</t>
  </si>
  <si>
    <t>/home/spirent/jenkins-devops/workspace/kw_il/content/traffic/l2l3/il/pfc/PfcProtocolIceman.cpp</t>
  </si>
  <si>
    <t>/home/spirent/jenkins-devops/workspace/kw_il/content/traffic/l2l3/il/pfc/PfcUtils.cpp</t>
  </si>
  <si>
    <t>/home/spirent/jenkins-devops/workspace/kw_il/content/traffic/l2l3/il/SfpgaSync/main.cpp</t>
  </si>
  <si>
    <t>/home/spirent/jenkins-devops/workspace/kw_il/content/traffic/l4l7/il/base/RateBasedLoadStrategy.cpp</t>
  </si>
  <si>
    <t>/home/spirent/jenkins-devops/workspace/kw_il/content/traffic/l4l7/il/dpgd/DpgApplicationProxy.cpp</t>
  </si>
  <si>
    <t>/home/spirent/jenkins-devops/workspace/kw_il/content/traffic/l4l7/il/engine/FlowInstance.cpp</t>
  </si>
  <si>
    <t>/home/spirent/jenkins-devops/workspace/kw_il/content/traffic/l4l7/il/engine/PlaylistInstance.cpp</t>
  </si>
  <si>
    <t>/home/spirent/jenkins-devops/workspace/kw_il/content/traffic/l4l7/il/external/RvSipTK/ads/abmem_pool.c</t>
  </si>
  <si>
    <t>/home/spirent/jenkins-devops/workspace/kw_il/content/traffic/l4l7/il/external/RvSipTK/common/adapters/pmutex/rvadlock.c</t>
  </si>
  <si>
    <t>/home/spirent/jenkins-devops/workspace/kw_il/content/traffic/l4l7/il/external/RvSipTK/common/adapters/pmutex/rvadmutex.c</t>
  </si>
  <si>
    <t>/home/spirent/jenkins-devops/workspace/kw_il/content/traffic/l4l7/il/external/RvSipTK/common/ares/ares_process.c</t>
  </si>
  <si>
    <t>/home/spirent/jenkins-devops/workspace/kw_il/content/traffic/l4l7/il/external/RvSipTK/common/ares/ares_query.c</t>
  </si>
  <si>
    <t>/home/spirent/jenkins-devops/workspace/kw_il/content/traffic/l4l7/il/external/RvSipTK/common/ares/rvarescache.c</t>
  </si>
  <si>
    <t>/home/spirent/jenkins-devops/workspace/kw_il/content/traffic/l4l7/il/external/RvSipTK/common/ares/rvares.c</t>
  </si>
  <si>
    <t>/home/spirent/jenkins-devops/workspace/kw_il/content/traffic/l4l7/il/external/RvSipTK/common/cbase/rvqueue.c</t>
  </si>
  <si>
    <t>/home/spirent/jenkins-devops/workspace/kw_il/content/traffic/l4l7/il/external/RvSipTK/common/ccore/netdrivers/rvhost.c</t>
  </si>
  <si>
    <t>/home/spirent/jenkins-devops/workspace/kw_il/content/traffic/l4l7/il/external/RvSipTK/common/ccore/netdrivers/rvselect.c</t>
  </si>
  <si>
    <t>/home/spirent/jenkins-devops/workspace/kw_il/content/traffic/l4l7/il/external/RvSipTK/common/ccore/netdrivers/rvsocket.c</t>
  </si>
  <si>
    <t>/home/spirent/jenkins-devops/workspace/kw_il/content/traffic/l4l7/il/external/RvSipTK/common/ccore/rvthread.c</t>
  </si>
  <si>
    <t>/home/spirent/jenkins-devops/workspace/kw_il/content/traffic/l4l7/il/external/RvSipTK/common/cutils/rvra.c</t>
  </si>
  <si>
    <t>/home/spirent/jenkins-devops/workspace/kw_il/content/traffic/l4l7/il/external/RvSipTK/rtpRtcp/rtp/rtcp.c</t>
  </si>
  <si>
    <t>/home/spirent/jenkins-devops/workspace/kw_il/content/traffic/l4l7/il/external/RvSipTK/rtpRtcp/rtp/rtp.c</t>
  </si>
  <si>
    <t>/home/spirent/jenkins-devops/workspace/kw_il/content/traffic/l4l7/il/external/RvSipTK/rtpRtcp/rtp/rtp_spirent.c</t>
  </si>
  <si>
    <t>/home/spirent/jenkins-devops/workspace/kw_il/content/traffic/l4l7/il/external/RvSipTK/rtpRtcp/rtp/rvnetaddress.c</t>
  </si>
  <si>
    <t>/home/spirent/jenkins-devops/workspace/kw_il/content/traffic/l4l7/il/external/RvSipTK/rtpRtcp/srtp/plugin/rvsrtpcontext.c</t>
  </si>
  <si>
    <t>/home/spirent/jenkins-devops/workspace/kw_il/content/traffic/l4l7/il/external/RvSipTK/rtpRtcp/srtp/plugin/rvsrtpprocess.c</t>
  </si>
  <si>
    <t>/home/spirent/jenkins-devops/workspace/kw_il/content/traffic/l4l7/il/external/RvSipTK/sdp/codecs/rvsdpcodecs.c</t>
  </si>
  <si>
    <t>/home/spirent/jenkins-devops/workspace/kw_il/content/traffic/l4l7/il/external/RvSipTK/sdp/rvsdpbandwidth.c</t>
  </si>
  <si>
    <t>/home/spirent/jenkins-devops/workspace/kw_il/content/traffic/l4l7/il/external/RvSipTK/sdp/rvsdpconnection.c</t>
  </si>
  <si>
    <t>/home/spirent/jenkins-devops/workspace/kw_il/content/traffic/l4l7/il/external/RvSipTK/sdp/rvsdpcrypto.c</t>
  </si>
  <si>
    <t>/home/spirent/jenkins-devops/workspace/kw_il/content/traffic/l4l7/il/external/RvSipTK/sdp/rvsdpemail.c</t>
  </si>
  <si>
    <t>/home/spirent/jenkins-devops/workspace/kw_il/content/traffic/l4l7/il/external/RvSipTK/sdp/rvsdpinit.c</t>
  </si>
  <si>
    <t>/home/spirent/jenkins-devops/workspace/kw_il/content/traffic/l4l7/il/external/RvSipTK/sdp/rvsdpkeymgmt.c</t>
  </si>
  <si>
    <t>/home/spirent/jenkins-devops/workspace/kw_il/content/traffic/l4l7/il/external/RvSipTK/sdp/rvsdplist.c</t>
  </si>
  <si>
    <t>/home/spirent/jenkins-devops/workspace/kw_il/content/traffic/l4l7/il/external/RvSipTK/sdp/rvsdpmedia.c</t>
  </si>
  <si>
    <t>/home/spirent/jenkins-devops/workspace/kw_il/content/traffic/l4l7/il/external/RvSipTK/sdp/rvsdpmediagroup.c</t>
  </si>
  <si>
    <t>/home/spirent/jenkins-devops/workspace/kw_il/content/traffic/l4l7/il/external/RvSipTK/sdp/rvsdpmegaco.c</t>
  </si>
  <si>
    <t>/home/spirent/jenkins-devops/workspace/kw_il/content/traffic/l4l7/il/external/RvSipTK/sdp/rvsdpmsgparse.c</t>
  </si>
  <si>
    <t>/home/spirent/jenkins-devops/workspace/kw_il/content/traffic/l4l7/il/external/RvSipTK/sdp/rvsdpphone.c</t>
  </si>
  <si>
    <t>/home/spirent/jenkins-devops/workspace/kw_il/content/traffic/l4l7/il/external/RvSipTK/sdp/rvsdpprecondition.c</t>
  </si>
  <si>
    <t>/home/spirent/jenkins-devops/workspace/kw_il/content/traffic/l4l7/il/external/RvSipTK/sdp/rvsdpprsutils.c</t>
  </si>
  <si>
    <t>/home/spirent/jenkins-devops/workspace/kw_il/content/traffic/l4l7/il/external/RvSipTK/sdp/rvsdprtcp.c</t>
  </si>
  <si>
    <t>/home/spirent/jenkins-devops/workspace/kw_il/content/traffic/l4l7/il/external/RvSipTK/sdp/rvsdpsesstime.c</t>
  </si>
  <si>
    <t>/home/spirent/jenkins-devops/workspace/kw_il/content/traffic/l4l7/il/external/RvSipTK/sigcomp/SigCompCompartmentHandlerObject.c</t>
  </si>
  <si>
    <t>/home/spirent/jenkins-devops/workspace/kw_il/content/traffic/l4l7/il/external/RvSipTK/sip/authenticator/_SipAuthenticator.c</t>
  </si>
  <si>
    <t>/home/spirent/jenkins-devops/workspace/kw_il/content/traffic/l4l7/il/external/RvSipTK/sip/call/CallLegObject.c</t>
  </si>
  <si>
    <t>/home/spirent/jenkins-devops/workspace/kw_il/content/traffic/l4l7/il/external/RvSipTK/sip/call/CallLegSession.c</t>
  </si>
  <si>
    <t>/home/spirent/jenkins-devops/workspace/kw_il/content/traffic/l4l7/il/external/RvSipTK/sip/call/CallLegSessionTimer.c</t>
  </si>
  <si>
    <t>/home/spirent/jenkins-devops/workspace/kw_il/content/traffic/l4l7/il/external/RvSipTK/sip/call/RvSipCallLeg.c</t>
  </si>
  <si>
    <t>/home/spirent/jenkins-devops/workspace/kw_il/content/traffic/l4l7/il/external/RvSipTK/sip/call/_SipCallLegMgr.c</t>
  </si>
  <si>
    <t>/home/spirent/jenkins-devops/workspace/kw_il/content/traffic/l4l7/il/external/RvSipTK/sip/compartment/CompartmentCallback.c</t>
  </si>
  <si>
    <t>/home/spirent/jenkins-devops/workspace/kw_il/content/traffic/l4l7/il/external/RvSipTK/sip/compartment/CompartmentObject.c</t>
  </si>
  <si>
    <t>/home/spirent/jenkins-devops/workspace/kw_il/content/traffic/l4l7/il/external/RvSipTK/sip/message/MsgUtils.c</t>
  </si>
  <si>
    <t>/home/spirent/jenkins-devops/workspace/kw_il/content/traffic/l4l7/il/external/RvSipTK/sip/message/RvSipBody.c</t>
  </si>
  <si>
    <t>/home/spirent/jenkins-devops/workspace/kw_il/content/traffic/l4l7/il/external/RvSipTK/sip/pubClient/_SipPubClientMgr.c</t>
  </si>
  <si>
    <t>/home/spirent/jenkins-devops/workspace/kw_il/content/traffic/l4l7/il/external/RvSipTK/sip/regClient/_SipRegClientMgr.c</t>
  </si>
  <si>
    <t>/home/spirent/jenkins-devops/workspace/kw_il/content/traffic/l4l7/il/external/RvSipTK/sip/resolver/ResolverCallbacks.c</t>
  </si>
  <si>
    <t>/home/spirent/jenkins-devops/workspace/kw_il/content/traffic/l4l7/il/external/RvSipTK/sip/resolver/ResolverDns.c</t>
  </si>
  <si>
    <t>/home/spirent/jenkins-devops/workspace/kw_il/content/traffic/l4l7/il/external/RvSipTK/sip/resolver/ResolverMgrObject.c</t>
  </si>
  <si>
    <t>/home/spirent/jenkins-devops/workspace/kw_il/content/traffic/l4l7/il/external/RvSipTK/sip/resolver/ResolverObject.c</t>
  </si>
  <si>
    <t>/home/spirent/jenkins-devops/workspace/kw_il/content/traffic/l4l7/il/external/RvSipTK/sip/secAgree/SecAgreeObject.c</t>
  </si>
  <si>
    <t>/home/spirent/jenkins-devops/workspace/kw_il/content/traffic/l4l7/il/external/RvSipTK/sip/secAgree/SecAgreeServer.c</t>
  </si>
  <si>
    <t>/home/spirent/jenkins-devops/workspace/kw_il/content/traffic/l4l7/il/external/RvSipTK/sip/secAgree/_SipSecAgreeMgr.c</t>
  </si>
  <si>
    <t>/home/spirent/jenkins-devops/workspace/kw_il/content/traffic/l4l7/il/external/RvSipTK/sip/security/SecurityObject.c</t>
  </si>
  <si>
    <t>/home/spirent/jenkins-devops/workspace/kw_il/content/traffic/l4l7/il/external/RvSipTK/sip/security/_SipSecuritySecObj.c</t>
  </si>
  <si>
    <t>/home/spirent/jenkins-devops/workspace/kw_il/content/traffic/l4l7/il/external/RvSipTK/sip/stackMgr/RvSipStack.c</t>
  </si>
  <si>
    <t>/home/spirent/jenkins-devops/workspace/kw_il/content/traffic/l4l7/il/external/RvSipTK/sip/subscription/_SipSubs.c</t>
  </si>
  <si>
    <t>/home/spirent/jenkins-devops/workspace/kw_il/content/traffic/l4l7/il/external/RvSipTK/sip/subscription/_SipSubsMgr.c</t>
  </si>
  <si>
    <t>/home/spirent/jenkins-devops/workspace/kw_il/content/traffic/l4l7/il/external/RvSipTK/sip/subscription/SubsObject.c</t>
  </si>
  <si>
    <t>/home/spirent/jenkins-devops/workspace/kw_il/content/traffic/l4l7/il/external/RvSipTK/sip/subscription/SubsRefer.c</t>
  </si>
  <si>
    <t>/home/spirent/jenkins-devops/workspace/kw_il/content/traffic/l4l7/il/external/RvSipTK/sip/transaction/_SipTransaction.c</t>
  </si>
  <si>
    <t>/home/spirent/jenkins-devops/workspace/kw_il/content/traffic/l4l7/il/external/RvSipTK/sip/transaction/_SipTransactionMgr.c</t>
  </si>
  <si>
    <t>/home/spirent/jenkins-devops/workspace/kw_il/content/traffic/l4l7/il/external/RvSipTK/sip/transaction/TransactionMgrObject.c</t>
  </si>
  <si>
    <t>/home/spirent/jenkins-devops/workspace/kw_il/content/traffic/l4l7/il/external/RvSipTK/sip/transaction/TransactionObject.c</t>
  </si>
  <si>
    <t>/home/spirent/jenkins-devops/workspace/kw_il/content/traffic/l4l7/il/external/RvSipTK/sip/transcClient/_SipTranscClient.c</t>
  </si>
  <si>
    <t>/home/spirent/jenkins-devops/workspace/kw_il/content/traffic/l4l7/il/external/RvSipTK/sip/transcClient/TranscClientSecAgree.c</t>
  </si>
  <si>
    <t>/home/spirent/jenkins-devops/workspace/kw_il/content/traffic/l4l7/il/external/RvSipTK/sip/transmitter/TransmitterCallbacks.c</t>
  </si>
  <si>
    <t>/home/spirent/jenkins-devops/workspace/kw_il/content/traffic/l4l7/il/external/RvSipTK/sip/transmitter/TransmitterControl.c</t>
  </si>
  <si>
    <t>/home/spirent/jenkins-devops/workspace/kw_il/content/traffic/l4l7/il/external/RvSipTK/sip/transmitter/TransmitterDest.c</t>
  </si>
  <si>
    <t>/home/spirent/jenkins-devops/workspace/kw_il/content/traffic/l4l7/il/external/RvSipTK/sip/transmitter/TransmitterMgrObject.c</t>
  </si>
  <si>
    <t>/home/spirent/jenkins-devops/workspace/kw_il/content/traffic/l4l7/il/external/RvSipTK/sip/transmitter/TransmitterObject.c</t>
  </si>
  <si>
    <t>/home/spirent/jenkins-devops/workspace/kw_il/content/traffic/l4l7/il/external/RvSipTK/sip/transport/TransportCallbacks.c</t>
  </si>
  <si>
    <t>/home/spirent/jenkins-devops/workspace/kw_il/content/traffic/l4l7/il/external/RvSipTK/sip/transport/TransportConnection.c</t>
  </si>
  <si>
    <t>/home/spirent/jenkins-devops/workspace/kw_il/content/traffic/l4l7/il/external/RvSipTK/sip/transport/TransportMgrObject.c</t>
  </si>
  <si>
    <t>/home/spirent/jenkins-devops/workspace/kw_il/content/traffic/l4l7/il/external/RvSipTK/sip/transport/TransportMsgBuilder.c</t>
  </si>
  <si>
    <t>/home/spirent/jenkins-devops/workspace/kw_il/content/traffic/l4l7/il/external/RvSipTK/sip/transport/TransportUDP.c</t>
  </si>
  <si>
    <t>/home/spirent/jenkins-devops/workspace/kw_il/content/traffic/l4l7/il/ftpd/FtpApplicationProxy.cpp</t>
  </si>
  <si>
    <t>/home/spirent/jenkins-devops/workspace/kw_il/content/traffic/l4l7/il/httpd/HttpApplicationProxy.cpp</t>
  </si>
  <si>
    <t>/home/spirent/jenkins-devops/workspace/kw_il/content/traffic/l4l7/il/rawtcpd/RawTcpApplicationProxy.cpp</t>
  </si>
  <si>
    <t>/home/spirent/jenkins-devops/workspace/kw_il/content/traffic/l4l7/il/sipd/app/SipApplication.cpp</t>
  </si>
  <si>
    <t>/home/spirent/jenkins-devops/workspace/kw_il/content/traffic/l4l7/il/sipd/app/SipApplicationProxy.cpp</t>
  </si>
  <si>
    <t>/home/spirent/jenkins-devops/workspace/kw_il/content/traffic/l4l7/il/sipd/signaling/sip/lean/SipAuthentication.h</t>
  </si>
  <si>
    <t>/home/spirent/jenkins-devops/workspace/kw_il/content/traffic/l4l7/il/sipd/signaling/sip/lean/SipMessage.h</t>
  </si>
  <si>
    <t>/home/spirent/jenkins-devops/workspace/kw_il/content/traffic/l4l7/il/sipd/signaling/sip/rv/core/SipChannel.cpp</t>
  </si>
  <si>
    <t>/home/spirent/jenkins-devops/workspace/kw_il/content/traffic/l4l7/il/sipd/signaling/sip/rv/core/SipChannelTimer.h</t>
  </si>
  <si>
    <t>/home/spirent/jenkins-devops/workspace/kw_il/content/traffic/l4l7/il/sipd/signaling/sip/rv/core/SipEngine.cpp</t>
  </si>
  <si>
    <t>/home/spirent/jenkins-devops/workspace/kw_il/content/traffic/l4l7/il/sipd/signaling/sip/rv/RvUserAgentSdpMedia.cpp</t>
  </si>
  <si>
    <t>/home/spirent/jenkins-devops/workspace/kw_il/content/traffic/l4l7/il/sipd/voipmedia/encrtp/EncRTPGenSession.cpp</t>
  </si>
  <si>
    <t>/home/spirent/jenkins-devops/workspace/kw_il/content/traffic/l4l7/il/sipd/voipmedia/encrtp/EncTIP.cpp</t>
  </si>
  <si>
    <t>/home/spirent/jenkins-devops/workspace/kw_il/content/traffic/l4l7/il/sipd/voipmedia/fpgartp/FPGARTPMediaChannelAdapter.cpp</t>
  </si>
  <si>
    <t>/home/spirent/jenkins-devops/workspace/kw_il/content/traffic/l4l7/il/sipd/voipmedia/vq/VQStats.h</t>
  </si>
  <si>
    <t>/home/spirent/jenkins-devops/workspace/kw_il/content/traffic/l4l7/il/sipd/voipmedia/vq/VQStream.h</t>
  </si>
  <si>
    <t>/home/spirent/jenkins-devops/workspace/kw_il/content/traffic/l4l7/il/xmppd/XmppApplicationProxy.cpp</t>
  </si>
  <si>
    <t>/home/spirent/jenkins-devops/workspace/kw_il/content/v4v6transition/v4v6transition/il/softwired/TransitionDevice.h</t>
  </si>
  <si>
    <t>/home/spirent/jenkins-devops/workspace/kw_il/framework/common/lib/modifier/include/RateModifier.h</t>
  </si>
  <si>
    <t>/home/spirent/jenkins-devops/workspace/kw_il/framework/common/lib/modifier/include/RateRangeModifierImpl.h</t>
  </si>
  <si>
    <t>/home/spirent/jenkins-devops/workspace/kw_il/framework/common/lib/modifier/src/RateRandomModifier.cpp</t>
  </si>
  <si>
    <t>/home/spirent/jenkins-devops/workspace/kw_il/framework/common/lib/modifier/src/RateRangeModifier.cpp</t>
  </si>
  <si>
    <t>/home/spirent/jenkins-devops/workspace/kw_il/framework/common/lib/modifier/src/RateTableModifier.cpp</t>
  </si>
  <si>
    <t>/home/spirent/jenkins-devops/workspace/kw_il/framework/il/common/apps/bcmnetd/init.c</t>
  </si>
  <si>
    <t>/home/spirent/jenkins-devops/workspace/kw_il/framework/il/common/apps/bcmnetd/main.c</t>
  </si>
  <si>
    <t>/home/spirent/jenkins-devops/workspace/kw_il/framework/il/common/apps/bpnetd/main.c</t>
  </si>
  <si>
    <t>/home/spirent/jenkins-devops/workspace/kw_il/framework/il/common/apps/bpnetd/sio.c</t>
  </si>
  <si>
    <t>/home/spirent/jenkins-devops/workspace/kw_il/framework/il/common/apps/commd/commd.cpp</t>
  </si>
  <si>
    <t>/home/spirent/jenkins-devops/workspace/kw_il/framework/il/common/apps/etrd/bkgnd.c</t>
  </si>
  <si>
    <t>/home/spirent/jenkins-devops/workspace/kw_il/framework/il/common/apps/etrd/cdma.c</t>
  </si>
  <si>
    <t>/home/spirent/jenkins-devops/workspace/kw_il/framework/il/common/apps/etrd/init.c</t>
  </si>
  <si>
    <t>/home/spirent/jenkins-devops/workspace/kw_il/framework/il/common/apps/etrd/main.c</t>
  </si>
  <si>
    <t>/home/spirent/jenkins-devops/workspace/kw_il/framework/il/common/apps/gred/GreKeepAliveTimerHandler.cpp</t>
  </si>
  <si>
    <t>/home/spirent/jenkins-devops/workspace/kw_il/framework/il/common/apps/gred/GreTunnel.cpp</t>
  </si>
  <si>
    <t>/home/spirent/jenkins-devops/workspace/kw_il/framework/il/common/apps/gred/PacketSocket.cpp</t>
  </si>
  <si>
    <t>/home/spirent/jenkins-devops/workspace/kw_il/framework/il/common/apps/gred/PacketSocket.h</t>
  </si>
  <si>
    <t>/home/spirent/jenkins-devops/workspace/kw_il/framework/il/common/apps/hdlcd/HdlcKeepAliveProtocol.h</t>
  </si>
  <si>
    <t>/home/spirent/jenkins-devops/workspace/kw_il/framework/il/common/apps/hdlcd/HdlcSocket.h</t>
  </si>
  <si>
    <t>/home/spirent/jenkins-devops/workspace/kw_il/framework/il/common/apps/hwmgrd/ccpu/FrontEndBase.cpp</t>
  </si>
  <si>
    <t>/home/spirent/jenkins-devops/workspace/kw_il/framework/il/common/apps/hwmgrd/ccpu/PortChangeling.cpp</t>
  </si>
  <si>
    <t>/home/spirent/jenkins-devops/workspace/kw_il/framework/il/common/apps/hwmgrd/ccpu/PortColossus.cpp</t>
  </si>
  <si>
    <t>/home/spirent/jenkins-devops/workspace/kw_il/framework/il/common/apps/i2cd/cmdproc.c</t>
  </si>
  <si>
    <t>/home/spirent/jenkins-devops/workspace/kw_il/framework/il/common/apps/i2cd/init.c</t>
  </si>
  <si>
    <t>/home/spirent/jenkins-devops/workspace/kw_il/framework/il/common/apps/i2cd/main.c</t>
  </si>
  <si>
    <t>/home/spirent/jenkins-devops/workspace/kw_il/framework/il/common/apps/i2cd/rectifier.c</t>
  </si>
  <si>
    <t>/home/spirent/jenkins-devops/workspace/kw_il/framework/il/common/apps/lcdd/cardif.cpp</t>
  </si>
  <si>
    <t>/home/spirent/jenkins-devops/workspace/kw_il/framework/il/common/apps/lcdd/datagather.h</t>
  </si>
  <si>
    <t>/home/spirent/jenkins-devops/workspace/kw_il/framework/il/common/apps/lcdd/dispmgr.cpp</t>
  </si>
  <si>
    <t>/home/spirent/jenkins-devops/workspace/kw_il/framework/il/common/apps/lcdd/geninfo.cpp</t>
  </si>
  <si>
    <t>/home/spirent/jenkins-devops/workspace/kw_il/framework/il/common/apps/lcdd/interfaces.cpp</t>
  </si>
  <si>
    <t>/home/spirent/jenkins-devops/workspace/kw_il/framework/il/common/apps/lcdd/main.cpp</t>
  </si>
  <si>
    <t>/home/spirent/jenkins-devops/workspace/kw_il/framework/il/common/apps/m68kd/ipc_msg_proc.cpp</t>
  </si>
  <si>
    <t>/home/spirent/jenkins-devops/workspace/kw_il/framework/il/common/apps/m68kd/main.cpp</t>
  </si>
  <si>
    <t>/home/spirent/jenkins-devops/workspace/kw_il/framework/il/common/apps/m68kd/sock_if.c</t>
  </si>
  <si>
    <t>/home/spirent/jenkins-devops/workspace/kw_il/framework/il/common/apps/mpsd/mserver/mpscore_1_port_msg.cpp</t>
  </si>
  <si>
    <t>/home/spirent/jenkins-devops/workspace/kw_il/framework/il/common/apps/mpsd/mserver/mps_queue_handle.cpp</t>
  </si>
  <si>
    <t>/home/spirent/jenkins-devops/workspace/kw_il/framework/il/common/apps/mpsd/mserver/mps_server.cpp</t>
  </si>
  <si>
    <t>/home/spirent/jenkins-devops/workspace/kw_il/framework/il/common/apps/mpsd/mserver/mps_transport.cpp</t>
  </si>
  <si>
    <t>/home/spirent/jenkins-devops/workspace/kw_il/framework/il/common/apps/rcmd/RCMMsgArcClntHandler_1.cpp</t>
  </si>
  <si>
    <t>/home/spirent/jenkins-devops/workspace/kw_il/framework/il/common/apps/rcmd/RCMMsgHandler_2.cpp</t>
  </si>
  <si>
    <t>/home/spirent/jenkins-devops/workspace/kw_il/framework/il/common/apps/rcmd/RCMReservationNotification.h</t>
  </si>
  <si>
    <t>/home/spirent/jenkins-devops/workspace/kw_il/framework/il/common/apps/rpcsvr/ctl5u.cpp</t>
  </si>
  <si>
    <t>/home/spirent/jenkins-devops/workspace/kw_il/framework/il/common/apps/rpcsvr/ctl9u.cpp</t>
  </si>
  <si>
    <t>/home/spirent/jenkins-devops/workspace/kw_il/framework/il/common/apps/rpcsvr/daemonif.cpp</t>
  </si>
  <si>
    <t>/home/spirent/jenkins-devops/workspace/kw_il/framework/il/common/apps/rpcsvr/hwctrl.cpp</t>
  </si>
  <si>
    <t>/home/spirent/jenkins-devops/workspace/kw_il/framework/il/common/apps/rpcsvr/init.cpp</t>
  </si>
  <si>
    <t>/home/spirent/jenkins-devops/workspace/kw_il/framework/il/common/apps/rpcsvr/init_x86.cpp</t>
  </si>
  <si>
    <t>/home/spirent/jenkins-devops/workspace/kw_il/framework/il/common/apps/rpcsvr/npuif_x86.cpp</t>
  </si>
  <si>
    <t>/home/spirent/jenkins-devops/workspace/kw_il/framework/il/common/apps/rpcsvr/sys_msg_proc.cpp</t>
  </si>
  <si>
    <t>/home/spirent/jenkins-devops/workspace/kw_il/framework/il/common/apps/syncd/bkgnd.c</t>
  </si>
  <si>
    <t>/home/spirent/jenkins-devops/workspace/kw_il/framework/il/common/apps/syncd/etrsend.c</t>
  </si>
  <si>
    <t>/home/spirent/jenkins-devops/workspace/kw_il/framework/il/common/apps/syncd/etrtsk.c</t>
  </si>
  <si>
    <t>/home/spirent/jenkins-devops/workspace/kw_il/framework/il/common/apps/syncd/main.c</t>
  </si>
  <si>
    <t>/home/spirent/jenkins-devops/workspace/kw_il/framework/il/common/apps/syncd/main_x86.c</t>
  </si>
  <si>
    <t>/home/spirent/jenkins-devops/workspace/kw_il/framework/il/common/apps/syncd/topology.c</t>
  </si>
  <si>
    <t>/home/spirent/jenkins-devops/workspace/kw_il/framework/il/common/apps/tsyncd/tsyncd.cpp</t>
  </si>
  <si>
    <t>/home/spirent/jenkins-devops/workspace/kw_il/framework/il/common/apps/udpsvr/main.cpp</t>
  </si>
  <si>
    <t>/home/spirent/jenkins-devops/workspace/kw_il/framework/il/common/include/mps/mps_message_set.h</t>
  </si>
  <si>
    <t>/home/spirent/jenkins-devops/workspace/kw_il/framework/il/common/include/string_token_iterator.h</t>
  </si>
  <si>
    <t>/home/spirent/jenkins-devops/workspace/kw_il/framework/il/common/lib/fifo/fifo.cpp</t>
  </si>
  <si>
    <t>/home/spirent/jenkins-devops/workspace/kw_il/framework/il/common/lib/hal++/ccpu/common/CcpuBcmDmaChannel.cpp</t>
  </si>
  <si>
    <t>/home/spirent/jenkins-devops/workspace/kw_il/framework/il/common/lib/hal++/ccpu/common/CcpuChangelingStatusLedImp.cpp</t>
  </si>
  <si>
    <t>/home/spirent/jenkins-devops/workspace/kw_il/framework/il/common/lib/hal++/ccpu/profx/ProfxCcpuTimeStampImp.cpp</t>
  </si>
  <si>
    <t>/home/spirent/jenkins-devops/workspace/kw_il/framework/il/common/lib/hal++/ccpu/profy/ProfyCcpuSystemImp.cpp</t>
  </si>
  <si>
    <t>/home/spirent/jenkins-devops/workspace/kw_il/framework/il/common/lib/hal++/ccpu/profy/ProfyCcpuTimeStampImp.cpp</t>
  </si>
  <si>
    <t>/home/spirent/jenkins-devops/workspace/kw_il/framework/il/common/lib/hal++/ccpu/shadowcat/ScCCPUKernelSemImpStub.cpp</t>
  </si>
  <si>
    <t>/home/spirent/jenkins-devops/workspace/kw_il/framework/il/common/lib/hal++/ccpu/x86_appliance/x86CcpuComparatorImp.cpp</t>
  </si>
  <si>
    <t>/home/spirent/jenkins-devops/workspace/kw_il/framework/il/common/lib/hal++/ccpu/x86_appliance/x86CcpuDmaMem.cpp</t>
  </si>
  <si>
    <t>/home/spirent/jenkins-devops/workspace/kw_il/framework/il/common/lib/hal++/ccpu/x86_appliance/x86CcpuTimeStampImp.cpp</t>
  </si>
  <si>
    <t>/home/spirent/jenkins-devops/workspace/kw_il/framework/il/common/lib/hal++/ccpu/x86_appliance/x86CcpuTimeSyncImp.cpp</t>
  </si>
  <si>
    <t>/home/spirent/jenkins-devops/workspace/kw_il/framework/il/common/lib/hal++/common/ChangelingPcieSpamRegionImp.cpp</t>
  </si>
  <si>
    <t>/home/spirent/jenkins-devops/workspace/kw_il/framework/il/common/lib/hal++/common/Duration.cpp</t>
  </si>
  <si>
    <t>/home/spirent/jenkins-devops/workspace/kw_il/framework/il/common/lib/hal++/common/KernelSemImp.cpp</t>
  </si>
  <si>
    <t>/home/spirent/jenkins-devops/workspace/kw_il/framework/il/common/lib/hal++/common/OcteonPcieSpamRegionImp.cpp</t>
  </si>
  <si>
    <t>/home/spirent/jenkins-devops/workspace/kw_il/framework/il/common/lib/hal++/common/SpiBuffer.cpp</t>
  </si>
  <si>
    <t>/home/spirent/jenkins-devops/workspace/kw_il/framework/il/common/lib/hal++/common/StdSpamRegionImp.cpp</t>
  </si>
  <si>
    <t>/home/spirent/jenkins-devops/workspace/kw_il/framework/il/common/lib/hal++/mcpu/profx/ProfxMcpuSensorMonitorImp.cpp</t>
  </si>
  <si>
    <t>/home/spirent/jenkins-devops/workspace/kw_il/framework/il/common/lib/hal++/mcpu/profy/ProfyMcpuStatusLedImp.cpp</t>
  </si>
  <si>
    <t>/home/spirent/jenkins-devops/workspace/kw_il/framework/il/common/lib/hal++/mcpu/profy/ProfyMcpuTimeSyncImp.cpp</t>
  </si>
  <si>
    <t>/home/spirent/jenkins-devops/workspace/kw_il/framework/il/common/lib/hal++/mcpu/pyro/PyroMcpuStatusLedImp.cpp</t>
  </si>
  <si>
    <t>/home/spirent/jenkins-devops/workspace/kw_il/framework/il/common/lib/hal++/mcpu/pyro/PyroMcpuTimeStampImp.cpp</t>
  </si>
  <si>
    <t>/home/spirent/jenkins-devops/workspace/kw_il/framework/il/common/lib/hal++/mcpu/x86_appliance/x86McpuTimeSyncImp.cpp</t>
  </si>
  <si>
    <t>/home/spirent/jenkins-devops/workspace/kw_il/framework/il/common/lib/hal++/mock/MockTimeSyncImp.cpp</t>
  </si>
  <si>
    <t>/home/spirent/jenkins-devops/workspace/kw_il/framework/il/common/lib/hal/pspam/pspamlib.c</t>
  </si>
  <si>
    <t>/home/spirent/jenkins-devops/workspace/kw_il/framework/il/common/lib/hal/spi/spibuffer.c</t>
  </si>
  <si>
    <t>/home/spirent/jenkins-devops/workspace/kw_il/framework/il/common/lib/hal/spi/spi.c</t>
  </si>
  <si>
    <t>/home/spirent/jenkins-devops/workspace/kw_il/framework/il/common/lib/hal++/x86/x86SpamImp.cpp</t>
  </si>
  <si>
    <t>/home/spirent/jenkins-devops/workspace/kw_il/framework/il/common/lib/libdaemon/sock_if.c</t>
  </si>
  <si>
    <t>/home/spirent/jenkins-devops/workspace/kw_il/framework/il/common/lib/log4cplusapi/log4cplus_merge.cpp</t>
  </si>
  <si>
    <t>/home/spirent/jenkins-devops/workspace/kw_il/framework/il/common/lib/log4cplusapi/PhxEvtAppender.cpp</t>
  </si>
  <si>
    <t>/home/spirent/jenkins-devops/workspace/kw_il/framework/il/common/lib/mps/mpscore_1_tm_msg.cpp</t>
  </si>
  <si>
    <t>/home/spirent/jenkins-devops/workspace/kw_il/framework/il/common/lib/mps/mps.cpp</t>
  </si>
  <si>
    <t>/home/spirent/jenkins-devops/workspace/kw_il/framework/il/common/lib/mps/mps_message_set.cpp</t>
  </si>
  <si>
    <t>/home/spirent/jenkins-devops/workspace/kw_il/framework/il/common/lib/mps/mps_message_set.h</t>
  </si>
  <si>
    <t>/home/spirent/jenkins-devops/workspace/kw_il/framework/il/common/lib/mps/mps_socket_base.cpp</t>
  </si>
  <si>
    <t>/home/spirent/jenkins-devops/workspace/kw_il/framework/il/common/lib/mps/mps_thread_manager.cpp</t>
  </si>
  <si>
    <t>/home/spirent/jenkins-devops/workspace/kw_il/framework/il/common/lib/mps/mps_thread_pool.cpp</t>
  </si>
  <si>
    <t>/home/spirent/jenkins-devops/workspace/kw_il/framework/il/common/lib/networkinterface/EmulatedIf.cpp</t>
  </si>
  <si>
    <t>/home/spirent/jenkins-devops/workspace/kw_il/framework/il/common/lib/networkinterface/NetworkEndpoint.cpp</t>
  </si>
  <si>
    <t>/home/spirent/jenkins-devops/workspace/kw_il/framework/il/common/lib/networkinterface/NetworkInterface.cpp</t>
  </si>
  <si>
    <t>/home/spirent/jenkins-devops/workspace/kw_il/framework/il/common/lib/phxexception/PHXCrash.cpp</t>
  </si>
  <si>
    <t>/home/spirent/jenkins-devops/workspace/kw_il/framework/il/common/lib/pthreadwrapper/pthreadwrapper.cpp</t>
  </si>
  <si>
    <t>/home/spirent/jenkins-devops/workspace/kw_il/framework/il/common/lib/slab/slab.c</t>
  </si>
  <si>
    <t>/home/spirent/jenkins-devops/workspace/kw_il/framework/il/common/lib/sysmgrclient/SysMgrNotifyHandler_1.cpp</t>
  </si>
  <si>
    <t>/home/spirent/jenkins-devops/workspace/kw_il/framework/il/common/pymodule/fpga/fpga_embedded_example.cpp</t>
  </si>
  <si>
    <t>/home/spirent/jenkins-devops/workspace/kw_il/framework/il/common/utils/cfeapi/cfeapi.c</t>
  </si>
  <si>
    <t>/home/spirent/jenkins-devops/workspace/kw_il/framework/il/common/utils/etrdebug/etrsend.c</t>
  </si>
  <si>
    <t>/home/spirent/jenkins-devops/workspace/kw_il/framework/il/common/utils/i2cspi/i2cspi.c</t>
  </si>
  <si>
    <t>/home/spirent/jenkins-devops/workspace/kw_il/framework/il/common/utils/linkspeed/getLinkSpeed.cpp</t>
  </si>
  <si>
    <t>/home/spirent/jenkins-devops/workspace/kw_il/framework/il/common/utils/log4cplus_utils/phxlogger/phxlogger.cpp</t>
  </si>
  <si>
    <t>/home/spirent/jenkins-devops/workspace/kw_il/framework/il/common/utils/mmt++/broadcom.cpp</t>
  </si>
  <si>
    <t>/home/spirent/jenkins-devops/workspace/kw_il/framework/il/common/utils/mmt++/x86.cpp</t>
  </si>
  <si>
    <t>/home/spirent/jenkins-devops/workspace/kw_il/framework/il/common/utils/mrt/mrt.c</t>
  </si>
  <si>
    <t>/home/spirent/jenkins-devops/workspace/kw_il/framework/il/common/utils/pspamtool/pspamdma.c</t>
  </si>
  <si>
    <t>/home/spirent/jenkins-devops/workspace/kw_il/framework/il/common/utils/serialcomm/serialcomm.c</t>
  </si>
  <si>
    <t>/home/spirent/jenkins-devops/workspace/kw_il/framework/il/common/utils/serialcomm/sync_tx.c</t>
  </si>
  <si>
    <t>/home/spirent/jenkins-devops/workspace/kw_il/framework/il/common/utils/spitool/spitool.cpp</t>
  </si>
  <si>
    <t>/home/spirent/jenkins-devops/workspace/kw_il/framework/il/common/utils/sptcmd/main.c</t>
  </si>
  <si>
    <t>/home/spirent/jenkins-devops/workspace/kw_il/framework/il/common/utils/sqlquery/main.cpp</t>
  </si>
  <si>
    <t>/home/spirent/jenkins-devops/workspace/kw_il/framework/il/common/utils/tmprom/main.c</t>
  </si>
  <si>
    <t>/home/spirent/jenkins-devops/workspace/kw_il/framework/il/common/utils/tweakphy/main.c</t>
  </si>
  <si>
    <t>/home/spirent/jenkins-devops/workspace/kw_il/framework/il/common/utils/valerieioctlutil/valerieioctlutil.c</t>
  </si>
  <si>
    <t>/home/spirent/jenkins-devops/workspace/kw_il/framework/il/freebsd/lib/preload/syscalls.c</t>
  </si>
  <si>
    <t>/home/spirent/jenkins-devops/workspace/kw_il/framework/il/freebsd/sys/kern/kern_mbuf.c</t>
  </si>
  <si>
    <t>/home/spirent/jenkins-devops/workspace/kw_il/framework/il/freebsd/sys/kern/kern_tc.c</t>
  </si>
  <si>
    <t>/home/spirent/jenkins-devops/workspace/kw_il/framework/il/freebsd/sys/kern/subr_bus.c</t>
  </si>
  <si>
    <t>/home/spirent/jenkins-devops/workspace/kw_il/framework/il/freebsd/sys/kern/subr_hints.c</t>
  </si>
  <si>
    <t>/home/spirent/jenkins-devops/workspace/kw_il/framework/il/freebsd/sys/kern/subr_rman.c</t>
  </si>
  <si>
    <t>/home/spirent/jenkins-devops/workspace/kw_il/framework/il/freebsd/sys/kern/uipc_accf.c</t>
  </si>
  <si>
    <t>/home/spirent/jenkins-devops/workspace/kw_il/framework/il/freebsd/sys/kern/uipc_mbuf.c</t>
  </si>
  <si>
    <t>/home/spirent/jenkins-devops/workspace/kw_il/framework/il/freebsd/sys/kern/uipc_sockbuf.c</t>
  </si>
  <si>
    <t>/home/spirent/jenkins-devops/workspace/kw_il/framework/il/freebsd/sys/kern/uipc_socket.c</t>
  </si>
  <si>
    <t>/home/spirent/jenkins-devops/workspace/kw_il/framework/il/freebsd/sys/netinet6/in6_ifattach.c</t>
  </si>
  <si>
    <t>/home/spirent/jenkins-devops/workspace/kw_il/framework/il/freebsd/sys/netinet6/in6_src.c</t>
  </si>
  <si>
    <t>/home/spirent/jenkins-devops/workspace/kw_il/framework/il/freebsd/sys/netinet6/ip6_input.c</t>
  </si>
  <si>
    <t>/home/spirent/jenkins-devops/workspace/kw_il/framework/il/freebsd/sys/netinet6/ip6_output.c</t>
  </si>
  <si>
    <t>/home/spirent/jenkins-devops/workspace/kw_il/framework/il/freebsd/sys/netinet6/nd6.c</t>
  </si>
  <si>
    <t>/home/spirent/jenkins-devops/workspace/kw_il/framework/il/freebsd/sys/netinet6/udp6_usrreq.c</t>
  </si>
  <si>
    <t>/home/spirent/jenkins-devops/workspace/kw_il/framework/il/freebsd/sys/netinet/ip_options.c</t>
  </si>
  <si>
    <t>/home/spirent/jenkins-devops/workspace/kw_il/framework/il/freebsd/sys/netinet/tcp_subr.c</t>
  </si>
  <si>
    <t>/home/spirent/jenkins-devops/workspace/kw_il/framework/il/freebsd/sys/netinet/tcp_syncache.c</t>
  </si>
  <si>
    <t>/home/spirent/jenkins-devops/workspace/kw_il/framework/il/freebsd/sys/netinet/tcp_usrreq.c</t>
  </si>
  <si>
    <t>/home/spirent/jenkins-devops/workspace/kw_il/framework/il/freebsd/sys/netipsec/ipsec.c</t>
  </si>
  <si>
    <t>/home/spirent/jenkins-devops/workspace/kw_il/framework/il/freebsd/sys/netipsec/ipsec_output.c</t>
  </si>
  <si>
    <t>/home/spirent/jenkins-devops/workspace/kw_il/framework/il/freebsd/sys/netipsec/xform_esp.c</t>
  </si>
  <si>
    <t>/home/spirent/jenkins-devops/workspace/kw_il/framework/il/freebsd/sys/net/route.c</t>
  </si>
  <si>
    <t>/home/spirent/jenkins-devops/workspace/kw_il/framework/il/freebsd/sys/net/rtsock.c</t>
  </si>
  <si>
    <t>/home/spirent/jenkins-devops/workspace/kw_il/framework/il/freebsd/sys/net/zlib.c</t>
  </si>
  <si>
    <t>/home/spirent/jenkins-devops/workspace/kw_il/framework/il/freebsd/sys/spirent/dev/ctd/loopback/loopback.c</t>
  </si>
  <si>
    <t>/home/spirent/jenkins-devops/workspace/kw_il/framework/il/freebsd/sys/spirent/dev/ctd/pkt/pkt.c</t>
  </si>
  <si>
    <t>/home/spirent/jenkins-devops/workspace/kw_il/framework/il/freebsd/sys/spirent/glue/glue_malloc.c</t>
  </si>
  <si>
    <t>/home/spirent/jenkins-devops/workspace/kw_il/framework/il/freebsd/sys/spirent/glue/glue_proc.c</t>
  </si>
  <si>
    <t>/home/spirent/jenkins-devops/workspace/kw_il/framework/il/freebsd/sys/spirent/glue/glue_uma.c</t>
  </si>
  <si>
    <t>/home/spirent/jenkins-devops/workspace/kw_il/framework/il/freebsd/sys/spirent/host/host_sasm.c</t>
  </si>
  <si>
    <t>/home/spirent/jenkins-devops/workspace/kw_il/framework/il/freebsd/sys/spirent/host/host_thread.c</t>
  </si>
  <si>
    <t>/home/spirent/jenkins-devops/workspace/kw_il/framework/il/freebsd/sys/spirent/vif/vif_l2tpv2.c</t>
  </si>
  <si>
    <t>/home/spirent/jenkins-devops/workspace/kw_il/framework/il/freebsd/sys/spirent/vif/vif_mpls_fec.c</t>
  </si>
  <si>
    <t>/home/spirent/jenkins-devops/workspace/kw_il/framework/il/freebsd/sys/vm/uma.h</t>
  </si>
  <si>
    <t>/home/spirent/jenkins-devops/workspace/kw_il/framework/il/kernel/drivers/phoenix/dpram_68k.c</t>
  </si>
  <si>
    <t>/home/spirent/jenkins-devops/workspace/kw_il/framework/il/kernel/drivers/phoenix/focus.c</t>
  </si>
  <si>
    <t>/home/spirent/jenkins-devops/workspace/kw_il/framework/il/kernel/drivers/phoenix/i2c-adap-inf0.c</t>
  </si>
  <si>
    <t>/home/spirent/jenkins-devops/workspace/kw_il/framework/il/kernel/drivers/phoenix/lite_tty.c</t>
  </si>
  <si>
    <t>C:\jenkins-devops\workspace\kw_bll_ui\framework\bll\core\src\datamodel\ItagServiceLink.cpp</t>
  </si>
  <si>
    <t>C:\jenkins-devops\workspace\kw_bll_ui\content\routing\ospfv2\ui\Forms\Ospfv2SimplifiedSrParamsDialog.cs</t>
  </si>
  <si>
    <t>C:\jenkins-devops\workspace\kw_bll_ui\content\routing\vpn\ui\Wizard\Evpn\EvpnTestParamsPage.designer.cs</t>
  </si>
  <si>
    <t>Klocwork Build : integration_x86_baseline 2015-09-20</t>
  </si>
  <si>
    <t>Klocwork build: integration_Win_BLL_baseline , build integration_2015-09-20</t>
  </si>
  <si>
    <t>Klocwork build: integration_ui_2015-09-20</t>
  </si>
  <si>
    <t>Klocwork  build: integration_ui_2015-09-20</t>
  </si>
  <si>
    <t>Klocwork build: integration_x86_baseline 2015-09-20</t>
  </si>
  <si>
    <t>Klocwork Build: integration_Win_BLL_baseline , _2015-09-20</t>
  </si>
  <si>
    <t>Klocwork issues View: build integration_ui_2015-09-20</t>
  </si>
  <si>
    <t>Klocwork issues View: integration_x86_baseline 2015-09-20</t>
  </si>
  <si>
    <t>Klocwork Build: Integration_Win_BLL_baseline_2015-09-20</t>
  </si>
  <si>
    <t>C:\jenkins-devops\workspace\kw_bll_ui\common\lib\ACE_wrappers_5.5.6\ace\Free_List.cpp</t>
  </si>
  <si>
    <t>C:\jenkins-devops\workspace\kw_bll_ui\common\lib\ACE_wrappers_5.5.6\ace\Future.cpp</t>
  </si>
  <si>
    <t>C:\jenkins-devops\workspace\kw_bll_ui\common\lib\ACE_wrappers_5.5.6\ace\Guard_T.h</t>
  </si>
  <si>
    <t>C:\jenkins-devops\workspace\kw_bll_ui\common\lib\ACE_wrappers_5.5.6\ace\Lock_Adapter_T.cpp</t>
  </si>
  <si>
    <t>C:\jenkins-devops\workspace\kw_bll_ui\common\lib\ACE_wrappers_5.5.6\ace\Node.cpp</t>
  </si>
  <si>
    <t>C:\jenkins-devops\workspace\kw_bll_ui\common\lib\ACE_wrappers_5.5.6\ace\Refcounted_Auto_Ptr.inl</t>
  </si>
  <si>
    <t>C:\jenkins-devops\workspace\kw_bll_ui\common\lib\ACE_wrappers_5.5.6\ace\Service_Object.inl</t>
  </si>
  <si>
    <t>C:\jenkins-devops\workspace\kw_bll_ui\common\lib\ACE_wrappers_5.5.6\ace\Timer_Queue_T.cpp</t>
  </si>
  <si>
    <t>C:\jenkins-devops\workspace\kw_bll_ui\common\lib\boost_1_46_1\boost\algorithm\string\find_iterator.hpp</t>
  </si>
  <si>
    <t>C:\jenkins-devops\workspace\kw_bll_ui\common\lib\boost_1_46_1\boost\const_string\detail\storage.hpp</t>
  </si>
  <si>
    <t>C:\jenkins-devops\workspace\kw_bll_ui\common\lib\boost_1_46_1\boost\filesystem\v3\path_traits.hpp</t>
  </si>
  <si>
    <t>C:\jenkins-devops\workspace\kw_bll_ui\common\lib\boost_1_46_1\boost\function\function_base.hpp</t>
  </si>
  <si>
    <t>C:\jenkins-devops\workspace\kw_bll_ui\common\lib\boost_1_46_1\boost\graph\detail\adjacency_list.hpp</t>
  </si>
  <si>
    <t>C:\jenkins-devops\workspace\kw_bll_ui\common\lib\boost_1_46_1\boost\graph\detail\edge.hpp</t>
  </si>
  <si>
    <t>C:\jenkins-devops\workspace\kw_bll_ui\common\lib\boost_1_46_1\boost\interprocess\detail\tmp_dir_helpers.hpp</t>
  </si>
  <si>
    <t>C:\jenkins-devops\workspace\kw_bll_ui\common\lib\boost_1_46_1\boost\multi_array.hpp</t>
  </si>
  <si>
    <t>C:\jenkins-devops\workspace\kw_bll_ui\common\lib\boost_1_46_1\boost\property_tree\detail\ptree_implementation.hpp</t>
  </si>
  <si>
    <t>C:\jenkins-devops\workspace\kw_bll_ui\common\lib\boost_1_46_1\boost\random\detail\pass_through_engine.hpp</t>
  </si>
  <si>
    <t>C:\jenkins-devops\workspace\kw_bll_ui\common\lib\boost_1_46_1\boost\range\iterator_range_core.hpp</t>
  </si>
  <si>
    <t>C:\jenkins-devops\workspace\kw_bll_ui\common\lib\boost_1_46_1\boost\regex\v4\basic_regex_creator.hpp</t>
  </si>
  <si>
    <t>C:\jenkins-devops\workspace\kw_bll_ui\common\lib\boost_1_46_1\boost\regex\v4\basic_regex.hpp</t>
  </si>
  <si>
    <t>C:\jenkins-devops\workspace\kw_bll_ui\common\lib\boost_1_46_1\boost\regex\v4\basic_regex_parser.hpp</t>
  </si>
  <si>
    <t>C:\jenkins-devops\workspace\kw_bll_ui\common\lib\boost_1_46_1\boost\regex\v4\perl_matcher.hpp</t>
  </si>
  <si>
    <t>C:\jenkins-devops\workspace\kw_bll_ui\common\lib\boost_1_46_1\boost\regex\v4\perl_matcher_non_recursive.hpp</t>
  </si>
  <si>
    <t>C:\jenkins-devops\workspace\kw_bll_ui\common\lib\boost_1_46_1\boost\regex\v4\regex_format.hpp</t>
  </si>
  <si>
    <t>C:\jenkins-devops\workspace\kw_bll_ui\common\lib\boost_1_46_1\boost\regex\v4\regex_iterator.hpp</t>
  </si>
  <si>
    <t>C:\jenkins-devops\workspace\kw_bll_ui\common\lib\boost_1_46_1\boost\regex\v4\regex_raw_buffer.hpp</t>
  </si>
  <si>
    <t>C:\jenkins-devops\workspace\kw_bll_ui\common\lib\boost_1_46_1\boost\smart_ptr\detail\shared_count.hpp</t>
  </si>
  <si>
    <t>C:\jenkins-devops\workspace\kw_bll_ui\common\lib\boost_1_46_1\boost\statechart\detail\counted_base.hpp</t>
  </si>
  <si>
    <t>C:\jenkins-devops\workspace\kw_bll_ui\common\lib\boost_1_46_1\boost\statechart\detail\leaf_state.hpp</t>
  </si>
  <si>
    <t>C:\jenkins-devops\workspace\kw_bll_ui\common\lib\boost_1_46_1\boost\token_functions.hpp</t>
  </si>
  <si>
    <t>C:\jenkins-devops\workspace\kw_bll_ui\common\lib\boost_1_46_1\boost\tuple\detail\tuple_basic.hpp</t>
  </si>
  <si>
    <t>C:\jenkins-devops\workspace\kw_bll_ui\common\lib\boost_1_46_1\boost\unordered\detail\unique.hpp</t>
  </si>
  <si>
    <t>C:\jenkins-devops\workspace\kw_bll_ui\common\lib\boost_1_46_1\boost\utility\addressof.hpp</t>
  </si>
  <si>
    <t>C:\jenkins-devops\workspace\kw_bll_ui\common\lib\boost_1_46_1\boost\variant\variant.hpp</t>
  </si>
  <si>
    <t>C:\jenkins-devops\workspace\kw_bll_ui\common\lib\eigen2\Eigen\src\Core\Matrix.h</t>
  </si>
  <si>
    <t>C:\jenkins-devops\workspace\kw_bll_ui\common\lib\protobuf\2.6.1\include\google\protobuf\descriptor.h</t>
  </si>
  <si>
    <t>C:\jenkins-devops\workspace\kw_bll_ui\common\lib\protobuf\2.6.1\include\google\protobuf\repeated_field.h</t>
  </si>
  <si>
    <t>C:\jenkins-devops\workspace\kw_bll_ui\common\lib\protobuf\2.6.1\include\google\protobuf\wire_format_lite.h</t>
  </si>
  <si>
    <t>C:\jenkins-devops\workspace\kw_bll_ui\content\access\accesscore\bll\src\AbstAccessBlockConfig.cpp</t>
  </si>
  <si>
    <t>C:\jenkins-devops\workspace\kw_bll_ui\content\access\accesscore\bll\src\AccessCommand.cpp</t>
  </si>
  <si>
    <t>C:\jenkins-devops\workspace\kw_bll_ui\content\access\accesscore\bll\src\AccessState.cpp</t>
  </si>
  <si>
    <t>C:\jenkins-devops\workspace\kw_bll_ui\content\access\accesscore\bll\src\AccessSubMapHelper.cpp</t>
  </si>
  <si>
    <t>C:\jenkins-devops\workspace\kw_bll_ui\content\access\accesscore\bll\src\PortCommandProcessor.cpp</t>
  </si>
  <si>
    <t>C:\jenkins-devops\workspace\kw_bll_ui\content\access\accesscore\bll\src\PortCommandStateProcessorImpl.cpp</t>
  </si>
  <si>
    <t>C:\jenkins-devops\workspace\kw_bll_ui\content\access\accesstest\bll\src\AccessConcentratorGenParams.cpp</t>
  </si>
  <si>
    <t>C:\jenkins-devops\workspace\kw_bll_ui\content\access\accesstest\bll\src\AccessConcentratorTrafficBuilder.cpp</t>
  </si>
  <si>
    <t>C:\jenkins-devops\workspace\kw_bll_ui\content\access\ancp\bll\src\applystates\AncpAbortState.cpp</t>
  </si>
  <si>
    <t>C:\jenkins-devops\workspace\kw_bll_ui\content\access\ancp\bll\src\commands\AncpCommand.cpp</t>
  </si>
  <si>
    <t>C:\jenkins-devops\workspace\kw_bll_ui\content\access\ancp\bll\src\commands\AncpControlCommand.cpp</t>
  </si>
  <si>
    <t>C:\jenkins-devops\workspace\kw_bll_ui\content\access\ancp\bll\src\commands\AncpSubscriberCommand.cpp</t>
  </si>
  <si>
    <t>C:\jenkins-devops\workspace\kw_bll_ui\content\access\ancp\bll\src\config\AncpAccessNodeConfig.cpp</t>
  </si>
  <si>
    <t>C:\jenkins-devops\workspace\kw_bll_ui\content\access\ancp\bll\src\context\AncpAccessNodeConfigApplyContext.cpp</t>
  </si>
  <si>
    <t>C:\jenkins-devops\workspace\kw_bll_ui\content\access\dhcpv4\bll\src\dynamicview\DynamicViewRegistry.cpp</t>
  </si>
  <si>
    <t>C:\jenkins-devops\workspace\kw_bll_ui\content\access\dhcpv6\bll\src\Dhcpv6BaseBlockConfig.cpp</t>
  </si>
  <si>
    <t>C:\jenkins-devops\workspace\kw_bll_ui\content\access\dhcpv6\bll\src\Dhcpv6ServerCommand.cpp</t>
  </si>
  <si>
    <t>C:\jenkins-devops\workspace\kw_bll_ui\content\access\dhcpv6\bll\src\dynamicview\DynamicViewRegistry.cpp</t>
  </si>
  <si>
    <t>C:\jenkins-devops\workspace\kw_bll_ui\content\access\dot1x\bll\src\Dot1xSupplicantBlockConfig.cpp</t>
  </si>
  <si>
    <t>C:\jenkins-devops\workspace\kw_bll_ui\content\access\l2tp\bll\src\context\L2tpApplyContext.cpp</t>
  </si>
  <si>
    <t>C:\jenkins-devops\workspace\kw_bll_ui\content\access\l2tp\bll\src\context\L2tpApplyContextImpl.cpp</t>
  </si>
  <si>
    <t>C:\jenkins-devops\workspace\kw_bll_ui\content\access\l2tp\bll\src\L2tpBlockConfig.cpp</t>
  </si>
  <si>
    <t>C:\jenkins-devops\workspace\kw_bll_ui\content\access\l2tp\bll\src\L2tpv2BlockConfig.cpp</t>
  </si>
  <si>
    <t>C:\jenkins-devops\workspace\kw_bll_ui\content\access\l2tp\bll\src\L2tpv3Binder.cpp</t>
  </si>
  <si>
    <t>C:\jenkins-devops\workspace\kw_bll_ui\content\access\l2tp\bll\src\L2tpv3BlockConfig.cpp</t>
  </si>
  <si>
    <t>C:\jenkins-devops\workspace\kw_bll_ui\content\access\l2tp\bll\src\L2tpv3RetryCommand.cpp</t>
  </si>
  <si>
    <t>C:\jenkins-devops\workspace\kw_bll_ui\content\access\pppox\bll\src\commands\pppox\PppoxControlCommand.cpp</t>
  </si>
  <si>
    <t>C:\jenkins-devops\workspace\kw_bll_ui\content\access\pppox\bll\src\ppp\AbstPppBlockConfig.cpp</t>
  </si>
  <si>
    <t>C:\jenkins-devops\workspace\kw_bll_ui\content\admin\admin\bll\src\EquipmentUtils.cpp</t>
  </si>
  <si>
    <t>C:\jenkins-devops\workspace\kw_bll_ui\content\admin\admin\bll\src\InstallTestPackageCommand.cpp</t>
  </si>
  <si>
    <t>C:\jenkins-devops\workspace\kw_bll_ui\content\cloudstress\cloudstress\bll\src\CloudStressApplyAssistant.cpp</t>
  </si>
  <si>
    <t>C:\jenkins-devops\workspace\kw_bll_ui\content\cloudstress\cloudstress\bll\src\CloudStressResource.cpp</t>
  </si>
  <si>
    <t>C:\jenkins-devops\workspace\kw_bll_ui\content\cloudstress\cloudstress\bll\src\ClusterController.cpp</t>
  </si>
  <si>
    <t>C:\jenkins-devops\workspace\kw_bll_ui\content\cloudstress\cloudstress\bll\src\commands\CloudStressCreateCommand.cpp</t>
  </si>
  <si>
    <t>C:\jenkins-devops\workspace\kw_bll_ui\content\cloudstress\cloudstress\bll\src\commands\CloudStressCreateSessionCommand.cpp</t>
  </si>
  <si>
    <t>C:\jenkins-devops\workspace\kw_bll_ui\content\cloudstress\cloudstress\bll\src\commands\CloudStressDeleteCommand.cpp</t>
  </si>
  <si>
    <t>C:\jenkins-devops\workspace\kw_bll_ui\content\cloudstress\cloudstress\bll\src\commands\CloudStressReadCommand.cpp</t>
  </si>
  <si>
    <t>C:\jenkins-devops\workspace\kw_bll_ui\content\cloudstress\cloudstress\bll\src\commands\CloudStressReadRelativesCommand.cpp</t>
  </si>
  <si>
    <t>C:\jenkins-devops\workspace\kw_bll_ui\content\cloudstress\cloudstress\bll\src\commands\CloudStressReleaseCommand.cpp</t>
  </si>
  <si>
    <t>C:\jenkins-devops\workspace\kw_bll_ui\content\cloudstress\cloudstress\bll\src\commands\CloudStressReserveCommand.cpp</t>
  </si>
  <si>
    <t>C:\jenkins-devops\workspace\kw_bll_ui\content\cloudstress\cloudstress\bll\src\commands\CloudStressUpdateCommand.cpp</t>
  </si>
  <si>
    <t>C:\jenkins-devops\workspace\kw_bll_ui\content\cloudstress\cloudstress\bll\src\init.cpp</t>
  </si>
  <si>
    <t>C:\jenkins-devops\workspace\kw_bll_ui\content\cloudstress\cloudstress\bll\src\ipc\CtlrClient.cpp</t>
  </si>
  <si>
    <t>C:\jenkins-devops\workspace\kw_bll_ui\content\cloudstress\cloudstress\bll\src\ipc\CtlrClientProxy.cpp</t>
  </si>
  <si>
    <t>C:\jenkins-devops\workspace\kw_bll_ui\content\cloudstress\cloudstress\bll\src\ipc\CtlrManager.cpp</t>
  </si>
  <si>
    <t>C:\jenkins-devops\workspace\kw_bll_ui\content\cloudstress\cloudstress\bll\src\ipc\CtlrMessage.cpp</t>
  </si>
  <si>
    <t>C:\jenkins-devops\workspace\kw_bll_ui\content\cloudstress\cloudstress\bll\src\ipc\CtlrSimulator.cpp</t>
  </si>
  <si>
    <t>C:\jenkins-devops\workspace\kw_bll_ui\content\cloudstress\cloudstress\bll\src\ipc\CtlrSocket.cpp</t>
  </si>
  <si>
    <t>C:\jenkins-devops\workspace\kw_bll_ui\content\cloudstress\cloudstress\bll\src\utils\ProtobufUtils.cpp</t>
  </si>
  <si>
    <t>C:\jenkins-devops\workspace\kw_bll_ui\content\common\contentcore\bll\src\common\ContentBaseProtocol.cpp</t>
  </si>
  <si>
    <t>C:\jenkins-devops\workspace\kw_bll_ui\content\common\contentcore\bll\src\common\results\AppBaseResultHandler.cpp</t>
  </si>
  <si>
    <t>C:\jenkins-devops\workspace\kw_bll_ui\content\datacenter\datacenter\bll\src\commands\StartHyperglanceCommand.cpp</t>
  </si>
  <si>
    <t>C:\jenkins-devops\workspace\kw_bll_ui\content\datacenter\datacenter\bll\src\trill\TrillLspTopologyGenerator.cpp</t>
  </si>
  <si>
    <t>C:\jenkins-devops\workspace\kw_bll_ui\content\datacenter\datacenter\bll\src\vxlan\VxlanProtocol.cpp</t>
  </si>
  <si>
    <t>C:\jenkins-devops\workspace\kw_bll_ui\content\datacenter\datacenter\bll\src\vxlan\VxlanVmInfo.cpp</t>
  </si>
  <si>
    <t>C:\jenkins-devops\workspace\kw_bll_ui\content\datacenter\datacenter\common\openflow\FlowGraph.h</t>
  </si>
  <si>
    <t>C:\jenkins-devops\workspace\kw_bll_ui\content\datacenter\datacenter\common\openflow\FlowManager.cpp</t>
  </si>
  <si>
    <t>C:\jenkins-devops\workspace\kw_bll_ui\content\datacenter\dcwizards\bll\src\common\StatusUpdate.cpp</t>
  </si>
  <si>
    <t>C:\jenkins-devops\workspace\kw_bll_ui\content\device\configurator\bll\adaptor\ActiveScheduler.cpp</t>
  </si>
  <si>
    <t>C:\jenkins-devops\workspace\kw_bll_ui\content\device\configurator\bll\adaptor\EdcMsgSetSrv_1.cpp</t>
  </si>
  <si>
    <t>C:\jenkins-devops\workspace\kw_bll_ui\content\device\configurator\bll\adaptor\Main.cpp</t>
  </si>
  <si>
    <t>C:\jenkins-devops\workspace\kw_bll_ui\content\device\configurator\bll\adaptor\VMwareSession.cpp</t>
  </si>
  <si>
    <t>C:\jenkins-devops\workspace\kw_bll_ui\content\device\configurator\bll\src\config\ExternalDeviceDummySession.cpp</t>
  </si>
  <si>
    <t>C:\jenkins-devops\workspace\kw_bll_ui\content\device\configurator\bll\src\ExternalDeviceAssistant.cpp</t>
  </si>
  <si>
    <t>C:\jenkins-devops\workspace\kw_bll_ui\content\device\configurator\bll\src\ExternalDeviceSession.cpp</t>
  </si>
  <si>
    <t>C:\jenkins-devops\workspace\kw_bll_ui\content\NTAF\replayEngine\automation\src\GenericTimer.cpp</t>
  </si>
  <si>
    <t>C:\jenkins-devops\workspace\kw_bll_ui\content\NTAF\replayEngine\automation\src\Main.cpp</t>
  </si>
  <si>
    <t>C:\jenkins-devops\workspace\kw_bll_ui\content\NTAF\replayEngine\automation\src\ReplayEngine.cpp</t>
  </si>
  <si>
    <t>C:\jenkins-devops\workspace\kw_bll_ui\content\NTAF\Shim\bll\include\autogen\harness.cxx</t>
  </si>
  <si>
    <t>C:\jenkins-devops\workspace\kw_bll_ui\content\NTAF\Shim\bll\include\ShimLayerHandle.h</t>
  </si>
  <si>
    <t>C:\jenkins-devops\workspace\kw_bll_ui\content\NTAF\Shim\bll\src\ActiveScheduler.cpp</t>
  </si>
  <si>
    <t>C:\jenkins-devops\workspace\kw_bll_ui\content\routing\bfd\bll\src\LagBfdPortConfig.cpp</t>
  </si>
  <si>
    <t>C:\jenkins-devops\workspace\kw_bll_ui\content\routing\bgp\bll\src\BgpEvpnRouteConfig.cpp</t>
  </si>
  <si>
    <t>C:\jenkins-devops\workspace\kw_bll_ui\content\routing\bgp\bll\src\BgpImportRouteTableCommand.cpp</t>
  </si>
  <si>
    <t>C:\jenkins-devops\workspace\kw_bll_ui\content\routing\bgp\bll\src\BgpLsNodeConfig.cpp</t>
  </si>
  <si>
    <t>C:\jenkins-devops\workspace\kw_bll_ui\content\routing\bgp\bll\src\BgpMpReachUnReachAttr.cpp</t>
  </si>
  <si>
    <t>C:\jenkins-devops\workspace\kw_bll_ui\content\routing\bgp\bll\src\BgpRouterConfig.cpp</t>
  </si>
  <si>
    <t>C:\jenkins-devops\workspace\kw_bll_ui\content\routing\bgp\common\lib\BgpRouteParser.cpp</t>
  </si>
  <si>
    <t>C:\jenkins-devops\workspace\kw_bll_ui\content\routing\eoam\bll\src\EoamGenCommand.cpp</t>
  </si>
  <si>
    <t>C:\jenkins-devops\workspace\kw_bll_ui\content\routing\eoam\bll\src\EoamGenConfigExpandCommand.cpp</t>
  </si>
  <si>
    <t>C:\jenkins-devops\workspace\kw_bll_ui\content\routing\eoam\bll\src\EoamLinkTraceDetailedResultsCommand.cpp</t>
  </si>
  <si>
    <t>C:\jenkins-devops\workspace\kw_bll_ui\content\routing\eoam\bll\src\EoamMegResults.cpp</t>
  </si>
  <si>
    <t>C:\jenkins-devops\workspace\kw_bll_ui\content\routing\eoam\bll\src\EoamNodeConfig.cpp</t>
  </si>
  <si>
    <t>C:\jenkins-devops\workspace\kw_bll_ui\content\routing\eoam\bll\src\EoamOnApply.cpp</t>
  </si>
  <si>
    <t>C:\jenkins-devops\workspace\kw_bll_ui\content\routing\eoam\bll\src\EoamPortConfig.cpp</t>
  </si>
  <si>
    <t>C:\jenkins-devops\workspace\kw_bll_ui\content\routing\eoam\bll\src\EoamRemoteResultsCommand.cpp</t>
  </si>
  <si>
    <t>C:\jenkins-devops\workspace\kw_bll_ui\content\routing\eoam\bll\src\EoamStartContChkCommand.cpp</t>
  </si>
  <si>
    <t>C:\jenkins-devops\workspace\kw_bll_ui\content\routing\isis\bll\src\IsisProtocol.cpp</t>
  </si>
  <si>
    <t>C:\jenkins-devops\workspace\kw_bll_ui\content\routing\isis\bll\src\IsisRouteTopologyGenerator.cpp</t>
  </si>
  <si>
    <t>C:\jenkins-devops\workspace\kw_bll_ui\content\routing\ldp\bll\src\LdpTrafficEndpointHelper.cpp</t>
  </si>
  <si>
    <t>C:\jenkins-devops\workspace\kw_bll_ui\content\routing\lisp\bll\src\LispProtocol.cpp</t>
  </si>
  <si>
    <t>C:\jenkins-devops\workspace\kw_bll_ui\content\routing\mplstpoam\bll\src\MplsTpOamNodeConfig.cpp</t>
  </si>
  <si>
    <t>C:\jenkins-devops\workspace\kw_bll_ui\content\routing\mplstpoam\bll\src\MplsTpOamOnValidate.cpp</t>
  </si>
  <si>
    <t>C:\jenkins-devops\workspace\kw_bll_ui\content\routing\ospfv2\bll\include\Ospfv2SrLsaCache.h</t>
  </si>
  <si>
    <t>C:\jenkins-devops\workspace\kw_bll_ui\content\routing\ospfv2\bll\src\Ospfv2Protocol.cpp</t>
  </si>
  <si>
    <t>C:\jenkins-devops\workspace\kw_bll_ui\content\routing\rsvp\bll\src\RsvpIngressTunnelParams.cpp</t>
  </si>
  <si>
    <t>C:\jenkins-devops\workspace\kw_bll_ui\content\routing\rtgcore\bll\include\MplsResultsHandler.h</t>
  </si>
  <si>
    <t>C:\jenkins-devops\workspace\kw_bll_ui\content\routing\rtgcore\bll\include\ProtocolConfigImpl.h</t>
  </si>
  <si>
    <t>C:\jenkins-devops\workspace\kw_bll_ui\content\routing\rtgcore\bll\include\ProtocolResultImpl.h</t>
  </si>
  <si>
    <t>C:\jenkins-devops\workspace\kw_bll_ui\content\routing\rtgcore\bll\src\Asn32.cpp</t>
  </si>
  <si>
    <t>C:\jenkins-devops\workspace\kw_bll_ui\content\routing\rtgcore\bll\src\ExportFecDetailsCommand.cpp</t>
  </si>
  <si>
    <t>C:\jenkins-devops\workspace\kw_bll_ui\content\routing\rtgcore\bll\src\MplsControlPlaneHandler.cpp</t>
  </si>
  <si>
    <t>C:\jenkins-devops\workspace\kw_bll_ui\content\routing\rtgcore\bll\src\MplsStaticLabelHandler.cpp</t>
  </si>
  <si>
    <t>C:\jenkins-devops\workspace\kw_bll_ui\content\routing\rtgcore\bll\src\MplsTpStaticTlvConfig.cpp</t>
  </si>
  <si>
    <t>C:\jenkins-devops\workspace\kw_bll_ui\content\routing\rtgcore\bll\src\ProtocolConfigHandler.cpp</t>
  </si>
  <si>
    <t>C:\jenkins-devops\workspace\kw_bll_ui\content\routing\rtgcore\bll\src\Results\BaseResultHandler.cpp</t>
  </si>
  <si>
    <t>C:\jenkins-devops\workspace\kw_bll_ui\content\routing\rtgcore\bll\src\Results\BaseResultIlDrivenItemCounter.cpp</t>
  </si>
  <si>
    <t>C:\jenkins-devops\workspace\kw_bll_ui\content\routing\rtgcore\bll\src\Results\ResultsClearRoutingCommand.cpp</t>
  </si>
  <si>
    <t>C:\jenkins-devops\workspace\kw_bll_ui\content\routing\rtgcore\bll\src\RouterConfig.cpp</t>
  </si>
  <si>
    <t>C:\jenkins-devops\workspace\kw_bll_ui\content\routing\rtgcore\bll\src\StatusUpdater.cpp</t>
  </si>
  <si>
    <t>C:\jenkins-devops\workspace\kw_bll_ui\content\routing\rtgcore\bll\src\WaitForRoutingEventsCommand.cpp</t>
  </si>
  <si>
    <t>C:\jenkins-devops\workspace\kw_bll_ui\content\routing\rtgcore\bll\src\WizRouteGenerator.cpp</t>
  </si>
  <si>
    <t>C:\jenkins-devops\workspace\kw_bll_ui\content\routing\vpn\bll\src\VpnAvailableMembersCommand.cpp</t>
  </si>
  <si>
    <t>C:\jenkins-devops\workspace\kw_bll_ui\content\routing\vpn\bll\src\VpnEvpnGenParams.cpp</t>
  </si>
  <si>
    <t>C:\jenkins-devops\workspace\kw_bll_ui\content\routing\vpn\bll\src\VpnGenBgp.cpp</t>
  </si>
  <si>
    <t>C:\jenkins-devops\workspace\kw_bll_ui\content\routing\vpn\bll\src\VpnGenTraffic.cpp</t>
  </si>
  <si>
    <t>C:\jenkins-devops\workspace\kw_bll_ui\content\routing\vpn\bll\src\VpnLdpGen.cpp</t>
  </si>
  <si>
    <t>C:\jenkins-devops\workspace\kw_bll_ui\content\sample\cars\bll\src\FakeResultsCommand.cpp</t>
  </si>
  <si>
    <t>C:\jenkins-devops\workspace\kw_bll_ui\content\storage\fc\bll\src\FcStatusUpdater.cpp</t>
  </si>
  <si>
    <t>C:\jenkins-devops\workspace\kw_bll_ui\content\traffic\capture\bll\src\BasicCaptureFilterApplyHandler.cpp</t>
  </si>
  <si>
    <t>C:\jenkins-devops\workspace\kw_bll_ui\content\traffic\capture\bll\src\CaptureUtils.cpp</t>
  </si>
  <si>
    <t>C:\jenkins-devops\workspace\kw_bll_ui\content\traffic\capture\bll\src\RealTimeCaptureManager.cpp</t>
  </si>
  <si>
    <t>C:\jenkins-devops\workspace\kw_bll_ui\content\traffic\capture\bll\src\RealTimeWSCaptureRunnable.cpp</t>
  </si>
  <si>
    <t>C:\jenkins-devops\workspace\kw_bll_ui\content\traffic\l2l3\bll\include\stats\CountersCommon.h</t>
  </si>
  <si>
    <t>C:\jenkins-devops\workspace\kw_bll_ui\content\traffic\l2l3\bll\src\command\TimedResultLoggingStartCommand.cpp</t>
  </si>
  <si>
    <t>C:\jenkins-devops\workspace\kw_bll_ui\content\traffic\l2l3\bll\src\stats\CounterEotHandler.cpp</t>
  </si>
  <si>
    <t>C:\jenkins-devops\workspace\kw_bll_ui\content\traffic\l2l3\bll\src\utils\AttribParser.cpp</t>
  </si>
  <si>
    <t>C:\jenkins-devops\workspace\kw_bll_ui\content\traffic\l2l3\lib\L2L3PduUtils.cpp</t>
  </si>
  <si>
    <t>C:\jenkins-devops\workspace\kw_bll_ui\content\traffic\l2l3resultprocess\bll\include\PhxRpcSession.h</t>
  </si>
  <si>
    <t>C:\jenkins-devops\workspace\kw_bll_ui\content\traffic\l2l3resultprocess\bll\src\MsgrLogger.cpp</t>
  </si>
  <si>
    <t>C:\jenkins-devops\workspace\kw_bll_ui\content\traffic\l2l3resultprocess\bll\src\PhxRpcSession.cpp</t>
  </si>
  <si>
    <t>C:\jenkins-devops\workspace\kw_bll_ui\content\traffic\l2l3resultprocess\bll\src\ResultClient.cpp</t>
  </si>
  <si>
    <t>C:\jenkins-devops\workspace\kw_bll_ui\content\traffic\l2l3resultserver\bll\src\ResultServer.cpp</t>
  </si>
  <si>
    <t>C:\jenkins-devops\workspace\kw_bll_ui\content\traffic\l2l3resultserver\bll\src\ServerReactor.cpp</t>
  </si>
  <si>
    <t>C:\jenkins-devops\workspace\kw_bll_ui\content\traffic\l4l7\bll\include\PcapConverter.h</t>
  </si>
  <si>
    <t>C:\jenkins-devops\workspace\kw_bll_ui\content\traffic\l4l7\bll\src\http\HttpClientProtocolConfig.cpp</t>
  </si>
  <si>
    <t>C:\jenkins-devops\workspace\kw_bll_ui\content\traffic\l4l7\bll\src\video\VideoServerSessionsIlItemCounter.cpp</t>
  </si>
  <si>
    <t>C:\jenkins-devops\workspace\kw_bll_ui\content\tripleplay\vqana\bll\src\VqAnalyzerStartCommand.cpp</t>
  </si>
  <si>
    <t>C:\jenkins-devops\workspace\kw_bll_ui\content\tripleplay\vqana\bll\src\VqAnaMsgSetCln.cpp</t>
  </si>
  <si>
    <t>C:\jenkins-devops\workspace\kw_bll_ui\content\tripleplay\vqana\bll\src\VqAnaProtocol.cpp</t>
  </si>
  <si>
    <t>C:\jenkins-devops\workspace\kw_bll_ui\content\tripleplay\vqana\bll\src\VqDeviceChannelBlock.cpp</t>
  </si>
  <si>
    <t>C:\jenkins-devops\workspace\kw_bll_ui\framework\bll\base\include\EnumProperty.h</t>
  </si>
  <si>
    <t>C:\jenkins-devops\workspace\kw_bll_ui\framework\bll\base\include\FastDelegate.h</t>
  </si>
  <si>
    <t>C:\jenkins-devops\workspace\kw_bll_ui\framework\bll\base\include\MetaInfo.h</t>
  </si>
  <si>
    <t>C:\jenkins-devops\workspace\kw_bll_ui\framework\bll\base\include\PropValidator.h</t>
  </si>
  <si>
    <t>C:\jenkins-devops\workspace\kw_bll_ui\framework\bll\base\include\ScriptableAutoPtr.h</t>
  </si>
  <si>
    <t>C:\jenkins-devops\workspace\kw_bll_ui\framework\bll\base\include\Scriptable.h</t>
  </si>
  <si>
    <t>C:\jenkins-devops\workspace\kw_bll_ui\framework\bll\base\src\command\Command.cpp</t>
  </si>
  <si>
    <t>C:\jenkins-devops\workspace\kw_bll_ui\framework\bll\base\src\database\CppSQLite3.cpp</t>
  </si>
  <si>
    <t>C:\jenkins-devops\workspace\kw_bll_ui\framework\bll\base\src\licensing\StcLicenseUtil.cpp</t>
  </si>
  <si>
    <t>C:\jenkins-devops\workspace\kw_bll_ui\framework\bll\base\src\message\MemoryStream.cpp</t>
  </si>
  <si>
    <t>C:\jenkins-devops\workspace\kw_bll_ui\framework\bll\base\src\message\Session.cpp</t>
  </si>
  <si>
    <t>C:\jenkins-devops\workspace\kw_bll_ui\framework\bll\base\src\message\StringMessageHandler.cpp</t>
  </si>
  <si>
    <t>C:\jenkins-devops\workspace\kw_bll_ui\framework\bll\base\src\notification\NotificationService.cpp</t>
  </si>
  <si>
    <t>C:\jenkins-devops\workspace\kw_bll_ui\framework\bll\base\src\results\ExternalEquationResultProperty.cpp</t>
  </si>
  <si>
    <t>C:\jenkins-devops\workspace\kw_bll_ui\framework\bll\base\src\results\ExternalResultProperty.cpp</t>
  </si>
  <si>
    <t>C:\jenkins-devops\workspace\kw_bll_ui\framework\bll\base\src\scriptable\CowDataStore.cpp</t>
  </si>
  <si>
    <t>C:\jenkins-devops\workspace\kw_bll_ui\framework\bll\base\src\scriptable\HelpCommand.cpp</t>
  </si>
  <si>
    <t>C:\jenkins-devops\workspace\kw_bll_ui\framework\bll\base\src\scriptable\ScriptableReportWriter.cpp</t>
  </si>
  <si>
    <t>C:\jenkins-devops\workspace\kw_bll_ui\framework\bll\base\src\scriptable\serialization\DbExporter.h</t>
  </si>
  <si>
    <t>C:\jenkins-devops\workspace\kw_bll_ui\framework\bll\base\src\scriptable\serialization\ScriptableImexAdapter.cpp</t>
  </si>
  <si>
    <t>C:\jenkins-devops\workspace\kw_bll_ui\framework\bll\base\src\scriptable\serialization\ScriptExporter.cpp</t>
  </si>
  <si>
    <t>C:\jenkins-devops\workspace\kw_bll_ui\framework\bll\base\src\scriptable\serialization\XmlSpecificSaxHandlers.cpp</t>
  </si>
  <si>
    <t>C:\jenkins-devops\workspace\kw_bll_ui\framework\bll\base\src\system\StcSystem.cpp</t>
  </si>
  <si>
    <t>C:\jenkins-devops\workspace\kw_bll_ui\framework\bll\base\src\time\BaseTimerService.cpp</t>
  </si>
  <si>
    <t>C:\jenkins-devops\workspace\kw_bll_ui\framework\bll\base\src\time\CpuTimer.cpp</t>
  </si>
  <si>
    <t>C:\jenkins-devops\workspace\kw_bll_ui\framework\bll\base\src\time\Timer.cpp</t>
  </si>
  <si>
    <t>C:\jenkins-devops\workspace\kw_bll_ui\framework\bll\base\src\util\FilePath.cpp</t>
  </si>
  <si>
    <t>C:\jenkins-devops\workspace\kw_bll_ui\framework\bll\base\src\util\ResourceManager.cpp</t>
  </si>
  <si>
    <t>C:\jenkins-devops\workspace\kw_bll_ui\framework\bll\base\src\util\StackWalker.cpp</t>
  </si>
  <si>
    <t>C:\jenkins-devops\workspace\kw_bll_ui\framework\bll\base\src\util\StringUtil.cpp</t>
  </si>
  <si>
    <t>C:\jenkins-devops\workspace\kw_bll_ui\framework\bll\core\include\messenger\PeerHandler.h</t>
  </si>
  <si>
    <t>C:\jenkins-devops\workspace\kw_bll_ui\framework\bll\core\include\messenger\PhxRpcSession.h</t>
  </si>
  <si>
    <t>C:\jenkins-devops\workspace\kw_bll_ui\framework\bll\core\include\RcmCapability.h</t>
  </si>
  <si>
    <t>C:\jenkins-devops\workspace\kw_bll_ui\framework\bll\core\include\RcmDBMgr.h</t>
  </si>
  <si>
    <t>C:\jenkins-devops\workspace\kw_bll_ui\framework\bll\core\src\apply\ApplyToILCommand.cpp</t>
  </si>
  <si>
    <t>C:\jenkins-devops\workspace\kw_bll_ui\framework\bll\core\src\datamodel\IfManagerPortApplyHandler.cpp</t>
  </si>
  <si>
    <t>C:\jenkins-devops\workspace\kw_bll_ui\framework\bll\core\src\datamodel\Ipv6If.cpp</t>
  </si>
  <si>
    <t>C:\jenkins-devops\workspace\kw_bll_ui\framework\bll\core\src\datamodel\LinkSelector.cpp</t>
  </si>
  <si>
    <t>C:\jenkins-devops\workspace\kw_bll_ui\framework\bll\core\src\decorator\Rfc4814EthIIIfDecorator.cpp</t>
  </si>
  <si>
    <t>C:\jenkins-devops\workspace\kw_bll_ui\framework\bll\core\src\HardwareSetupApplyHandler.cpp</t>
  </si>
  <si>
    <t>C:\jenkins-devops\workspace\kw_bll_ui\framework\bll\core\src\licensing\Flexnet.cpp</t>
  </si>
  <si>
    <t>C:\jenkins-devops\workspace\kw_bll_ui\framework\bll\core\src\licensing\LicenseManager.cpp</t>
  </si>
  <si>
    <t>C:\jenkins-devops\workspace\kw_bll_ui\framework\bll\core\src\licensing\StcLicense.cpp</t>
  </si>
  <si>
    <t>C:\jenkins-devops\workspace\kw_bll_ui\framework\bll\core\src\licensing\VirtualPortLicense.cpp</t>
  </si>
  <si>
    <t>C:\jenkins-devops\workspace\kw_bll_ui\framework\bll\core\src\LogicIlCore.cpp</t>
  </si>
  <si>
    <t>C:\jenkins-devops\workspace\kw_bll_ui\framework\bll\core\src\messenger\DeviceClientSession.cpp</t>
  </si>
  <si>
    <t>C:\jenkins-devops\workspace\kw_bll_ui\framework\bll\core\src\messenger\DeviceClientSessionImpl.cpp</t>
  </si>
  <si>
    <t>C:\jenkins-devops\workspace\kw_bll_ui\framework\bll\core\src\messenger\DeviceServerSessionImpl.cpp</t>
  </si>
  <si>
    <t>C:\jenkins-devops\workspace\kw_bll_ui\framework\bll\core\src\messenger\MsgrLogger.cpp</t>
  </si>
  <si>
    <t>C:\jenkins-devops\workspace\kw_bll_ui\framework\bll\core\src\physicalchassis\ExternalDevicePort.cpp</t>
  </si>
  <si>
    <t>C:\jenkins-devops\workspace\kw_bll_ui\framework\bll\core\src\physicalchassis\ManageChassisCentralImpl.cpp</t>
  </si>
  <si>
    <t>C:\jenkins-devops\workspace\kw_bll_ui\framework\bll\core\src\physicalchassis\ManageChassisLegacyImpl.cpp</t>
  </si>
  <si>
    <t>C:\jenkins-devops\workspace\kw_bll_ui\framework\bll\core\src\physicalchassis\ManageEquipmentImpl.cpp</t>
  </si>
  <si>
    <t>C:\jenkins-devops\workspace\kw_bll_ui\framework\bll\core\src\physicalchassis\ManagePortGroupCentralImpl.cpp</t>
  </si>
  <si>
    <t>C:\jenkins-devops\workspace\kw_bll_ui\framework\bll\core\src\physicalchassis\ManagePortGroupLegacyImpl.cpp</t>
  </si>
  <si>
    <t>C:\jenkins-devops\workspace\kw_bll_ui\framework\bll\core\src\physicalchassis\ManageTestModuleCentralImpl.cpp</t>
  </si>
  <si>
    <t>C:\jenkins-devops\workspace\kw_bll_ui\framework\bll\core\src\physicalchassis\ManageTestModuleLegacyImpl.cpp</t>
  </si>
  <si>
    <t>C:\jenkins-devops\workspace\kw_bll_ui\framework\bll\core\src\physicalchassis\ModuleManageFirmwareImpl.cpp</t>
  </si>
  <si>
    <t>C:\jenkins-devops\workspace\kw_bll_ui\framework\bll\core\src\physicalchassis\PhyMessengerImpl.cpp</t>
  </si>
  <si>
    <t>C:\jenkins-devops\workspace\kw_bll_ui\framework\bll\core\src\physicalchassis\PhysicalChassis.cpp</t>
  </si>
  <si>
    <t>C:\jenkins-devops\workspace\kw_bll_ui\framework\bll\core\src\physicalchassis\PhysicalPort.cpp</t>
  </si>
  <si>
    <t>C:\jenkins-devops\workspace\kw_bll_ui\framework\bll\core\src\physicalchassis\PhysicalPortGroup.cpp</t>
  </si>
  <si>
    <t>C:\jenkins-devops\workspace\kw_bll_ui\framework\bll\core\src\physicalchassis\PhysicalTestModule.cpp</t>
  </si>
  <si>
    <t>C:\jenkins-devops\workspace\kw_bll_ui\framework\bll\core\src\Port.cpp</t>
  </si>
  <si>
    <t>C:\jenkins-devops\workspace\kw_bll_ui\framework\bll\core\src\portset\PortSetHandler.cpp</t>
  </si>
  <si>
    <t>C:\jenkins-devops\workspace\kw_bll_ui\framework\bll\core\src\rcm\RcmCapability.cpp</t>
  </si>
  <si>
    <t>C:\jenkins-devops\workspace\kw_bll_ui\framework\bll\core\src\rcm\RcmKeyMgr.cpp</t>
  </si>
  <si>
    <t>C:\jenkins-devops\workspace\kw_bll_ui\framework\bll\core\src\RebootEquipmentCommand.cpp</t>
  </si>
  <si>
    <t>C:\jenkins-devops\workspace\kw_bll_ui\framework\bll\core\src\result\dynamicview\CustomEquationProviderUpdateCommand.cpp</t>
  </si>
  <si>
    <t>C:\jenkins-devops\workspace\kw_bll_ui\framework\bll\core\src\result\dynamicview\CustomPropertyUpdateCommand.cpp</t>
  </si>
  <si>
    <t>C:\jenkins-devops\workspace\kw_bll_ui\framework\bll\core\src\result\dynamicview\PrqCheckerUtils.cpp</t>
  </si>
  <si>
    <t>C:\jenkins-devops\workspace\kw_bll_ui\framework\bll\core\src\result\dynamicview\RcpRpJoinProcessorProxy.cpp</t>
  </si>
  <si>
    <t>C:\jenkins-devops\workspace\kw_bll_ui\framework\bll\core\src\result\EventMessageResultHandler.cpp</t>
  </si>
  <si>
    <t>C:\jenkins-devops\workspace\kw_bll_ui\framework\bll\core\src\result\handlers\GenericPagedResultHandlerStates.cpp</t>
  </si>
  <si>
    <t>C:\jenkins-devops\workspace\kw_bll_ui\framework\bll\core\src\result\handlers\IlDrivenResultHandlerStates.cpp</t>
  </si>
  <si>
    <t>C:\jenkins-devops\workspace\kw_bll_ui\framework\bll\core\src\result\handlers\MultiProtocolPageManager.cpp</t>
  </si>
  <si>
    <t>C:\jenkins-devops\workspace\kw_bll_ui\framework\bll\core\src\result\handlers\PagedResultHandler.cpp</t>
  </si>
  <si>
    <t>C:\jenkins-devops\workspace\kw_bll_ui\framework\bll\core\src\result\handlers\RefreshResultHandlerStates.cpp</t>
  </si>
  <si>
    <t>C:\jenkins-devops\workspace\kw_bll_ui\framework\bll\core\src\result\handlers\RefreshWithRealTimeUpdatesStates.cpp</t>
  </si>
  <si>
    <t>C:\jenkins-devops\workspace\kw_bll_ui\framework\bll\core\src\result\ResultClearAllTrafficCommand.cpp</t>
  </si>
  <si>
    <t>C:\jenkins-devops\workspace\kw_bll_ui\framework\bll\core\src\result\TimedResultLogHandler.cpp</t>
  </si>
  <si>
    <t>C:\jenkins-devops\workspace\kw_bll_ui\framework\bll\core\src\RunExternalProcessCommand.cpp</t>
  </si>
  <si>
    <t>C:\jenkins-devops\workspace\kw_bll_ui\framework\bll\core\src\sequencer\SequencerGroupCommand.cpp</t>
  </si>
  <si>
    <t>C:\jenkins-devops\workspace\kw_bll_ui\framework\bll\core\src\sequencer\SequencerIfCommand.cpp</t>
  </si>
  <si>
    <t>C:\jenkins-devops\workspace\kw_bll_ui\framework\bll\core\src\util\CoreRpcManager.cpp</t>
  </si>
  <si>
    <t>C:\jenkins-devops\workspace\kw_bll_ui\framework\bll\eventManager\src\EventMsgSetCln.cpp</t>
  </si>
  <si>
    <t>C:\jenkins-devops\workspace\kw_bll_ui\framework\bll\rcp\include\RcpPropertyT.h</t>
  </si>
  <si>
    <t>C:\jenkins-devops\workspace\kw_bll_ui\framework\bll\rcp\src\RcpViewHandlerController.cpp</t>
  </si>
  <si>
    <t>C:\jenkins-devops\workspace\kw_bll_ui\framework\common\lib\ifcommon\NetworkEndpointToModifierAdaptor.h</t>
  </si>
  <si>
    <t>C:\jenkins-devops\workspace\kw_bll_ui\framework\common\lib\ifcommon\NetworkInterfaceStackPduConfigVecUpdater.cpp</t>
  </si>
  <si>
    <t>C:\jenkins-devops\workspace\kw_bll_ui\framework\common\lib\ifcommon\NetworkInterfaceStackToModifierAdaptor.cpp</t>
  </si>
  <si>
    <t>C:\jenkins-devops\workspace\kw_bll_ui\framework\common\lib\modifier\include\ConcreteRangeModifierImpl.h</t>
  </si>
  <si>
    <t>C:\jenkins-devops\workspace\kw_bll_ui\framework\common\lib\modifier\include\PropertyModifier.h</t>
  </si>
  <si>
    <t>C:\jenkins-devops\workspace\kw_bll_ui\framework\common\lib\phxrpc\message_chunk.cpp</t>
  </si>
  <si>
    <t>C:\jenkins-devops\workspace\kw_bll_ui\framework\common\lib\phxrpc\message.cpp</t>
  </si>
  <si>
    <t>C:\jenkins-devops\workspace\kw_bll_ui\framework\common\lib\phxrpc\tm_array.cpp</t>
  </si>
  <si>
    <t>C:\jenkins-devops\workspace\kw_bll_ui\framework\common\lib\phxrpc\tm_bin_decoder.cpp</t>
  </si>
  <si>
    <t>C:\jenkins-devops\workspace\kw_bll_ui\framework\common\lib\phxrpc\tm_bin_encoder.cpp</t>
  </si>
  <si>
    <t>C:\jenkins-devops\workspace\kw_bll_ui\framework\common\lib\phxrpc\tm_prenamed_struct.cpp</t>
  </si>
  <si>
    <t>C:\jenkins-devops\workspace\kw_bll_ui\framework\common\lib\phxrpc\tm_tcl_decoder.cpp</t>
  </si>
  <si>
    <t>C:\jenkins-devops\workspace\kw_bll_ui\framework\common\lib\phxrpc\tm_xml_encoder.cpp</t>
  </si>
  <si>
    <t>C:\jenkins-devops\workspace\kw_bll_ui\framework\common\lib\utils\IpAddress.cpp</t>
  </si>
  <si>
    <t>C:\jenkins-devops\workspace\kw_bll_ui\framework\common\lib\utils\Ipv6Address.cpp</t>
  </si>
  <si>
    <t>C:\jenkins-devops\workspace\kw_bll_ui\framework\common\lib\utils\MacAddress.cpp</t>
  </si>
  <si>
    <t>C:\jenkins-devops\workspace\kw_bll_ui\framework\common\lib\utils\WorldWideName.cpp</t>
  </si>
  <si>
    <t>C:\jenkins-devops\workspace\kw_bll_ui\framework\ui\automation\sal\src\BllConnection.cpp</t>
  </si>
  <si>
    <t>C:\jenkins-devops\workspace\kw_bll_ui\framework\ui\automation\sal\src\HandleList.cpp</t>
  </si>
  <si>
    <t>C:\jenkins-devops\workspace\kw_bll_ui\framework\ui\automation\sal\src\MessageServiceSalBllConnection.cpp</t>
  </si>
  <si>
    <t>C:\jenkins-devops\workspace\kw_bll_ui\framework\ui\automation\sal\src\MessageServiceSalStringBllConnection.cpp</t>
  </si>
  <si>
    <t>C:\jenkins-devops\workspace\kw_bll_ui\framework\ui\automation\sal\src\SalMessage.cpp</t>
  </si>
  <si>
    <t>C:\jenkins-devops\workspace\kw_bll_ui\framework\ui\automation\sal\src\SalStringBllDirectCallConnection.cpp</t>
  </si>
  <si>
    <t>C:\jenkins-devops\workspace\kw_bll_ui\framework\ui\automation\sPerl514\sPerl_wrap.cxx</t>
  </si>
  <si>
    <t>C:\jenkins-devops\workspace\kw_bll_ui\framework\ui\automation\sPerl\sPerl_wrap.cxx</t>
  </si>
  <si>
    <t>C:\jenkins-devops\workspace\kw_bll_ui\framework\ui\automation\sPython27\sPython_wrap.cxx</t>
  </si>
  <si>
    <t>C:\jenkins-devops\workspace\kw_bll_ui\framework\ui\automation\sPython\sPython_wrap.cxx</t>
  </si>
  <si>
    <t>C:\jenkins-devops\workspace\kw_bll_ui\framework\ui\automation\sRuby\sRuby_wrap.cxx</t>
  </si>
  <si>
    <t>C:\jenkins-devops\workspace\kw_bll_ui\framework\ui\automation\sTcl\sTcl_wrap.cxx</t>
  </si>
  <si>
    <t>C:\jenkins-devops\workspace\kw_bll_ui\framework\ui\automation\sTcl\TclScriptingEngine.cpp</t>
  </si>
  <si>
    <t>C:\jenkins-devops\workspace\kw_bll_ui\content\access\accesstest\ui\AccessTestInteractiveWorkItemExtension.cs</t>
  </si>
  <si>
    <t>C:\jenkins-devops\workspace\kw_bll_ui\content\access\accesstest\ui\Wizard\AccessConcentrator\AccessConcentratorEndPtPage.cs</t>
  </si>
  <si>
    <t>C:\jenkins-devops\workspace\kw_bll_ui\content\access\accesstest\ui\Wizard\AncpAcccessLoopGen\AncpAccessLoopLineProfilesPage.cs</t>
  </si>
  <si>
    <t>C:\jenkins-devops\workspace\kw_bll_ui\content\access\accesstest\ui\Wizard\AncpAcccessLoopGen\AncpAccessLoopSubscriberProtoPage.cs</t>
  </si>
  <si>
    <t>C:\jenkins-devops\workspace\kw_bll_ui\content\access\accesstest\ui\Wizard\AncpAcccessLoopGen\AncpAccessLoopSubscribersPage.cs</t>
  </si>
  <si>
    <t>C:\jenkins-devops\workspace\kw_bll_ui\content\access\accesstest\ui\Wizard\AncpAcccessLoopGen\AncpAccessLoopTlvPage.cs</t>
  </si>
  <si>
    <t>C:\jenkins-devops\workspace\kw_bll_ui\content\access\accesstest\ui\Wizard\AncpAcccessLoopGen\AncpAccessNodeSelectPage.cs</t>
  </si>
  <si>
    <t>C:\jenkins-devops\workspace\kw_bll_ui\content\access\accesstest\ui\Wizard\CeDeviceConfig\AccessCeDeviceWizard.cs</t>
  </si>
  <si>
    <t>C:\jenkins-devops\workspace\kw_bll_ui\content\access\accesstest\ui\Wizard\Stability\AccessStabilityEndPtPage.cs</t>
  </si>
  <si>
    <t>C:\jenkins-devops\workspace\kw_bll_ui\content\access\accesstest\ui\Wizard\Stability\AccessStabilityTestConfigPage.cs</t>
  </si>
  <si>
    <t>C:\jenkins-devops\workspace\kw_bll_ui\content\access\accesstest\ui\Wizard\Stability\AccessStabilityTrafficPage.cs</t>
  </si>
  <si>
    <t>C:\jenkins-devops\workspace\kw_bll_ui\content\access\ancp\ui\AncpInteractiveWorkItemExtension.cs</t>
  </si>
  <si>
    <t>C:\jenkins-devops\workspace\kw_bll_ui\content\access\ancp\ui\Controls\AncpTlvControl.cs</t>
  </si>
  <si>
    <t>C:\jenkins-devops\workspace\kw_bll_ui\content\access\dhcpv4\ui\Commands\EditCustomProtocolChildCommand.cs</t>
  </si>
  <si>
    <t>C:\jenkins-devops\workspace\kw_bll_ui\content\access\dhcpv4\ui\Commands\NewPoolCommand.cs</t>
  </si>
  <si>
    <t>C:\jenkins-devops\workspace\kw_bll_ui\content\access\dhcpv4\ui\ProxyObjects\Dhcpv4BlockConfigProxy.cs</t>
  </si>
  <si>
    <t>C:\jenkins-devops\workspace\kw_bll_ui\content\access\dhcpv4\ui\View\Dhcpv4ServerMsgOptionsEditorForm.cs</t>
  </si>
  <si>
    <t>C:\jenkins-devops\workspace\kw_bll_ui\content\access\dhcpv4\ui\View\RelayAgentHostCountEditor.cs</t>
  </si>
  <si>
    <t>C:\jenkins-devops\workspace\kw_bll_ui\content\access\dhcpv6\ui\Commands\EditCustomProtocolChildCommand.cs</t>
  </si>
  <si>
    <t>C:\jenkins-devops\workspace\kw_bll_ui\content\access\dhcpv6\ui\Commands\NewPoolCommand.cs</t>
  </si>
  <si>
    <t>C:\jenkins-devops\workspace\kw_bll_ui\content\access\dhcpv6\ui\ProxyObjects\Dhcpv6MsgOptionProxy.cs</t>
  </si>
  <si>
    <t>C:\jenkins-devops\workspace\kw_bll_ui\content\access\dhcpv6\ui\ProxyObjects\Dhcpv6ServerBaseAddrPoolConfigProxy.cs</t>
  </si>
  <si>
    <t>C:\jenkins-devops\workspace\kw_bll_ui\content\access\dhcpv6\ui\ProxyObjects\Dhcpv6ServerBasePrefixPoolConfigProxy.cs</t>
  </si>
  <si>
    <t>C:\jenkins-devops\workspace\kw_bll_ui\content\access\dhcpv6\ui\ProxyObjects\Dhcpv6ServerConfigProxy.cs</t>
  </si>
  <si>
    <t>C:\jenkins-devops\workspace\kw_bll_ui\content\access\dhcpv6\ui\View\Dhcpv6DelayedAuthKeyForm.cs</t>
  </si>
  <si>
    <t>C:\jenkins-devops\workspace\kw_bll_ui\content\access\dhcpv6\ui\View\Dhcpv6ServerDefaultPrefixPoolMsgOptionsEditorForm.cs</t>
  </si>
  <si>
    <t>C:\jenkins-devops\workspace\kw_bll_ui\content\access\dhcpv6\ui\View\Dhcpv6ServerDelayedAuthKeyForm.cs</t>
  </si>
  <si>
    <t>C:\jenkins-devops\workspace\kw_bll_ui\content\access\dhcpv6\ui\View\HomeGatewayDeviceCountEditor.cs</t>
  </si>
  <si>
    <t>C:\jenkins-devops\workspace\kw_bll_ui\content\access\dhcpv6\ui\View\MessageIncludeSelectionForm.cs</t>
  </si>
  <si>
    <t>C:\jenkins-devops\workspace\kw_bll_ui\content\access\l2tp\ui\Commands\L2tpShowNodeInfoCommand.cs</t>
  </si>
  <si>
    <t>C:\jenkins-devops\workspace\kw_bll_ui\content\access\l2tp\ui\Commands\L2tpShowSessionInfoCommand.cs</t>
  </si>
  <si>
    <t>C:\jenkins-devops\workspace\kw_bll_ui\content\access\l2tp\ui\Commands\L2tpShowTunnelInfoCommand.cs</t>
  </si>
  <si>
    <t>C:\jenkins-devops\workspace\kw_bll_ui\content\access\l2tp\ui\Controls\L2tpNodeInfoControl.cs</t>
  </si>
  <si>
    <t>C:\jenkins-devops\workspace\kw_bll_ui\content\access\l2tp\ui\Controls\L2tpSessionInfoControl.cs</t>
  </si>
  <si>
    <t>C:\jenkins-devops\workspace\kw_bll_ui\content\access\l2tp\ui\Controls\L2tpTunnelInfoControl.cs</t>
  </si>
  <si>
    <t>C:\jenkins-devops\workspace\kw_bll_ui\content\access\l2tp\ui\L2tpInteractiveWorkItemExtension.cs</t>
  </si>
  <si>
    <t>C:\jenkins-devops\workspace\kw_bll_ui\content\access\l2tp\ui\View\L2tpv3HostCountEditor.cs</t>
  </si>
  <si>
    <t>C:\jenkins-devops\workspace\kw_bll_ui\content\access\pppox\ui\Controls\PppoxSessionInfoCommandEditor.cs</t>
  </si>
  <si>
    <t>C:\jenkins-devops\workspace\kw_bll_ui\content\access\pppox\ui\PppoeFileConverter.cs</t>
  </si>
  <si>
    <t>C:\jenkins-devops\workspace\kw_bll_ui\content\access\pppox\ui\PppoxInteractiveWorkItemExtension.cs</t>
  </si>
  <si>
    <t>C:\jenkins-devops\workspace\kw_bll_ui\content\access\pppox\ui\View\OpenAuthenticationFileDialog.cs</t>
  </si>
  <si>
    <t>C:\jenkins-devops\workspace\kw_bll_ui\content\access\pppox\ui\View\PppoL2tpHostCountEditor.cs</t>
  </si>
  <si>
    <t>C:\jenkins-devops\workspace\kw_bll_ui\content\access\pppox\ui\Wizard\PppoxHostGenPanel.cs</t>
  </si>
  <si>
    <t>C:\jenkins-devops\workspace\kw_bll_ui\content\admin\admin\ui\Equipment\ChassisEventEditor.cs</t>
  </si>
  <si>
    <t>C:\jenkins-devops\workspace\kw_bll_ui\content\admin\admin\ui\Equipment\CommandEditor.cs</t>
  </si>
  <si>
    <t>C:\jenkins-devops\workspace\kw_bll_ui\content\admin\admin\ui\Equipment\Commands\ConfigurePortGroupCommand.cs</t>
  </si>
  <si>
    <t>C:\jenkins-devops\workspace\kw_bll_ui\content\admin\admin\ui\Equipment\Commands\RebootEquipmentCommand.cs</t>
  </si>
  <si>
    <t>C:\jenkins-devops\workspace\kw_bll_ui\content\admin\admin\ui\Equipment\Diagnostic.cs</t>
  </si>
  <si>
    <t>C:\jenkins-devops\workspace\kw_bll_ui\content\admin\admin\ui\Equipment\FanDiagnostic.cs</t>
  </si>
  <si>
    <t>C:\jenkins-devops\workspace\kw_bll_ui\content\admin\admin\ui\Equipment\PowerDiagnostic.cs</t>
  </si>
  <si>
    <t>C:\jenkins-devops\workspace\kw_bll_ui\content\admin\admin\ui\Equipment\SystemDiagnostic.cs</t>
  </si>
  <si>
    <t>C:\jenkins-devops\workspace\kw_bll_ui\content\admin\admin\ui\Equipment\TemperatureDiagnostic.cs</t>
  </si>
  <si>
    <t>C:\jenkins-devops\workspace\kw_bll_ui\content\admin\admin\ui\L1Tool\L1BrowserForm.cs</t>
  </si>
  <si>
    <t>C:\jenkins-devops\workspace\kw_bll_ui\content\common\contentcore\ui\ProxyObjects\ProtocolLoadPhaseProxy.cs</t>
  </si>
  <si>
    <t>C:\jenkins-devops\workspace\kw_bll_ui\content\common\contentcore\ui\ProxyObjects\ProtocolLoadProfileProxy.cs</t>
  </si>
  <si>
    <t>C:\jenkins-devops\workspace\kw_bll_ui\content\datacenter\datacenter\ui\Controls\Openflow\OpenflowPduControl.cs</t>
  </si>
  <si>
    <t>C:\jenkins-devops\workspace\kw_bll_ui\content\datacenter\datacenter\ui\Controls\Openflow\OpenflowViewStatistics.cs</t>
  </si>
  <si>
    <t>C:\jenkins-devops\workspace\kw_bll_ui\content\datacenter\datacenter\ui\Controls\SummaryStandaloneView.cs</t>
  </si>
  <si>
    <t>C:\jenkins-devops\workspace\kw_bll_ui\content\datacenter\datacenter\ui\Controls\Vxlan\VxlanBindingView.cs</t>
  </si>
  <si>
    <t>C:\jenkins-devops\workspace\kw_bll_ui\content\datacenter\datacenter\ui\Forms\OSE\OseAdditionalPortConfigForm.cs</t>
  </si>
  <si>
    <t>C:\jenkins-devops\workspace\kw_bll_ui\content\datacenter\datacenter\ui\Forms\OSE\OsePortNameWildcardForm.cs</t>
  </si>
  <si>
    <t>C:\jenkins-devops\workspace\kw_bll_ui\content\datacenter\datacenter\ui\ProxyObjects\OpenflowControllerProtocolConfigProxy.cs</t>
  </si>
  <si>
    <t>C:\jenkins-devops\workspace\kw_bll_ui\content\datacenter\datacenter\ui\ProxyObjects\OpenflowFlowBlockProxy.cs</t>
  </si>
  <si>
    <t>C:\jenkins-devops\workspace\kw_bll_ui\content\datacenter\datacenter\ui\ProxyObjects\OpenflowMeterConfigProxy.cs</t>
  </si>
  <si>
    <t>C:\jenkins-devops\workspace\kw_bll_ui\content\datacenter\datacenter\ui\ProxyObjects\OseSwitchConfigProxy.cs</t>
  </si>
  <si>
    <t>C:\jenkins-devops\workspace\kw_bll_ui\content\datacenter\datacenter\ui\ProxyObjects\OtvOverlayConfigProxy.cs</t>
  </si>
  <si>
    <t>C:\jenkins-devops\workspace\kw_bll_ui\content\datacenter\datacenter\ui\ProxyObjects\OtvSiteDeviceConfigProxy.cs</t>
  </si>
  <si>
    <t>C:\jenkins-devops\workspace\kw_bll_ui\content\datacenter\datacenter\ui\ProxyObjects\TrillCapabilityTlvProxy.cs</t>
  </si>
  <si>
    <t>C:\jenkins-devops\workspace\kw_bll_ui\content\datacenter\datacenter\ui\ProxyObjects\VxlanSegmentConfigProxy.cs</t>
  </si>
  <si>
    <t>C:\jenkins-devops\workspace\kw_bll_ui\content\datacenter\datacenter\ui\ProxyObjects\VxlanVmInfoProxy.cs</t>
  </si>
  <si>
    <t>C:\jenkins-devops\workspace\kw_bll_ui\content\datacenter\datacenter\ui\ProxyObjects\VxlanVtepConfigProxy.cs</t>
  </si>
  <si>
    <t>C:\jenkins-devops\workspace\kw_bll_ui\content\datacenter\datacenter\ui\TrillInteractiveWorkItemExtension.cs</t>
  </si>
  <si>
    <t>C:\jenkins-devops\workspace\kw_bll_ui\content\datacenter\datacenter\ui\View\Ose\OseViewFlowsForm.cs</t>
  </si>
  <si>
    <t>C:\jenkins-devops\workspace\kw_bll_ui\content\datacenter\datacenter\ui\View\Vxlan\ExportVxlanBindingCommandEditor.cs</t>
  </si>
  <si>
    <t>C:\jenkins-devops\workspace\kw_bll_ui\content\datacenter\datacenter\ui\View\Vxlan\VxlanBindingsForm.cs</t>
  </si>
  <si>
    <t>C:\jenkins-devops\workspace\kw_bll_ui\content\datacenter\datacenter\ui\Wizards\Common\WizardSummaryPage.cs</t>
  </si>
  <si>
    <t>C:\jenkins-devops\workspace\kw_bll_ui\content\datacenter\datacenter\ui\Wizards\OpenflowFlowGenWizard\ConfigureSwitchesPage.cs</t>
  </si>
  <si>
    <t>C:\jenkins-devops\workspace\kw_bll_ui\content\datacenter\datacenter\ui\Wizards\OpenflowFlowGenWizard\NodeData.cs</t>
  </si>
  <si>
    <t>C:\jenkins-devops\workspace\kw_bll_ui\content\datacenter\datacenter\ui\Wizards\VxlanVmWizard\PortSelectPage.cs</t>
  </si>
  <si>
    <t>C:\jenkins-devops\workspace\kw_bll_ui\content\datacenter\dcwizards\ui\DataCenterWizardInteractiveExtension.cs</t>
  </si>
  <si>
    <t>C:\jenkins-devops\workspace\kw_bll_ui\content\datacenter\dcwizards\ui\Forms\RouteViewDataSet.cs</t>
  </si>
  <si>
    <t>C:\jenkins-devops\workspace\kw_bll_ui\content\datacenter\dcwizards\ui\SummaryStandaloneView.cs</t>
  </si>
  <si>
    <t>C:\jenkins-devops\workspace\kw_bll_ui\content\datacenter\dcwizards\ui\Wizards\Diagrams\AbstractTreeLayout.cs</t>
  </si>
  <si>
    <t>C:\jenkins-devops\workspace\kw_bll_ui\content\datacenter\dcwizards\ui\Wizards\Diagrams\DiagramArrow.cs</t>
  </si>
  <si>
    <t>C:\jenkins-devops\workspace\kw_bll_ui\content\datacenter\dcwizards\ui\Wizards\Diagrams\DiagramArrowLink.cs</t>
  </si>
  <si>
    <t>C:\jenkins-devops\workspace\kw_bll_ui\content\datacenter\dcwizards\ui\Wizards\Diagrams\DiagramControl.cs</t>
  </si>
  <si>
    <t>C:\jenkins-devops\workspace\kw_bll_ui\content\datacenter\dcwizards\ui\Wizards\Diagrams\DiagramPrimitive.cs</t>
  </si>
  <si>
    <t>C:\jenkins-devops\workspace\kw_bll_ui\content\datacenter\dcwizards\ui\Wizards\Diagrams\DoubleTreeParentCenteredNonfanoutLayout.cs</t>
  </si>
  <si>
    <t>C:\jenkins-devops\workspace\kw_bll_ui\content\datacenter\dcwizards\ui\Wizards\Diagrams\EitherSideLabels.cs</t>
  </si>
  <si>
    <t>C:\jenkins-devops\workspace\kw_bll_ui\content\datacenter\dcwizards\ui\Wizards\Diagrams\RightLeftCenteredAbstractLayout.cs</t>
  </si>
  <si>
    <t>C:\jenkins-devops\workspace\kw_bll_ui\content\datacenter\dcwizards\ui\Wizards\Diagrams\RightLeftCenteredFanoutLayout.cs</t>
  </si>
  <si>
    <t>C:\jenkins-devops\workspace\kw_bll_ui\content\datacenter\dcwizards\ui\Wizards\Diagrams\SingleMessageDiagramLayout.cs</t>
  </si>
  <si>
    <t>C:\jenkins-devops\workspace\kw_bll_ui\content\datacenter\dcwizards\ui\Wizards\Diagrams\VxlanDiagramConstants.cs</t>
  </si>
  <si>
    <t>C:\jenkins-devops\workspace\kw_bll_ui\content\datacenter\dcwizards\ui\Wizards\Diagrams\VxlanDiagramHelper.cs</t>
  </si>
  <si>
    <t>C:\jenkins-devops\workspace\kw_bll_ui\content\datacenter\dcwizards\ui\Wizards\OSE\OseConfigureHostsPage.designer.cs</t>
  </si>
  <si>
    <t>C:\jenkins-devops\workspace\kw_bll_ui\content\datacenter\dcwizards\ui\Wizards\OSE\OseConfigureSwitchPortsPage.designer.cs</t>
  </si>
  <si>
    <t>C:\jenkins-devops\workspace\kw_bll_ui\content\datacenter\dcwizards\ui\Wizards\OSE\OseConfigureTrafficPage.cs</t>
  </si>
  <si>
    <t>C:\jenkins-devops\workspace\kw_bll_ui\content\datacenter\dcwizards\ui\Wizards\OSE\OseSummaryPage.cs</t>
  </si>
  <si>
    <t>C:\jenkins-devops\workspace\kw_bll_ui\content\datacenter\dcwizards\ui\Wizards\Vxlan Wizard\VxlanSummaryPage.cs</t>
  </si>
  <si>
    <t>C:\jenkins-devops\workspace\kw_bll_ui\content\device\configurator\ui\Controls\DutTreeView.cs</t>
  </si>
  <si>
    <t>C:\jenkins-devops\workspace\kw_bll_ui\content\mcast\igmpmld\ui\IgmpMldInteractiveWorkItemExtension.cs</t>
  </si>
  <si>
    <t>C:\jenkins-devops\workspace\kw_bll_ui\content\mcast\igmpmld\ui\ProxyObjects\IgmpGroupMembershipProxy.cs</t>
  </si>
  <si>
    <t>C:\jenkins-devops\workspace\kw_bll_ui\content\mcast\igmpmld\ui\ProxyObjects\MldGroupMembershipProxy.cs</t>
  </si>
  <si>
    <t>C:\jenkins-devops\workspace\kw_bll_ui\content\mcast\igmpmld\ui\Wizard\IgmpMldHostGenPanel.cs</t>
  </si>
  <si>
    <t>C:\jenkins-devops\workspace\kw_bll_ui\content\mcast\igmpmld\ui\Wizard\IgmpMldRouterGenPanel.cs</t>
  </si>
  <si>
    <t>C:\jenkins-devops\workspace\kw_bll_ui\content\NTAF\Capture\ui\capture.cs</t>
  </si>
  <si>
    <t>C:\jenkins-devops\workspace\kw_bll_ui\content\routing\bfd\ui\BfdInteractiveWorkItemExtension.cs</t>
  </si>
  <si>
    <t>C:\jenkins-devops\workspace\kw_bll_ui\content\routing\bfd\ui\Commands\NewSessionBlockCommand.cs</t>
  </si>
  <si>
    <t>C:\jenkins-devops\workspace\kw_bll_ui\content\routing\bfd\ui\Definitions\LagBfdGroupIpv4AddrPropertyDef.cs</t>
  </si>
  <si>
    <t>C:\jenkins-devops\workspace\kw_bll_ui\content\routing\bfd\ui\Definitions\LagBfdGroupIpv6AddrPropertyDef.cs</t>
  </si>
  <si>
    <t>C:\jenkins-devops\workspace\kw_bll_ui\content\routing\bfd\ui\Wizard\BfdRouterGenPanel.cs</t>
  </si>
  <si>
    <t>C:\jenkins-devops\workspace\kw_bll_ui\content\routing\bfd\ui\Wizard\PortAggregation\BfdLagGenPage.cs</t>
  </si>
  <si>
    <t>C:\jenkins-devops\workspace\kw_bll_ui\content\routing\bgp\ui\Commands\NewRouteParamsCommand.cs</t>
  </si>
  <si>
    <t>C:\jenkins-devops\workspace\kw_bll_ui\content\routing\bgp\ui\Controls\BgpLsScaleAbrSelectionControl.cs</t>
  </si>
  <si>
    <t>C:\jenkins-devops\workspace\kw_bll_ui\content\routing\bgp\ui\Forms\AFIForm.cs</t>
  </si>
  <si>
    <t>C:\jenkins-devops\workspace\kw_bll_ui\content\routing\bgp\ui\Forms\AFIForm.designer.cs</t>
  </si>
  <si>
    <t>C:\jenkins-devops\workspace\kw_bll_ui\content\routing\bgp\ui\Forms\AsNum4ByteModifierForm.cs</t>
  </si>
  <si>
    <t>C:\jenkins-devops\workspace\kw_bll_ui\content\routing\bgp\ui\Forms\AsNumModifierForm.cs</t>
  </si>
  <si>
    <t>C:\jenkins-devops\workspace\kw_bll_ui\content\routing\bgp\ui\Forms\BgpAsPathLenDistDialog.cs</t>
  </si>
  <si>
    <t>C:\jenkins-devops\workspace\kw_bll_ui\content\routing\bgp\ui\Forms\BgpAsPathSegmentForm.cs</t>
  </si>
  <si>
    <t>C:\jenkins-devops\workspace\kw_bll_ui\content\routing\bgp\ui\Forms\BgpCollectionEditor.cs</t>
  </si>
  <si>
    <t>C:\jenkins-devops\workspace\kw_bll_ui\content\routing\bgp\ui\Forms\BgpCustomAttributeForm.cs</t>
  </si>
  <si>
    <t>C:\jenkins-devops\workspace\kw_bll_ui\content\routing\bgp\ui\Forms\BgpCustomPduForm.cs</t>
  </si>
  <si>
    <t>C:\jenkins-devops\workspace\kw_bll_ui\content\routing\bgp\ui\Forms\BgpExtCommunityEditor.cs</t>
  </si>
  <si>
    <t>C:\jenkins-devops\workspace\kw_bll_ui\content\routing\bgp\ui\Forms\BgpFlowSpecActionsForm.cs</t>
  </si>
  <si>
    <t>C:\jenkins-devops\workspace\kw_bll_ui\content\routing\bgp\ui\Forms\BgpFsType10PacketLengthForm.cs</t>
  </si>
  <si>
    <t>C:\jenkins-devops\workspace\kw_bll_ui\content\routing\bgp\ui\Forms\BgpFsType1DestinationIPv4PrefixForm.cs</t>
  </si>
  <si>
    <t>C:\jenkins-devops\workspace\kw_bll_ui\content\routing\bgp\ui\Forms\BgpFsType2SourceIPv4PrefixForm.cs</t>
  </si>
  <si>
    <t>C:\jenkins-devops\workspace\kw_bll_ui\content\routing\bgp\ui\Forms\BgpFsType4PortForm.cs</t>
  </si>
  <si>
    <t>C:\jenkins-devops\workspace\kw_bll_ui\content\routing\bgp\ui\Forms\BgpFsType5DestinationPortForm.cs</t>
  </si>
  <si>
    <t>C:\jenkins-devops\workspace\kw_bll_ui\content\routing\bgp\ui\Forms\BgpFsType6SourcePortForm.cs</t>
  </si>
  <si>
    <t>C:\jenkins-devops\workspace\kw_bll_ui\content\routing\bgp\ui\Forms\BgpLsCustomTlvForm.cs</t>
  </si>
  <si>
    <t>C:\jenkins-devops\workspace\kw_bll_ui\content\routing\bgp\ui\Forms\BgpMpNlriForm.cs</t>
  </si>
  <si>
    <t>C:\jenkins-devops\workspace\kw_bll_ui\content\routing\bgp\ui\Forms\BgpParsingStatusForm.cs</t>
  </si>
  <si>
    <t>C:\jenkins-devops\workspace\kw_bll_ui\content\routing\bgp\ui\Forms\DscpEditorForm.cs</t>
  </si>
  <si>
    <t>C:\jenkins-devops\workspace\kw_bll_ui\content\routing\bgp\ui\Forms\DutAsNum4ByteModifierForm.cs</t>
  </si>
  <si>
    <t>C:\jenkins-devops\workspace\kw_bll_ui\content\routing\bgp\ui\Forms\DutAsNumModifierForm.cs</t>
  </si>
  <si>
    <t>C:\jenkins-devops\workspace\kw_bll_ui\content\routing\bgp\ui\Forms\DutIpv4AddrModifierForm.cs</t>
  </si>
  <si>
    <t>C:\jenkins-devops\workspace\kw_bll_ui\content\routing\bgp\ui\Forms\DutIpv6AddrModifierForm.cs</t>
  </si>
  <si>
    <t>C:\jenkins-devops\workspace\kw_bll_ui\content\routing\bgp\ui\Forms\MacAddrListEditor.cs</t>
  </si>
  <si>
    <t>C:\jenkins-devops\workspace\kw_bll_ui\content\routing\bgp\ui\Forms\MultiColumnCollectionEditorForm.cs</t>
  </si>
  <si>
    <t>C:\jenkins-devops\workspace\kw_bll_ui\content\routing\bgp\ui\Forms\NlriHexEditorForm.cs</t>
  </si>
  <si>
    <t>C:\jenkins-devops\workspace\kw_bll_ui\content\routing\bgp\ui\Forms\RouteModifierForm.cs</t>
  </si>
  <si>
    <t>C:\jenkins-devops\workspace\kw_bll_ui\content\routing\bgp\ui\Forms\RouteRefreshSelector.cs</t>
  </si>
  <si>
    <t>C:\jenkins-devops\workspace\kw_bll_ui\content\routing\bgp\ui\LsLinkAttributeTeParams.cs</t>
  </si>
  <si>
    <t>C:\jenkins-devops\workspace\kw_bll_ui\content\routing\bgp\ui\ProxyObjects\BgpCustomAttributeProxy.cs</t>
  </si>
  <si>
    <t>C:\jenkins-devops\workspace\kw_bll_ui\content\routing\bgp\ui\ProxyObjects\BgpIpv4MvpnGeneralADRouteConfigProxy.cs</t>
  </si>
  <si>
    <t>C:\jenkins-devops\workspace\kw_bll_ui\content\routing\bgp\ui\ProxyObjects\BgpIpv4MvpnJoinRouteConfigProxy.cs</t>
  </si>
  <si>
    <t>C:\jenkins-devops\workspace\kw_bll_ui\content\routing\bgp\ui\ProxyObjects\BgpIpv4RouteConfigProxy.cs</t>
  </si>
  <si>
    <t>C:\jenkins-devops\workspace\kw_bll_ui\content\routing\bgp\ui\ProxyObjects\BgpIpv6MvpnGeneralADRouteConfigProxy.cs</t>
  </si>
  <si>
    <t>C:\jenkins-devops\workspace\kw_bll_ui\content\routing\bgp\ui\ProxyObjects\BgpIpv6MvpnJoinRouteConfigProxy.cs</t>
  </si>
  <si>
    <t>C:\jenkins-devops\workspace\kw_bll_ui\content\routing\bgp\ui\ProxyObjects\BgpIpv6RouteConfigProxy.cs</t>
  </si>
  <si>
    <t>C:\jenkins-devops\workspace\kw_bll_ui\content\routing\bgp\ui\ProxyObjects\BgpLsCustomTlvProxy.cs</t>
  </si>
  <si>
    <t>C:\jenkins-devops\workspace\kw_bll_ui\content\routing\bgp\ui\ProxyObjects\BgpMpReachUnReachAttrProxy.cs</t>
  </si>
  <si>
    <t>C:\jenkins-devops\workspace\kw_bll_ui\content\routing\bgp\ui\ProxyObjects\BgpRouteParamsProxy.cs</t>
  </si>
  <si>
    <t>C:\jenkins-devops\workspace\kw_bll_ui\content\routing\bgp\ui\ProxyObjects\BgpRouterConfigProxy.cs</t>
  </si>
  <si>
    <t>C:\jenkins-devops\workspace\kw_bll_ui\content\routing\bgp\ui\Wizard\ImportRouteTable\ImportRouteTableWizard.cs</t>
  </si>
  <si>
    <t>C:\jenkins-devops\workspace\kw_bll_ui\content\routing\bgp\ui\Wizard\RouteTopology\BgpLsRouteGenParamsPage.cs</t>
  </si>
  <si>
    <t>C:\jenkins-devops\workspace\kw_bll_ui\content\routing\bgp\ui\Wizard\RouteTopology\BgpRouteGenRouteParamsPage.cs</t>
  </si>
  <si>
    <t>C:\jenkins-devops\workspace\kw_bll_ui\content\routing\eoam\ui\Commands\StartAisCommand.cs</t>
  </si>
  <si>
    <t>C:\jenkins-devops\workspace\kw_bll_ui\content\routing\eoam\ui\Commands\StartCcCommand.cs</t>
  </si>
  <si>
    <t>C:\jenkins-devops\workspace\kw_bll_ui\content\routing\eoam\ui\Commands\StartCcGroupCommand.cs</t>
  </si>
  <si>
    <t>C:\jenkins-devops\workspace\kw_bll_ui\content\routing\eoam\ui\Commands\StartDelayMeasurementCommand.cs</t>
  </si>
  <si>
    <t>C:\jenkins-devops\workspace\kw_bll_ui\content\routing\eoam\ui\Commands\StartLckCommand.cs</t>
  </si>
  <si>
    <t>C:\jenkins-devops\workspace\kw_bll_ui\content\routing\eoam\ui\Commands\StartLinkTraceCommand.cs</t>
  </si>
  <si>
    <t>C:\jenkins-devops\workspace\kw_bll_ui\content\routing\eoam\ui\Commands\StartLoopbackCommand.cs</t>
  </si>
  <si>
    <t>C:\jenkins-devops\workspace\kw_bll_ui\content\routing\eoam\ui\Commands\StartLossMeasurementCommand.cs</t>
  </si>
  <si>
    <t>C:\jenkins-devops\workspace\kw_bll_ui\content\routing\eoam\ui\Commands\StartSlmCommand.cs</t>
  </si>
  <si>
    <t>C:\jenkins-devops\workspace\kw_bll_ui\content\routing\eoam\ui\Commands\StopAisCommand.cs</t>
  </si>
  <si>
    <t>C:\jenkins-devops\workspace\kw_bll_ui\content\routing\eoam\ui\Commands\StopCcCommand.cs</t>
  </si>
  <si>
    <t>C:\jenkins-devops\workspace\kw_bll_ui\content\routing\eoam\ui\Commands\StopCcGroupCommand.cs</t>
  </si>
  <si>
    <t>C:\jenkins-devops\workspace\kw_bll_ui\content\routing\eoam\ui\Commands\StopDelayMeasurementCommand.cs</t>
  </si>
  <si>
    <t>C:\jenkins-devops\workspace\kw_bll_ui\content\routing\eoam\ui\Commands\StopLckCommand.cs</t>
  </si>
  <si>
    <t>C:\jenkins-devops\workspace\kw_bll_ui\content\routing\eoam\ui\Commands\StopLinkTraceCommand.cs</t>
  </si>
  <si>
    <t>C:\jenkins-devops\workspace\kw_bll_ui\content\routing\eoam\ui\Commands\StopLoopbackCommand.cs</t>
  </si>
  <si>
    <t>C:\jenkins-devops\workspace\kw_bll_ui\content\routing\eoam\ui\Commands\StopLossMeasurementCommand.cs</t>
  </si>
  <si>
    <t>C:\jenkins-devops\workspace\kw_bll_ui\content\routing\eoam\ui\Commands\StopSlmCommand.cs</t>
  </si>
  <si>
    <t>C:\jenkins-devops\workspace\kw_bll_ui\content\routing\eoam\ui\Graphics\BaseTreeNodeSprite.cs</t>
  </si>
  <si>
    <t>C:\jenkins-devops\workspace\kw_bll_ui\content\routing\eoam\ui\Graphics\EoamNodeSprite.cs</t>
  </si>
  <si>
    <t>C:\jenkins-devops\workspace\kw_bll_ui\content\routing\eoam\ui\Graphics\PortSprite.cs</t>
  </si>
  <si>
    <t>C:\jenkins-devops\workspace\kw_bll_ui\content\routing\eoam\ui\ProxyObjects\EoamNodeConfigProxy.cs</t>
  </si>
  <si>
    <t>C:\jenkins-devops\workspace\kw_bll_ui\content\routing\eoam\ui\Views\EoamDetailedDmResultsForm.cs</t>
  </si>
  <si>
    <t>C:\jenkins-devops\workspace\kw_bll_ui\content\routing\eoam\ui\Views\EoamDetailedLmResultsForm.cs</t>
  </si>
  <si>
    <t>C:\jenkins-devops\workspace\kw_bll_ui\content\routing\eoam\ui\Views\EoamDetailedLoopbackResultsForm.cs</t>
  </si>
  <si>
    <t>C:\jenkins-devops\workspace\kw_bll_ui\content\routing\eoam\ui\Views\EoamDetailedSlmResultsForm.cs</t>
  </si>
  <si>
    <t>C:\jenkins-devops\workspace\kw_bll_ui\content\routing\eoam\ui\Views\EoamFindNodeForm.cs</t>
  </si>
  <si>
    <t>C:\jenkins-devops\workspace\kw_bll_ui\content\routing\eoam\ui\Views\EoamRemoteCcResultsForm.cs</t>
  </si>
  <si>
    <t>C:\jenkins-devops\workspace\kw_bll_ui\content\routing\eoam\ui\Wizard\EoamMegPage.designer.cs</t>
  </si>
  <si>
    <t>C:\jenkins-devops\workspace\kw_bll_ui\content\routing\ieee1588v2\ui\Forms\CorrectionFieldsForm.cs</t>
  </si>
  <si>
    <t>C:\jenkins-devops\workspace\kw_bll_ui\content\routing\ieee1588v2\ui\Forms\UnicastMasterPortIpv4AddrListEditor.cs</t>
  </si>
  <si>
    <t>C:\jenkins-devops\workspace\kw_bll_ui\content\routing\ieee1588v2\ui\Forms\UnicastMasterPortIpv6AddrListEditor.cs</t>
  </si>
  <si>
    <t>C:\jenkins-devops\workspace\kw_bll_ui\content\routing\ieee1588v2\ui\Forms\UnicastMasterPortMacAddrListEditor.cs</t>
  </si>
  <si>
    <t>C:\jenkins-devops\workspace\kw_bll_ui\content\routing\ieee1588v2\ui\Ieee1588v2InteractiveWorkItemExtension.cs</t>
  </si>
  <si>
    <t>C:\jenkins-devops\workspace\kw_bll_ui\content\routing\ieee1588v2\ui\ProxyObjects\Ieee1588v2ClockConfigProxy.cs</t>
  </si>
  <si>
    <t>C:\jenkins-devops\workspace\kw_bll_ui\content\routing\isis\ui\Commands\NewIpRouteCommand.cs</t>
  </si>
  <si>
    <t>C:\jenkins-devops\workspace\kw_bll_ui\content\routing\isis\ui\Commands\NewIsisGrandchildrenCommand.cs</t>
  </si>
  <si>
    <t>C:\jenkins-devops\workspace\kw_bll_ui\content\routing\isis\ui\Commands\NewMtPortCapTlvCommand.cs</t>
  </si>
  <si>
    <t>C:\jenkins-devops\workspace\kw_bll_ui\content\routing\isis\ui\Commands\NewPlsbGrandChildrenCommand.cs</t>
  </si>
  <si>
    <t>C:\jenkins-devops\workspace\kw_bll_ui\content\routing\isis\ui\Forms\CreateMstConfigurationTableForm.cs</t>
  </si>
  <si>
    <t>C:\jenkins-devops\workspace\kw_bll_ui\content\routing\isis\ui\Forms\IsisRouterPlsbLinkMetricForm.cs</t>
  </si>
  <si>
    <t>C:\jenkins-devops\workspace\kw_bll_ui\content\routing\isis\ui\Forms\IsisRouterSpbLinkMetricForm.cs</t>
  </si>
  <si>
    <t>C:\jenkins-devops\workspace\kw_bll_ui\content\routing\isis\ui\Forms\PerPduAuthenticationParamsForm.cs</t>
  </si>
  <si>
    <t>C:\jenkins-devops\workspace\kw_bll_ui\content\routing\isis\ui\Forms\PlsbIsidAddressIsid.cs</t>
  </si>
  <si>
    <t>C:\jenkins-devops\workspace\kw_bll_ui\content\routing\isis\ui\Forms\PlsbLinkMetricForm.cs</t>
  </si>
  <si>
    <t>C:\jenkins-devops\workspace\kw_bll_ui\content\routing\isis\ui\IsisInteractiveWorkItemExtension.cs</t>
  </si>
  <si>
    <t>C:\jenkins-devops\workspace\kw_bll_ui\content\routing\isis\ui\L1TeParams.cs</t>
  </si>
  <si>
    <t>C:\jenkins-devops\workspace\kw_bll_ui\content\routing\isis\ui\L2TeParams.cs</t>
  </si>
  <si>
    <t>C:\jenkins-devops\workspace\kw_bll_ui\content\routing\isis\ui\NeighborsTEParams.cs</t>
  </si>
  <si>
    <t>C:\jenkins-devops\workspace\kw_bll_ui\content\routing\isis\ui\ProxyObjects\IsisCapabilityTlvProxy.cs</t>
  </si>
  <si>
    <t>C:\jenkins-devops\workspace\kw_bll_ui\content\routing\isis\ui\ProxyObjects\IsisGroupMacRecordProxy.cs</t>
  </si>
  <si>
    <t>C:\jenkins-devops\workspace\kw_bll_ui\content\routing\isis\ui\ProxyObjects\IsisIihConfigProxy.cs</t>
  </si>
  <si>
    <t>C:\jenkins-devops\workspace\kw_bll_ui\content\routing\isis\ui\ProxyObjects\IsisLspConfigProxy.cs</t>
  </si>
  <si>
    <t>C:\jenkins-devops\workspace\kw_bll_ui\content\routing\isis\ui\ProxyObjects\IsisLspPlsbInstanceConfigProxy.cs</t>
  </si>
  <si>
    <t>C:\jenkins-devops\workspace\kw_bll_ui\content\routing\isis\ui\ProxyObjects\IsisMacReachabilityTlvProxy.cs</t>
  </si>
  <si>
    <t>C:\jenkins-devops\workspace\kw_bll_ui\content\routing\isis\ui\Wizard\RouterGenWizard\IsisRouterGenPanel.cs</t>
  </si>
  <si>
    <t>C:\jenkins-devops\workspace\kw_bll_ui\content\routing\lacp\ui\LacpInteractiveWorkItemExtension.cs</t>
  </si>
  <si>
    <t>C:\jenkins-devops\workspace\kw_bll_ui\content\routing\lacp\ui\Wizard\PortAggregation\LacpLagGenPage.cs</t>
  </si>
  <si>
    <t>C:\jenkins-devops\workspace\kw_bll_ui\content\routing\ldp\ui\Commands\LdpAddMulticastGroupMappingsCommand.cs</t>
  </si>
  <si>
    <t>C:\jenkins-devops\workspace\kw_bll_ui\content\routing\ldp\ui\Forms\GracefulRestartTimersForm.cs</t>
  </si>
  <si>
    <t>C:\jenkins-devops\workspace\kw_bll_ui\content\routing\ldp\ui\Forms\LdpBackupPwEditor.cs</t>
  </si>
  <si>
    <t>C:\jenkins-devops\workspace\kw_bll_ui\content\routing\ldp\ui\Forms\LdpCustomPduForm.cs</t>
  </si>
  <si>
    <t>C:\jenkins-devops\workspace\kw_bll_ui\content\routing\ldp\ui\Forms\LdpCustomTlvEditor.cs</t>
  </si>
  <si>
    <t>C:\jenkins-devops\workspace\kw_bll_ui\content\routing\ldp\ui\Forms\LdpMldpCustomOpaqueForm.cs</t>
  </si>
  <si>
    <t>C:\jenkins-devops\workspace\kw_bll_ui\content\routing\ldp\ui\Forms\LdpMulticastGroupForm.cs</t>
  </si>
  <si>
    <t>C:\jenkins-devops\workspace\kw_bll_ui\content\routing\ldp\ui\Forms\MldpOpaqueType1Form.cs</t>
  </si>
  <si>
    <t>C:\jenkins-devops\workspace\kw_bll_ui\content\routing\ldp\ui\Forms\PwSwitchingPointTlvForm.cs</t>
  </si>
  <si>
    <t>C:\jenkins-devops\workspace\kw_bll_ui\content\routing\ldp\ui\ProxyObjects\LdpCustomTlvProxy.cs</t>
  </si>
  <si>
    <t>C:\jenkins-devops\workspace\kw_bll_ui\content\routing\ldp\ui\ProxyObjects\LdpMldpCustomOpaqueProxy.cs</t>
  </si>
  <si>
    <t>C:\jenkins-devops\workspace\kw_bll_ui\content\routing\ldp\ui\ProxyObjects\P2mpLspProxy.cs</t>
  </si>
  <si>
    <t>C:\jenkins-devops\workspace\kw_bll_ui\content\routing\ldp\ui\Wizard\RouterGenWizard\LdpRouterGenPanel.cs</t>
  </si>
  <si>
    <t>C:\jenkins-devops\workspace\kw_bll_ui\content\routing\linkoam\ui\ProxyObjects\LinkOamVariableResponseConfigProxy.cs</t>
  </si>
  <si>
    <t>C:\jenkins-devops\workspace\kw_bll_ui\content\routing\linkoam\ui\Views\DataEditorForm.cs</t>
  </si>
  <si>
    <t>C:\jenkins-devops\workspace\kw_bll_ui\content\routing\linkoam\ui\Views\LinkOamEventNotificationResultsForm.cs</t>
  </si>
  <si>
    <t>C:\jenkins-devops\workspace\kw_bll_ui\content\routing\linkoam\ui\Views\LinkOamGenerateVariablesForm.cs</t>
  </si>
  <si>
    <t>C:\jenkins-devops\workspace\kw_bll_ui\content\routing\lisp\ui\Command\CreateNewLispSiteConfigsCommand.cs</t>
  </si>
  <si>
    <t>C:\jenkins-devops\workspace\kw_bll_ui\content\routing\lisp\ui\Controls\LispCacheView.cs</t>
  </si>
  <si>
    <t>C:\jenkins-devops\workspace\kw_bll_ui\content\routing\lisp\ui\Form\StaticLocatorConfigForm.cs</t>
  </si>
  <si>
    <t>C:\jenkins-devops\workspace\kw_bll_ui\content\routing\lisp\ui\LispInteractiveWorkItemExtension.cs</t>
  </si>
  <si>
    <t>C:\jenkins-devops\workspace\kw_bll_ui\content\routing\lisp\ui\ProxyObjects\LispIpv4SiteConfigProxy.cs</t>
  </si>
  <si>
    <t>C:\jenkins-devops\workspace\kw_bll_ui\content\routing\lisp\ui\ProxyObjects\LispIpv6SiteConfigProxy.cs</t>
  </si>
  <si>
    <t>C:\jenkins-devops\workspace\kw_bll_ui\content\routing\lldp\ui\Controls\LldpTlvControl.cs</t>
  </si>
  <si>
    <t>C:\jenkins-devops\workspace\kw_bll_ui\content\routing\lldp\ui\ProxyObjects\LldpTlvConfigProxy.cs</t>
  </si>
  <si>
    <t>C:\jenkins-devops\workspace\kw_bll_ui\content\routing\lspping\ui\Forms\InnerLabelFecInfoForm.cs</t>
  </si>
  <si>
    <t>C:\jenkins-devops\workspace\kw_bll_ui\content\routing\lspping\ui\Forms\MiddleLabelFecInfoForm.cs</t>
  </si>
  <si>
    <t>C:\jenkins-devops\workspace\kw_bll_ui\content\routing\lspping\ui\Forms\OuterLabelFecInfoForm.cs</t>
  </si>
  <si>
    <t>C:\jenkins-devops\workspace\kw_bll_ui\content\routing\lspping\ui\LspPingInteractiveWorkItemExtension.cs</t>
  </si>
  <si>
    <t>C:\jenkins-devops\workspace\kw_bll_ui\content\routing\lspping\ui\ProxyObjects\EchoReplyErrorGenerationProxy.cs</t>
  </si>
  <si>
    <t>C:\jenkins-devops\workspace\kw_bll_ui\content\routing\lspping\ui\ProxyObjects\EchoRequestConfigProxy.cs</t>
  </si>
  <si>
    <t>C:\jenkins-devops\workspace\kw_bll_ui\content\routing\lspping\ui\ProxyObjects\Ipv4EchoRequestConfigProxy.cs</t>
  </si>
  <si>
    <t>C:\jenkins-devops\workspace\kw_bll_ui\content\routing\mplstpoam\ui\Commands\StopAisCommand.cs</t>
  </si>
  <si>
    <t>C:\jenkins-devops\workspace\kw_bll_ui\content\routing\mplstpoam\ui\Commands\StopCcCommand.cs</t>
  </si>
  <si>
    <t>C:\jenkins-devops\workspace\kw_bll_ui\content\routing\mplstpoam\ui\Commands\StopCsfCommand.cs</t>
  </si>
  <si>
    <t>C:\jenkins-devops\workspace\kw_bll_ui\content\routing\mplstpoam\ui\Commands\StopDmCommand.cs</t>
  </si>
  <si>
    <t>C:\jenkins-devops\workspace\kw_bll_ui\content\routing\mplstpoam\ui\Commands\StopLckCommand.cs</t>
  </si>
  <si>
    <t>C:\jenkins-devops\workspace\kw_bll_ui\content\routing\mplstpoam\ui\Commands\StopLmCommand.cs</t>
  </si>
  <si>
    <t>C:\jenkins-devops\workspace\kw_bll_ui\content\routing\mplstpoam\ui\Commands\StopLoopbackCommand.cs</t>
  </si>
  <si>
    <t>C:\jenkins-devops\workspace\kw_bll_ui\content\routing\mplstpoam\ui\Commands\StopTstCommand.cs</t>
  </si>
  <si>
    <t>C:\jenkins-devops\workspace\kw_bll_ui\content\routing\mplstpoam\ui\MplsTpOamHelperClasses.cs</t>
  </si>
  <si>
    <t>C:\jenkins-devops\workspace\kw_bll_ui\content\routing\mplstpoam\ui\MplsTpOamInteractiveWorkItemExtension.cs</t>
  </si>
  <si>
    <t>C:\jenkins-devops\workspace\kw_bll_ui\content\routing\mplstpoam\ui\ProxyObjects\MplsTpOamMpConfigProxy.cs</t>
  </si>
  <si>
    <t>C:\jenkins-devops\workspace\kw_bll_ui\content\routing\mplstpoam\ui\ProxyObjects\MplsTpOamNodeConfigProxy.cs</t>
  </si>
  <si>
    <t>C:\jenkins-devops\workspace\kw_bll_ui\content\routing\mplstpoam\ui\Views\MplsTpOamDetailedDmResultsForm.cs</t>
  </si>
  <si>
    <t>C:\jenkins-devops\workspace\kw_bll_ui\content\routing\mplstpoam\ui\Views\MplsTpOamDetailedLmResultsForm.cs</t>
  </si>
  <si>
    <t>C:\jenkins-devops\workspace\kw_bll_ui\content\routing\mplstpoam\ui\Views\MplsTpOamDetailedLoopbackResultsForm.cs</t>
  </si>
  <si>
    <t>C:\jenkins-devops\workspace\kw_bll_ui\content\routing\mplstpoam\ui\Views\MplsTpOamMegForm.cs</t>
  </si>
  <si>
    <t>C:\jenkins-devops\workspace\kw_bll_ui\content\routing\mplstpoam\ui\Views\MplsTpOamMpChildrenForm.cs</t>
  </si>
  <si>
    <t>C:\jenkins-devops\workspace\kw_bll_ui\content\routing\mplstpoam\ui\Views\MplsTpOamRemoteCcResultsForm.cs</t>
  </si>
  <si>
    <t>C:\jenkins-devops\workspace\kw_bll_ui\content\routing\mplstpoam\ui\Views\MplsTpOamStopCommandForm.cs</t>
  </si>
  <si>
    <t>C:\jenkins-devops\workspace\kw_bll_ui\content\routing\mplstpoam\ui\Views\RxInnerLabelFecInfoForm.cs</t>
  </si>
  <si>
    <t>C:\jenkins-devops\workspace\kw_bll_ui\content\routing\mplstpoam\ui\Views\TxInnerLabelFecInfoForm.cs</t>
  </si>
  <si>
    <t>C:\jenkins-devops\workspace\kw_bll_ui\content\routing\ospfv2\ui\Commands\AddNewTlv.cs</t>
  </si>
  <si>
    <t>C:\jenkins-devops\workspace\kw_bll_ui\content\routing\ospfv2\ui\Forms\AreaIdModifierForm.cs</t>
  </si>
  <si>
    <t>C:\jenkins-devops\workspace\kw_bll_ui\content\routing\ospfv2\ui\Forms\Ospfv2RouterTypeFrm.cs</t>
  </si>
  <si>
    <t>C:\jenkins-devops\workspace\kw_bll_ui\content\routing\ospfv2\ui\Ospfv2FileConverter.cs</t>
  </si>
  <si>
    <t>C:\jenkins-devops\workspace\kw_bll_ui\content\routing\ospfv2\ui\Ospfv2InteractiveWorkItemExtension.cs</t>
  </si>
  <si>
    <t>C:\jenkins-devops\workspace\kw_bll_ui\content\routing\ospfv3\ui\Ospfv3FileConverter.cs</t>
  </si>
  <si>
    <t>C:\jenkins-devops\workspace\kw_bll_ui\content\routing\ospfv3\ui\Ospfv3InteractiveWorkItemExtension.cs</t>
  </si>
  <si>
    <t>C:\jenkins-devops\workspace\kw_bll_ui\content\routing\ospfv3\ui\Wizard\RouteTopology\Ospfv3LsaGenProtocolParamsPage.designer.cs</t>
  </si>
  <si>
    <t>C:\jenkins-devops\workspace\kw_bll_ui\content\routing\pbbwizard\ui\Wizard\PbbPages\PbbCustomerPortsPage.cs</t>
  </si>
  <si>
    <t>C:\jenkins-devops\workspace\kw_bll_ui\content\routing\pbbwizard\ui\Wizard\PbbPages\PbbProviderPortsPage.cs</t>
  </si>
  <si>
    <t>C:\jenkins-devops\workspace\kw_bll_ui\content\routing\pim\ui\Commands\GroupMappingCommand.cs</t>
  </si>
  <si>
    <t>C:\jenkins-devops\workspace\kw_bll_ui\content\routing\pim\ui\PimInteractiveWorkItemExtension.cs</t>
  </si>
  <si>
    <t>C:\jenkins-devops\workspace\kw_bll_ui\content\routing\pim\ui\ProxyObjects\Pimv4GroupBlkProxy.cs</t>
  </si>
  <si>
    <t>C:\jenkins-devops\workspace\kw_bll_ui\content\routing\pim\ui\ProxyObjects\Pimv4RegisterBlkProxy.cs</t>
  </si>
  <si>
    <t>C:\jenkins-devops\workspace\kw_bll_ui\content\routing\pim\ui\ProxyObjects\Pimv4RpMapProxy.cs</t>
  </si>
  <si>
    <t>C:\jenkins-devops\workspace\kw_bll_ui\content\routing\pim\ui\ProxyObjects\Pimv6GroupBlkProxy.cs</t>
  </si>
  <si>
    <t>C:\jenkins-devops\workspace\kw_bll_ui\content\routing\pim\ui\ProxyObjects\Pimv6RegisterBlkProxy.cs</t>
  </si>
  <si>
    <t>C:\jenkins-devops\workspace\kw_bll_ui\content\routing\pim\ui\ProxyObjects\Pimv6RpMapProxy.cs</t>
  </si>
  <si>
    <t>C:\jenkins-devops\workspace\kw_bll_ui\content\routing\rip\ui\RipInteractiveWorkItemExtension.cs</t>
  </si>
  <si>
    <t>C:\jenkins-devops\workspace\kw_bll_ui\content\routing\rip\ui\Wizard\RouterGenWizard\RipRouterGenPanel.cs</t>
  </si>
  <si>
    <t>C:\jenkins-devops\workspace\kw_bll_ui\content\routing\rsvp\ui\Commands\OpenAddMulticastGroupMappingsCommand.cs</t>
  </si>
  <si>
    <t>C:\jenkins-devops\workspace\kw_bll_ui\content\routing\rsvp\ui\Forms\FastRerouteEditorForm.cs</t>
  </si>
  <si>
    <t>C:\jenkins-devops\workspace\kw_bll_ui\content\routing\rsvp\ui\Forms\MulticastGroupForm.cs</t>
  </si>
  <si>
    <t>C:\jenkins-devops\workspace\kw_bll_ui\content\routing\rsvp\ui\Forms\OptionsEditorForm.cs</t>
  </si>
  <si>
    <t>C:\jenkins-devops\workspace\kw_bll_ui\content\routing\rsvp\ui\Forms\RsvpTlvObjects.cs</t>
  </si>
  <si>
    <t>C:\jenkins-devops\workspace\kw_bll_ui\content\routing\rsvp\ui\Forms\SessionAttributeEditorForm.cs</t>
  </si>
  <si>
    <t>C:\jenkins-devops\workspace\kw_bll_ui\content\routing\rsvp\ui\ProxyObjects\RsvpCustomObjectProxy.cs</t>
  </si>
  <si>
    <t>C:\jenkins-devops\workspace\kw_bll_ui\content\routing\rsvp\ui\ProxyObjects\RsvpIngressTunnelParamsProxy.cs</t>
  </si>
  <si>
    <t>C:\jenkins-devops\workspace\kw_bll_ui\content\routing\rsvp\ui\RsvpInteractiveWorkItemExtension.cs</t>
  </si>
  <si>
    <t>C:\jenkins-devops\workspace\kw_bll_ui\content\routing\rtgcore\ui\Commands\MoveDownCommand.cs</t>
  </si>
  <si>
    <t>C:\jenkins-devops\workspace\kw_bll_ui\content\routing\rtgcore\ui\Commands\MoveUpCommand.cs</t>
  </si>
  <si>
    <t>C:\jenkins-devops\workspace\kw_bll_ui\content\routing\rtgcore\ui\Commands\ViewPeerInfoCommand.cs</t>
  </si>
  <si>
    <t>C:\jenkins-devops\workspace\kw_bll_ui\content\routing\rtgcore\ui\Controls\MplsBind\MplsStaticBindControl.cs</t>
  </si>
  <si>
    <t>C:\jenkins-devops\workspace\kw_bll_ui\content\routing\rtgcore\ui\Controls\RoutingTlvControl.cs</t>
  </si>
  <si>
    <t>C:\jenkins-devops\workspace\kw_bll_ui\content\routing\rtgcore\ui\DataGridViewColumns.cs</t>
  </si>
  <si>
    <t>C:\jenkins-devops\workspace\kw_bll_ui\content\routing\rtgcore\ui\Forms\CreateIndirectlyConnectedRoutersForm.cs</t>
  </si>
  <si>
    <t>C:\jenkins-devops\workspace\kw_bll_ui\content\routing\rtgcore\ui\Forms\EditMplsStaticManualForm.cs</t>
  </si>
  <si>
    <t>C:\jenkins-devops\workspace\kw_bll_ui\content\routing\rtgcore\ui\Forms\HexEditorForm.cs</t>
  </si>
  <si>
    <t>C:\jenkins-devops\workspace\kw_bll_ui\content\routing\rtgcore\ui\Forms\LinearProtectionLspEditor.cs</t>
  </si>
  <si>
    <t>C:\jenkins-devops\workspace\kw_bll_ui\content\routing\rtgcore\ui\Forms\MplsTpLspFaultOamConfigForm.cs</t>
  </si>
  <si>
    <t>C:\jenkins-devops\workspace\kw_bll_ui\content\routing\rtgcore\ui\Forms\MplsTpStaticLspBfdForm.cs</t>
  </si>
  <si>
    <t>C:\jenkins-devops\workspace\kw_bll_ui\content\routing\rtgcore\ui\Forms\MplsTpStaticPseudowireBfdForm.cs</t>
  </si>
  <si>
    <t>C:\jenkins-devops\workspace\kw_bll_ui\content\routing\rtgcore\ui\Forms\RdRtTypeFillForm.cs</t>
  </si>
  <si>
    <t>C:\jenkins-devops\workspace\kw_bll_ui\content\routing\rtgcore\ui\Forms\RouterOrderForm.cs</t>
  </si>
  <si>
    <t>C:\jenkins-devops\workspace\kw_bll_ui\content\routing\rtgcore\ui\MplsTpInteractiveWorkItemExtension.cs</t>
  </si>
  <si>
    <t>C:\jenkins-devops\workspace\kw_bll_ui\content\routing\rtgcore\ui\ProxyObjects\ChildObjectConfigProxy.cs</t>
  </si>
  <si>
    <t>C:\jenkins-devops\workspace\kw_bll_ui\content\routing\rtgcore\ui\ProxyObjects\CustomPduProxy.cs</t>
  </si>
  <si>
    <t>C:\jenkins-devops\workspace\kw_bll_ui\content\routing\rtgcore\ui\ProxyObjects\Ipv4RouteGenParamsProxy.cs</t>
  </si>
  <si>
    <t>C:\jenkins-devops\workspace\kw_bll_ui\content\routing\rtgcore\ui\ProxyObjects\Ipv6RouteGenParamsProxy.cs</t>
  </si>
  <si>
    <t>C:\jenkins-devops\workspace\kw_bll_ui\content\routing\rtgcore\ui\ProxyObjects\MplsIpv4BindInfoProxy.cs</t>
  </si>
  <si>
    <t>C:\jenkins-devops\workspace\kw_bll_ui\content\routing\rtgcore\ui\ProxyObjects\MplsIpv6BindInfoProxy.cs</t>
  </si>
  <si>
    <t>C:\jenkins-devops\workspace\kw_bll_ui\content\routing\rtgcore\ui\ProxyObjects\MplsTpStaticBindInfoProxy.cs</t>
  </si>
  <si>
    <t>C:\jenkins-devops\workspace\kw_bll_ui\content\routing\rtgcore\ui\Validators\EnumComboHelper.cs</t>
  </si>
  <si>
    <t>C:\jenkins-devops\workspace\kw_bll_ui\content\routing\rtgcore\ui\Wizard\Diagram\AbstractTreeLayout.cs</t>
  </si>
  <si>
    <t>C:\jenkins-devops\workspace\kw_bll_ui\content\routing\rtgcore\ui\Wizard\Diagram\DiagramControl.cs</t>
  </si>
  <si>
    <t>C:\jenkins-devops\workspace\kw_bll_ui\content\routing\rtgcore\ui\Wizard\Diagram\DiagramPrimitive.cs</t>
  </si>
  <si>
    <t>C:\jenkins-devops\workspace\kw_bll_ui\content\routing\rtgcore\ui\Wizard\Diagram\DoubleTreeParentCenteredNonfanoutLayout.cs</t>
  </si>
  <si>
    <t>C:\jenkins-devops\workspace\kw_bll_ui\content\routing\rtgcore\ui\Wizard\Diagram\RightLeftCenteredAbstractLayout.cs</t>
  </si>
  <si>
    <t>C:\jenkins-devops\workspace\kw_bll_ui\content\routing\rtgcore\ui\Wizard\Diagram\RightLeftCenteredFanoutLayout.cs</t>
  </si>
  <si>
    <t>C:\jenkins-devops\workspace\kw_bll_ui\content\routing\rtgcore\ui\Wizard\Diagram\SingleMessageDiagramLayout.cs</t>
  </si>
  <si>
    <t>C:\jenkins-devops\workspace\kw_bll_ui\content\routing\rtgcore\ui\Wizard\RouteTopology\CreateDevicesWizardControl.cs</t>
  </si>
  <si>
    <t>C:\jenkins-devops\workspace\kw_bll_ui\content\routing\rtgwizard\ui\ProxyObjects\ConvergenceIpv4EgressPortParamsProxy.cs</t>
  </si>
  <si>
    <t>C:\jenkins-devops\workspace\kw_bll_ui\content\routing\rtgwizard\ui\ProxyObjects\ConvergenceIpv6EgressPortParamsProxy.cs</t>
  </si>
  <si>
    <t>C:\jenkins-devops\workspace\kw_bll_ui\content\routing\rtgwizard\ui\ProxyObjects\LinearProtectionIpv4EgressPortParamsProxy.cs</t>
  </si>
  <si>
    <t>C:\jenkins-devops\workspace\kw_bll_ui\content\routing\rtgwizard\ui\ProxyObjects\MplsRsvpGenParamsProxy.cs</t>
  </si>
  <si>
    <t>C:\jenkins-devops\workspace\kw_bll_ui\content\routing\rtgwizard\ui\RtgWizardInteractiveExtension.cs</t>
  </si>
  <si>
    <t>C:\jenkins-devops\workspace\kw_bll_ui\content\routing\rtgwizard\ui\SummaryStandaloneView.cs</t>
  </si>
  <si>
    <t>C:\jenkins-devops\workspace\kw_bll_ui\content\routing\rtgwizard\ui\Wizard\FRR\FrrEroObjectsPage.cs</t>
  </si>
  <si>
    <t>C:\jenkins-devops\workspace\kw_bll_ui\content\routing\rtgwizard\ui\Wizard\FRR\FrrP2mpRoutersUserCtrl.cs</t>
  </si>
  <si>
    <t>C:\jenkins-devops\workspace\kw_bll_ui\content\routing\rtgwizard\ui\Wizard\FRR\FrrP2PDutPlrAndMpRoutersUserCtrl.cs</t>
  </si>
  <si>
    <t>C:\jenkins-devops\workspace\kw_bll_ui\content\routing\rtgwizard\ui\Wizard\FRR\FrrP2pRoutersUserCtrl.cs</t>
  </si>
  <si>
    <t>C:\jenkins-devops\workspace\kw_bll_ui\content\routing\rtgwizard\ui\Wizard\FRR\FrrRoutersPageUserCtrl.cs</t>
  </si>
  <si>
    <t>C:\jenkins-devops\workspace\kw_bll_ui\content\routing\rtgwizard\ui\Wizard\FRR\FrrRoutesPage.cs</t>
  </si>
  <si>
    <t>C:\jenkins-devops\workspace\kw_bll_ui\content\routing\rtgwizard\ui\Wizard\LDP\LdpCesPage.cs</t>
  </si>
  <si>
    <t>C:\jenkins-devops\workspace\kw_bll_ui\content\routing\rtgwizard\ui\Wizard\PercentDistForm.cs</t>
  </si>
  <si>
    <t>C:\jenkins-devops\workspace\kw_bll_ui\content\routing\rtgwizard\ui\Wizard\RSVP\BasicRsvpWizard.cs</t>
  </si>
  <si>
    <t>C:\jenkins-devops\workspace\kw_bll_ui\content\routing\rtgwizard\ui\Wizard\RSVP\MplsRsvpRoutersPage.cs</t>
  </si>
  <si>
    <t>C:\jenkins-devops\workspace\kw_bll_ui\content\routing\rtgwizard\ui\Wizard\RSVP\MplsRsvpRoutesPage.cs</t>
  </si>
  <si>
    <t>C:\jenkins-devops\workspace\kw_bll_ui\content\routing\rtgwizard\ui\Wizard\RSVPOptions.cs</t>
  </si>
  <si>
    <t>C:\jenkins-devops\workspace\kw_bll_ui\content\routing\rtgwizard\ui\Wizard\RtgTestPortsPage.cs</t>
  </si>
  <si>
    <t>C:\jenkins-devops\workspace\kw_bll_ui\content\routing\rtgwizard\ui\Wizard\SPB\SpbTestPortsPage.cs</t>
  </si>
  <si>
    <t>C:\jenkins-devops\workspace\kw_bll_ui\content\routing\stp\ui\Form\MstiVlanForm.cs</t>
  </si>
  <si>
    <t>C:\jenkins-devops\workspace\kw_bll_ui\content\routing\stp\ui\Form\MstiVlanForm.designer.cs</t>
  </si>
  <si>
    <t>C:\jenkins-devops\workspace\kw_bll_ui\content\routing\stp\ui\Form\PortsForm.cs</t>
  </si>
  <si>
    <t>C:\jenkins-devops\workspace\kw_bll_ui\content\routing\stp\ui\Form\PortsForm.designer.cs</t>
  </si>
  <si>
    <t>C:\jenkins-devops\workspace\kw_bll_ui\content\routing\stp\ui\Form\STPTypeForm.cs</t>
  </si>
  <si>
    <t>C:\jenkins-devops\workspace\kw_bll_ui\content\routing\stp\ui\Form\STPTypeForm.designer.cs</t>
  </si>
  <si>
    <t>C:\jenkins-devops\workspace\kw_bll_ui\content\routing\stp\ui\ProxyObjects\BridgePortConfigProxy.cs</t>
  </si>
  <si>
    <t>C:\jenkins-devops\workspace\kw_bll_ui\content\routing\stp\ui\StpInteractiveWorkItemExtension.cs</t>
  </si>
  <si>
    <t>C:\jenkins-devops\workspace\kw_bll_ui\content\routing\synce\ui\SyncEthInteractiveWorkItemExtension.cs</t>
  </si>
  <si>
    <t>C:\jenkins-devops\workspace\kw_bll_ui\content\routing\vpn\ui\Forms\VpnMembersForm.cs</t>
  </si>
  <si>
    <t>C:\jenkins-devops\workspace\kw_bll_ui\content\routing\vpn\ui\Forms\VpnMulticastMembersForm.cs</t>
  </si>
  <si>
    <t>C:\jenkins-devops\workspace\kw_bll_ui\content\routing\vpn\ui\ProxyObjects\VpnGenIpv4CoreParamsProxy.cs</t>
  </si>
  <si>
    <t>C:\jenkins-devops\workspace\kw_bll_ui\content\routing\vpn\ui\VpnInteractiveWorkItemExtension.cs</t>
  </si>
  <si>
    <t>C:\jenkins-devops\workspace\kw_bll_ui\content\routing\vpn\ui\Wizard\Bgp\MultiRouteAddrControl.cs</t>
  </si>
  <si>
    <t>C:\jenkins-devops\workspace\kw_bll_ui\content\routing\vpn\ui\Wizard\Bgp\RouteAddrControl.cs</t>
  </si>
  <si>
    <t>C:\jenkins-devops\workspace\kw_bll_ui\content\routing\vpn\ui\Wizard\Bgp\SingleRouteAddrControl.cs</t>
  </si>
  <si>
    <t>C:\jenkins-devops\workspace\kw_bll_ui\content\routing\vpn\ui\Wizard\Bgp\VpnBgpRouteParamsPage.cs</t>
  </si>
  <si>
    <t>C:\jenkins-devops\workspace\kw_bll_ui\content\routing\vpn\ui\Wizard\Bgp\VpnBgpRouteParamsPage.designer.cs</t>
  </si>
  <si>
    <t>C:\jenkins-devops\workspace\kw_bll_ui\content\routing\vpn\ui\Wizard\Bgp\VpnBgpVpnParamsPage.cs</t>
  </si>
  <si>
    <t>C:\jenkins-devops\workspace\kw_bll_ui\content\routing\vpn\ui\Wizard\Bgp\VpnBgpVpnParamsPage.designer.cs</t>
  </si>
  <si>
    <t>C:\jenkins-devops\workspace\kw_bll_ui\content\routing\vpn\ui\Wizard\CeDeviceConfig\CeDeviceConfigWizard.cs</t>
  </si>
  <si>
    <t>C:\jenkins-devops\workspace\kw_bll_ui\content\routing\vpn\ui\Wizard\Evpn\EvpnBgpEsiParamsPage.designer.cs</t>
  </si>
  <si>
    <t>C:\jenkins-devops\workspace\kw_bll_ui\content\routing\vpn\ui\Wizard\Evpn\EvpnBgpEviParamsPage.cs</t>
  </si>
  <si>
    <t>C:\jenkins-devops\workspace\kw_bll_ui\content\routing\vpn\ui\Wizard\Evpn\EvpnBgpEviParamsPage.designer.cs</t>
  </si>
  <si>
    <t>C:\jenkins-devops\workspace\kw_bll_ui\content\routing\vpn\ui\Wizard\Evpn\EvpnSummaryPage.cs</t>
  </si>
  <si>
    <t>C:\jenkins-devops\workspace\kw_bll_ui\content\routing\vpn\ui\Wizard\Evpn\PbbEvpnHostParamsPage.designer.cs</t>
  </si>
  <si>
    <t>C:\jenkins-devops\workspace\kw_bll_ui\content\routing\vpn\ui\Wizard\Evpn\VpnEvpnTrafficParamsPage.cs</t>
  </si>
  <si>
    <t>C:\jenkins-devops\workspace\kw_bll_ui\content\routing\vpn\ui\Wizard\HostMacFormatForm.cs</t>
  </si>
  <si>
    <t>C:\jenkins-devops\workspace\kw_bll_ui\content\routing\vpn\ui\Wizard\L3VpnProtocolDistForm.cs</t>
  </si>
  <si>
    <t>C:\jenkins-devops\workspace\kw_bll_ui\content\routing\vpn\ui\Wizard\Ldp\VpnLdpHostParamsPage.cs</t>
  </si>
  <si>
    <t>C:\jenkins-devops\workspace\kw_bll_ui\content\routing\vpn\ui\Wizard\Mvpn\MvpnMdtParamsPage.designer.cs</t>
  </si>
  <si>
    <t>C:\jenkins-devops\workspace\kw_bll_ui\content\routing\vpn\ui\Wizard\Vpls\NodeData.cs</t>
  </si>
  <si>
    <t>C:\jenkins-devops\workspace\kw_bll_ui\content\routing\vpn\ui\Wizard\VpnCoreRouterParamsPage.cs</t>
  </si>
  <si>
    <t>C:\jenkins-devops\workspace\kw_bll_ui\content\routing\vpn\ui\Wizard\VpnMacFormatValidator.cs</t>
  </si>
  <si>
    <t>C:\jenkins-devops\workspace\kw_bll_ui\content\routing\vpn\ui\Wizard\VpnMplsTp\VpnMplsTpHostsPage.designer.cs</t>
  </si>
  <si>
    <t>C:\jenkins-devops\workspace\kw_bll_ui\content\routing\vpn\ui\Wizard\VpnSite\PortSelectPage.cs</t>
  </si>
  <si>
    <t>C:\jenkins-devops\workspace\kw_bll_ui\content\routing\vpn\ui\Wizard\VpnUtils.cs</t>
  </si>
  <si>
    <t>C:\jenkins-devops\workspace\kw_bll_ui\content\sample\cars\ui\Forms\FillDesktopHeapForm.cs</t>
  </si>
  <si>
    <t>C:\jenkins-devops\workspace\kw_bll_ui\content\sample\cars\ui\ProxyObjects\WarrantyProxy.cs</t>
  </si>
  <si>
    <t>C:\jenkins-devops\workspace\kw_bll_ui\content\storage\csmp\ui\Command\CsmpCommand.cs</t>
  </si>
  <si>
    <t>C:\jenkins-devops\workspace\kw_bll_ui\content\storage\csmp\ui\Command\CsmpSetDefaultTlvCommand.cs</t>
  </si>
  <si>
    <t>C:\jenkins-devops\workspace\kw_bll_ui\content\storage\csmp\ui\Command\LoadClientProfilesTemplateCommand.cs</t>
  </si>
  <si>
    <t>C:\jenkins-devops\workspace\kw_bll_ui\content\storage\csmp\ui\Controls\CsmpTlvControl.cs</t>
  </si>
  <si>
    <t>C:\jenkins-devops\workspace\kw_bll_ui\content\storage\csmp\ui\CsmpDeviceCommonImpl.cs</t>
  </si>
  <si>
    <t>C:\jenkins-devops\workspace\kw_bll_ui\content\storage\csmp\ui\CsmpInteractiveWorkItemExtension.cs</t>
  </si>
  <si>
    <t>C:\jenkins-devops\workspace\kw_bll_ui\content\storage\csmp\ui\CsmpTlvUtil.cs</t>
  </si>
  <si>
    <t>C:\jenkins-devops\workspace\kw_bll_ui\content\storage\csmp\ui\ProxyObjects\CsmpAgentProtocolConfigProxy.cs</t>
  </si>
  <si>
    <t>C:\jenkins-devops\workspace\kw_bll_ui\content\storage\csmp\ui\ProxyObjects\CsmpTlvConfigProxy.cs</t>
  </si>
  <si>
    <t>C:\jenkins-devops\workspace\kw_bll_ui\content\storage\csmp\ui\Views\CsmpAgentProfileView.cs</t>
  </si>
  <si>
    <t>C:\jenkins-devops\workspace\kw_bll_ui\content\storage\csmp\ui\Views\CsmpTlvEditor.cs</t>
  </si>
  <si>
    <t>C:\jenkins-devops\workspace\kw_bll_ui\content\storage\fc\ui\Command\EditFcGlobalOption.cs</t>
  </si>
  <si>
    <t>C:\jenkins-devops\workspace\kw_bll_ui\content\storage\fc\ui\Command\EditFcoeGlobalOption.cs</t>
  </si>
  <si>
    <t>C:\jenkins-devops\workspace\kw_bll_ui\content\storage\fc\ui\Command\FcApplyDefaultENodeCountCommand.cs</t>
  </si>
  <si>
    <t>C:\jenkins-devops\workspace\kw_bll_ui\content\storage\fc\ui\Command\FcApplyDefaultFcfMacAddressCommand.cs</t>
  </si>
  <si>
    <t>C:\jenkins-devops\workspace\kw_bll_ui\content\storage\fc\ui\DeviceWizard\FcDeviceGenPanel.cs</t>
  </si>
  <si>
    <t>C:\jenkins-devops\workspace\kw_bll_ui\content\storage\fc\ui\DeviceWizard\FcoeDeviceGenPanel.cs</t>
  </si>
  <si>
    <t>C:\jenkins-devops\workspace\kw_bll_ui\content\storage\fc\ui\ProxyObjects\FcFPortConfigProxy.cs</t>
  </si>
  <si>
    <t>C:\jenkins-devops\workspace\kw_bll_ui\content\storage\fc\ui\ProxyObjects\FcHostConfigProxy.cs</t>
  </si>
  <si>
    <t>C:\jenkins-devops\workspace\kw_bll_ui\content\storage\fc\ui\ProxyObjects\FcoeHostConfigProxy.cs</t>
  </si>
  <si>
    <t>C:\jenkins-devops\workspace\kw_bll_ui\content\storage\fc\ui\ProxyObjects\FcoeVfPortConfigProxy.cs</t>
  </si>
  <si>
    <t>C:\jenkins-devops\workspace\kw_bll_ui\content\storage\fc\ui\Wizard\FcTestPortsPage.cs</t>
  </si>
  <si>
    <t>C:\jenkins-devops\workspace\kw_bll_ui\content\storage\storageio\ui\ProxyObjects\StorageWorkerConfigProxy.cs</t>
  </si>
  <si>
    <t>C:\jenkins-devops\workspace\kw_bll_ui\content\storage\vepa\ui\ProxyObjects\VsiBlockConfigProxy.cs</t>
  </si>
  <si>
    <t>C:\jenkins-devops\workspace\kw_bll_ui\content\storage\vepa\ui\VepaInteractiveWorkItemExtension.cs</t>
  </si>
  <si>
    <t>C:\jenkins-devops\workspace\kw_bll_ui\content\storage\vepa\ui\Wizard\VdpPortSelectionPage.cs</t>
  </si>
  <si>
    <t>C:\jenkins-devops\workspace\kw_bll_ui\content\storage\vepa\ui\Wizard\VdpStationConfigPage.cs</t>
  </si>
  <si>
    <t>C:\jenkins-devops\workspace\kw_bll_ui\content\storage\vepa\ui\Wizard\VdpTrafficConfigPage.cs</t>
  </si>
  <si>
    <t>C:\jenkins-devops\workspace\kw_bll_ui\content\storage\vic\ui\TlvPduParser.cs</t>
  </si>
  <si>
    <t>C:\jenkins-devops\workspace\kw_bll_ui\content\storage\vic\ui\VicInteractiveWorkItemExtension.cs</t>
  </si>
  <si>
    <t>C:\jenkins-devops\workspace\kw_bll_ui\content\traffic\l1\ui\Views\PcsErrorInsertionConfigView.designer.cs</t>
  </si>
  <si>
    <t>C:\jenkins-devops\workspace\kw_bll_ui\content\traffic\l4l7\tools\ui\DpgProtocolDesigner\Controls\FlowListPanel.cs</t>
  </si>
  <si>
    <t>C:\jenkins-devops\workspace\kw_bll_ui\content\traffic\l4l7\tools\ui\DpgProtocolDesigner\Controls\FlowMetadataGridPanel.cs</t>
  </si>
  <si>
    <t>C:\jenkins-devops\workspace\kw_bll_ui\content\traffic\l4l7\tools\ui\DpgProtocolDesigner\Data\UIFlowDefinitionsManager.cs</t>
  </si>
  <si>
    <t>C:\jenkins-devops\workspace\kw_bll_ui\content\traffic\l4l7\tools\ui\DpgProtocolDesigner\Forms\FlowDetailedOverviewForm.cs</t>
  </si>
  <si>
    <t>C:\jenkins-devops\workspace\kw_bll_ui\content\traffic\l4l7\tools\ui\DpgProtocolDesigner\Forms\ImportPcapForm.cs</t>
  </si>
  <si>
    <t>C:\jenkins-devops\workspace\kw_bll_ui\content\traffic\l4l7\tools\ui\DpgProtocolDesigner\Utilities\FlowCustomTypeConverters.cs</t>
  </si>
  <si>
    <t>C:\jenkins-devops\workspace\kw_bll_ui\content\traffic\l4l7\ui\Commands\CapabilityFileEditorCommand.cs</t>
  </si>
  <si>
    <t>C:\jenkins-devops\workspace\kw_bll_ui\content\traffic\l4l7\ui\Commands\CapabilityFilesManagerFormCommand.cs</t>
  </si>
  <si>
    <t>C:\jenkins-devops\workspace\kw_bll_ui\content\traffic\l4l7\ui\Commands\Cifs\LoadCifsClientProfilesTemplateCommand.cs</t>
  </si>
  <si>
    <t>C:\jenkins-devops\workspace\kw_bll_ui\content\traffic\l4l7\ui\Commands\Cifs\LoadCifsServerProfilesTemplateCommand.cs</t>
  </si>
  <si>
    <t>C:\jenkins-devops\workspace\kw_bll_ui\content\traffic\l4l7\ui\Commands\ClipFilesManagerFormCommand.cs</t>
  </si>
  <si>
    <t>C:\jenkins-devops\workspace\kw_bll_ui\content\traffic\l4l7\ui\Commands\QosEditorFormCommand.cs</t>
  </si>
  <si>
    <t>C:\jenkins-devops\workspace\kw_bll_ui\content\traffic\l4l7\ui\Controls\SipPropertyListEditorBox.cs</t>
  </si>
  <si>
    <t>C:\jenkins-devops\workspace\kw_bll_ui\content\traffic\l4l7\ui\Definitions\ModifierCustomStringPropertyDef.cs</t>
  </si>
  <si>
    <t>C:\jenkins-devops\workspace\kw_bll_ui\content\traffic\l4l7\ui\Forms\DpgPlaylistRepositoryForm.cs</t>
  </si>
  <si>
    <t>C:\jenkins-devops\workspace\kw_bll_ui\content\traffic\l4l7\ui\Forms\VideoServerAddClipsPanel.cs</t>
  </si>
  <si>
    <t>C:\jenkins-devops\workspace\kw_bll_ui\content\traffic\l4l7\ui\Forms\VideoServerClipFileManagerForm.cs</t>
  </si>
  <si>
    <t>C:\jenkins-devops\workspace\kw_bll_ui\content\traffic\l4l7\ui\Forms\VideoServerRemoveClipsPanel.cs</t>
  </si>
  <si>
    <t>C:\jenkins-devops\workspace\kw_bll_ui\content\traffic\l4l7\ui\Forms\VideoServerSelectBitrateForm.cs</t>
  </si>
  <si>
    <t>C:\jenkins-devops\workspace\kw_bll_ui\content\traffic\l4l7\ui\Forms\XmppvJ\CapabilityFilesManagerForm.cs</t>
  </si>
  <si>
    <t>C:\jenkins-devops\workspace\kw_bll_ui\content\traffic\l4l7\ui\Forms\XmppvJ\CapabilityRemoveFilesPanel.cs</t>
  </si>
  <si>
    <t>C:\jenkins-devops\workspace\kw_bll_ui\content\traffic\l4l7\ui\ProxyObjects\CifsServerProtocolConfigProxy.cs</t>
  </si>
  <si>
    <t>C:\jenkins-devops\workspace\kw_bll_ui\content\traffic\l4l7\ui\ProxyObjects\ClientProfileProxy.cs</t>
  </si>
  <si>
    <t>C:\jenkins-devops\workspace\kw_bll_ui\content\traffic\l4l7\ui\ProxyObjects\DpgServerProtocolConfigProxy.cs</t>
  </si>
  <si>
    <t>C:\jenkins-devops\workspace\kw_bll_ui\content\traffic\l4l7\ui\ProxyObjects\DpgStreamProxy.cs</t>
  </si>
  <si>
    <t>C:\jenkins-devops\workspace\kw_bll_ui\content\traffic\l4l7\ui\ProxyObjects\FtpServerProtocolConfigProxy.cs</t>
  </si>
  <si>
    <t>C:\jenkins-devops\workspace\kw_bll_ui\content\traffic\l4l7\ui\ProxyObjects\HttpServerProtocolConfigProxy.cs</t>
  </si>
  <si>
    <t>C:\jenkins-devops\workspace\kw_bll_ui\content\traffic\l4l7\ui\ProxyObjects\L4L7ProtocolConfigBaseProxy.cs</t>
  </si>
  <si>
    <t>C:\jenkins-devops\workspace\kw_bll_ui\content\traffic\l4l7\ui\ProxyObjects\RawTcpServerProtocolConfigProxy.cs</t>
  </si>
  <si>
    <t>C:\jenkins-devops\workspace\kw_bll_ui\content\traffic\l4l7\ui\ProxyObjects\ServerProfileProxy.cs</t>
  </si>
  <si>
    <t>C:\jenkins-devops\workspace\kw_bll_ui\content\traffic\l4l7\ui\ProxyObjects\SipProtocolParamsProxy.cs</t>
  </si>
  <si>
    <t>C:\jenkins-devops\workspace\kw_bll_ui\content\traffic\l4l7\ui\ProxyObjects\SipUaProtocolConfigProxy.cs</t>
  </si>
  <si>
    <t>C:\jenkins-devops\workspace\kw_bll_ui\content\traffic\l4l7\ui\ProxyObjects\SipUaProtocolProfileProxy.cs</t>
  </si>
  <si>
    <t>C:\jenkins-devops\workspace\kw_bll_ui\content\traffic\l4l7\ui\ProxyObjects\VideoClientProtocolConfigProxy.cs</t>
  </si>
  <si>
    <t>C:\jenkins-devops\workspace\kw_bll_ui\content\traffic\l4l7\ui\ProxyObjects\VideoServerProtocolConfigProxy.cs</t>
  </si>
  <si>
    <t>C:\jenkins-devops\workspace\kw_bll_ui\content\traffic\l4l7\ui\ProxyObjects\XmppvJProtocolParamsProxy.cs</t>
  </si>
  <si>
    <t>C:\jenkins-devops\workspace\kw_bll_ui\content\traffic\l4l7\ui\Utils\Dpg\DpgModifierConverters.cs</t>
  </si>
  <si>
    <t>C:\jenkins-devops\workspace\kw_bll_ui\content\traffic\l4l7\ui\Utils\NameValidator.cs</t>
  </si>
  <si>
    <t>C:\jenkins-devops\workspace\kw_bll_ui\content\traffic\l4l7\ui\View\Dpg\DpgFlowListPanel.cs</t>
  </si>
  <si>
    <t>C:\jenkins-devops\workspace\kw_bll_ui\content\traffic\l4l7\ui\View\Dpg\DpgPlaylistEditorView.cs</t>
  </si>
  <si>
    <t>C:\jenkins-devops\workspace\kw_bll_ui\content\traffic\l4l7\ui\View\Dpg\DpgPlaylistTablePanel.cs</t>
  </si>
  <si>
    <t>C:\jenkins-devops\workspace\kw_bll_ui\content\traffic\l4l7\ui\Wizards\ApplicationLayerDpgOptionsPage.cs</t>
  </si>
  <si>
    <t>C:\jenkins-devops\workspace\kw_bll_ui\content\traffic\l4l7\ui\Wizards\ApplicationLayerSipOptionsPage.cs</t>
  </si>
  <si>
    <t>C:\jenkins-devops\workspace\kw_bll_ui\content\traffic\l4l7\ui\Wizards\ApplicationLayerVideoOptionsPage.cs</t>
  </si>
  <si>
    <t>C:\jenkins-devops\workspace\kw_bll_ui\content\traffic\l4l7\ui\Wizards\ApplicationLayerWizardEndpointsPage.cs</t>
  </si>
  <si>
    <t>C:\jenkins-devops\workspace\kw_bll_ui\content\traffictests\benchmarking\ui\BenchmarkingRfc3918WorkItemExtenstion.cs</t>
  </si>
  <si>
    <t>C:\jenkins-devops\workspace\kw_bll_ui\content\traffictests\benchmarking\ui\BenchmarkingWorkItemExtenstion.cs</t>
  </si>
  <si>
    <t>C:\jenkins-devops\workspace\kw_bll_ui\content\traffictests\benchmarking\ui\Control\Custom\PortTreeView.cs</t>
  </si>
  <si>
    <t>C:\jenkins-devops\workspace\kw_bll_ui\content\traffictests\benchmarking\ui\Control\Editors\BenchmarkL2L3CommandEditor.cs</t>
  </si>
  <si>
    <t>C:\jenkins-devops\workspace\kw_bll_ui\content\traffictests\benchmarking\ui\Control\Editors\BenchmarkQoSEditorForm.cs</t>
  </si>
  <si>
    <t>C:\jenkins-devops\workspace\kw_bll_ui\content\traffictests\benchmarking\ui\Control\Editors\Rfc2544\Rfc2544BackToBackFramesCommandEditor.cs</t>
  </si>
  <si>
    <t>C:\jenkins-devops\workspace\kw_bll_ui\content\traffictests\benchmarking\ui\Control\Editors\Rfc2544\Rfc2544FrameLossCommandEditor.cs</t>
  </si>
  <si>
    <t>C:\jenkins-devops\workspace\kw_bll_ui\content\traffictests\benchmarking\ui\Control\Editors\Rfc2544\Rfc2544LatencyCommandEditor.cs</t>
  </si>
  <si>
    <t>C:\jenkins-devops\workspace\kw_bll_ui\content\traffictests\benchmarking\ui\Control\Editors\Rfc3918\Rfc3918CommandEditor.cs</t>
  </si>
  <si>
    <t>C:\jenkins-devops\workspace\kw_bll_ui\content\traffictests\benchmarking\ui\Control\Page\SinglePanelPlaceholderPage.cs</t>
  </si>
  <si>
    <t>C:\jenkins-devops\workspace\kw_bll_ui\content\traffictests\benchmarking\ui\Control\Page\TrafficDescriptorPage.cs</t>
  </si>
  <si>
    <t>C:\jenkins-devops\workspace\kw_bll_ui\content\traffictests\benchmarking\ui\Control\Panel\Header\IPHeaderPanel.cs</t>
  </si>
  <si>
    <t>C:\jenkins-devops\workspace\kw_bll_ui\content\traffictests\benchmarking\ui\Control\Panel\Header\IPNextProtocolPanel.cs</t>
  </si>
  <si>
    <t>C:\jenkins-devops\workspace\kw_bll_ui\content\traffictests\benchmarking\ui\Control\Panel\Params\FrameSizePanel.cs</t>
  </si>
  <si>
    <t>C:\jenkins-devops\workspace\kw_bll_ui\content\traffictests\benchmarking\ui\Control\Panel\Params\Ipv6ExtensionHeaderPanel.cs</t>
  </si>
  <si>
    <t>C:\jenkins-devops\workspace\kw_bll_ui\content\traffictests\benchmarking\ui\Control\Panel\Params\ThroughputSearchPanel.cs</t>
  </si>
  <si>
    <t>C:\jenkins-devops\workspace\kw_bll_ui\content\traffictests\benchmarking\ui\Control\Panel\Profiles\Rfc2544\Rfc2544ProfilesPanel.cs</t>
  </si>
  <si>
    <t>C:\jenkins-devops\workspace\kw_bll_ui\content\traffictests\benchmarking\ui\Control\Panel\Profiles\Rfc2544\Rfc2544RateProfilesPanel.cs</t>
  </si>
  <si>
    <t>C:\jenkins-devops\workspace\kw_bll_ui\content\traffictests\benchmarking\ui\Control\Panel\Topo\CongestionPanel.cs</t>
  </si>
  <si>
    <t>C:\jenkins-devops\workspace\kw_bll_ui\content\traffictests\benchmarking\ui\Control\Panel\Topo\EndpointsPanel.cs</t>
  </si>
  <si>
    <t>C:\jenkins-devops\workspace\kw_bll_ui\content\traffictests\benchmarking\ui\Control\Selectors\ListSelectorForm.cs</t>
  </si>
  <si>
    <t>C:\jenkins-devops\workspace\kw_bll_ui\content\traffictests\benchmarking\ui\Data\PortAdapter.cs</t>
  </si>
  <si>
    <t>C:\jenkins-devops\workspace\kw_bll_ui\content\traffictests\benchmarking\ui\Data\Protocols\ProtocolsDataView.cs</t>
  </si>
  <si>
    <t>C:\jenkins-devops\workspace\kw_bll_ui\content\traffictests\benchmarking\ui\Data\QoS Record\QosRecord.cs</t>
  </si>
  <si>
    <t>C:\jenkins-devops\workspace\kw_bll_ui\content\traffictests\benchmarking\ui\Data\Table\CellConfig.cs</t>
  </si>
  <si>
    <t>C:\jenkins-devops\workspace\kw_bll_ui\content\traffictests\benchmarking\ui\Data\Table\MatrixController.cs</t>
  </si>
  <si>
    <t>C:\jenkins-devops\workspace\kw_bll_ui\content\traffictests\benchmarking\ui\Data\Topo\EndpointsController.cs</t>
  </si>
  <si>
    <t>C:\jenkins-devops\workspace\kw_bll_ui\content\traffictests\benchmarking\ui\Data\Topo\NodeFactory.cs</t>
  </si>
  <si>
    <t>C:\jenkins-devops\workspace\kw_bll_ui\content\traffictests\benchmarking\ui\ProxyObjects\Generated\LegacyRfcTputPerIterativeResultProxy.Generated.cs</t>
  </si>
  <si>
    <t>C:\jenkins-devops\workspace\kw_bll_ui\content\traffictests\benchmarking\ui\ProxyObjects\Generated\Rfc2544AsymmetricFrameLossPerLoadResultProxy.Generated.cs</t>
  </si>
  <si>
    <t>C:\jenkins-devops\workspace\kw_bll_ui\content\traffictests\benchmarking\ui\ProxyObjects\Generated\Rfc2544AsymmetricFrameLossStreamResultProxy.Generated.cs</t>
  </si>
  <si>
    <t>C:\jenkins-devops\workspace\kw_bll_ui\content\traffictests\benchmarking\ui\ProxyObjects\Generated\Rfc2544AsymmetricLatencyPerLoadResultProxy.Generated.cs</t>
  </si>
  <si>
    <t>C:\jenkins-devops\workspace\kw_bll_ui\content\traffictests\benchmarking\ui\ProxyObjects\Generated\Rfc2544AsymmetricLatencyStreamResultProxy.Generated.cs</t>
  </si>
  <si>
    <t>C:\jenkins-devops\workspace\kw_bll_ui\content\traffictests\benchmarking\ui\ProxyObjects\Generated\Rfc2544AsymmetricThroughputStreamResultProxy.Generated.cs</t>
  </si>
  <si>
    <t>C:\jenkins-devops\workspace\kw_bll_ui\content\traffictests\benchmarking\ui\ProxyObjects\Generated\Rfc3918PerIterationResultProxy.Generated.cs</t>
  </si>
  <si>
    <t>C:\jenkins-devops\workspace\kw_bll_ui\content\traffictests\benchmarking\ui\ProxyObjects\Rfc2544ConfigProxy.cs</t>
  </si>
  <si>
    <t>C:\jenkins-devops\workspace\kw_bll_ui\content\traffictests\benchmarking\ui\ProxyObjects\Rfc2544ProfileRateProxy.cs</t>
  </si>
  <si>
    <t>C:\jenkins-devops\workspace\kw_bll_ui\content\traffictests\benchmarking\ui\RfcTestEx\Commands\RfcTestAssignStreamblockCommand.cs</t>
  </si>
  <si>
    <t>C:\jenkins-devops\workspace\kw_bll_ui\content\traffictests\benchmarking\ui\RfcTestEx\Commands\RfcTestCreateTrafficGroupCommand.cs</t>
  </si>
  <si>
    <t>C:\jenkins-devops\workspace\kw_bll_ui\content\traffictests\benchmarking\ui\RfcTestEx\Page\RfcTestDevicesPage.cs</t>
  </si>
  <si>
    <t>C:\jenkins-devops\workspace\kw_bll_ui\content\traffictests\benchmarking\ui\RfcTestEx\Page\RfcTestTrafficPage.cs</t>
  </si>
  <si>
    <t>C:\jenkins-devops\workspace\kw_bll_ui\content\traffictests\benchmarking\ui\RfcTestEx\Page\TrafficGroupPage.cs</t>
  </si>
  <si>
    <t>C:\jenkins-devops\workspace\kw_bll_ui\content\traffictests\benchmarking\ui\RfcTestEx\Panel\CongestionTrafficPanel.cs</t>
  </si>
  <si>
    <t>C:\jenkins-devops\workspace\kw_bll_ui\content\traffictests\benchmarking\ui\RfcTestEx\Panel\IPHeaderPanelEx.cs</t>
  </si>
  <si>
    <t>C:\jenkins-devops\workspace\kw_bll_ui\content\traffictests\benchmarking\ui\RfcTestEx\Panel\IPNextProtocolPanel.cs</t>
  </si>
  <si>
    <t>C:\jenkins-devops\workspace\kw_bll_ui\content\traffictests\benchmarking\ui\RfcTestEx\Panel\TrafficLoadWeightPanel.cs</t>
  </si>
  <si>
    <t>C:\jenkins-devops\workspace\kw_bll_ui\content\traffictests\benchmarking\ui\RfcTestEx\View\Rfc2889\Rfc2889AutoTrafficView.cs</t>
  </si>
  <si>
    <t>C:\jenkins-devops\workspace\kw_bll_ui\content\traffictests\benchmarking\ui\RfcTestEx\View\RfcTestAutoTrafficView.cs</t>
  </si>
  <si>
    <t>C:\jenkins-devops\workspace\kw_bll_ui\content\traffictests\benchmarking\ui\RfcTestEx\Wizard\Rfc2889\Rfc2889TrafficPage.cs</t>
  </si>
  <si>
    <t>C:\jenkins-devops\workspace\kw_bll_ui\content\traffictests\benchmarking\ui\RfcTestEx\Wizard\RfcTestBaseStep.cs</t>
  </si>
  <si>
    <t>C:\jenkins-devops\workspace\kw_bll_ui\content\traffictests\benchmarking\ui\State\AbstractWizStateCtx.cs</t>
  </si>
  <si>
    <t>C:\jenkins-devops\workspace\kw_bll_ui\content\traffictests\benchmarking\ui\State\ExchangeUtils.cs</t>
  </si>
  <si>
    <t>C:\jenkins-devops\workspace\kw_bll_ui\content\traffictests\benchmarking\ui\State\Rfc2544\Rfc2544BBFramesWizStateCtx.cs</t>
  </si>
  <si>
    <t>C:\jenkins-devops\workspace\kw_bll_ui\content\traffictests\benchmarking\ui\State\Rfc2544\Rfc2544FrameLossWizStateCtx.cs</t>
  </si>
  <si>
    <t>C:\jenkins-devops\workspace\kw_bll_ui\content\traffictests\benchmarking\ui\State\Rfc2544\Rfc2544LatencyWizStateCtx.cs</t>
  </si>
  <si>
    <t>C:\jenkins-devops\workspace\kw_bll_ui\content\traffictests\benchmarking\ui\State\Rfc2544\Rfc2544StateCtx.cs</t>
  </si>
  <si>
    <t>C:\jenkins-devops\workspace\kw_bll_ui\content\traffictests\benchmarking\ui\State\Rfc2544\Rfc2544ThroughputWizStateCtx.cs</t>
  </si>
  <si>
    <t>C:\jenkins-devops\workspace\kw_bll_ui\content\traffictests\benchmarking\ui\State\Rfc2889\Rfc2889AddressCachingCapacityWizStateCtx.cs</t>
  </si>
  <si>
    <t>C:\jenkins-devops\workspace\kw_bll_ui\content\traffictests\benchmarking\ui\State\Rfc2889\Rfc2889AddressLearningRateWizStateCtx.cs</t>
  </si>
  <si>
    <t>C:\jenkins-devops\workspace\kw_bll_ui\content\traffictests\benchmarking\ui\State\Rfc2889\Rfc2889BroadcastForwardingWizStateCtx.cs</t>
  </si>
  <si>
    <t>C:\jenkins-devops\workspace\kw_bll_ui\content\traffictests\benchmarking\ui\State\Rfc2889\Rfc2889BroadcastLatencyWizStateCtx.cs</t>
  </si>
  <si>
    <t>C:\jenkins-devops\workspace\kw_bll_ui\content\traffictests\benchmarking\ui\State\Rfc2889\Rfc2889CongestionControlWizStateCtx.cs</t>
  </si>
  <si>
    <t>C:\jenkins-devops\workspace\kw_bll_ui\content\traffictests\benchmarking\ui\State\Rfc2889\Rfc2889ErroredFramesFilteringWizStateCtx.cs</t>
  </si>
  <si>
    <t>C:\jenkins-devops\workspace\kw_bll_ui\content\traffictests\benchmarking\ui\State\Rfc2889\Rfc2889ForwardingWizStateCtx.cs</t>
  </si>
  <si>
    <t>C:\jenkins-devops\workspace\kw_bll_ui\content\traffictests\benchmarking\ui\State\Rfc2889\Rfc2889ForwardPressureRateWizStateCtx.cs</t>
  </si>
  <si>
    <t>C:\jenkins-devops\workspace\kw_bll_ui\content\traffictests\benchmarking\ui\State\Rfc2889\Rfc2889MaxForwardingRateWizStateCtx.cs</t>
  </si>
  <si>
    <t>C:\jenkins-devops\workspace\kw_bll_ui\content\traffictests\benchmarking\ui\State\Rfc2889\Rfc2889StateCtx.cs</t>
  </si>
  <si>
    <t>C:\jenkins-devops\workspace\kw_bll_ui\content\traffictests\benchmarking\ui\State\StateFactory.cs</t>
  </si>
  <si>
    <t>C:\jenkins-devops\workspace\kw_bll_ui\content\traffictests\benchmarking\ui\State\WizState.cs</t>
  </si>
  <si>
    <t>C:\jenkins-devops\workspace\kw_bll_ui\content\traffictests\benchmarking\ui\Wizard\Rfc2544\Rfc2544BaseStep.cs</t>
  </si>
  <si>
    <t>C:\jenkins-devops\workspace\kw_bll_ui\content\traffictests\benchmarking\ui\Wizard\Rfc2544\Rfc2544RateConfigPage.cs</t>
  </si>
  <si>
    <t>C:\jenkins-devops\workspace\kw_bll_ui\content\traffictests\benchmarking\ui\Wizard\Rfc2544\Rfc2544TestOptionsPage.cs</t>
  </si>
  <si>
    <t>C:\jenkins-devops\workspace\kw_bll_ui\content\traffictests\benchmarking\ui\Wizard\Rfc2544\Rfc2544TestOptionsStep.cs</t>
  </si>
  <si>
    <t>C:\jenkins-devops\workspace\kw_bll_ui\content\traffictests\benchmarking\ui\Wizard\Rfc2544\Rfc2544ThroughputPage.cs</t>
  </si>
  <si>
    <t>C:\jenkins-devops\workspace\kw_bll_ui\content\traffictests\benchmarking\ui\Wizard\Rfc3918\Rfc3918BaseStep.cs</t>
  </si>
  <si>
    <t>C:\jenkins-devops\workspace\kw_bll_ui\content\traffictests\benchmarking\ui\Wizard\Rfc3918\Rfc3918Helper.cs</t>
  </si>
  <si>
    <t>C:\jenkins-devops\workspace\kw_bll_ui\content\traffictests\benchmarking\ui\Wizard\Rfc3918\Rfc3918HostsAndGroupsPage.cs</t>
  </si>
  <si>
    <t>C:\jenkins-devops\workspace\kw_bll_ui\content\traffictests\benchmarking\ui\Wizard\Rfc3918\Rfc3918StreamBlocksPage.cs</t>
  </si>
  <si>
    <t>C:\jenkins-devops\workspace\kw_bll_ui\content\traffictests\benchmarking\ui\Wizard\Rfc3918\Rfc3918TestOptionsPage.cs</t>
  </si>
  <si>
    <t>C:\jenkins-devops\workspace\kw_bll_ui\content\traffictests\benchmarking\ui\Wizard\Rfc3918\Rfc3918TrafficPage.cs</t>
  </si>
  <si>
    <t>C:\jenkins-devops\workspace\kw_bll_ui\content\traffictests\benchmarking\ui\Wizard\Rfc3918\View\AutomaticTrafficView.cs</t>
  </si>
  <si>
    <t>C:\jenkins-devops\workspace\kw_bll_ui\content\traffictests\custom\ui\Control\Editor\ConditionalStreamResultsWaitCommandEditor.cs</t>
  </si>
  <si>
    <t>C:\jenkins-devops\workspace\kw_bll_ui\content\traffictests\custom\ui\Control\Page\TestParameters.cs</t>
  </si>
  <si>
    <t>C:\jenkins-devops\workspace\kw_bll_ui\content\traffictests\dcb\ui\Common\Page\ConfigDevicePage.cs</t>
  </si>
  <si>
    <t>C:\jenkins-devops\workspace\kw_bll_ui\content\traffictests\dcb\ui\Common\Page\ConfigPortPage.cs</t>
  </si>
  <si>
    <t>C:\jenkins-devops\workspace\kw_bll_ui\content\traffictests\dcb\ui\Common\Page\StreamBlocksPage.cs</t>
  </si>
  <si>
    <t>C:\jenkins-devops\workspace\kw_bll_ui\content\traffictests\dcb\ui\Common\Page\TrafficGroupPage.cs</t>
  </si>
  <si>
    <t>C:\jenkins-devops\workspace\kw_bll_ui\content\traffictests\dcb\ui\Common\Panel\BurstDurationSearchPanel.cs</t>
  </si>
  <si>
    <t>C:\jenkins-devops\workspace\kw_bll_ui\content\traffictests\dcb\ui\Common\Panel\BurstSizeSearchPanel.cs</t>
  </si>
  <si>
    <t>C:\jenkins-devops\workspace\kw_bll_ui\content\traffictests\dcb\ui\Common\Panel\RateSearchPanel.cs</t>
  </si>
  <si>
    <t>C:\jenkins-devops\workspace\kw_bll_ui\content\traffictests\dcb\ui\Common\Panel\TrafficLoadWeightPanel.cs</t>
  </si>
  <si>
    <t>C:\jenkins-devops\workspace\kw_bll_ui\content\traffictests\dcb\ui\Common\View\SelectDeviceView.cs</t>
  </si>
  <si>
    <t>C:\jenkins-devops\workspace\kw_bll_ui\content\traffictests\dcb\ui\Common\View\Traffic\CongestionTrafficView.cs</t>
  </si>
  <si>
    <t>C:\jenkins-devops\workspace\kw_bll_ui\content\traffictests\dcb\ui\Common\View\Traffic\ManualTrafficView.cs</t>
  </si>
  <si>
    <t>C:\jenkins-devops\workspace\kw_bll_ui\content\traffictests\dcb\ui\Common\View\Traffic\StandardTrafficView.cs</t>
  </si>
  <si>
    <t>C:\jenkins-devops\workspace\kw_bll_ui\content\traffictests\dcb\ui\DcbWorkItemExtension.cs</t>
  </si>
  <si>
    <t>C:\jenkins-devops\workspace\kw_bll_ui\content\traffictests\dcb\ui\PriorityFlowControl\View\AssignPauseDevicesView.cs</t>
  </si>
  <si>
    <t>C:\jenkins-devops\workspace\kw_bll_ui\content\traffictests\dcb\ui\PriorityFlowControl\Wizard\SelectTestPage.cs</t>
  </si>
  <si>
    <t>C:\jenkins-devops\workspace\kw_bll_ui\content\traffictests\dcb\ui\ProxyObjects\Generated\DcbPfcLoadValidationPerIterationResultProxy.Generated.cs</t>
  </si>
  <si>
    <t>C:\jenkins-devops\workspace\kw_bll_ui\content\traffictests\dcb\ui\SwitchingFabric\View\CongestionControlGroupView.cs</t>
  </si>
  <si>
    <t>C:\jenkins-devops\workspace\kw_bll_ui\content\traffictests\dcb\ui\SwitchingFabric\Wizard\SelectTestPage.cs</t>
  </si>
  <si>
    <t>C:\jenkins-devops\workspace\kw_bll_ui\content\traffictests\qosfwd\ui\Control\MinMaxEditControl.designer.cs</t>
  </si>
  <si>
    <t>C:\jenkins-devops\workspace\kw_bll_ui\content\traffictests\qosfwd\ui\Control\TrafficClassControl.cs</t>
  </si>
  <si>
    <t>C:\jenkins-devops\workspace\kw_bll_ui\content\traffictests\qosfwd\ui\Control\TrafficClassControl.designer.cs</t>
  </si>
  <si>
    <t>C:\jenkins-devops\workspace\kw_bll_ui\content\traffictests\qosfwd\ui\Control\TrafficGroupClassMapControl.cs</t>
  </si>
  <si>
    <t>C:\jenkins-devops\workspace\kw_bll_ui\content\traffictests\qosfwd\ui\Control\TrafficGroupClassMapControl.designer.cs</t>
  </si>
  <si>
    <t>C:\jenkins-devops\workspace\kw_bll_ui\content\traffictests\qosfwd\ui\View\FormClassBuilder.designer.cs</t>
  </si>
  <si>
    <t>C:\jenkins-devops\workspace\kw_bll_ui\content\traffictests\qosfwd\ui\View\FormTrafficGroupEdit.designer.cs</t>
  </si>
  <si>
    <t>C:\jenkins-devops\workspace\kw_bll_ui\content\tripleplay\iptv\ui\Controls\IptvChannelBlockPage.cs</t>
  </si>
  <si>
    <t>C:\jenkins-devops\workspace\kw_bll_ui\content\tripleplay\iptv\ui\Controls\IptvStartTestUserControl.cs</t>
  </si>
  <si>
    <t>C:\jenkins-devops\workspace\kw_bll_ui\content\tripleplay\iptv\ui\IptvInteractiveWorkItemExtension.cs</t>
  </si>
  <si>
    <t>C:\jenkins-devops\workspace\kw_bll_ui\content\tripleplay\iptv\ui\ProxyObjects\IptvStartTestCommandProxy.cs</t>
  </si>
  <si>
    <t>C:\jenkins-devops\workspace\kw_bll_ui\content\tripleplay\iptv\ui\ProxyObjects\IptvStbBlockConfigProxy.cs</t>
  </si>
  <si>
    <t>C:\jenkins-devops\workspace\kw_bll_ui\content\tripleplay\iptv\ui\Wizard\IptvTestBackgroundTrafficStepControl.cs</t>
  </si>
  <si>
    <t>C:\jenkins-devops\workspace\kw_bll_ui\content\tripleplay\iptv\ui\Wizard\IptvTestClientConfigurationRealStepControl.cs</t>
  </si>
  <si>
    <t>C:\jenkins-devops\workspace\kw_bll_ui\content\tripleplay\iptv\ui\Wizard\IptvTestClientConfigurationTestStepControl.cs</t>
  </si>
  <si>
    <t>C:\jenkins-devops\workspace\kw_bll_ui\content\tripleplay\iptv\ui\Wizard\IptvTestClientHostStepControl.cs</t>
  </si>
  <si>
    <t>C:\jenkins-devops\workspace\kw_bll_ui\content\tripleplay\iptv\ui\Wizard\IptvTestClientSelectionStepControl.cs</t>
  </si>
  <si>
    <t>C:\jenkins-devops\workspace\kw_bll_ui\content\tripleplay\iptv\ui\Wizard\IptvTestMulticastChannelPortsStepControl.cs</t>
  </si>
  <si>
    <t>C:\jenkins-devops\workspace\kw_bll_ui\content\tripleplay\iptv\ui\Wizard\IptvTestMulticastGroupsRealWorldStepControl.cs</t>
  </si>
  <si>
    <t>C:\jenkins-devops\workspace\kw_bll_ui\content\tripleplay\iptv\ui\Wizard\IptvTestMulticastGroupsStepControl.cs</t>
  </si>
  <si>
    <t>C:\jenkins-devops\workspace\kw_bll_ui\content\tripleplay\iptv\ui\Wizard\IptvTestSourceHostStepControl.cs</t>
  </si>
  <si>
    <t>C:\jenkins-devops\workspace\kw_bll_ui\content\tripleplay\iptv\ui\Wizard\IptvWizardDataManager.cs</t>
  </si>
  <si>
    <t>C:\jenkins-devops\workspace\kw_bll_ui\content\tripleplay\iptv\ui\Wizard\IptvWizardInteractiveWorkItemExtension.cs</t>
  </si>
  <si>
    <t>C:\jenkins-devops\workspace\kw_bll_ui\content\tripleplay\vqana\ui\ProxyObjects\VqAnalyzerChannelMembershipGenParamsProxy.cs</t>
  </si>
  <si>
    <t>C:\jenkins-devops\workspace\kw_bll_ui\content\tripleplay\vqana\ui\ProxyObjects\VqDynamicPayloadConfigProxy.cs</t>
  </si>
  <si>
    <t>C:\jenkins-devops\workspace\kw_bll_ui\content\tripleplay\vqana\ui\VqAnaInteractiveWorkItemExtension.cs</t>
  </si>
  <si>
    <t>C:\jenkins-devops\workspace\kw_bll_ui\content\tripleplay\vqana\ui\Wizard\VqAnaActiveChannelConfigPage.cs</t>
  </si>
  <si>
    <t>C:\jenkins-devops\workspace\kw_bll_ui\content\tripleplay\vqana\ui\Wizard\VqAnaActiveHostConfigPage.cs</t>
  </si>
  <si>
    <t>C:\jenkins-devops\workspace\kw_bll_ui\content\tripleplay\vqana\ui\Wizard\VqAnaActiveMembershipConfigPage.cs</t>
  </si>
  <si>
    <t>C:\jenkins-devops\workspace\kw_bll_ui\content\tripleplay\vqana\ui\Wizard\VqAnaDeviceGenSelectPortsPage.cs</t>
  </si>
  <si>
    <t>C:\jenkins-devops\workspace\kw_bll_ui\content\tripleplay\vqana\ui\Wizard\VqAnalyzerActiveUnicastDevicesPage.cs</t>
  </si>
  <si>
    <t>C:\jenkins-devops\workspace\kw_bll_ui\content\tripleplay\vqana\ui\Wizard\VqAnaSelectPortsPage.cs</t>
  </si>
  <si>
    <t>C:\jenkins-devops\workspace\kw_bll_ui\content\tripleplay\vqana\ui\Wizard\VqAnaSummaryPage.cs</t>
  </si>
  <si>
    <t>C:\jenkins-devops\workspace\kw_bll_ui\content\tripleplay\vqana\ui\Wizard\VqAnaTestConfigPage.cs</t>
  </si>
  <si>
    <t>C:\jenkins-devops\workspace\kw_bll_ui\content\tripleplay\vqana\ui\Wizard\VqAnaTunableConfigPage.cs</t>
  </si>
  <si>
    <t>C:\jenkins-devops\workspace\kw_bll_ui\content\tripleplay\vqana\ui\Wizard\VqAnaWizardInteractiveWorkItemExtension.cs</t>
  </si>
  <si>
    <t>C:\jenkins-devops\workspace\kw_bll_ui\content\v4v6transition\v4v6transition\ui\V4v6transition6rdWorkItemExtension.cs</t>
  </si>
  <si>
    <t>C:\jenkins-devops\workspace\kw_bll_ui\framework\ui\Application\BugReportCollector\LogCollector.cs</t>
  </si>
  <si>
    <t>C:\jenkins-devops\workspace\kw_bll_ui\framework\ui\Application\BugReportCollector\SysInfoCollector.cs</t>
  </si>
  <si>
    <t>C:\jenkins-devops\workspace\kw_bll_ui\framework\ui\Application\StcDashboard\DashboardFrame.cs</t>
  </si>
  <si>
    <t>C:\jenkins-devops\workspace\kw_bll_ui\framework\ui\Application\StcDashboard\UpgradeServerView.cs</t>
  </si>
  <si>
    <t>C:\jenkins-devops\workspace\kw_bll_ui\framework\ui\BLLInterface\DataModel\ChassisSlotPort.cs</t>
  </si>
  <si>
    <t>C:\jenkins-devops\workspace\kw_bll_ui\framework\ui\BLLInterface\DataModel\CommandProgressMonitor.cs</t>
  </si>
  <si>
    <t>C:\jenkins-devops\workspace\kw_bll_ui\framework\ui\BLLInterface\DataModel\CommandStatusManager.cs</t>
  </si>
  <si>
    <t>C:\jenkins-devops\workspace\kw_bll_ui\framework\ui\BLLInterface\DataModel\ConditionType.cs</t>
  </si>
  <si>
    <t>C:\jenkins-devops\workspace\kw_bll_ui\framework\ui\BLLInterface\DataModel\DynamicDataStore.cs</t>
  </si>
  <si>
    <t>C:\jenkins-devops\workspace\kw_bll_ui\framework\ui\BLLInterface\DataModel\DynamicProxyDataHandler.cs</t>
  </si>
  <si>
    <t>C:\jenkins-devops\workspace\kw_bll_ui\framework\ui\BLLInterface\DataModel\IpAddressV6.cs</t>
  </si>
  <si>
    <t>C:\jenkins-devops\workspace\kw_bll_ui\framework\ui\BLLInterface\DataModel\PropertyMetaData.cs</t>
  </si>
  <si>
    <t>C:\jenkins-devops\workspace\kw_bll_ui\framework\ui\BLLInterface\DataModel\ProxyObject.cs</t>
  </si>
  <si>
    <t>C:\jenkins-devops\workspace\kw_bll_ui\framework\ui\BLLInterface\FileTransfer\RemoteFileInfo.cs</t>
  </si>
  <si>
    <t>C:\jenkins-devops\workspace\kw_bll_ui\framework\ui\BLLInterface\Messaging\Message.cs</t>
  </si>
  <si>
    <t>C:\jenkins-devops\workspace\kw_bll_ui\framework\ui\BLLInterface\Messaging\RemoteSession.cs</t>
  </si>
  <si>
    <t>C:\jenkins-devops\workspace\kw_bll_ui\framework\ui\BLLInterface\ProxyObjects\Aal5IfProxy.cs</t>
  </si>
  <si>
    <t>C:\jenkins-devops\workspace\kw_bll_ui\framework\ui\BLLInterface\ProxyObjects\AddResultQueryFromResultObjectCommandProxy.cs</t>
  </si>
  <si>
    <t>C:\jenkins-devops\workspace\kw_bll_ui\framework\ui\BLLInterface\ProxyObjects\ClientInfoProxy.cs</t>
  </si>
  <si>
    <t>C:\jenkins-devops\workspace\kw_bll_ui\framework\ui\BLLInterface\ProxyObjects\ConvergenceConfigProxy.cs</t>
  </si>
  <si>
    <t>C:\jenkins-devops\workspace\kw_bll_ui\framework\ui\BLLInterface\ProxyObjects\ConvergencePathConfigProxy.cs</t>
  </si>
  <si>
    <t>C:\jenkins-devops\workspace\kw_bll_ui\framework\ui\BLLInterface\ProxyObjects\CopyCommandProxy.cs</t>
  </si>
  <si>
    <t>C:\jenkins-devops\workspace\kw_bll_ui\framework\ui\BLLInterface\ProxyObjects\DeviceGenGreIfParamsProxy.cs</t>
  </si>
  <si>
    <t>C:\jenkins-devops\workspace\kw_bll_ui\framework\ui\BLLInterface\ProxyObjects\DeviceGenParamsProxy.cs</t>
  </si>
  <si>
    <t>C:\jenkins-devops\workspace\kw_bll_ui\framework\ui\BLLInterface\ProxyObjects\DeviceRoleProxy.cs</t>
  </si>
  <si>
    <t>C:\jenkins-devops\workspace\kw_bll_ui\framework\ui\BLLInterface\ProxyObjects\EmulatedDeviceProxy.CustomProperties.cs</t>
  </si>
  <si>
    <t>C:\jenkins-devops\workspace\kw_bll_ui\framework\ui\BLLInterface\ProxyObjects\EthernetCopperProxy.CustomProperties.cs</t>
  </si>
  <si>
    <t>C:\jenkins-devops\workspace\kw_bll_ui\framework\ui\BLLInterface\ProxyObjects\EthernetFiberProxy.cs</t>
  </si>
  <si>
    <t>C:\jenkins-devops\workspace\kw_bll_ui\framework\ui\BLLInterface\ProxyObjects\EthernetPhyProxy.cs</t>
  </si>
  <si>
    <t>C:\jenkins-devops\workspace\kw_bll_ui\framework\ui\BLLInterface\ProxyObjects\Generated\ActiveEventProxy.Generated.cs</t>
  </si>
  <si>
    <t>C:\jenkins-devops\workspace\kw_bll_ui\framework\ui\BLLInterface\ProxyObjects\Generated\AddResultChartQueryFromResultObjectCommandProxy.Generated.cs</t>
  </si>
  <si>
    <t>C:\jenkins-devops\workspace\kw_bll_ui\framework\ui\BLLInterface\ProxyObjects\Generated\AddResultQueryFromResultObjectCommandProxy.Generated.cs</t>
  </si>
  <si>
    <t>C:\jenkins-devops\workspace\kw_bll_ui\framework\ui\BLLInterface\ProxyObjects\Generated\DeviceGenLinkedStepProxy.Generated.cs</t>
  </si>
  <si>
    <t>C:\jenkins-devops\workspace\kw_bll_ui\framework\ui\BLLInterface\ProxyObjects\Generated\GetExposedPropertiesMetaInfoCommandProxy.Generated.cs</t>
  </si>
  <si>
    <t>C:\jenkins-devops\workspace\kw_bll_ui\framework\ui\BLLInterface\ProxyObjects\Generated\GetRcmCapabilityCommandProxy.Generated.cs</t>
  </si>
  <si>
    <t>C:\jenkins-devops\workspace\kw_bll_ui\framework\ui\BLLInterface\ProxyObjects\Generated\ModifyPropertyCommandProxy.Generated.cs</t>
  </si>
  <si>
    <t>C:\jenkins-devops\workspace\kw_bll_ui\framework\ui\BLLInterface\ProxyObjects\Generated\PropertyIdValueContainerProxy.Generated.cs</t>
  </si>
  <si>
    <t>C:\jenkins-devops\workspace\kw_bll_ui\framework\ui\BLLInterface\ProxyObjects\Generated\SubscribeObjectPropertyChangeCommandProxy.Generated.cs</t>
  </si>
  <si>
    <t>C:\jenkins-devops\workspace\kw_bll_ui\framework\ui\BLLInterface\ProxyObjects\Generated\UnsubscribeObjectPropertyChangeCommandProxy.Generated.cs</t>
  </si>
  <si>
    <t>C:\jenkins-devops\workspace\kw_bll_ui\framework\ui\BLLInterface\ProxyObjects\GetFilesRequiredForCommandProxy.cs</t>
  </si>
  <si>
    <t>C:\jenkins-devops\workspace\kw_bll_ui\framework\ui\BLLInterface\ProxyObjects\GetRemoteFileMappingEntryCommandProxy.cs</t>
  </si>
  <si>
    <t>C:\jenkins-devops\workspace\kw_bll_ui\framework\ui\BLLInterface\ProxyObjects\GroupProxy.cs</t>
  </si>
  <si>
    <t>C:\jenkins-devops\workspace\kw_bll_ui\framework\ui\BLLInterface\ProxyObjects\HdlcIfProxy.cs</t>
  </si>
  <si>
    <t>C:\jenkins-devops\workspace\kw_bll_ui\framework\ui\BLLInterface\ProxyObjects\Ipv4NetworkBlockProxy.cs</t>
  </si>
  <si>
    <t>C:\jenkins-devops\workspace\kw_bll_ui\framework\ui\BLLInterface\ProxyObjects\Ipv6NetworkBlockProxy.cs</t>
  </si>
  <si>
    <t>C:\jenkins-devops\workspace\kw_bll_ui\framework\ui\BLLInterface\ProxyObjects\ItagServiceLinkProxy.cs</t>
  </si>
  <si>
    <t>C:\jenkins-devops\workspace\kw_bll_ui\framework\ui\BLLInterface\ProxyObjects\LagGenParamsProxy.cs</t>
  </si>
  <si>
    <t>C:\jenkins-devops\workspace\kw_bll_ui\framework\ui\BLLInterface\ProxyObjects\LispIfProxy.cs</t>
  </si>
  <si>
    <t>C:\jenkins-devops\workspace\kw_bll_ui\framework\ui\BLLInterface\ProxyObjects\NetworkInterfaceProxy.cs</t>
  </si>
  <si>
    <t>C:\jenkins-devops\workspace\kw_bll_ui\framework\ui\BLLInterface\ProxyObjects\PhyCompensationOptionsProxy.cs</t>
  </si>
  <si>
    <t>C:\jenkins-devops\workspace\kw_bll_ui\framework\ui\BLLInterface\ProxyObjects\PhyProxy.CustomProperties.cs</t>
  </si>
  <si>
    <t>C:\jenkins-devops\workspace\kw_bll_ui\framework\ui\BLLInterface\ProxyObjects\PhysicalPortProxy.cs</t>
  </si>
  <si>
    <t>C:\jenkins-devops\workspace\kw_bll_ui\framework\ui\BLLInterface\ProxyObjects\PortLoggingConfigProxy.cs</t>
  </si>
  <si>
    <t>C:\jenkins-devops\workspace\kw_bll_ui\framework\ui\BLLInterface\ProxyObjects\PortProxy.cs</t>
  </si>
  <si>
    <t>C:\jenkins-devops\workspace\kw_bll_ui\framework\ui\BLLInterface\ProxyObjects\PppIfProxy.cs</t>
  </si>
  <si>
    <t>C:\jenkins-devops\workspace\kw_bll_ui\framework\ui\BLLInterface\ProxyObjects\RemoteFileMappingEntryProxy.cs</t>
  </si>
  <si>
    <t>C:\jenkins-devops\workspace\kw_bll_ui\framework\ui\BLLInterface\ProxyObjects\ResultDataSetProxy.cs</t>
  </si>
  <si>
    <t>C:\jenkins-devops\workspace\kw_bll_ui\framework\ui\BLLInterface\ProxyObjects\ResultViewBaseProxy.cs</t>
  </si>
  <si>
    <t>C:\jenkins-devops\workspace\kw_bll_ui\framework\ui\BLLInterface\ProxyObjects\SaveResultsCommandProxy.cs</t>
  </si>
  <si>
    <t>C:\jenkins-devops\workspace\kw_bll_ui\framework\ui\BLLInterface\ProxyObjects\SetRelativesCommandProxy.cs</t>
  </si>
  <si>
    <t>C:\jenkins-devops\workspace\kw_bll_ui\framework\ui\BLLInterface\ProxyObjects\SingleFilterConditionProxy.cs</t>
  </si>
  <si>
    <t>C:\jenkins-devops\workspace\kw_bll_ui\framework\ui\BLLInterface\ProxyObjects\SonetResultsProxy.cs</t>
  </si>
  <si>
    <t>C:\jenkins-devops\workspace\kw_bll_ui\framework\ui\BLLInterface\ProxyObjects\StmExposedPropertyProxy.cs</t>
  </si>
  <si>
    <t>C:\jenkins-devops\workspace\kw_bll_ui\framework\ui\BLLInterface\ProxyObjects\TerminateBllCommandProxy.cs</t>
  </si>
  <si>
    <t>C:\jenkins-devops\workspace\kw_bll_ui\framework\ui\BLLInterface\ProxyObjects\TrillIfProxy.cs</t>
  </si>
  <si>
    <t>C:\jenkins-devops\workspace\kw_bll_ui\framework\ui\BLLInterface\ProxyObjects\VpnIdGroupProxy.cs</t>
  </si>
  <si>
    <t>C:\jenkins-devops\workspace\kw_bll_ui\framework\ui\BLLInterface\ProxyObjects\VpnSiteInfoProxy.cs</t>
  </si>
  <si>
    <t>C:\jenkins-devops\workspace\kw_bll_ui\framework\ui\BLLInterface\ProxyObjects\WaitCommandProxy.cs</t>
  </si>
  <si>
    <t>C:\jenkins-devops\workspace\kw_bll_ui\framework\ui\BLLInterface\SmartList\SmartConditionContainer.cs</t>
  </si>
  <si>
    <t>C:\jenkins-devops\workspace\kw_bll_ui\framework\ui\BLLInterface\SmartList\SmartCondition.cs</t>
  </si>
  <si>
    <t>C:\jenkins-devops\workspace\kw_bll_ui\framework\ui\CAB\Commands\CustomGroupBySelectionCommand.cs</t>
  </si>
  <si>
    <t>C:\jenkins-devops\workspace\kw_bll_ui\framework\ui\CAB\Commands\PresentationFormCommand.cs</t>
  </si>
  <si>
    <t>C:\jenkins-devops\workspace\kw_bll_ui\framework\ui\CAB\Controls\ObjectPicker\ObjectPicker.cs</t>
  </si>
  <si>
    <t>C:\jenkins-devops\workspace\kw_bll_ui\framework\ui\CAB\Controls\ObjectPicker\ObjectPickerModel.cs</t>
  </si>
  <si>
    <t>C:\jenkins-devops\workspace\kw_bll_ui\framework\ui\CAB\Controls\ObjectPicker\ObjectPickerOld.cs</t>
  </si>
  <si>
    <t>C:\jenkins-devops\workspace\kw_bll_ui\framework\ui\CAB\Controls\StcCheckBox.cs</t>
  </si>
  <si>
    <t>C:\jenkins-devops\workspace\kw_bll_ui\framework\ui\CAB\Controls\StcComboBox.cs</t>
  </si>
  <si>
    <t>C:\jenkins-devops\workspace\kw_bll_ui\framework\ui\CAB\Controls\StcFilteredTreeList.cs</t>
  </si>
  <si>
    <t>C:\jenkins-devops\workspace\kw_bll_ui\framework\ui\CAB\Controls\StcLabel.cs</t>
  </si>
  <si>
    <t>C:\jenkins-devops\workspace\kw_bll_ui\framework\ui\CAB\Controls\StcPictureBox.cs</t>
  </si>
  <si>
    <t>C:\jenkins-devops\workspace\kw_bll_ui\framework\ui\CAB\Controls\StcRadioButton.cs</t>
  </si>
  <si>
    <t>C:\jenkins-devops\workspace\kw_bll_ui\framework\ui\CAB\Controls\StcTextBox.cs</t>
  </si>
  <si>
    <t>C:\jenkins-devops\workspace\kw_bll_ui\framework\ui\CAB\Controls\StcToolStripCheckBox.cs</t>
  </si>
  <si>
    <t>C:\jenkins-devops\workspace\kw_bll_ui\framework\ui\CAB\Controls\StcToolStripComboBox.cs</t>
  </si>
  <si>
    <t>C:\jenkins-devops\workspace\kw_bll_ui\framework\ui\CAB\Controls\StcTreeNode.cs</t>
  </si>
  <si>
    <t>C:\jenkins-devops\workspace\kw_bll_ui\framework\ui\CAB\Controls\StcUITypeEditorBox.cs</t>
  </si>
  <si>
    <t>C:\jenkins-devops\workspace\kw_bll_ui\framework\ui\CAB\Controls\StcValidatorTextBox.cs</t>
  </si>
  <si>
    <t>C:\jenkins-devops\workspace\kw_bll_ui\framework\ui\CAB\Controls\ToolStripCheckBox.cs</t>
  </si>
  <si>
    <t>C:\jenkins-devops\workspace\kw_bll_ui\framework\ui\CAB\Forms\AboutDialog.cs</t>
  </si>
  <si>
    <t>C:\jenkins-devops\workspace\kw_bll_ui\framework\ui\CAB\Forms\FileTransferControl.cs</t>
  </si>
  <si>
    <t>C:\jenkins-devops\workspace\kw_bll_ui\framework\ui\CAB\Forms\FileTransferForm.cs</t>
  </si>
  <si>
    <t>C:\jenkins-devops\workspace\kw_bll_ui\framework\ui\CAB\Forms\StcMessageBox.cs</t>
  </si>
  <si>
    <t>C:\jenkins-devops\workspace\kw_bll_ui\framework\ui\CAB\ObjectBuilder\InheritStateStrategy.cs</t>
  </si>
  <si>
    <t>C:\jenkins-devops\workspace\kw_bll_ui\framework\ui\CAB\PresentationModel\PresentationCommand.cs</t>
  </si>
  <si>
    <t>C:\jenkins-devops\workspace\kw_bll_ui\framework\ui\CAB\PresentationModel\PresentationNode.cs</t>
  </si>
  <si>
    <t>C:\jenkins-devops\workspace\kw_bll_ui\framework\ui\CAB\PresentationModel\PresentationProfile.cs</t>
  </si>
  <si>
    <t>C:\jenkins-devops\workspace\kw_bll_ui\framework\ui\CAB\PresentationModel\PresentationSelection.cs</t>
  </si>
  <si>
    <t>C:\jenkins-devops\workspace\kw_bll_ui\framework\ui\CAB\PresentationModel\PresentationWorkItem.cs</t>
  </si>
  <si>
    <t>C:\jenkins-devops\workspace\kw_bll_ui\framework\ui\CAB\PresentationModel\QueryPresentationNode.cs</t>
  </si>
  <si>
    <t>C:\jenkins-devops\workspace\kw_bll_ui\framework\ui\CAB\PresentationViews\PresentationFrame.cs</t>
  </si>
  <si>
    <t>C:\jenkins-devops\workspace\kw_bll_ui\framework\ui\CAB\PresentationViews\PresentationViewBase.cs</t>
  </si>
  <si>
    <t>C:\jenkins-devops\workspace\kw_bll_ui\framework\ui\CAB\PresentationViews\TableSettings.cs</t>
  </si>
  <si>
    <t>C:\jenkins-devops\workspace\kw_bll_ui\framework\ui\CAB\TechnologySelector\TechnologySelector.cs</t>
  </si>
  <si>
    <t>C:\jenkins-devops\workspace\kw_bll_ui\framework\ui\CorePlugin\Commands\AddDrvFilterCommand.cs</t>
  </si>
  <si>
    <t>C:\jenkins-devops\workspace\kw_bll_ui\framework\ui\CorePlugin\Commands\AddToChartCommand.cs</t>
  </si>
  <si>
    <t>C:\jenkins-devops\workspace\kw_bll_ui\framework\ui\CorePlugin\Commands\ApplyCommand.cs</t>
  </si>
  <si>
    <t>C:\jenkins-devops\workspace\kw_bll_ui\framework\ui\CorePlugin\Commands\CustomizeResultViewCommand.cs</t>
  </si>
  <si>
    <t>C:\jenkins-devops\workspace\kw_bll_ui\framework\ui\CorePlugin\Commands\EditTagsCommand.cs</t>
  </si>
  <si>
    <t>C:\jenkins-devops\workspace\kw_bll_ui\framework\ui\CorePlugin\Commands\ExposedPropertiesCommand.cs</t>
  </si>
  <si>
    <t>C:\jenkins-devops\workspace\kw_bll_ui\framework\ui\CorePlugin\Commands\FillCommand.cs</t>
  </si>
  <si>
    <t>C:\jenkins-devops\workspace\kw_bll_ui\framework\ui\CorePlugin\Commands\FillIncrementCommand.cs</t>
  </si>
  <si>
    <t>C:\jenkins-devops\workspace\kw_bll_ui\framework\ui\CorePlugin\Commands\ImportSingleResultViewCommand.cs</t>
  </si>
  <si>
    <t>C:\jenkins-devops\workspace\kw_bll_ui\framework\ui\CorePlugin\Commands\LinkChooserCommand.cs</t>
  </si>
  <si>
    <t>C:\jenkins-devops\workspace\kw_bll_ui\framework\ui\CorePlugin\Commands\ManageFiltersCommand.cs</t>
  </si>
  <si>
    <t>C:\jenkins-devops\workspace\kw_bll_ui\framework\ui\CorePlugin\Commands\NewProxyFormCommand.cs</t>
  </si>
  <si>
    <t>C:\jenkins-devops\workspace\kw_bll_ui\framework\ui\CorePlugin\Commands\PfcResponseTimeMeasurementCommand.cs</t>
  </si>
  <si>
    <t>C:\jenkins-devops\workspace\kw_bll_ui\framework\ui\CorePlugin\Commands\PortLinkChooserCommand.cs</t>
  </si>
  <si>
    <t>C:\jenkins-devops\workspace\kw_bll_ui\framework\ui\CorePlugin\Commands\RestartAutoNegotiateCommand.cs</t>
  </si>
  <si>
    <t>C:\jenkins-devops\workspace\kw_bll_ui\framework\ui\CorePlugin\Commands\SaveResultViewCommand.cs</t>
  </si>
  <si>
    <t>C:\jenkins-devops\workspace\kw_bll_ui\framework\ui\CorePlugin\Commands\SaveSystemPerspectiveCommand.cs</t>
  </si>
  <si>
    <t>C:\jenkins-devops\workspace\kw_bll_ui\framework\ui\CorePlugin\Controls\CustomSortableProxyList.cs</t>
  </si>
  <si>
    <t>C:\jenkins-devops\workspace\kw_bll_ui\framework\ui\CorePlugin\Controls\GridPanel.cs</t>
  </si>
  <si>
    <t>C:\jenkins-devops\workspace\kw_bll_ui\framework\ui\CorePlugin\Controls\LogicalPortsList.cs</t>
  </si>
  <si>
    <t>C:\jenkins-devops\workspace\kw_bll_ui\framework\ui\CorePlugin\Controls\MacroEditPanel.cs</t>
  </si>
  <si>
    <t>C:\jenkins-devops\workspace\kw_bll_ui\framework\ui\CorePlugin\Controls\RemoveTlsFilesPanel.cs</t>
  </si>
  <si>
    <t>C:\jenkins-devops\workspace\kw_bll_ui\framework\ui\CorePlugin\Controls\SeriesPickerModel.cs</t>
  </si>
  <si>
    <t>C:\jenkins-devops\workspace\kw_bll_ui\framework\ui\CorePlugin\Controls\SeriesTemplatePicker.cs</t>
  </si>
  <si>
    <t>C:\jenkins-devops\workspace\kw_bll_ui\framework\ui\CorePlugin\Data\PortSetCollection.cs</t>
  </si>
  <si>
    <t>C:\jenkins-devops\workspace\kw_bll_ui\framework\ui\CorePlugin\Editors\EditTags.cs</t>
  </si>
  <si>
    <t>C:\jenkins-devops\workspace\kw_bll_ui\framework\ui\CorePlugin\Editors\ResultViewPropertyEditor.cs</t>
  </si>
  <si>
    <t>C:\jenkins-devops\workspace\kw_bll_ui\framework\ui\CorePlugin\Forms\AddSeriesToChartForm.cs</t>
  </si>
  <si>
    <t>C:\jenkins-devops\workspace\kw_bll_ui\framework\ui\CorePlugin\Forms\DeviceFilterForm.cs</t>
  </si>
  <si>
    <t>C:\jenkins-devops\workspace\kw_bll_ui\framework\ui\CorePlugin\Forms\DynamicResultChartForm.cs</t>
  </si>
  <si>
    <t>C:\jenkins-devops\workspace\kw_bll_ui\framework\ui\CorePlugin\Forms\EditInterfaceEncapForm.cs</t>
  </si>
  <si>
    <t>C:\jenkins-devops\workspace\kw_bll_ui\framework\ui\CorePlugin\Forms\EditLinksForm.cs</t>
  </si>
  <si>
    <t>C:\jenkins-devops\workspace\kw_bll_ui\framework\ui\CorePlugin\Forms\EnableViewsForm.cs</t>
  </si>
  <si>
    <t>C:\jenkins-devops\workspace\kw_bll_ui\framework\ui\CorePlugin\Forms\MacroEditForm.cs</t>
  </si>
  <si>
    <t>C:\jenkins-devops\workspace\kw_bll_ui\framework\ui\CorePlugin\Forms\NewPresentationModelFolderForm.cs</t>
  </si>
  <si>
    <t>C:\jenkins-devops\workspace\kw_bll_ui\framework\ui\CorePlugin\Forms\PortSetManagerForm.cs</t>
  </si>
  <si>
    <t>C:\jenkins-devops\workspace\kw_bll_ui\framework\ui\CorePlugin\Forms\TlsFileManagerForm.cs</t>
  </si>
  <si>
    <t>C:\jenkins-devops\workspace\kw_bll_ui\framework\ui\CorePlugin\InteractiveWorkItemExtension.cs</t>
  </si>
  <si>
    <t>C:\jenkins-devops\workspace\kw_bll_ui\framework\ui\CorePlugin\Nodes\ResultQueryPresentationNode.cs</t>
  </si>
  <si>
    <t>C:\jenkins-devops\workspace\kw_bll_ui\framework\ui\CorePlugin\ScriptCommands\ScriptCommands.cs</t>
  </si>
  <si>
    <t>C:\jenkins-devops\workspace\kw_bll_ui\framework\ui\CorePlugin\ScriptWizards\XmlParser.cs</t>
  </si>
  <si>
    <t>C:\jenkins-devops\workspace\kw_bll_ui\framework\ui\CorePlugin\Sequencer\Controls\Sequencer.cs</t>
  </si>
  <si>
    <t>C:\jenkins-devops\workspace\kw_bll_ui\framework\ui\CorePlugin\Traffic\Controls\CheckTreeList.cs</t>
  </si>
  <si>
    <t>C:\jenkins-devops\workspace\kw_bll_ui\framework\ui\CorePlugin\Traffic\Controls\ToolTipEndPoint.cs</t>
  </si>
  <si>
    <t>C:\jenkins-devops\workspace\kw_bll_ui\framework\ui\CorePlugin\Views\ColumnPicker\ColumnPicker.cs</t>
  </si>
  <si>
    <t>C:\jenkins-devops\workspace\kw_bll_ui\framework\ui\CorePlugin\Views\ColumnPicker\NewTabForm.cs</t>
  </si>
  <si>
    <t>C:\jenkins-devops\workspace\kw_bll_ui\framework\ui\CorePlugin\Views\ColumnPicker\RenameTabForm.cs</t>
  </si>
  <si>
    <t>C:\jenkins-devops\workspace\kw_bll_ui\framework\ui\CorePlugin\Views\DeviceFilterPanel.cs</t>
  </si>
  <si>
    <t>C:\jenkins-devops\workspace\kw_bll_ui\framework\ui\CorePlugin\Views\EquipmentView\SearchManager.cs</t>
  </si>
  <si>
    <t>C:\jenkins-devops\workspace\kw_bll_ui\framework\ui\CorePlugin\Views\LandingPage\LandingPagePanel.cs</t>
  </si>
  <si>
    <t>C:\jenkins-devops\workspace\kw_bll_ui\framework\ui\CorePlugin\Views\LegendListView.cs</t>
  </si>
  <si>
    <t>C:\jenkins-devops\workspace\kw_bll_ui\framework\ui\CorePlugin\Views\ResultOrganizer\MoveResultToFolderForm.cs</t>
  </si>
  <si>
    <t>C:\jenkins-devops\workspace\kw_bll_ui\framework\ui\CorePlugin\Views\ResultSettings.cs</t>
  </si>
  <si>
    <t>C:\jenkins-devops\workspace\kw_bll_ui\framework\ui\CorePlugin\Views\ResultSpeedometerView.cs</t>
  </si>
  <si>
    <t>C:\jenkins-devops\workspace\kw_bll_ui\framework\ui\CorePlugin\Views\ResultViewTabSelector.cs</t>
  </si>
  <si>
    <t>C:\jenkins-devops\workspace\kw_bll_ui\framework\ui\CorePlugin\Views\WatchView\WatchView.cs</t>
  </si>
  <si>
    <t>C:\jenkins-devops\workspace\kw_bll_ui\framework\ui\CorePlugin\WinUiData\UiDataBinding.cs</t>
  </si>
  <si>
    <t>C:\jenkins-devops\workspace\kw_bll_ui\framework\ui\CorePlugin\WinUiData\UiDataEnumValidator.cs</t>
  </si>
  <si>
    <t>C:\jenkins-devops\workspace\kw_bll_ui\framework\ui\CorePlugin\WinUiData\UiDataMeta.cs</t>
  </si>
  <si>
    <t>C:\jenkins-devops\workspace\kw_bll_ui\framework\ui\CorePlugin\WinUiData\UiDataMetaLoader.cs</t>
  </si>
  <si>
    <t>C:\jenkins-devops\workspace\kw_bll_ui\framework\ui\CorePlugin\WinUiData\UiDataPropertyCollectionEditorForm.cs</t>
  </si>
  <si>
    <t>C:\jenkins-devops\workspace\kw_bll_ui\framework\ui\CorePlugin\Wizards\CopyAttributesWizard\Attributes\GeneratorAttributes.cs</t>
  </si>
  <si>
    <t>C:\jenkins-devops\workspace\kw_bll_ui\framework\ui\CorePlugin\Wizards\CopyAttributesWizard\CopyAttributesSelectionPage.cs</t>
  </si>
  <si>
    <t>C:\jenkins-devops\workspace\kw_bll_ui\framework\ui\CorePlugin\Wizards\CopyAttributesWizard\CopyAttributesSummaryPage.cs</t>
  </si>
  <si>
    <t>C:\jenkins-devops\workspace\kw_bll_ui\framework\ui\CorePlugin\Wizards\CreateLinksWizard\CreateLinksPage.cs</t>
  </si>
  <si>
    <t>C:\jenkins-devops\workspace\kw_bll_ui\framework\ui\CorePlugin\Wizards\CreateLinksWizard\CreateLinksWizard.cs</t>
  </si>
  <si>
    <t>C:\jenkins-devops\workspace\kw_bll_ui\framework\ui\CorePlugin\Wizards\CreateLinksWizard\CreateMhLinksPage.cs</t>
  </si>
  <si>
    <t>C:\jenkins-devops\workspace\kw_bll_ui\framework\ui\CorePlugin\Wizards\CreateLinksWizard\CreateMhLinksWizard.cs</t>
  </si>
  <si>
    <t>C:\jenkins-devops\workspace\kw_bll_ui\framework\ui\CorePlugin\Wizards\CreateLinksWizard\CreateMhLinksWizardDataManager.cs</t>
  </si>
  <si>
    <t>C:\jenkins-devops\workspace\kw_bll_ui\framework\ui\CorePlugin\Wizards\CreateNewViewWizard\ColumnPickerPage.cs</t>
  </si>
  <si>
    <t>C:\jenkins-devops\workspace\kw_bll_ui\framework\ui\CorePlugin\Wizards\DeviceGenWizard\DeviceGenAal5IfPanel.cs</t>
  </si>
  <si>
    <t>C:\jenkins-devops\workspace\kw_bll_ui\framework\ui\CorePlugin\Wizards\DeviceGenWizard\DeviceGenConfigProtoPage.cs</t>
  </si>
  <si>
    <t>C:\jenkins-devops\workspace\kw_bll_ui\framework\ui\CorePlugin\Wizards\DeviceGenWizard\DeviceGenGroupLevelPanel.cs</t>
  </si>
  <si>
    <t>C:\jenkins-devops\workspace\kw_bll_ui\framework\ui\CorePlugin\Wizards\DeviceGenWizard\DeviceGenNameForm.cs</t>
  </si>
  <si>
    <t>C:\jenkins-devops\workspace\kw_bll_ui\framework\ui\CorePlugin\Wizards\DeviceGenWizard\DeviceGenSelectProtoPage.cs</t>
  </si>
  <si>
    <t>C:\jenkins-devops\workspace\kw_bll_ui\framework\ui\CorePlugin\Wizards\PortAggregationWizard\PortAggregationConfigPage.cs</t>
  </si>
  <si>
    <t>C:\jenkins-devops\workspace\kw_bll_ui\framework\ui\CorePlugin\Wizards\SequenceFlapWizard\ObjectSelectionPageStep.cs</t>
  </si>
  <si>
    <t>C:\jenkins-devops\workspace\kw_bll_ui\framework\ui\CorePlugin\Wizards\SequenceFlapWizard\SequenceFlapWizard.cs</t>
  </si>
  <si>
    <t>C:\jenkins-devops\workspace\kw_bll_ui\framework\ui\CorePlugin\Wizards\VirtualDeploymentWizard\UploadImageForm.cs</t>
  </si>
  <si>
    <t>C:\jenkins-devops\workspace\kw_bll_ui\framework\ui\CorePlugin\Wizards\VirtualDeploymentWizard\UserDataPage.cs</t>
  </si>
  <si>
    <t>C:\jenkins-devops\workspace\kw_bll_ui\framework\ui\DebugPlugin\Views\FtpBrowser.cs</t>
  </si>
  <si>
    <t>C:\jenkins-devops\workspace\kw_bll_ui\framework\ui\DebugPlugin\Views\ResourceMonitor.cs</t>
  </si>
  <si>
    <t>C:\jenkins-devops\workspace\kw_bll_ui\framework\ui\DebugPlugin\Views\TextBoxConsole.cs</t>
  </si>
  <si>
    <t>C:\jenkins-devops\workspace\kw_bll_ui\framework\ui\LoggingPlugin\LoggingHelper.cs</t>
  </si>
  <si>
    <t>C:\jenkins-devops\workspace\kw_bll_ui\framework\ui\P1Upgrade\P1Converter.cs</t>
  </si>
  <si>
    <t>C:\jenkins-devops\workspace\kw_bll_ui\framework\ui\PDUEditor\Forms\TemplateLibraryForm.cs</t>
  </si>
  <si>
    <t>C:\jenkins-devops\workspace\kw_bll_ui\framework\ui\PDUEditor\FrameUtils.cs</t>
  </si>
  <si>
    <t>C:\jenkins-devops\workspace\kw_bll_ui\framework\ui\PDUEditor\Modifiers\ConfigModifierForm.cs</t>
  </si>
  <si>
    <t>C:\jenkins-devops\workspace\kw_bll_ui\framework\ui\PDUEditor\PDUData\BaseFieldListElement.cs</t>
  </si>
  <si>
    <t>C:\jenkins-devops\workspace\kw_bll_ui\framework\ui\PDUEditor\PDUData\BaseModifier.cs</t>
  </si>
  <si>
    <t>C:\jenkins-devops\workspace\kw_bll_ui\framework\ui\PDUEditor\PDUData\ChoiceElement.cs</t>
  </si>
  <si>
    <t>C:\jenkins-devops\workspace\kw_bll_ui\framework\ui\PDUEditor\PDUData\SequenceOfElement.cs</t>
  </si>
  <si>
    <t>C:\jenkins-devops\workspace\kw_bll_ui\framework\ui\PDUEditor\UserControls\FrameEditorCore.cs</t>
  </si>
  <si>
    <t>C:\jenkins-devops\workspace\kw_bll_ui\framework\ui\PDUEditor\UserControls\FrameManagerHelper.cs</t>
  </si>
  <si>
    <t>C:\jenkins-devops\workspace\kw_bll_ui\framework\ui\PDUEditor\UserControls\OperationFindNodeByText.cs</t>
  </si>
  <si>
    <t>C:\jenkins-devops\workspace\kw_bll_ui\framework\ui\PDUEditor\UserControls\TemplateQuickSelectCtrl.cs</t>
  </si>
  <si>
    <t>C:\jenkins-devops\workspace\kw_bll_ui\framework\ui\PDUEditor\UserControls\TosUtils.cs</t>
  </si>
  <si>
    <t>C:\jenkins-devops\workspace\kw_bll_ui\framework\ui\Resources\ResourceFactory.cs</t>
  </si>
  <si>
    <t>C:\jenkins-devops\workspace\kw_bll_ui\framework\ui\UICore\Controls\Forms\CollectionEditorForm.cs</t>
  </si>
  <si>
    <t>C:\jenkins-devops\workspace\kw_bll_ui\framework\ui\UICore\Controls\Forms\InterfaceModifierForm.cs</t>
  </si>
  <si>
    <t>C:\jenkins-devops\workspace\kw_bll_ui\framework\ui\UICore\Controls\Forms\ModifierForm.cs</t>
  </si>
  <si>
    <t>C:\jenkins-devops\workspace\kw_bll_ui\framework\ui\UICore\Controls\Grid\ColumnTypes\BaseColumn.cs</t>
  </si>
  <si>
    <t>C:\jenkins-devops\workspace\kw_bll_ui\framework\ui\UICore\Controls\Grid\ColumnTypes\ColumnCombo.cs</t>
  </si>
  <si>
    <t>C:\jenkins-devops\workspace\kw_bll_ui\framework\ui\UICore\Controls\Grid\ColumnTypes\ColumnDropdown.cs</t>
  </si>
  <si>
    <t>C:\jenkins-devops\workspace\kw_bll_ui\framework\ui\UICore\Controls\Grid\FillService\FieldDescriptor.cs</t>
  </si>
  <si>
    <t>C:\jenkins-devops\workspace\kw_bll_ui\framework\ui\UICore\Controls\Grid\FillService\FillForm.cs</t>
  </si>
  <si>
    <t>C:\jenkins-devops\workspace\kw_bll_ui\framework\ui\UICore\Controls\Grid\FillService\FillGridController.cs</t>
  </si>
  <si>
    <t>C:\jenkins-devops\workspace\kw_bll_ui\framework\ui\UICore\Controls\Grid\FillService\FillGrid.cs</t>
  </si>
  <si>
    <t>C:\jenkins-devops\workspace\kw_bll_ui\framework\ui\UICore\Controls\Grid\FillService\Generator.cs</t>
  </si>
  <si>
    <t>C:\jenkins-devops\workspace\kw_bll_ui\framework\ui\UICore\Controls\Grid\FillService\GeneratorFactory.cs</t>
  </si>
  <si>
    <t>C:\jenkins-devops\workspace\kw_bll_ui\framework\ui\UICore\Controls\Grid\FillService\IpAddressV4GeneratorFactory.cs</t>
  </si>
  <si>
    <t>C:\jenkins-devops\workspace\kw_bll_ui\framework\ui\UICore\Controls\Grid\FillService\IpAddressV4Modifier.cs</t>
  </si>
  <si>
    <t>C:\jenkins-devops\workspace\kw_bll_ui\framework\ui\UICore\Controls\Grid\FillService\IpAddressV6GeneratorFactory.cs</t>
  </si>
  <si>
    <t>C:\jenkins-devops\workspace\kw_bll_ui\framework\ui\UICore\Controls\Grid\FillService\IpAddressV6Modifier.cs</t>
  </si>
  <si>
    <t>C:\jenkins-devops\workspace\kw_bll_ui\framework\ui\UICore\Controls\Grid\FillService\MacGeneratorFactory.cs</t>
  </si>
  <si>
    <t>C:\jenkins-devops\workspace\kw_bll_ui\framework\ui\UICore\Controls\Grid\FillService\MacModifier.cs</t>
  </si>
  <si>
    <t>C:\jenkins-devops\workspace\kw_bll_ui\framework\ui\UICore\Controls\Grid\FillService\NumericGeneratorFactory.cs</t>
  </si>
  <si>
    <t>C:\jenkins-devops\workspace\kw_bll_ui\framework\ui\UICore\Controls\Grid\FillService\StringGeneratorFactory.cs</t>
  </si>
  <si>
    <t>C:\jenkins-devops\workspace\kw_bll_ui\framework\ui\UICore\Controls\Grid\FillService\WorldWideNameGeneratorFactory.cs</t>
  </si>
  <si>
    <t>C:\jenkins-devops\workspace\kw_bll_ui\framework\ui\UICore\Controls\Grid\FillService\WorldWideNameModifier.cs</t>
  </si>
  <si>
    <t>C:\jenkins-devops\workspace\kw_bll_ui\framework\ui\UICore\Controls\Grid\ViewServices\FormContextMenuManager.cs</t>
  </si>
  <si>
    <t>C:\jenkins-devops\workspace\kw_bll_ui\framework\ui\UICore\Controls\Grid\ViewServices\GridEXLayoutProxy.cs</t>
  </si>
  <si>
    <t>C:\jenkins-devops\workspace\kw_bll_ui\framework\ui\UICore\Controls\Grid\ViewServices\LayoutManagerData.cs</t>
  </si>
  <si>
    <t>C:\jenkins-devops\workspace\kw_bll_ui\framework\ui\UICore\Controls\Grid\ViewServices\MenuManagerData.cs</t>
  </si>
  <si>
    <t>C:\jenkins-devops\workspace\kw_bll_ui\framework\ui\UICore\Controls\Grid\ViewServices\ViewContextMenu.cs</t>
  </si>
  <si>
    <t>C:\jenkins-devops\workspace\kw_bll_ui\framework\ui\UICore\Controls\Grid\ViewServices\ViewServiceHelper.cs</t>
  </si>
  <si>
    <t>C:\jenkins-devops\workspace\kw_bll_ui\framework\ui\UICore\Controls\NumTextBox.cs</t>
  </si>
  <si>
    <t>C:\jenkins-devops\workspace\kw_bll_ui\framework\ui\UICore\Events\IChangeEvent.cs</t>
  </si>
  <si>
    <t>C:\jenkins-devops\workspace\kw_bll_ui\framework\ui\UICore\Events\ICreateEvent.cs</t>
  </si>
  <si>
    <t>C:\jenkins-devops\workspace\kw_bll_ui\framework\ui\UICore\Events\IDeleteEvent.cs</t>
  </si>
  <si>
    <t>C:\jenkins-devops\workspace\kw_bll_ui\framework\ui\UICore\Events\NotificationService.cs</t>
  </si>
  <si>
    <t>C:\jenkins-devops\workspace\kw_bll_ui\framework\ui\UICore\Services\DefaultWindowsFormsEditorService.cs</t>
  </si>
  <si>
    <t>C:\jenkins-devops\workspace\kw_bll_ui\framework\ui\UICore\Services\MenuService.cs</t>
  </si>
  <si>
    <t>C:\jenkins-devops\workspace\kw_bll_ui\framework\ui\UICore\Services\PluginService.cs</t>
  </si>
  <si>
    <t>C:\jenkins-devops\workspace\kw_bll_ui\framework\ui\UICore\TreeCategoryManager.cs</t>
  </si>
  <si>
    <t>C:\jenkins-devops\workspace\kw_bll_ui\framework\ui\UICore\Wizard\WizardPageBase.cs</t>
  </si>
  <si>
    <t>C:\jenkins-devops\workspace\kw_bll_ui\framework\ui\Utils\AbstractPropertyAdapter.cs</t>
  </si>
  <si>
    <t>C:\jenkins-devops\workspace\kw_bll_ui\framework\ui\Utils\BinaryConverters\IBinaryConverter.cs</t>
  </si>
  <si>
    <t>C:\jenkins-devops\workspace\kw_bll_ui\framework\ui\Utils\cIPv6Address.cs</t>
  </si>
  <si>
    <t>C:\jenkins-devops\workspace\kw_bll_ui\framework\ui\Utils\Data\AggregateCalculator.cs</t>
  </si>
  <si>
    <t>C:\jenkins-devops\workspace\kw_bll_ui\framework\ui\Utils\Data\BindablePropertyDef.cs</t>
  </si>
  <si>
    <t>C:\jenkins-devops\workspace\kw_bll_ui\framework\ui\Utils\DataEditor\DataEditorControl.cs</t>
  </si>
  <si>
    <t>C:\jenkins-devops\workspace\kw_bll_ui\framework\ui\Utils\DataEditor\DataFillForm.cs</t>
  </si>
  <si>
    <t>C:\jenkins-devops\workspace\kw_bll_ui\framework\ui\Utils\Data\PropertyChangedBinder.cs</t>
  </si>
  <si>
    <t>C:\jenkins-devops\workspace\kw_bll_ui\framework\ui\Utils\FileUtil.cs</t>
  </si>
  <si>
    <t>C:\jenkins-devops\workspace\kw_bll_ui\framework\ui\Utils\FlagsEditorControl.cs</t>
  </si>
  <si>
    <t>C:\jenkins-devops\workspace\kw_bll_ui\framework\ui\Utils\HexConverters\IHexConverter.cs</t>
  </si>
  <si>
    <t>C:\jenkins-devops\workspace\kw_bll_ui\framework\ui\Utils\Logging\LogUtils.cs</t>
  </si>
  <si>
    <t>C:\jenkins-devops\workspace\kw_bll_ui\framework\ui\Utils\Logging\StcRollingFileAppender.cs</t>
  </si>
  <si>
    <t>C:\jenkins-devops\workspace\kw_bll_ui\framework\ui\Utils\MenuHelpers.cs</t>
  </si>
  <si>
    <t>C:\jenkins-devops\workspace\kw_bll_ui\framework\ui\Utils\ModIPv4.cs</t>
  </si>
  <si>
    <t>C:\jenkins-devops\workspace\kw_bll_ui\framework\ui\Utils\SaveResultDbFilePropertyEditor.cs</t>
  </si>
  <si>
    <t>C:\jenkins-devops\workspace\kw_bll_ui\framework\ui\Utils\SaveResultsFilePropertyEditor.cs</t>
  </si>
  <si>
    <t>C:\jenkins-devops\workspace\kw_bll_ui\framework\ui\Utils\SettingsUpgrader.cs</t>
  </si>
  <si>
    <t>C:\jenkins-devops\workspace\kw_bll_ui\framework\ui\Utils\Sort\MergeSort.cs</t>
  </si>
  <si>
    <t>C:\jenkins-devops\workspace\kw_bll_ui\framework\ui\Utils\StcEnumConverter.cs</t>
  </si>
  <si>
    <t>C:\jenkins-devops\workspace\kw_bll_ui\framework\ui\Utils\Test\BinaryConverters\BinaryConvertersTest.cs</t>
  </si>
  <si>
    <t>C:\jenkins-devops\workspace\kw_bll_ui\framework\ui\Utils\Test\BindablePropertyDefGetDefaultValueTest.cs</t>
  </si>
  <si>
    <t>C:\jenkins-devops\workspace\kw_bll_ui\framework\ui\Utils\Test\cIPv6AddressTest.cs</t>
  </si>
  <si>
    <t>C:\jenkins-devops\workspace\kw_bll_ui\framework\ui\Utils\Test\EnumValidatorTest.cs</t>
  </si>
  <si>
    <t>C:\jenkins-devops\workspace\kw_bll_ui\framework\ui\Utils\Test\FileUtilTest.cs</t>
  </si>
  <si>
    <t>C:\jenkins-devops\workspace\kw_bll_ui\framework\ui\Utils\Test\IPv6ValidatorTest.cs</t>
  </si>
  <si>
    <t>C:\jenkins-devops\workspace\kw_bll_ui\framework\ui\Utils\Test\NumberValidatorTest.cs</t>
  </si>
  <si>
    <t>C:\jenkins-devops\workspace\kw_bll_ui\framework\ui\Utils\Test\SettingsUpgraderTest.cs</t>
  </si>
  <si>
    <t>C:\jenkins-devops\workspace\kw_bll_ui\framework\ui\Utils\Validation\IPv4Validator.cs</t>
  </si>
  <si>
    <t>C:\jenkins-devops\workspace\kw_bll_ui\framework\ui\Utils\Validation\IPv6Validator.cs</t>
  </si>
  <si>
    <t>C:\jenkins-devops\workspace\kw_bll_ui\framework\ui\Utils\Validation\NumberValidator.cs</t>
  </si>
  <si>
    <t>C:\jenkins-devops\workspace\kw_bll_ui\framework\ui\Utils\Validation\StringValidator.cs</t>
  </si>
  <si>
    <t>C:\jenkins-devops\workspace\kw_bll_ui\framework\ui\Utils\Validation\Validator.cs</t>
  </si>
  <si>
    <t>C:\jenkins-devops\workspace\kw_bll_ui\framework\ui\WizardPlugin\AbstractStep.cs</t>
  </si>
  <si>
    <t>C:\jenkins-devops\workspace\kw_bll_ui\framework\ui\WizardPlugin\WizardPresentationFactory.cs</t>
  </si>
  <si>
    <t>C:\jenkins-devops\workspace\kw_bll_ui\framework\ui\WizardPlugin\WizardPresenter.cs</t>
  </si>
  <si>
    <t>/home/spirent/jenkins-devops/workspace/kw_il/common/lib/ACE_wrappers_5.5.6/ace/Future.cpp</t>
  </si>
  <si>
    <t>/home/spirent/jenkins-devops/workspace/kw_il/common/lib/ACE_wrappers_5.5.6/ace/Guard_T.h</t>
  </si>
  <si>
    <t>/home/spirent/jenkins-devops/workspace/kw_il/common/lib/ACE_wrappers_5.5.6/ace/Lock_Adapter_T.cpp</t>
  </si>
  <si>
    <t>/home/spirent/jenkins-devops/workspace/kw_il/common/lib/ACE_wrappers_5.5.6/ace/Node.cpp</t>
  </si>
  <si>
    <t>/home/spirent/jenkins-devops/workspace/kw_il/common/lib/ACE_wrappers_5.5.6/ace/OS_NS_Thread.inl</t>
  </si>
  <si>
    <t>/home/spirent/jenkins-devops/workspace/kw_il/common/lib/ACE_wrappers_5.5.6/ace/Timer_Hash_T.cpp</t>
  </si>
  <si>
    <t>/home/spirent/jenkins-devops/workspace/kw_il/common/lib/ACE_wrappers_5.5.6/ace/Timer_Heap_T.cpp</t>
  </si>
  <si>
    <t>/home/spirent/jenkins-devops/workspace/kw_il/common/lib/ACE_wrappers_5.5.6/ace/Timer_Queue_Adapters.cpp</t>
  </si>
  <si>
    <t>/home/spirent/jenkins-devops/workspace/kw_il/common/lib/ACE_wrappers_5.5.6/ace/Timer_Queue_T.cpp</t>
  </si>
  <si>
    <t>/home/spirent/jenkins-devops/workspace/kw_il/common/lib/boost_1_39_0/boost/algorithm/string/detail/find_format_all.hpp</t>
  </si>
  <si>
    <t>/home/spirent/jenkins-devops/workspace/kw_il/common/lib/boost_1_39_0/boost/algorithm/string/detail/replace_storage.hpp</t>
  </si>
  <si>
    <t>/home/spirent/jenkins-devops/workspace/kw_il/common/lib/boost_1_39_0/boost/algorithm/string/find_iterator.hpp</t>
  </si>
  <si>
    <t>/home/spirent/jenkins-devops/workspace/kw_il/common/lib/boost_1_39_0/boost/archive/basic_archive.hpp</t>
  </si>
  <si>
    <t>/home/spirent/jenkins-devops/workspace/kw_il/common/lib/boost_1_39_0/boost/archive/shared_ptr_helper.hpp</t>
  </si>
  <si>
    <t>/home/spirent/jenkins-devops/workspace/kw_il/common/lib/boost_1_39_0/boost/bimap/bimap.hpp</t>
  </si>
  <si>
    <t>/home/spirent/jenkins-devops/workspace/kw_il/common/lib/boost_1_39_0/boost/bimap/container_adaptor/unordered_associative_container_adaptor.hpp</t>
  </si>
  <si>
    <t>/home/spirent/jenkins-devops/workspace/kw_il/common/lib/boost_1_39_0/boost/bind/bind.hpp</t>
  </si>
  <si>
    <t>/home/spirent/jenkins-devops/workspace/kw_il/common/lib/boost_1_39_0/boost/circular_buffer/base.hpp</t>
  </si>
  <si>
    <t>/home/spirent/jenkins-devops/workspace/kw_il/common/lib/boost_1_39_0/boost/concept/usage.hpp</t>
  </si>
  <si>
    <t>/home/spirent/jenkins-devops/workspace/kw_il/common/lib/boost_1_39_0/boost/detail/compressed_pair.hpp</t>
  </si>
  <si>
    <t>/home/spirent/jenkins-devops/workspace/kw_il/common/lib/boost_1_39_0/boost/filesystem/operations.hpp</t>
  </si>
  <si>
    <t>/home/spirent/jenkins-devops/workspace/kw_il/common/lib/boost_1_39_0/boost/flyweight/flyweight.hpp</t>
  </si>
  <si>
    <t>/home/spirent/jenkins-devops/workspace/kw_il/common/lib/boost_1_39_0/boost/foreach.hpp</t>
  </si>
  <si>
    <t>/home/spirent/jenkins-devops/workspace/kw_il/common/lib/boost_1_39_0/boost/function/function_base.hpp</t>
  </si>
  <si>
    <t>/home/spirent/jenkins-devops/workspace/kw_il/common/lib/boost_1_39_0/boost/graph/detail/adjacency_list.hpp</t>
  </si>
  <si>
    <t>/home/spirent/jenkins-devops/workspace/kw_il/common/lib/boost_1_39_0/boost/graph/detail/edge.hpp</t>
  </si>
  <si>
    <t>/home/spirent/jenkins-devops/workspace/kw_il/common/lib/boost_1_39_0/boost/intrusive/list.hpp</t>
  </si>
  <si>
    <t>/home/spirent/jenkins-devops/workspace/kw_il/common/lib/boost_1_39_0/boost/intrusive/slist.hpp</t>
  </si>
  <si>
    <t>/home/spirent/jenkins-devops/workspace/kw_il/common/lib/boost_1_39_0/boost/iostreams/chain.hpp</t>
  </si>
  <si>
    <t>/home/spirent/jenkins-devops/workspace/kw_il/common/lib/boost_1_39_0/boost/iostreams/detail/buffer.hpp</t>
  </si>
  <si>
    <t>/home/spirent/jenkins-devops/workspace/kw_il/common/lib/boost_1_39_0/boost/iterator/iterator_adaptor.hpp</t>
  </si>
  <si>
    <t>/home/spirent/jenkins-devops/workspace/kw_il/common/lib/boost_1_39_0/boost/pending/relaxed_heap.hpp</t>
  </si>
  <si>
    <t>/home/spirent/jenkins-devops/workspace/kw_il/common/lib/boost_1_39_0/boost/ptr_container/detail/associative_ptr_container.hpp</t>
  </si>
  <si>
    <t>/home/spirent/jenkins-devops/workspace/kw_il/common/lib/boost_1_39_0/boost/ptr_container/ptr_set_adapter.hpp</t>
  </si>
  <si>
    <t>/home/spirent/jenkins-devops/workspace/kw_il/common/lib/boost_1_39_0/boost/random/detail/pass_through_engine.hpp</t>
  </si>
  <si>
    <t>/home/spirent/jenkins-devops/workspace/kw_il/common/lib/boost_1_39_0/boost/random/normal_distribution.hpp</t>
  </si>
  <si>
    <t>/home/spirent/jenkins-devops/workspace/kw_il/common/lib/boost_1_39_0/boost/regex/v4/basic_regex_creator.hpp</t>
  </si>
  <si>
    <t>/home/spirent/jenkins-devops/workspace/kw_il/common/lib/boost_1_39_0/boost/regex/v4/basic_regex.hpp</t>
  </si>
  <si>
    <t>/home/spirent/jenkins-devops/workspace/kw_il/common/lib/boost_1_39_0/boost/regex/v4/basic_regex_parser.hpp</t>
  </si>
  <si>
    <t>/home/spirent/jenkins-devops/workspace/kw_il/common/lib/boost_1_39_0/boost/regex/v4/regex_iterator.hpp</t>
  </si>
  <si>
    <t>/home/spirent/jenkins-devops/workspace/kw_il/common/lib/boost_1_39_0/boost/regex/v4/regex_raw_buffer.hpp</t>
  </si>
  <si>
    <t>/home/spirent/jenkins-devops/workspace/kw_il/common/lib/boost_1_39_0/boost/serialization/detail/shared_count_132.hpp</t>
  </si>
  <si>
    <t>/home/spirent/jenkins-devops/workspace/kw_il/common/lib/boost_1_39_0/boost/serialization/serialization.hpp</t>
  </si>
  <si>
    <t>/home/spirent/jenkins-devops/workspace/kw_il/common/lib/boost_1_39_0/boost/serialization/smart_cast.hpp</t>
  </si>
  <si>
    <t>/home/spirent/jenkins-devops/workspace/kw_il/common/lib/boost_1_39_0/boost/signals2/detail/signal_template.hpp</t>
  </si>
  <si>
    <t>/home/spirent/jenkins-devops/workspace/kw_il/common/lib/boost_1_39_0/boost/smart_ptr/detail/shared_count.hpp</t>
  </si>
  <si>
    <t>/home/spirent/jenkins-devops/workspace/kw_il/common/lib/boost_1_39_0/boost/spirit/home/classic/actor/assign_actor.hpp</t>
  </si>
  <si>
    <t>/home/spirent/jenkins-devops/workspace/kw_il/common/lib/boost_1_39_0/boost/token_functions.hpp</t>
  </si>
  <si>
    <t>/home/spirent/jenkins-devops/workspace/kw_il/common/lib/boost_1_39_0/boost/tuple/detail/tuple_basic.hpp</t>
  </si>
  <si>
    <t>/home/spirent/jenkins-devops/workspace/kw_il/common/lib/boost_1_39_0/boost/utility/addressof.hpp</t>
  </si>
  <si>
    <t>/home/spirent/jenkins-devops/workspace/kw_il/common/lib/boost_1_39_0/boost/variant/detail/visitation_impl.hpp</t>
  </si>
  <si>
    <t>/home/spirent/jenkins-devops/workspace/kw_il/common/lib/boost_1_39_0/boost/variant/variant.hpp</t>
  </si>
  <si>
    <t>/home/spirent/jenkins-devops/workspace/kw_il/common/lib/protobuf/2.4.1/include/google/protobuf/repeated_field.h</t>
  </si>
  <si>
    <t>/home/spirent/jenkins-devops/workspace/kw_il/common/tools/tinyxpath/byte_stream.h</t>
  </si>
  <si>
    <t>/home/spirent/jenkins-devops/workspace/kw_il/common/tools/tinyxpath/lex_token.h</t>
  </si>
  <si>
    <t>/home/spirent/jenkins-devops/workspace/kw_il/common/tools/tinyxpath/tokenlist.h</t>
  </si>
  <si>
    <t>/home/spirent/jenkins-devops/workspace/kw_il/content/access/ancp/il/ancpd/AncpEvent.h</t>
  </si>
  <si>
    <t>/home/spirent/jenkins-devops/workspace/kw_il/content/access/ancp/il/ancpd/main.cpp</t>
  </si>
  <si>
    <t>/home/spirent/jenkins-devops/workspace/kw_il/content/access/dhcpv4/il/dhcpd/accessmgr.h</t>
  </si>
  <si>
    <t>/home/spirent/jenkins-devops/workspace/kw_il/content/access/dhcpv4/il/dhcpd/ActiveTimerQueue.tcc</t>
  </si>
  <si>
    <t>/home/spirent/jenkins-devops/workspace/kw_il/content/access/dhcpv4/il/dhcpd/DhcpCore.cpp</t>
  </si>
  <si>
    <t>/home/spirent/jenkins-devops/workspace/kw_il/content/access/dhcpv4/il/dhcpd/dhcpv4MsgSetSrv_1.cpp</t>
  </si>
  <si>
    <t>/home/spirent/jenkins-devops/workspace/kw_il/content/access/dhcpv4/il/server/DhcpMessage.cpp</t>
  </si>
  <si>
    <t>/home/spirent/jenkins-devops/workspace/kw_il/content/access/dhcpv4/il/server/DhcpServer.cpp</t>
  </si>
  <si>
    <t>/home/spirent/jenkins-devops/workspace/kw_il/content/access/dhcpv4/il/server/DhcpServerEvents.cpp</t>
  </si>
  <si>
    <t>/home/spirent/jenkins-devops/workspace/kw_il/content/access/dhcpv6/il/dhcpv6d/Dhcpv6ND.cpp</t>
  </si>
  <si>
    <t>/home/spirent/jenkins-devops/workspace/kw_il/content/access/dhcpv6/il/dhcpv6d/Dhcpv6ND.h</t>
  </si>
  <si>
    <t>/home/spirent/jenkins-devops/workspace/kw_il/content/access/dhcpv6/il/dhcpv6d/Dhcpv6RxThread.cpp</t>
  </si>
  <si>
    <t>/home/spirent/jenkins-devops/workspace/kw_il/content/access/dhcpv6/il/dhcpv6d/Ipv6Header.h</t>
  </si>
  <si>
    <t>/home/spirent/jenkins-devops/workspace/kw_il/content/access/dhcpv6/il/server/DhcpServerEvents.cpp</t>
  </si>
  <si>
    <t>/home/spirent/jenkins-devops/workspace/kw_il/content/access/dot1x/il/AAAClient/src/EAP.cc</t>
  </si>
  <si>
    <t>/home/spirent/jenkins-devops/workspace/kw_il/content/access/dot1x/il/dot1xd/Dot1xApplication.cpp</t>
  </si>
  <si>
    <t>/home/spirent/jenkins-devops/workspace/kw_il/content/access/dot1x/il/dot1xd/main.cpp</t>
  </si>
  <si>
    <t>/home/spirent/jenkins-devops/workspace/kw_il/content/access/dot1x/il/framework/src/Tools.h</t>
  </si>
  <si>
    <t>/home/spirent/jenkins-devops/workspace/kw_il/content/access/pppox/il/pppd/ax_ppp.cpp</t>
  </si>
  <si>
    <t>/home/spirent/jenkins-devops/workspace/kw_il/content/access/pppox/il/pppd/ifMgrMsgSetClnt_1.cpp</t>
  </si>
  <si>
    <t>/home/spirent/jenkins-devops/workspace/kw_il/content/access/pppox/il/pppd/Ipv6Header.h</t>
  </si>
  <si>
    <t>/home/spirent/jenkins-devops/workspace/kw_il/content/access/pppox/il/pppd/l2tp_config.cpp</t>
  </si>
  <si>
    <t>rzhu</t>
  </si>
  <si>
    <t>/home/spirent/jenkins-devops/workspace/kw_il/content/access/pppox/il/pppd/l2tp_recv.cpp</t>
  </si>
  <si>
    <t>/home/spirent/jenkins-devops/workspace/kw_il/content/access/pppox/il/pppd/l2tp_send.cpp</t>
  </si>
  <si>
    <t>/home/spirent/jenkins-devops/workspace/kw_il/content/access/pppox/il/pppd/main.cpp</t>
  </si>
  <si>
    <t>/home/spirent/jenkins-devops/workspace/kw_il/content/access/pppox/il/pppd/ppp_ipcp.cpp</t>
  </si>
  <si>
    <t>/home/spirent/jenkins-devops/workspace/kw_il/content/access/pppox/il/pppd/Pppv6ND.cpp</t>
  </si>
  <si>
    <t>/home/spirent/jenkins-devops/workspace/kw_il/content/access/pppox/il/pppd/Pppv6ND.h</t>
  </si>
  <si>
    <t>/home/spirent/jenkins-devops/workspace/kw_il/content/access/saa/il/saad/IcmpSocketHandler.cpp</t>
  </si>
  <si>
    <t>/home/spirent/jenkins-devops/workspace/kw_il/content/access/saa/il/saad/Ipv6Header.h</t>
  </si>
  <si>
    <t>/home/spirent/jenkins-devops/workspace/kw_il/content/access/saa/il/saad/main.cpp</t>
  </si>
  <si>
    <t>/home/spirent/jenkins-devops/workspace/kw_il/content/access/saa/il/saad/PacketSocket.cpp</t>
  </si>
  <si>
    <t>/home/spirent/jenkins-devops/workspace/kw_il/content/access/saa/il/saad/SaaAppProxy.cpp</t>
  </si>
  <si>
    <t>/home/spirent/jenkins-devops/workspace/kw_il/content/access/saa/il/saad/SaaProtocolBase.cpp</t>
  </si>
  <si>
    <t>/home/spirent/jenkins-devops/workspace/kw_il/content/access/saa/il/saad/SaaProtocolBase.h</t>
  </si>
  <si>
    <t>/home/spirent/jenkins-devops/workspace/kw_il/content/cts/tsm/il/rsocketd/main.cpp</t>
  </si>
  <si>
    <t>/home/spirent/jenkins-devops/workspace/kw_il/content/cts/tsm/il/rsocketd/RSocket_1.cpp</t>
  </si>
  <si>
    <t>/home/spirent/jenkins-devops/workspace/kw_il/content/datacenter/datacenter/common/openflow/FlowManager.cpp</t>
  </si>
  <si>
    <t>/home/spirent/jenkins-devops/workspace/kw_il/content/datacenter/datacenter/il/nox13oflib/src/include/cnode.hh</t>
  </si>
  <si>
    <t>/home/spirent/jenkins-devops/workspace/kw_il/content/datacenter/datacenter/il/nox13oflib/src/include/expr.hh</t>
  </si>
  <si>
    <t>/home/spirent/jenkins-devops/workspace/kw_il/content/datacenter/datacenter/il/nox13oflib/src/nox/coreapps/messenger/jsonmessenger.hh</t>
  </si>
  <si>
    <t>/home/spirent/jenkins-devops/workspace/kw_il/content/datacenter/datacenter/il/nox13oflib/src/nox/coreapps/spirent/spirent.cc</t>
  </si>
  <si>
    <t>/home/spirent/jenkins-devops/workspace/kw_il/content/datacenter/datacenter/il/nox13oflib/src/oflib/ofl-structs.h</t>
  </si>
  <si>
    <t>/home/spirent/jenkins-devops/workspace/kw_il/content/datacenter/datacenter/il/nox/src/include/cnode.hh</t>
  </si>
  <si>
    <t>/home/spirent/jenkins-devops/workspace/kw_il/content/datacenter/datacenter/il/nox/src/include/datapath-join.hh</t>
  </si>
  <si>
    <t>/home/spirent/jenkins-devops/workspace/kw_il/content/datacenter/datacenter/il/nox/src/include/expr.hh</t>
  </si>
  <si>
    <t>/home/spirent/jenkins-devops/workspace/kw_il/content/datacenter/datacenter/il/nox/src/include/flow-removed.hh</t>
  </si>
  <si>
    <t>/home/spirent/jenkins-devops/workspace/kw_il/content/datacenter/datacenter/il/nox/src/nox/coreapps/messenger/jsonmessenger.hh</t>
  </si>
  <si>
    <t>/home/spirent/jenkins-devops/workspace/kw_il/content/datacenter/datacenter/il/nox/src/nox/coreapps/spirent/spirent.hh</t>
  </si>
  <si>
    <t>/home/spirent/jenkins-devops/workspace/kw_il/content/datacenter/datacenter/il/openflowd/json/json_object.cc</t>
  </si>
  <si>
    <t>/home/spirent/jenkins-devops/workspace/kw_il/content/datacenter/datacenter/il/openflowd/OpenflowApplicationProxy.cpp</t>
  </si>
  <si>
    <t>/home/spirent/jenkins-devops/workspace/kw_il/content/datacenter/datacenter/il/vxland/common/ExportBindingsTask.cpp</t>
  </si>
  <si>
    <t>/home/spirent/jenkins-devops/workspace/kw_il/content/datacenter/datacenter/il/vxland/common/MpsNotifier.cpp</t>
  </si>
  <si>
    <t>/home/spirent/jenkins-devops/workspace/kw_il/content/datacenter/datacenter/il/vxland/generator/GeneratorMsgSetClient.cpp</t>
  </si>
  <si>
    <t>/home/spirent/jenkins-devops/workspace/kw_il/content/datacenter/datacenter/il/vxland/protocol/VxlanPacket.cpp</t>
  </si>
  <si>
    <t>/home/spirent/jenkins-devops/workspace/kw_il/content/datacenter/datacenter/il/vxland/protocol/VxlanVtep.cpp</t>
  </si>
  <si>
    <t>/home/spirent/jenkins-devops/workspace/kw_il/content/mcast/igmpmld/il/mcastd/ActiveScheduler.cpp</t>
  </si>
  <si>
    <t>/home/spirent/jenkins-devops/workspace/kw_il/content/mcast/igmpmld/il/mcastd/AnaFilterValue.cpp</t>
  </si>
  <si>
    <t>/home/spirent/jenkins-devops/workspace/kw_il/content/mcast/igmpmld/il/mcastd/AnalyzerMsgSetClnt_2.cpp</t>
  </si>
  <si>
    <t>/home/spirent/jenkins-devops/workspace/kw_il/content/mcast/igmpmld/il/mcastd/McastApplication.cpp</t>
  </si>
  <si>
    <t>/home/spirent/jenkins-devops/workspace/kw_il/content/mcast/igmpmld/il/mcastd/McastApplicationProxy.cpp</t>
  </si>
  <si>
    <t>/home/spirent/jenkins-devops/workspace/kw_il/content/mcast/igmpmld/il/mcastd/McastHostProtocolImpl.tcc</t>
  </si>
  <si>
    <t>/home/spirent/jenkins-devops/workspace/kw_il/content/mcast/igmpmld/il/mcastd/McastRouterSourceRecord.tcc</t>
  </si>
  <si>
    <t>/home/spirent/jenkins-devops/workspace/kw_il/content/mcast/igmpmld/il/mcastd/McastSocketHandler.tcc</t>
  </si>
  <si>
    <t>/home/spirent/jenkins-devops/workspace/kw_il/content/mcast/igmpmld/il/mcastd/McastSocketQueue.cpp</t>
  </si>
  <si>
    <t>/home/spirent/jenkins-devops/workspace/kw_il/content/mcast/igmpmld/il/mcastd/McastTimer.cpp</t>
  </si>
  <si>
    <t>/home/spirent/jenkins-devops/workspace/kw_il/content/mcast/igmpmld/il/mcastd/SocketCompletionQueue.cpp</t>
  </si>
  <si>
    <t>/home/spirent/jenkins-devops/workspace/kw_il/content/routing/bgp/common/lib/BgpRouteParser.cpp</t>
  </si>
  <si>
    <t>/home/spirent/jenkins-devops/workspace/kw_il/content/routing/il/bfdd/BfdApplication.cpp</t>
  </si>
  <si>
    <t>/home/spirent/jenkins-devops/workspace/kw_il/content/routing/il/bfdd/BfdEthernetSocketHandlerFactory.cpp</t>
  </si>
  <si>
    <t>/home/spirent/jenkins-devops/workspace/kw_il/content/routing/il/bfdd/BfdMessage.h</t>
  </si>
  <si>
    <t>/home/spirent/jenkins-devops/workspace/kw_il/content/routing/il/bfdd/BfdMplsMsgSetClient.cpp</t>
  </si>
  <si>
    <t>/home/spirent/jenkins-devops/workspace/kw_il/content/routing/il/bfdd/BfdRouter.cpp</t>
  </si>
  <si>
    <t>/home/spirent/jenkins-devops/workspace/kw_il/content/routing/il/bfdd/BfdRxProcessingThread.cpp</t>
  </si>
  <si>
    <t>/home/spirent/jenkins-devops/workspace/kw_il/content/routing/il/bfdd/BfdRxThread.cpp</t>
  </si>
  <si>
    <t>/home/spirent/jenkins-devops/workspace/kw_il/content/routing/il/bfdd/BfdRxTimer.cpp</t>
  </si>
  <si>
    <t>/home/spirent/jenkins-devops/workspace/kw_il/content/routing/il/bfdd/BfdSession.cpp</t>
  </si>
  <si>
    <t>/home/spirent/jenkins-devops/workspace/kw_il/content/routing/il/bfdd/GeneratorClientHandler.cpp</t>
  </si>
  <si>
    <t>/home/spirent/jenkins-devops/workspace/kw_il/content/routing/il/bfdd/main.cpp</t>
  </si>
  <si>
    <t>/home/spirent/jenkins-devops/workspace/kw_il/content/routing/il/bfdd/UdpSocketHandler.cpp</t>
  </si>
  <si>
    <t>/home/spirent/jenkins-devops/workspace/kw_il/content/routing/il/common/bgp_client_msg.cpp</t>
  </si>
  <si>
    <t>/home/spirent/jenkins-devops/workspace/kw_il/content/routing/il/common/btl/config_list.h</t>
  </si>
  <si>
    <t>/home/spirent/jenkins-devops/workspace/kw_il/content/routing/il/common/btl/config_node_impl.h</t>
  </si>
  <si>
    <t>/home/spirent/jenkins-devops/workspace/kw_il/content/routing/il/common/HwMgrClientHandler.cpp</t>
  </si>
  <si>
    <t>/home/spirent/jenkins-devops/workspace/kw_il/content/routing/il/common/MplsTpMsgSetClient.cpp</t>
  </si>
  <si>
    <t>/home/spirent/jenkins-devops/workspace/kw_il/content/routing/il/common/mplsutil/MplsUtilTxRxMgr.cpp</t>
  </si>
  <si>
    <t>/home/spirent/jenkins-devops/workspace/kw_il/content/routing/il/common/timer.cpp</t>
  </si>
  <si>
    <t>/home/spirent/jenkins-devops/workspace/kw_il/content/routing/il/eoamd/EoamAisTarget.cpp</t>
  </si>
  <si>
    <t>/home/spirent/jenkins-devops/workspace/kw_il/content/routing/il/eoamd/EoamCore.cpp</t>
  </si>
  <si>
    <t>/home/spirent/jenkins-devops/workspace/kw_il/content/routing/il/eoamd/EoamLckTarget.cpp</t>
  </si>
  <si>
    <t>/home/spirent/jenkins-devops/workspace/kw_il/content/routing/il/eoamd/EoamMsgSetSrv_1.cpp</t>
  </si>
  <si>
    <t>/home/spirent/jenkins-devops/workspace/kw_il/content/routing/il/eoamd/EoamSocket.cpp</t>
  </si>
  <si>
    <t>/home/spirent/jenkins-devops/workspace/kw_il/content/routing/il/eoamd/GeneratorClientHandler.cpp</t>
  </si>
  <si>
    <t>/home/spirent/jenkins-devops/workspace/kw_il/content/routing/il/linkoamd/LinkOamMsgSetSrv_1.cpp</t>
  </si>
  <si>
    <t>/home/spirent/jenkins-devops/workspace/kw_il/content/routing/il/linkoamd/LinkOamRtr.cpp</t>
  </si>
  <si>
    <t>/home/spirent/jenkins-devops/workspace/kw_il/content/routing/il/linkoamd/LinkOamRxThread.cpp</t>
  </si>
  <si>
    <t>/home/spirent/jenkins-devops/workspace/kw_il/content/routing/il/lispd/common/ExportBindingsTask.cpp</t>
  </si>
  <si>
    <t>/home/spirent/jenkins-devops/workspace/kw_il/content/routing/il/lispd/common/MpsNotifier.cpp</t>
  </si>
  <si>
    <t>/home/spirent/jenkins-devops/workspace/kw_il/content/routing/il/lispd/common/UtilityOperators.cpp</t>
  </si>
  <si>
    <t>/home/spirent/jenkins-devops/workspace/kw_il/content/routing/il/lispd/generator/EidBlockAdapter.cpp</t>
  </si>
  <si>
    <t>/home/spirent/jenkins-devops/workspace/kw_il/content/routing/il/lispd/generator/GeneratorMsgSetClient.cpp</t>
  </si>
  <si>
    <t>/home/spirent/jenkins-devops/workspace/kw_il/content/routing/il/lldp/GeneratorMsgSetClient.cpp</t>
  </si>
  <si>
    <t>/home/spirent/jenkins-devops/workspace/kw_il/content/routing/il/lldp/ifMgrMsgSetClnt_1.cpp</t>
  </si>
  <si>
    <t>/home/spirent/jenkins-devops/workspace/kw_il/content/routing/il/lldp/LldpMib.cpp</t>
  </si>
  <si>
    <t>/home/spirent/jenkins-devops/workspace/kw_il/content/routing/il/lldp/main.cpp</t>
  </si>
  <si>
    <t>/home/spirent/jenkins-devops/workspace/kw_il/content/routing/il/lldp/StcLogger.cpp</t>
  </si>
  <si>
    <t>/home/spirent/jenkins-devops/workspace/kw_il/content/routing/il/mplsoamd/MplsOamLsp.cpp</t>
  </si>
  <si>
    <t>/home/spirent/jenkins-devops/workspace/kw_il/content/routing/il/mplsoamd/MplsOamMsgSetClient.cpp</t>
  </si>
  <si>
    <t>/home/spirent/jenkins-devops/workspace/kw_il/content/routing/il/mplsoamd/MplsOamProtocolProxy.cpp</t>
  </si>
  <si>
    <t>/home/spirent/jenkins-devops/workspace/kw_il/content/routing/il/mplstpd/api/BinderOamMsgSetClient.cpp</t>
  </si>
  <si>
    <t>/home/spirent/jenkins-devops/workspace/kw_il/content/routing/il/mplstpoamd/MplsTpOamMsg.cpp</t>
  </si>
  <si>
    <t>/home/spirent/jenkins-devops/workspace/kw_il/content/routing/il/mplstpoamd/MplsTpOamMsgSetClient.cpp</t>
  </si>
  <si>
    <t>/home/spirent/jenkins-devops/workspace/kw_il/content/routing/il/mplstpoamd/MplsTpOamMsgTx.cpp</t>
  </si>
  <si>
    <t>/home/spirent/jenkins-devops/workspace/kw_il/content/routing/il/mplstpoamd/MplsTpOamPacket.cpp</t>
  </si>
  <si>
    <t>/home/spirent/jenkins-devops/workspace/kw_il/content/routing/il/mplstpoamd/MplsTpOamProtocol.cpp</t>
  </si>
  <si>
    <t>/home/spirent/jenkins-devops/workspace/kw_il/content/routing/il/mplstpoamd/MplsTpOamProtocolProxy.cpp</t>
  </si>
  <si>
    <t>/home/spirent/jenkins-devops/workspace/kw_il/content/routing/il/ngc2-7-3-spirent/src/apps/rtg_1_server_msg.cpp</t>
  </si>
  <si>
    <t>/home/spirent/jenkins-devops/workspace/kw_il/content/routing/il/ngc2-7-3-spirent/src/aspath/aspath_hash.c</t>
  </si>
  <si>
    <t>/home/spirent/jenkins-devops/workspace/kw_il/content/routing/il/ngc2-7-3-spirent/src/bgp/bgp_dget_orf.c</t>
  </si>
  <si>
    <t>/home/spirent/jenkins-devops/workspace/kw_il/content/routing/il/ngc2-7-3-spirent/src/bgp/bgp_dget_route.c</t>
  </si>
  <si>
    <t>/home/spirent/jenkins-devops/workspace/kw_il/content/routing/il/ngc2-7-3-spirent/src/bgp/bgp_dget_summary.c</t>
  </si>
  <si>
    <t>/home/spirent/jenkins-devops/workspace/kw_il/content/routing/il/ngc2-7-3-spirent/src/bgp/bgp_init.c</t>
  </si>
  <si>
    <t>/home/spirent/jenkins-devops/workspace/kw_il/content/routing/il/ngc2-7-3-spirent/src/bgp/bgp_med.c</t>
  </si>
  <si>
    <t>/home/spirent/jenkins-devops/workspace/kw_il/content/routing/il/ngc2-7-3-spirent/src/bgp/bgp_metrics.c</t>
  </si>
  <si>
    <t>/home/spirent/jenkins-devops/workspace/kw_il/content/routing/il/ngc2-7-3-spirent/src/bgp/bgp_policy.c</t>
  </si>
  <si>
    <t>/home/spirent/jenkins-devops/workspace/kw_il/content/routing/il/ngc2-7-3-spirent/src/bgp/bgp_rt.c</t>
  </si>
  <si>
    <t>/home/spirent/jenkins-devops/workspace/kw_il/content/routing/il/ngc2-7-3-spirent/src/bgp/bgp_send.c</t>
  </si>
  <si>
    <t>/home/spirent/jenkins-devops/workspace/kw_il/content/routing/il/ngc2-7-3-spirent/src/binder/common/ExportFecTask.cpp</t>
  </si>
  <si>
    <t>/home/spirent/jenkins-devops/workspace/kw_il/content/routing/il/ngc2-7-3-spirent/src/binder/common/MpsNotifier.cpp</t>
  </si>
  <si>
    <t>/home/spirent/jenkins-devops/workspace/kw_il/content/routing/il/ngc2-7-3-spirent/src/binder/common/UtilityOperators.cpp</t>
  </si>
  <si>
    <t>/home/spirent/jenkins-devops/workspace/kw_il/content/routing/il/ngc2-7-3-spirent/src/binder/generator/FecBlockAdapter.cpp</t>
  </si>
  <si>
    <t>/home/spirent/jenkins-devops/workspace/kw_il/content/routing/il/ngc2-7-3-spirent/src/binder/mplsoam/FecBlockAdapter.cpp</t>
  </si>
  <si>
    <t>/home/spirent/jenkins-devops/workspace/kw_il/content/routing/il/ngc2-7-3-spirent/src/gated/dget_version.c</t>
  </si>
  <si>
    <t>/home/spirent/jenkins-devops/workspace/kw_il/content/routing/il/ngc2-7-3-spirent/src/gated/gmsg.c</t>
  </si>
  <si>
    <t>/home/spirent/jenkins-devops/workspace/kw_il/content/routing/il/ngc2-7-3-spirent/src/gated/if_container.c</t>
  </si>
  <si>
    <t>/home/spirent/jenkins-devops/workspace/kw_il/content/routing/il/ngc2-7-3-spirent/src/gated/nexthop.c</t>
  </si>
  <si>
    <t>/home/spirent/jenkins-devops/workspace/kw_il/content/routing/il/ngc2-7-3-spirent/src/gated/spirent.c</t>
  </si>
  <si>
    <t>/home/spirent/jenkins-devops/workspace/kw_il/content/routing/il/ngc2-7-3-spirent/src/gated/standalone.c</t>
  </si>
  <si>
    <t>/home/spirent/jenkins-devops/workspace/kw_il/content/routing/il/ngc2-7-3-spirent/src/inet4core/inet.c</t>
  </si>
  <si>
    <t>/home/spirent/jenkins-devops/workspace/kw_il/content/routing/il/ngc2-7-3-spirent/src/inet6core/inet6.c</t>
  </si>
  <si>
    <t>/home/spirent/jenkins-devops/workspace/kw_il/content/routing/il/ngc2-7-3-spirent/src/krt_ipv6multi/krt_ipv6multicast.c</t>
  </si>
  <si>
    <t>/home/spirent/jenkins-devops/workspace/kw_il/content/routing/il/ngc2-7-3-spirent/src/krt/krt.c</t>
  </si>
  <si>
    <t>/home/spirent/jenkins-devops/workspace/kw_il/content/routing/il/ngc2-7-3-spirent/src/krt/krt_mcast_route.c</t>
  </si>
  <si>
    <t>/home/spirent/jenkins-devops/workspace/kw_il/content/routing/il/ngc2-7-3-spirent/src/krt_os/krt_ifa_netlink.c</t>
  </si>
  <si>
    <t>/home/spirent/jenkins-devops/workspace/kw_il/content/routing/il/ngc2-7-3-spirent/src/ldp/ldp.c</t>
  </si>
  <si>
    <t>/home/spirent/jenkins-devops/workspace/kw_il/content/routing/il/ngc2-7-3-spirent/src/ldp/ldp_dget_path.c</t>
  </si>
  <si>
    <t>/home/spirent/jenkins-devops/workspace/kw_il/content/routing/il/ngc2-7-3-spirent/src/ldp/ldp_pdu.c</t>
  </si>
  <si>
    <t>/home/spirent/jenkins-devops/workspace/kw_il/content/routing/il/ngc2-7-3-spirent/src/ldp/ldp_queue_msgs.c</t>
  </si>
  <si>
    <t>/home/spirent/jenkins-devops/workspace/kw_il/content/routing/il/ngc2-7-3-spirent/src/ldp/ldp_send.c</t>
  </si>
  <si>
    <t>/home/spirent/jenkins-devops/workspace/kw_il/content/routing/il/ngc2-7-3-spirent/src/mioagt/agt.c</t>
  </si>
  <si>
    <t>/home/spirent/jenkins-devops/workspace/kw_il/content/routing/il/ngc2-7-3-spirent/src/mioagt/bgp_mio.c</t>
  </si>
  <si>
    <t>/home/spirent/jenkins-devops/workspace/kw_il/content/routing/il/ngc2-7-3-spirent/src/mioagt/mio.c</t>
  </si>
  <si>
    <t>/home/spirent/jenkins-devops/workspace/kw_il/content/routing/il/ngc2-7-3-spirent/src/mioagt/mio_dget.c</t>
  </si>
  <si>
    <t>/home/spirent/jenkins-devops/workspace/kw_il/content/routing/il/ngc2-7-3-spirent/src/mioagt/ospf3_mio.c</t>
  </si>
  <si>
    <t>/home/spirent/jenkins-devops/workspace/kw_il/content/routing/il/ngc2-7-3-spirent/src/mioagt/ospf_mio.c</t>
  </si>
  <si>
    <t>/home/spirent/jenkins-devops/workspace/kw_il/content/routing/il/ngc2-7-3-spirent/src/mioagt/policy_mio.c</t>
  </si>
  <si>
    <t>/home/spirent/jenkins-devops/workspace/kw_il/content/routing/il/ngc2-7-3-spirent/src/mioagt/rip_mio.c</t>
  </si>
  <si>
    <t>/home/spirent/jenkins-devops/workspace/kw_il/content/routing/il/ngc2-7-3-spirent/src/mpbgp/mpbgp_rt.c</t>
  </si>
  <si>
    <t>/home/spirent/jenkins-devops/workspace/kw_il/content/routing/il/ngc2-7-3-spirent/src/mplscore/mpls_dget_ag.c</t>
  </si>
  <si>
    <t>/home/spirent/jenkins-devops/workspace/kw_il/content/routing/il/ngc2-7-3-spirent/src/mplscore/mpls_dget_frr.c</t>
  </si>
  <si>
    <t>/home/spirent/jenkins-devops/workspace/kw_il/content/routing/il/ngc2-7-3-spirent/src/mplscore/mpls_dget_global.c</t>
  </si>
  <si>
    <t>/home/spirent/jenkins-devops/workspace/kw_il/content/routing/il/ngc2-7-3-spirent/src/mplscore/mpls_dget_if.c</t>
  </si>
  <si>
    <t>/home/spirent/jenkins-devops/workspace/kw_il/content/routing/il/ngc2-7-3-spirent/src/mplscore/mpls_dget_path.c</t>
  </si>
  <si>
    <t>/home/spirent/jenkins-devops/workspace/kw_il/content/routing/il/ngc2-7-3-spirent/src/mplscore/mpls_dget_pathhop.c</t>
  </si>
  <si>
    <t>/home/spirent/jenkins-devops/workspace/kw_il/content/routing/il/ngc2-7-3-spirent/src/mplscore/num_alloc.c</t>
  </si>
  <si>
    <t>/home/spirent/jenkins-devops/workspace/kw_il/content/routing/il/ngc2-7-3-spirent/src/mps_manager/IsisStatsDbAdapter.cpp</t>
  </si>
  <si>
    <t>/home/spirent/jenkins-devops/workspace/kw_il/content/routing/il/ngc2-7-3-spirent/src/mps_manager/LdpPWLspStatsDbAdapter.cpp</t>
  </si>
  <si>
    <t>/home/spirent/jenkins-devops/workspace/kw_il/content/routing/il/ngc2-7-3-spirent/src/mps_manager/LdpStatsDbAdapter.cpp</t>
  </si>
  <si>
    <t>/home/spirent/jenkins-devops/workspace/kw_il/content/routing/il/ngc2-7-3-spirent/src/mps_manager/Ospfv3StatsDbAdapter.cpp</t>
  </si>
  <si>
    <t>/home/spirent/jenkins-devops/workspace/kw_il/content/routing/il/ngc2-7-3-spirent/src/mps_manager/RipStatsDbAdapter.cpp</t>
  </si>
  <si>
    <t>/home/spirent/jenkins-devops/workspace/kw_il/content/routing/il/ngc2-7-3-spirent/src/mps_manager/RsvpLspStatsDbAdapter.cpp</t>
  </si>
  <si>
    <t>/home/spirent/jenkins-devops/workspace/kw_il/content/routing/il/ngc2-7-3-spirent/src/mps_manager/RsvpStatsDbAdapter.cpp</t>
  </si>
  <si>
    <t>/home/spirent/jenkins-devops/workspace/kw_il/content/routing/il/ngc2-7-3-spirent/src/mps_manager/RsvpSubLspStatsDbAdapter.cpp</t>
  </si>
  <si>
    <t>/home/spirent/jenkins-devops/workspace/kw_il/content/routing/il/ngc2-7-3-spirent/src/mps_manager/spirent_bgp_ami_msg.cpp</t>
  </si>
  <si>
    <t>/home/spirent/jenkins-devops/workspace/kw_il/content/routing/il/ngc2-7-3-spirent/src/mps_manager/spirent_mps_manager.cpp</t>
  </si>
  <si>
    <t>/home/spirent/jenkins-devops/workspace/kw_il/content/routing/il/ngc2-7-3-spirent/src/mps_manager/spirent_ospf_ami_msg.cpp</t>
  </si>
  <si>
    <t>/home/spirent/jenkins-devops/workspace/kw_il/content/routing/il/ngc2-7-3-spirent/src/new_isis/new_isis_adj.c</t>
  </si>
  <si>
    <t>/home/spirent/jenkins-devops/workspace/kw_il/content/routing/il/ngc2-7-3-spirent/src/new_isis/new_isis_auth.c</t>
  </si>
  <si>
    <t>/home/spirent/jenkins-devops/workspace/kw_il/content/routing/il/ngc2-7-3-spirent/src/new_isis/new_isis.c</t>
  </si>
  <si>
    <t>/home/spirent/jenkins-devops/workspace/kw_il/content/routing/il/ngc2-7-3-spirent/src/new_isis/new_isis_lsp.c</t>
  </si>
  <si>
    <t>/home/spirent/jenkins-devops/workspace/kw_il/content/routing/il/ngc2-7-3-spirent/src/new_isis/new_isis_spf.c</t>
  </si>
  <si>
    <t>/home/spirent/jenkins-devops/workspace/kw_il/content/routing/il/ngc2-7-3-spirent/src/new_ospf/new_ospf_dget_instsum.c</t>
  </si>
  <si>
    <t>/home/spirent/jenkins-devops/workspace/kw_il/content/routing/il/ngc2-7-3-spirent/src/new_ospf/new_ospf_dget_request.c</t>
  </si>
  <si>
    <t>/home/spirent/jenkins-devops/workspace/kw_il/content/routing/il/ngc2-7-3-spirent/src/new_ospf/new_ospf_dget_retrans.c</t>
  </si>
  <si>
    <t>/home/spirent/jenkins-devops/workspace/kw_il/content/routing/il/ngc2-7-3-spirent/src/new_ospf/new_ospf_dget_sumaddr.c</t>
  </si>
  <si>
    <t>/home/spirent/jenkins-devops/workspace/kw_il/content/routing/il/ngc2-7-3-spirent/src/new_ospf/new_ospf_dget_vlink.c</t>
  </si>
  <si>
    <t>/home/spirent/jenkins-devops/workspace/kw_il/content/routing/il/ngc2-7-3-spirent/src/new_ospf/new_ospf_flood.c</t>
  </si>
  <si>
    <t>/home/spirent/jenkins-devops/workspace/kw_il/content/routing/il/ngc2-7-3-spirent/src/new_ospf/new_ospf_lls.c</t>
  </si>
  <si>
    <t>/home/spirent/jenkins-devops/workspace/kw_il/content/routing/il/ngc2-7-3-spirent/src/new_ospf/new_ospf_restart.c</t>
  </si>
  <si>
    <t>/home/spirent/jenkins-devops/workspace/kw_il/content/routing/il/ngc2-7-3-spirent/src/ospf2_advanced/ospf2_cspf.c</t>
  </si>
  <si>
    <t>/home/spirent/jenkins-devops/workspace/kw_il/content/routing/il/ngc2-7-3-spirent/src/ospf3/graph.c</t>
  </si>
  <si>
    <t>/home/spirent/jenkins-devops/workspace/kw_il/content/routing/il/ngc2-7-3-spirent/src/ospf3/ospf3_area.c</t>
  </si>
  <si>
    <t>/home/spirent/jenkins-devops/workspace/kw_il/content/routing/il/ngc2-7-3-spirent/src/ospf3/ospf3_dget_sumaddr.c</t>
  </si>
  <si>
    <t>/home/spirent/jenkins-devops/workspace/kw_il/content/routing/il/ngc2-7-3-spirent/src/ospf3/ospf3_dget_vlink.c</t>
  </si>
  <si>
    <t>/home/spirent/jenkins-devops/workspace/kw_il/content/routing/il/ngc2-7-3-spirent/src/ospf3/ospf3_entry.c</t>
  </si>
  <si>
    <t>/home/spirent/jenkins-devops/workspace/kw_il/content/routing/il/ngc2-7-3-spirent/src/ospf3/ospf3_int.c</t>
  </si>
  <si>
    <t>/home/spirent/jenkins-devops/workspace/kw_il/content/routing/il/ngc2-7-3-spirent/src/ospf3/ospf3_ls.c</t>
  </si>
  <si>
    <t>/home/spirent/jenkins-devops/workspace/kw_il/content/routing/il/ngc2-7-3-spirent/src/ospf3/ospf3_ngb.c</t>
  </si>
  <si>
    <t>/home/spirent/jenkins-devops/workspace/kw_il/content/routing/il/ngc2-7-3-spirent/src/ospf3/ospf3_spf.c</t>
  </si>
  <si>
    <t>/home/spirent/jenkins-devops/workspace/kw_il/content/routing/il/ngc2-7-3-spirent/src/ripng/ripng_dget_db.c</t>
  </si>
  <si>
    <t>/home/spirent/jenkins-devops/workspace/kw_il/content/routing/il/ngc2-7-3-spirent/src/ripng/ripng_dget_gwsum.c</t>
  </si>
  <si>
    <t>/home/spirent/jenkins-devops/workspace/kw_il/content/routing/il/ngc2-7-3-spirent/src/ripng/ripng_init.c</t>
  </si>
  <si>
    <t>/home/spirent/jenkins-devops/workspace/kw_il/content/routing/il/ngc2-7-3-spirent/src/rip/rip.c</t>
  </si>
  <si>
    <t>/home/spirent/jenkins-devops/workspace/kw_il/content/routing/il/ngc2-7-3-spirent/src/rip/rip_dget_gwsum.c</t>
  </si>
  <si>
    <t>/home/spirent/jenkins-devops/workspace/kw_il/content/routing/il/ngc2-7-3-spirent/src/rip/rip_init.c</t>
  </si>
  <si>
    <t>/home/spirent/jenkins-devops/workspace/kw_il/content/routing/il/ngc2-7-3-spirent/src/rip/rip_recv.c</t>
  </si>
  <si>
    <t>/home/spirent/jenkins-devops/workspace/kw_il/content/routing/il/ngc2-7-3-spirent/src/rsvp/rsvp_dget_glb_stats.c</t>
  </si>
  <si>
    <t>/home/spirent/jenkins-devops/workspace/kw_il/content/routing/il/ngc2-7-3-spirent/src/rsvp/rsvp_dget_global.c</t>
  </si>
  <si>
    <t>/home/spirent/jenkins-devops/workspace/kw_il/content/routing/il/ngc2-7-3-spirent/src/rsvp/rsvp_dget_if.c</t>
  </si>
  <si>
    <t>/home/spirent/jenkins-devops/workspace/kw_il/content/routing/il/ngc2-7-3-spirent/src/rsvp/rsvp_dget_session.c</t>
  </si>
  <si>
    <t>/home/spirent/jenkins-devops/workspace/kw_il/content/routing/il/ngc2-7-3-spirent/src/standalone/standalone.c</t>
  </si>
  <si>
    <t>/home/spirent/jenkins-devops/workspace/kw_il/content/routing/il/ngc2-7-3-spirent/src/tem/new_tm.c</t>
  </si>
  <si>
    <t>/home/spirent/jenkins-devops/workspace/kw_il/content/routing/il/ngs2-0-1-spirent/src/mps_manager/ngs_1_server_msg.cpp</t>
  </si>
  <si>
    <t>/home/spirent/jenkins-devops/workspace/kw_il/content/routing/il/ngs2-0-1-spirent/src/mps_manager/spirent_mps_manager.cpp</t>
  </si>
  <si>
    <t>/home/spirent/jenkins-devops/workspace/kw_il/content/routing/il/ngs2-0-1-spirent/src/portm/port_amux.c</t>
  </si>
  <si>
    <t>/home/spirent/jenkins-devops/workspace/kw_il/content/routing/il/ngs2-0-1-spirent/src/util/pool.c</t>
  </si>
  <si>
    <t>/home/spirent/jenkins-devops/workspace/kw_il/content/routing/il/pimd/pim_application.cpp</t>
  </si>
  <si>
    <t>/home/spirent/jenkins-devops/workspace/kw_il/content/routing/il/pimd/pim_if.cpp</t>
  </si>
  <si>
    <t>/home/spirent/jenkins-devops/workspace/kw_il/content/routing/il/pimd/pim_list.h</t>
  </si>
  <si>
    <t>/home/spirent/jenkins-devops/workspace/kw_il/content/routing/il/pimd/pim_main.cpp</t>
  </si>
  <si>
    <t>/home/spirent/jenkins-devops/workspace/kw_il/content/routing/il/pimd/pim_parse.cpp</t>
  </si>
  <si>
    <t>/home/spirent/jenkins-devops/workspace/kw_il/content/routing/il/pimd/pim_router.cpp</t>
  </si>
  <si>
    <t>/home/spirent/jenkins-devops/workspace/kw_il/content/routing/il/protectiond/app/main.cpp</t>
  </si>
  <si>
    <t>/home/spirent/jenkins-devops/workspace/kw_il/content/routing/il/ptpd/GeneratorClientHandler.cpp</t>
  </si>
  <si>
    <t>/home/spirent/jenkins-devops/workspace/kw_il/content/routing/il/ptpd/PtpClockPort.h</t>
  </si>
  <si>
    <t>/home/spirent/jenkins-devops/workspace/kw_il/content/routing/il/routed/app/main.cpp</t>
  </si>
  <si>
    <t>/home/spirent/jenkins-devops/workspace/kw_il/content/routing/il/routed/simple/SimpleMsgSetSrv_1.cpp</t>
  </si>
  <si>
    <t>/home/spirent/jenkins-devops/workspace/kw_il/content/routing/il/stpd/stp_1_server_msg.cpp</t>
  </si>
  <si>
    <t>/home/spirent/jenkins-devops/workspace/kw_il/content/routing/il/stpd/stp_list.h</t>
  </si>
  <si>
    <t>/home/spirent/jenkins-devops/workspace/kw_il/content/routing/il/stpd/stp_main.cpp</t>
  </si>
  <si>
    <t>/home/spirent/jenkins-devops/workspace/kw_il/content/routing/il/synced/SynceEthernetMulticastSocketHandler.cpp</t>
  </si>
  <si>
    <t>/home/spirent/jenkins-devops/workspace/kw_il/content/storage/csmp/il/csmpd/CsmpApplicationProxy.cpp</t>
  </si>
  <si>
    <t>/home/spirent/jenkins-devops/workspace/kw_il/content/storage/csmp/il/csmpd/CsmpClient.cpp</t>
  </si>
  <si>
    <t>/home/spirent/jenkins-devops/workspace/kw_il/content/storage/fc/il/common/StcLogger.cpp</t>
  </si>
  <si>
    <t>/home/spirent/jenkins-devops/workspace/kw_il/content/storage/fc/il/debugconsole/FcDebugClientMsg.cpp</t>
  </si>
  <si>
    <t>/home/spirent/jenkins-devops/workspace/kw_il/content/storage/fc/il/debugconsole/main.cpp</t>
  </si>
  <si>
    <t>/home/spirent/jenkins-devops/workspace/kw_il/content/storage/fc/il/fcd/apps/base/HostBlock.cpp</t>
  </si>
  <si>
    <t>/home/spirent/jenkins-devops/workspace/kw_il/content/storage/fc/il/fcd/apps/base/Port.cpp</t>
  </si>
  <si>
    <t>/home/spirent/jenkins-devops/workspace/kw_il/content/storage/fc/il/fcd/apps/fc/FcNode.cpp</t>
  </si>
  <si>
    <t>/home/spirent/jenkins-devops/workspace/kw_il/content/storage/fc/il/fcd/apps/fc/FcNPort.cpp</t>
  </si>
  <si>
    <t>/home/spirent/jenkins-devops/workspace/kw_il/content/storage/fc/il/fcd/apps/fcoebstmode/FcoeBstModeHostBlock.cpp</t>
  </si>
  <si>
    <t>/home/spirent/jenkins-devops/workspace/kw_il/content/storage/fc/il/fcd/apps/fcoe/FcoeHostBlock.cpp</t>
  </si>
  <si>
    <t>/home/spirent/jenkins-devops/workspace/kw_il/content/storage/fc/il/fcd/apps/fcoe/FcoeNeighborInfo.cpp</t>
  </si>
  <si>
    <t>/home/spirent/jenkins-devops/workspace/kw_il/content/storage/fc/il/fcd/apps/fcoe/FcoeVEPort.cpp</t>
  </si>
  <si>
    <t>/home/spirent/jenkins-devops/workspace/kw_il/content/storage/fc/il/fcd/apps/fcoe/FcoeVFPort.cpp</t>
  </si>
  <si>
    <t>/home/spirent/jenkins-devops/workspace/kw_il/content/storage/fc/il/fcd/apps/fcoe/FcoeVNPort.cpp</t>
  </si>
  <si>
    <t>/home/spirent/jenkins-devops/workspace/kw_il/content/storage/fc/il/fcd/generator_3_binder_client_msg.cpp</t>
  </si>
  <si>
    <t>/home/spirent/jenkins-devops/workspace/kw_il/content/storage/fc/il/fcd/IfMgrMsgSetClient.cpp</t>
  </si>
  <si>
    <t>/home/spirent/jenkins-devops/workspace/kw_il/content/storage/fc/il/fcd/main.cpp</t>
  </si>
  <si>
    <t>/home/spirent/jenkins-devops/workspace/kw_il/content/storage/fc/il/fcd/Scheduler.cpp</t>
  </si>
  <si>
    <t>/home/spirent/jenkins-devops/workspace/kw_il/content/storage/l2isis/il/l2isisd/main.cpp</t>
  </si>
  <si>
    <t>/home/spirent/jenkins-devops/workspace/kw_il/content/storage/l2isis/il/l2isisd/McastMsgSetClnt_1.cpp</t>
  </si>
  <si>
    <t>/home/spirent/jenkins-devops/workspace/kw_il/content/storage/l2isis/il/l2isisd/OtvMsgSetSrv_1.cpp</t>
  </si>
  <si>
    <t>/home/spirent/jenkins-devops/workspace/kw_il/content/storage/storageio/il/bstd/iometer/src/IOCQAIO.cpp</t>
  </si>
  <si>
    <t>/home/spirent/jenkins-devops/workspace/kw_il/content/storage/storageio/il/bstd/iometer/src/IOGrunt.cpp</t>
  </si>
  <si>
    <t>/home/spirent/jenkins-devops/workspace/kw_il/content/storage/storageio/il/bstd/iometer/src/IOManager.cpp</t>
  </si>
  <si>
    <t>/home/spirent/jenkins-devops/workspace/kw_il/content/storage/storageio/il/bstd/iometer/src/IOManagerLinux.cpp</t>
  </si>
  <si>
    <t>/home/spirent/jenkins-devops/workspace/kw_il/content/storage/storageio/il/bstd/iometer/src/IOPort.cpp</t>
  </si>
  <si>
    <t>/home/spirent/jenkins-devops/workspace/kw_il/content/storage/storageio/il/bstd/iometer/src/IOTargetDisk.cpp</t>
  </si>
  <si>
    <t>/home/spirent/jenkins-devops/workspace/kw_il/content/storage/storageio/il/bstd/iometer/src/IOTargetTCP.cpp</t>
  </si>
  <si>
    <t>/home/spirent/jenkins-devops/workspace/kw_il/content/storage/storageio/il/bstd/iometer/src/Network.cpp</t>
  </si>
  <si>
    <t>/home/spirent/jenkins-devops/workspace/kw_il/content/storage/vepa/il/vepad/GeneratorMsgSetClient.cpp</t>
  </si>
  <si>
    <t>/home/spirent/jenkins-devops/workspace/kw_il/content/storage/vepa/il/vepad/LldpMsgSetClnt_1.cpp</t>
  </si>
  <si>
    <t>/home/spirent/jenkins-devops/workspace/kw_il/content/storage/vepa/il/vepad/main.cpp</t>
  </si>
  <si>
    <t>/home/spirent/jenkins-devops/workspace/kw_il/content/storage/vepa/il/vepad/VepaMsgSetSrv_1.cpp</t>
  </si>
  <si>
    <t>/home/spirent/jenkins-devops/workspace/kw_il/content/storage/vic/il/vicd/main.cpp</t>
  </si>
  <si>
    <t>/home/spirent/jenkins-devops/workspace/kw_il/content/traffic/capture/il/CapDrvPsylocke.cpp</t>
  </si>
  <si>
    <t>/home/spirent/jenkins-devops/workspace/kw_il/content/traffic/capture/wlan/main.cpp</t>
  </si>
  <si>
    <t>/home/spirent/jenkins-devops/workspace/kw_il/content/traffic/capture/wlan/WlanCapPktMgr.cpp</t>
  </si>
  <si>
    <t>/home/spirent/jenkins-devops/workspace/kw_il/content/traffic/l2l3/il/Analyzer/FilterPolynomialStrategy.h</t>
  </si>
  <si>
    <t>/home/spirent/jenkins-devops/workspace/kw_il/content/traffic/l2l3/il/Analyzer/SamplerMgr.h</t>
  </si>
  <si>
    <t>/home/spirent/jenkins-devops/workspace/kw_il/content/traffic/l2l3/il/Analyzer/utils/Hasher.cpp</t>
  </si>
  <si>
    <t>/home/spirent/jenkins-devops/workspace/kw_il/content/traffic/l2l3/il/common/ActiveScheduler.cpp</t>
  </si>
  <si>
    <t>/home/spirent/jenkins-devops/workspace/kw_il/content/traffic/l2l3/il/common/ConcreteValueHandler.h</t>
  </si>
  <si>
    <t>/home/spirent/jenkins-devops/workspace/kw_il/content/traffic/l2l3/il/common/HwMgrMsg.cpp</t>
  </si>
  <si>
    <t>/home/spirent/jenkins-devops/workspace/kw_il/content/traffic/l2l3/il/common/L2L3Mgr.h</t>
  </si>
  <si>
    <t>/home/spirent/jenkins-devops/workspace/kw_il/content/traffic/l2l3/il/Generator/Driver/refactor/stream/BankedBlockManager.cpp</t>
  </si>
  <si>
    <t>/home/spirent/jenkins-devops/workspace/kw_il/content/traffic/l2l3/il/Generator/Driver/refactor/stream/FrameTemplateManagerCore.cpp</t>
  </si>
  <si>
    <t>/home/spirent/jenkins-devops/workspace/kw_il/content/traffic/l2l3/il/Generator/Driver/refactor/stream/IceboyFrameTemplateManager.cpp</t>
  </si>
  <si>
    <t>/home/spirent/jenkins-devops/workspace/kw_il/content/traffic/l2l3/il/Generator/Driver/refactor/stream/TbirdFrameTemplateManager.cpp</t>
  </si>
  <si>
    <t>/home/spirent/jenkins-devops/workspace/kw_il/content/traffic/l2l3/il/Generator/Driver/refactor/vfd/PyroVfd.cpp</t>
  </si>
  <si>
    <t>/home/spirent/jenkins-devops/workspace/kw_il/content/traffic/l2l3/il/Generator/Learning/InetSocketHandler.tcc</t>
  </si>
  <si>
    <t>/home/spirent/jenkins-devops/workspace/kw_il/content/traffic/l2l3/il/Generator/Learning/LearningApplicationProxy.cpp</t>
  </si>
  <si>
    <t>/home/spirent/jenkins-devops/workspace/kw_il/content/traffic/l2l3/il/Generator/Learning/LearningMsgSetSrv_1.cpp</t>
  </si>
  <si>
    <t>/home/spirent/jenkins-devops/workspace/kw_il/content/traffic/l2l3/il/Generator/Learning/StatsNotifier.cpp</t>
  </si>
  <si>
    <t>/home/spirent/jenkins-devops/workspace/kw_il/content/traffic/l2l3/il/Generator/main.cpp</t>
  </si>
  <si>
    <t>/home/spirent/jenkins-devops/workspace/kw_il/content/traffic/l2l3/il/Generator/scheduler/SchedulerAlgo.cpp</t>
  </si>
  <si>
    <t>/home/spirent/jenkins-devops/workspace/kw_il/content/traffic/l2l3/il/Generator/stream/GenStreamDB.cpp</t>
  </si>
  <si>
    <t>/home/spirent/jenkins-devops/workspace/kw_il/content/traffic/l2l3/il/pfc/main.cpp</t>
  </si>
  <si>
    <t>/home/spirent/jenkins-devops/workspace/kw_il/content/traffic/l2l3/il/pfc/PfcTimer.cpp</t>
  </si>
  <si>
    <t>/home/spirent/jenkins-devops/workspace/kw_il/content/traffic/l2l3/il/pfc/SocketCompletionQueue.cpp</t>
  </si>
  <si>
    <t>/home/spirent/jenkins-devops/workspace/kw_il/content/traffic/l2l3/lib/L2L3PduUtils.cpp</t>
  </si>
  <si>
    <t>/home/spirent/jenkins-devops/workspace/kw_il/content/traffic/l4l7/il/app/main.cpp</t>
  </si>
  <si>
    <t>/home/spirent/jenkins-devops/workspace/kw_il/content/traffic/l4l7/il/dpgd/DpgClientBlock.cpp</t>
  </si>
  <si>
    <t>/home/spirent/jenkins-devops/workspace/kw_il/content/traffic/l4l7/il/dpgd/DpgServerBlock.cpp</t>
  </si>
  <si>
    <t>/home/spirent/jenkins-devops/workspace/kw_il/content/traffic/l4l7/il/dpgd/TimerManager.cpp</t>
  </si>
  <si>
    <t>/home/spirent/jenkins-devops/workspace/kw_il/content/traffic/l4l7/il/engine/FlowConfig.h</t>
  </si>
  <si>
    <t>/home/spirent/jenkins-devops/workspace/kw_il/content/traffic/l4l7/il/engine/PacketFactory.cpp</t>
  </si>
  <si>
    <t>/home/spirent/jenkins-devops/workspace/kw_il/content/traffic/l4l7/il/external/RvSipTK/common/cbase/rvtimerengine.c</t>
  </si>
  <si>
    <t>/home/spirent/jenkins-devops/workspace/kw_il/content/traffic/l4l7/il/external/RvSipTK/rtpRtcp/rtp/payload.c</t>
  </si>
  <si>
    <t>/home/spirent/jenkins-devops/workspace/kw_il/content/traffic/l4l7/il/external/RvSipTK/rtpRtcp/srtp/plugin/rvsrtpkey.c</t>
  </si>
  <si>
    <t>/home/spirent/jenkins-devops/workspace/kw_il/content/traffic/l4l7/il/external/RvSipTK/rtpRtcp/srtp/plugin/rvsrtpstream.c</t>
  </si>
  <si>
    <t>/home/spirent/jenkins-devops/workspace/kw_il/content/traffic/l4l7/il/external/RvSipTK/sip/call/CallLegAuth.c</t>
  </si>
  <si>
    <t>/home/spirent/jenkins-devops/workspace/kw_il/content/traffic/l4l7/il/external/RvSipTK/sip/call/CallLegDNS.c</t>
  </si>
  <si>
    <t>/home/spirent/jenkins-devops/workspace/kw_il/content/traffic/l4l7/il/external/RvSipTK/sip/call/CallLegInvite.c</t>
  </si>
  <si>
    <t>/home/spirent/jenkins-devops/workspace/kw_il/content/traffic/l4l7/il/external/RvSipTK/sip/call/CallLegRouteList.c</t>
  </si>
  <si>
    <t>/home/spirent/jenkins-devops/workspace/kw_il/content/traffic/l4l7/il/external/RvSipTK/sip/call/CallLegSubs.c</t>
  </si>
  <si>
    <t>/home/spirent/jenkins-devops/workspace/kw_il/content/traffic/l4l7/il/external/RvSipTK/sip/compartment/CompartmentMgrObject.c</t>
  </si>
  <si>
    <t>/home/spirent/jenkins-devops/workspace/kw_il/content/traffic/l4l7/il/ftpd/FtpClientBlock.cpp</t>
  </si>
  <si>
    <t>/home/spirent/jenkins-devops/workspace/kw_il/content/traffic/l4l7/il/ftpd/FtpServer.cpp</t>
  </si>
  <si>
    <t>/home/spirent/jenkins-devops/workspace/kw_il/content/traffic/l4l7/il/httpd/AbrClientBlock.cpp</t>
  </si>
  <si>
    <t>/home/spirent/jenkins-devops/workspace/kw_il/content/traffic/l4l7/il/httpd/AbrServer.cpp</t>
  </si>
  <si>
    <t>/home/spirent/jenkins-devops/workspace/kw_il/content/traffic/l4l7/il/httpd/HttpClientBlock.cpp</t>
  </si>
  <si>
    <t>/home/spirent/jenkins-devops/workspace/kw_il/content/traffic/l4l7/il/httpd/HttpServer.cpp</t>
  </si>
  <si>
    <t>/home/spirent/jenkins-devops/workspace/kw_il/content/traffic/l4l7/il/rawtcpd/RawTcpClientBlock.cpp</t>
  </si>
  <si>
    <t>/home/spirent/jenkins-devops/workspace/kw_il/content/traffic/l4l7/il/rawtcpd/RawTcpServer.cpp</t>
  </si>
  <si>
    <t>/home/spirent/jenkins-devops/workspace/kw_il/content/traffic/l4l7/il/sipd/voipmedia/encrtp/EncRTPProcess.cpp</t>
  </si>
  <si>
    <t>/home/spirent/jenkins-devops/workspace/kw_il/content/traffic/l4l7/il/sipd/voipmedia/fpgartp/GeneratorClientHandler.cpp</t>
  </si>
  <si>
    <t>/home/spirent/jenkins-devops/workspace/kw_il/content/traffic/l4l7/il/utils/BodySize.h</t>
  </si>
  <si>
    <t>/home/spirent/jenkins-devops/workspace/kw_il/content/traffic/l4l7/il/utils/md5.c</t>
  </si>
  <si>
    <t>/home/spirent/jenkins-devops/workspace/kw_il/content/traffic/l4l7/il/utils/ResponseLatency.h</t>
  </si>
  <si>
    <t>/home/spirent/jenkins-devops/workspace/kw_il/content/traffic/l4l7/il/xmppd/CapabilitiesParser.cpp</t>
  </si>
  <si>
    <t>/home/spirent/jenkins-devops/workspace/kw_il/content/traffic/l4l7/il/xmppd/XmppClientBlock.cpp</t>
  </si>
  <si>
    <t>/home/spirent/jenkins-devops/workspace/kw_il/content/tripleplay/iptv/il/client/AnalyzerMsgSetClnt_2.cpp</t>
  </si>
  <si>
    <t>/home/spirent/jenkins-devops/workspace/kw_il/content/tripleplay/iptv/il/client/IptvApp.cpp</t>
  </si>
  <si>
    <t>/home/spirent/jenkins-devops/workspace/kw_il/content/tripleplay/iptv/il/client/IptvScheduler.cpp</t>
  </si>
  <si>
    <t>/home/spirent/jenkins-devops/workspace/kw_il/content/tripleplay/iptv/il/client/IptvSetTopBox.cpp</t>
  </si>
  <si>
    <t>/home/spirent/jenkins-devops/workspace/kw_il/content/tripleplay/iptv/il/client/main.cpp</t>
  </si>
  <si>
    <t>/home/spirent/jenkins-devops/workspace/kw_il/content/tripleplay/iptv/il/client/McastMsgSetClnt_1.cpp</t>
  </si>
  <si>
    <t>/home/spirent/jenkins-devops/workspace/kw_il/content/tripleplay/iptv/il/client/RtpAnalyzerProxy.cpp</t>
  </si>
  <si>
    <t>/home/spirent/jenkins-devops/workspace/kw_il/content/tripleplay/iptv/il/client/RtpScheduler.cpp</t>
  </si>
  <si>
    <t>/home/spirent/jenkins-devops/workspace/kw_il/content/tripleplay/iptv/il/client/VifHandler.cpp</t>
  </si>
  <si>
    <t>/home/spirent/jenkins-devops/workspace/kw_il/content/tripleplay/vqana/il/vqanad/ActiveScheduler.cpp</t>
  </si>
  <si>
    <t>/home/spirent/jenkins-devops/workspace/kw_il/content/tripleplay/vqana/il/vqanad/FilterClause.cpp</t>
  </si>
  <si>
    <t>/home/spirent/jenkins-devops/workspace/kw_il/content/tripleplay/vqana/il/vqanad/FilterCompiler.cpp</t>
  </si>
  <si>
    <t>/home/spirent/jenkins-devops/workspace/kw_il/content/tripleplay/vqana/il/vqanad/StreamStatsNotifier.cpp</t>
  </si>
  <si>
    <t>/home/spirent/jenkins-devops/workspace/kw_il/content/tripleplay/vqana/il/vqanad/TelchemyInactivator.cpp</t>
  </si>
  <si>
    <t>/home/spirent/jenkins-devops/workspace/kw_il/content/tripleplay/vqana/il/vqanad/VifHandler.cpp</t>
  </si>
  <si>
    <t>/home/spirent/jenkins-devops/workspace/kw_il/content/tripleplay/vqana/il/vqanad/VqanaApplicationProxy.cpp</t>
  </si>
  <si>
    <t>/home/spirent/jenkins-devops/workspace/kw_il/content/v4v6transition/v4v6transition/il/softwired/main.cpp</t>
  </si>
  <si>
    <t>/home/spirent/jenkins-devops/workspace/kw_il/framework/common/lib/ifcommon/NetworkEndpointToModifierAdaptor.h</t>
  </si>
  <si>
    <t>/home/spirent/jenkins-devops/workspace/kw_il/framework/common/lib/modifier/include/ConcreteRangeModifierImpl.h</t>
  </si>
  <si>
    <t>/home/spirent/jenkins-devops/workspace/kw_il/framework/common/lib/phxrpc/message_chunk.cpp</t>
  </si>
  <si>
    <t>/home/spirent/jenkins-devops/workspace/kw_il/framework/common/lib/phxrpc/message.cpp</t>
  </si>
  <si>
    <t>/home/spirent/jenkins-devops/workspace/kw_il/framework/common/lib/phxrpc/tm_array.cpp</t>
  </si>
  <si>
    <t>/home/spirent/jenkins-devops/workspace/kw_il/framework/common/lib/phxrpc/tm_bin_decoder.cpp</t>
  </si>
  <si>
    <t>/home/spirent/jenkins-devops/workspace/kw_il/framework/common/lib/phxrpc/tm_bin_encoder.cpp</t>
  </si>
  <si>
    <t>/home/spirent/jenkins-devops/workspace/kw_il/framework/common/lib/phxrpc/tm_creator.cpp</t>
  </si>
  <si>
    <t>/home/spirent/jenkins-devops/workspace/kw_il/framework/common/lib/phxrpc/tm_prenamed_struct.cpp</t>
  </si>
  <si>
    <t>/home/spirent/jenkins-devops/workspace/kw_il/framework/common/lib/phxrpc/tm_socket.cpp</t>
  </si>
  <si>
    <t>/home/spirent/jenkins-devops/workspace/kw_il/framework/common/lib/phxrpc/tm_struct.cpp</t>
  </si>
  <si>
    <t>/home/spirent/jenkins-devops/workspace/kw_il/framework/common/lib/phxrpc/tm_tcl_decoder.cpp</t>
  </si>
  <si>
    <t>/home/spirent/jenkins-devops/workspace/kw_il/framework/common/lib/utils/di.h</t>
  </si>
  <si>
    <t>/home/spirent/jenkins-devops/workspace/kw_il/framework/common/lib/xmlpdu/ProcessingFunctions.cpp</t>
  </si>
  <si>
    <t>/home/spirent/jenkins-devops/workspace/kw_il/framework/common/lib/xmlpdu/XmlFrameBuilder.cpp</t>
  </si>
  <si>
    <t>/home/spirent/jenkins-devops/workspace/kw_il/framework/il/common/apps/armd/ArcMgrMsgSet_1.cpp</t>
  </si>
  <si>
    <t>/home/spirent/jenkins-devops/workspace/kw_il/framework/il/common/apps/armd/main.cpp</t>
  </si>
  <si>
    <t>/home/spirent/jenkins-devops/workspace/kw_il/framework/il/common/apps/bcmnetd/bkgnd.c</t>
  </si>
  <si>
    <t>/home/spirent/jenkins-devops/workspace/kw_il/framework/il/common/apps/bcmnetd/cmdproc.c</t>
  </si>
  <si>
    <t>/home/spirent/jenkins-devops/workspace/kw_il/framework/il/common/apps/bpnetd/cmdproc.c</t>
  </si>
  <si>
    <t>/home/spirent/jenkins-devops/workspace/kw_il/framework/il/common/apps/commd/Process.cpp</t>
  </si>
  <si>
    <t>/home/spirent/jenkins-devops/workspace/kw_il/framework/il/common/apps/dblm/dblm_new.cpp</t>
  </si>
  <si>
    <t>/home/spirent/jenkins-devops/workspace/kw_il/framework/il/common/apps/debugconsole/DbgMsgSetClient.cpp</t>
  </si>
  <si>
    <t>/home/spirent/jenkins-devops/workspace/kw_il/framework/il/common/apps/debugconsole/main.cpp</t>
  </si>
  <si>
    <t>/home/spirent/jenkins-devops/workspace/kw_il/framework/il/common/apps/etrd/cmdproc.c</t>
  </si>
  <si>
    <t>/home/spirent/jenkins-devops/workspace/kw_il/framework/il/common/apps/etrd/etr.c</t>
  </si>
  <si>
    <t>/home/spirent/jenkins-devops/workspace/kw_il/framework/il/common/apps/etrd/ntp.c</t>
  </si>
  <si>
    <t>/home/spirent/jenkins-devops/workspace/kw_il/framework/il/common/apps/gred/main.cpp</t>
  </si>
  <si>
    <t>/home/spirent/jenkins-devops/workspace/kw_il/framework/il/common/apps/hdlcd/Hdlcd.cpp</t>
  </si>
  <si>
    <t>/home/spirent/jenkins-devops/workspace/kw_il/framework/il/common/apps/hdlcd/HdlcSocket.cpp</t>
  </si>
  <si>
    <t>/home/spirent/jenkins-devops/workspace/kw_il/framework/il/common/apps/hwmgrd/ccpu/FcStatsDb.cpp</t>
  </si>
  <si>
    <t>/home/spirent/jenkins-devops/workspace/kw_il/framework/il/common/apps/hwmgrd/ccpu/FrontEndCfp.cpp</t>
  </si>
  <si>
    <t>/home/spirent/jenkins-devops/workspace/kw_il/framework/il/common/apps/hwmgrd/ccpu/FrontEndCxp.cpp</t>
  </si>
  <si>
    <t>/home/spirent/jenkins-devops/workspace/kw_il/framework/il/common/apps/hwmgrd/ccpu/FrontEndQsfp.cpp</t>
  </si>
  <si>
    <t>/home/spirent/jenkins-devops/workspace/kw_il/framework/il/common/apps/hwmgrd/ccpu/FrontEndRj45.cpp</t>
  </si>
  <si>
    <t>/home/spirent/jenkins-devops/workspace/kw_il/framework/il/common/apps/hwmgrd/ccpu/FrontEndSfp.cpp</t>
  </si>
  <si>
    <t>/home/spirent/jenkins-devops/workspace/kw_il/framework/il/common/apps/hwmgrd/ccpu/HwAccess.cpp</t>
  </si>
  <si>
    <t>/home/spirent/jenkins-devops/workspace/kw_il/framework/il/common/apps/hwmgrd/ccpu/HwMgr.cpp</t>
  </si>
  <si>
    <t>/home/spirent/jenkins-devops/workspace/kw_il/framework/il/common/apps/hwmgrd/ccpu/HwTimeSync_1.cpp</t>
  </si>
  <si>
    <t>/home/spirent/jenkins-devops/workspace/kw_il/framework/il/common/apps/hwmgrd/ccpu/HwTimeSyncAuto.cpp</t>
  </si>
  <si>
    <t>/home/spirent/jenkins-devops/workspace/kw_il/framework/il/common/apps/hwmgrd/ccpu/IfMgrMsgSetClient.cpp</t>
  </si>
  <si>
    <t>/home/spirent/jenkins-devops/workspace/kw_il/framework/il/common/apps/hwmgrd/ccpu/PhyConfigHandler.cpp</t>
  </si>
  <si>
    <t>/home/spirent/jenkins-devops/workspace/kw_il/framework/il/common/apps/hwmgrd/ccpu/PhyEth10G_1.cpp</t>
  </si>
  <si>
    <t>/home/spirent/jenkins-devops/workspace/kw_il/framework/il/common/apps/hwmgrd/ccpu/PortBlink.cpp</t>
  </si>
  <si>
    <t>/home/spirent/jenkins-devops/workspace/kw_il/framework/il/common/apps/hwmgrd/ccpu/PortCyclops.cpp</t>
  </si>
  <si>
    <t>/home/spirent/jenkins-devops/workspace/kw_il/framework/il/common/apps/hwmgrd/ccpu/PortFrenzy.cpp</t>
  </si>
  <si>
    <t>/home/spirent/jenkins-devops/workspace/kw_il/framework/il/common/apps/hwmgrd/ccpu/PortIceboy.cpp</t>
  </si>
  <si>
    <t>/home/spirent/jenkins-devops/workspace/kw_il/framework/il/common/apps/hwmgrd/ccpu/PortIceman.cpp</t>
  </si>
  <si>
    <t>/home/spirent/jenkins-devops/workspace/kw_il/framework/il/common/apps/hwmgrd/ccpu/PortIcemanNG.cpp</t>
  </si>
  <si>
    <t>/home/spirent/jenkins-devops/workspace/kw_il/framework/il/common/apps/hwmgrd/ccpu/PortInferno.cpp</t>
  </si>
  <si>
    <t>/home/spirent/jenkins-devops/workspace/kw_il/framework/il/common/apps/hwmgrd/ccpu/PortThunderbird.cpp</t>
  </si>
  <si>
    <t>/home/spirent/jenkins-devops/workspace/kw_il/framework/il/common/apps/hwmgrd/ccpu/RegMap.h</t>
  </si>
  <si>
    <t>/home/spirent/jenkins-devops/workspace/kw_il/framework/il/common/apps/hwmgrd/ccpu/SonetSdhDb.cpp</t>
  </si>
  <si>
    <t>/home/spirent/jenkins-devops/workspace/kw_il/framework/il/common/apps/hwmgrd/common/HwTimeSyncCore.cpp</t>
  </si>
  <si>
    <t>/home/spirent/jenkins-devops/workspace/kw_il/framework/il/common/apps/i2cd/bkgnd.c</t>
  </si>
  <si>
    <t>/home/spirent/jenkins-devops/workspace/kw_il/framework/il/common/apps/infernod/main.cpp</t>
  </si>
  <si>
    <t>/home/spirent/jenkins-devops/workspace/kw_il/framework/il/common/apps/lcdd/powerif.cpp</t>
  </si>
  <si>
    <t>/home/spirent/jenkins-devops/workspace/kw_il/framework/il/common/apps/lcdd/syncif.cpp</t>
  </si>
  <si>
    <t>/home/spirent/jenkins-devops/workspace/kw_il/framework/il/common/apps/lcdd/temps.cpp</t>
  </si>
  <si>
    <t>/home/spirent/jenkins-devops/workspace/kw_il/framework/il/common/apps/m68kd/dpram_if.c</t>
  </si>
  <si>
    <t>/home/spirent/jenkins-devops/workspace/kw_il/framework/il/common/apps/mpsd/mserver/mpsd.cpp</t>
  </si>
  <si>
    <t>/home/spirent/jenkins-devops/workspace/kw_il/framework/il/common/apps/mpsd/mserver/mps_packet.cpp</t>
  </si>
  <si>
    <t>/home/spirent/jenkins-devops/workspace/kw_il/framework/il/common/apps/mpsd/mserver/mps_server_dgram_handle.cpp</t>
  </si>
  <si>
    <t>/home/spirent/jenkins-devops/workspace/kw_il/framework/il/common/apps/mpsd/mserver/mps_thread.cpp</t>
  </si>
  <si>
    <t>/home/spirent/jenkins-devops/workspace/kw_il/framework/il/common/apps/mpsd/mserver/mps_transport_handle.cpp</t>
  </si>
  <si>
    <t>/home/spirent/jenkins-devops/workspace/kw_il/framework/il/common/apps/protoeventd/main.cpp</t>
  </si>
  <si>
    <t>/home/spirent/jenkins-devops/workspace/kw_il/framework/il/common/apps/protoeventd/ProtoEventProtocolProxy.cpp</t>
  </si>
  <si>
    <t>/home/spirent/jenkins-devops/workspace/kw_il/framework/il/common/apps/rcmd/rcmd.cpp</t>
  </si>
  <si>
    <t>/home/spirent/jenkins-devops/workspace/kw_il/framework/il/common/apps/rcmd/RCMMsgHandler.cpp</t>
  </si>
  <si>
    <t>/home/spirent/jenkins-devops/workspace/kw_il/framework/il/common/apps/rcmd/RCMMsgSetSrv_1.cpp</t>
  </si>
  <si>
    <t>/home/spirent/jenkins-devops/workspace/kw_il/framework/il/common/apps/rcmd/RCMMsgSetSrv_2.cpp</t>
  </si>
  <si>
    <t>/home/spirent/jenkins-devops/workspace/kw_il/framework/il/common/apps/rcmd/RCMMsgSetSrvArcClnt_1.cpp</t>
  </si>
  <si>
    <t>/home/spirent/jenkins-devops/workspace/kw_il/framework/il/common/apps/rpcsvr/cards.cpp</t>
  </si>
  <si>
    <t>/home/spirent/jenkins-devops/workspace/kw_il/framework/il/common/apps/rpcsvr/ctl2u.cpp</t>
  </si>
  <si>
    <t>/home/spirent/jenkins-devops/workspace/kw_il/framework/il/common/apps/rpcsvr/ctl-rev2.cpp</t>
  </si>
  <si>
    <t>/home/spirent/jenkins-devops/workspace/kw_il/framework/il/common/apps/rpcsvr/ctlX86.cpp</t>
  </si>
  <si>
    <t>/home/spirent/jenkins-devops/workspace/kw_il/framework/il/common/apps/rpcsvr/event_handler.cpp</t>
  </si>
  <si>
    <t>/home/spirent/jenkins-devops/workspace/kw_il/framework/il/common/apps/rpcsvr/main.cpp</t>
  </si>
  <si>
    <t>/home/spirent/jenkins-devops/workspace/kw_il/framework/il/common/apps/rpcsvr/rpc_msg_proc.cpp</t>
  </si>
  <si>
    <t>/home/spirent/jenkins-devops/workspace/kw_il/framework/il/common/apps/rpcsvr/syncnetif.cpp</t>
  </si>
  <si>
    <t>/home/spirent/jenkins-devops/workspace/kw_il/framework/il/common/apps/syncd/cmdproc.c</t>
  </si>
  <si>
    <t>/home/spirent/jenkins-devops/workspace/kw_il/framework/il/common/apps/syncd/cmdproc_x86.c</t>
  </si>
  <si>
    <t>/home/spirent/jenkins-devops/workspace/kw_il/framework/il/common/apps/tsyncd/HwAccess.cpp</t>
  </si>
  <si>
    <t>/home/spirent/jenkins-devops/workspace/kw_il/framework/il/common/apps/tsyncd/HwTimeSync_1.cpp</t>
  </si>
  <si>
    <t>/home/spirent/jenkins-devops/workspace/kw_il/framework/il/common/apps/tsyncd/HwTimeSyncAuto.cpp</t>
  </si>
  <si>
    <t>/home/spirent/jenkins-devops/workspace/kw_il/framework/il/common/apps/tsyncd/HwTimeSyncCore.cpp</t>
  </si>
  <si>
    <t>/home/spirent/jenkins-devops/workspace/kw_il/framework/il/common/include/any_iterator/any_iterator.hpp</t>
  </si>
  <si>
    <t>/home/spirent/jenkins-devops/workspace/kw_il/framework/il/common/include/DataBase.h</t>
  </si>
  <si>
    <t>/home/spirent/jenkins-devops/workspace/kw_il/framework/il/common/include/FastDelegate.h</t>
  </si>
  <si>
    <t>/home/spirent/jenkins-devops/workspace/kw_il/framework/il/common/include/LockableObject.h</t>
  </si>
  <si>
    <t>/home/spirent/jenkins-devops/workspace/kw_il/framework/il/common/include/PatriciaTrie.h</t>
  </si>
  <si>
    <t>/home/spirent/jenkins-devops/workspace/kw_il/framework/il/common/include/phxpthread.h</t>
  </si>
  <si>
    <t>/home/spirent/jenkins-devops/workspace/kw_il/framework/il/common/include/spt_pthread.h</t>
  </si>
  <si>
    <t>/home/spirent/jenkins-devops/workspace/kw_il/framework/il/common/lib/flexlm/illicensemanager.cpp</t>
  </si>
  <si>
    <t>/home/spirent/jenkins-devops/workspace/kw_il/framework/il/common/lib/generatorclient/GeneratorMsgSetClnt_3.cpp</t>
  </si>
  <si>
    <t>/home/spirent/jenkins-devops/workspace/kw_il/framework/il/common/lib/hal++/ccpu/common/CcpuChangelingPcieDmaChannel.cpp</t>
  </si>
  <si>
    <t>/home/spirent/jenkins-devops/workspace/kw_il/framework/il/common/lib/hal++/ccpu/common/CcpuComparatorImp.cpp</t>
  </si>
  <si>
    <t>/home/spirent/jenkins-devops/workspace/kw_il/framework/il/common/lib/hal++/ccpu/common/CcpuDmaImp.cpp</t>
  </si>
  <si>
    <t>/home/spirent/jenkins-devops/workspace/kw_il/framework/il/common/lib/hal++/ccpu/common/CcpuDmaMem.cpp</t>
  </si>
  <si>
    <t>/home/spirent/jenkins-devops/workspace/kw_il/framework/il/common/lib/hal++/ccpu/common/CcpuOcteonPcieDmaChannel.cpp</t>
  </si>
  <si>
    <t>/home/spirent/jenkins-devops/workspace/kw_il/framework/il/common/lib/hal++/ccpu/common/CcpuOsStatsImp.cpp</t>
  </si>
  <si>
    <t>/home/spirent/jenkins-devops/workspace/kw_il/framework/il/common/lib/hal++/ccpu/common/CcpuTimeStampImp.cpp</t>
  </si>
  <si>
    <t>/home/spirent/jenkins-devops/workspace/kw_il/framework/il/common/lib/hal++/ccpu/profx/ProfxCcpuHwInfoImp.cpp</t>
  </si>
  <si>
    <t>/home/spirent/jenkins-devops/workspace/kw_il/framework/il/common/lib/hal++/ccpu/profy/ProfyCcpuHwInfoImp.cpp</t>
  </si>
  <si>
    <t>/home/spirent/jenkins-devops/workspace/kw_il/framework/il/common/lib/hal++/ccpu/sunfire/SunfireCcpuFramerImp.cpp</t>
  </si>
  <si>
    <t>/home/spirent/jenkins-devops/workspace/kw_il/framework/il/common/lib/hal++/ccpu/wolverine/WolverineCcpuFramerImp.cpp</t>
  </si>
  <si>
    <t>/home/spirent/jenkins-devops/workspace/kw_il/framework/il/common/lib/hal++/ccpu/x86_appliance/GrandeCcpuHwinfoImp.cpp</t>
  </si>
  <si>
    <t>/home/spirent/jenkins-devops/workspace/kw_il/framework/il/common/lib/hal++/ccpu/x86_appliance/StcaCcpuHwInfoImp.cpp</t>
  </si>
  <si>
    <t>/home/spirent/jenkins-devops/workspace/kw_il/framework/il/common/lib/hal++/ccpu/x86_appliance/VentiCcpuHwinfoImp.cpp</t>
  </si>
  <si>
    <t>/home/spirent/jenkins-devops/workspace/kw_il/framework/il/common/lib/hal++/ccpu/x86_appliance/VTCCcpuHwInfoImp.cpp</t>
  </si>
  <si>
    <t>/home/spirent/jenkins-devops/workspace/kw_il/framework/il/common/lib/hal++/ccpu/x86_appliance/x86CcpuDmaImp.cpp</t>
  </si>
  <si>
    <t>/home/spirent/jenkins-devops/workspace/kw_il/framework/il/common/lib/hal++/ccpu/x86_appliance/x86CcpuFramerImp.cpp</t>
  </si>
  <si>
    <t>/home/spirent/jenkins-devops/workspace/kw_il/framework/il/common/lib/hal++/common/Atmel.cpp</t>
  </si>
  <si>
    <t>/home/spirent/jenkins-devops/workspace/kw_il/framework/il/common/lib/hal++/common/AtmelImp.cpp</t>
  </si>
  <si>
    <t>/home/spirent/jenkins-devops/workspace/kw_il/framework/il/common/lib/hal++/common/AutoRegisterHalType.h</t>
  </si>
  <si>
    <t>/home/spirent/jenkins-devops/workspace/kw_il/framework/il/common/lib/hal++/common/CsvFile.cpp</t>
  </si>
  <si>
    <t>/home/spirent/jenkins-devops/workspace/kw_il/framework/il/common/lib/hal++/common/CtControl.cpp</t>
  </si>
  <si>
    <t>/home/spirent/jenkins-devops/workspace/kw_il/framework/il/common/lib/hal++/common/CtControlImp.cpp</t>
  </si>
  <si>
    <t>/home/spirent/jenkins-devops/workspace/kw_il/framework/il/common/lib/hal++/common/CtTimeStamp.cpp</t>
  </si>
  <si>
    <t>/home/spirent/jenkins-devops/workspace/kw_il/framework/il/common/lib/hal++/common/CtTimeStampImp.cpp</t>
  </si>
  <si>
    <t>/home/spirent/jenkins-devops/workspace/kw_il/framework/il/common/lib/hal++/common/FpgaFifo.cpp</t>
  </si>
  <si>
    <t>/home/spirent/jenkins-devops/workspace/kw_il/framework/il/common/lib/hal++/common/HalFactory.h</t>
  </si>
  <si>
    <t>/home/spirent/jenkins-devops/workspace/kw_il/framework/il/common/lib/hal++/common/HwInfoImp.cpp</t>
  </si>
  <si>
    <t>/home/spirent/jenkins-devops/workspace/kw_il/framework/il/common/lib/hal++/common/OcteonPcieSpamImp.cpp</t>
  </si>
  <si>
    <t>/home/spirent/jenkins-devops/workspace/kw_il/framework/il/common/lib/hal++/common/Spam.cpp</t>
  </si>
  <si>
    <t>/home/spirent/jenkins-devops/workspace/kw_il/framework/il/common/lib/hal++/common/SpamImp.cpp</t>
  </si>
  <si>
    <t>/home/spirent/jenkins-devops/workspace/kw_il/framework/il/common/lib/hal++/common/SpamRegion.cpp</t>
  </si>
  <si>
    <t>/home/spirent/jenkins-devops/workspace/kw_il/framework/il/common/lib/hal++/common/SpamRegionSharedRam.cpp</t>
  </si>
  <si>
    <t>/home/spirent/jenkins-devops/workspace/kw_il/framework/il/common/lib/hal++/common/SyncStartStopImp.cpp</t>
  </si>
  <si>
    <t>/home/spirent/jenkins-devops/workspace/kw_il/framework/il/common/lib/hal++/common/TimeSync.cpp</t>
  </si>
  <si>
    <t>/home/spirent/jenkins-devops/workspace/kw_il/framework/il/common/lib/hal++/common/Trigger.cpp</t>
  </si>
  <si>
    <t>/home/spirent/jenkins-devops/workspace/kw_il/framework/il/common/lib/hal++/mcpu/common/McpuComparatorImp.cpp</t>
  </si>
  <si>
    <t>/home/spirent/jenkins-devops/workspace/kw_il/framework/il/common/lib/hal++/mcpu/common/McpuSensorMonitorImp.cpp</t>
  </si>
  <si>
    <t>/home/spirent/jenkins-devops/workspace/kw_il/framework/il/common/lib/hal++/mcpu/common/McpuTimeStampImp.cpp</t>
  </si>
  <si>
    <t>/home/spirent/jenkins-devops/workspace/kw_il/framework/il/common/lib/hal++/mcpu/logan/LoganMcpuSystemImp.cpp</t>
  </si>
  <si>
    <t>/home/spirent/jenkins-devops/workspace/kw_il/framework/il/common/lib/hal++/mcpu/mystique/MystiqueMcpuSystemImp.cpp</t>
  </si>
  <si>
    <t>/home/spirent/jenkins-devops/workspace/kw_il/framework/il/common/lib/hal++/mcpu/profy/ProfyMcpuHwInfoImp.cpp</t>
  </si>
  <si>
    <t>/home/spirent/jenkins-devops/workspace/kw_il/framework/il/common/lib/hal++/mcpu/pyro/PyroMcpuHwInfoImp.cpp</t>
  </si>
  <si>
    <t>/home/spirent/jenkins-devops/workspace/kw_il/framework/il/common/lib/hal++/mcpu/storm/StormMcpuSystemImp.cpp</t>
  </si>
  <si>
    <t>/home/spirent/jenkins-devops/workspace/kw_il/framework/il/common/lib/hal++/mcpu/synch/SynchMcpuSystemImp.cpp</t>
  </si>
  <si>
    <t>/home/spirent/jenkins-devops/workspace/kw_il/framework/il/common/lib/hal++/mcpu/wolverine/WolverineMcpuSystemImp.cpp</t>
  </si>
  <si>
    <t>/home/spirent/jenkins-devops/workspace/kw_il/framework/il/common/lib/hal++/mcpu/x86_appliance/GrandeMcpuHwInfoImp.cpp</t>
  </si>
  <si>
    <t>/home/spirent/jenkins-devops/workspace/kw_il/framework/il/common/lib/hal++/mock/GrandeHwInfoImp.cpp</t>
  </si>
  <si>
    <t>/home/spirent/jenkins-devops/workspace/kw_il/framework/il/common/lib/hal++/mock/StcaHwInfoImp.cpp</t>
  </si>
  <si>
    <t>/home/spirent/jenkins-devops/workspace/kw_il/framework/il/common/lib/hal++/mock/VtcHwInfoImp.cpp</t>
  </si>
  <si>
    <t>/home/spirent/jenkins-devops/workspace/kw_il/framework/il/common/lib/hal++/utils/rxtimestamp.cpp</t>
  </si>
  <si>
    <t>/home/spirent/jenkins-devops/workspace/kw_il/framework/il/common/lib/hwmgrclient/HwGeneral_1_Clnt.cpp</t>
  </si>
  <si>
    <t>/home/spirent/jenkins-devops/workspace/kw_il/framework/il/common/lib/hwmgrclient/HwGeneralNotifyHandler.cpp</t>
  </si>
  <si>
    <t>/home/spirent/jenkins-devops/workspace/kw_il/framework/il/common/lib/hwmgrclient/HwPFCXonNotifyHandler_1.cpp</t>
  </si>
  <si>
    <t>/home/spirent/jenkins-devops/workspace/kw_il/framework/il/common/lib/hwmgrclient/HwTimeSync_1_Clnt.cpp</t>
  </si>
  <si>
    <t>/home/spirent/jenkins-devops/workspace/kw_il/framework/il/common/lib/hwmgrclient/PhyCommon_1_Clnt.cpp</t>
  </si>
  <si>
    <t>/home/spirent/jenkins-devops/workspace/kw_il/framework/il/common/lib/hwmgrclient/PhyFcsNotifyHandler.cpp</t>
  </si>
  <si>
    <t>/home/spirent/jenkins-devops/workspace/kw_il/framework/il/common/lib/hwmgrclient/PhyLinkStatusNotifyHandler.cpp</t>
  </si>
  <si>
    <t>/home/spirent/jenkins-devops/workspace/kw_il/framework/il/common/lib/hwmgrclient/Sonet_2_Clnt.cpp</t>
  </si>
  <si>
    <t>/home/spirent/jenkins-devops/workspace/kw_il/framework/il/common/lib/ifmgrclient/InterfaceEnable.h</t>
  </si>
  <si>
    <t>/home/spirent/jenkins-devops/workspace/kw_il/framework/il/common/lib/ifmgrclient/PortSetMsgSetClnt_1.cpp</t>
  </si>
  <si>
    <t>/home/spirent/jenkins-devops/workspace/kw_il/framework/il/common/lib/ildaemon/ActiveScheduler.cpp</t>
  </si>
  <si>
    <t>/home/spirent/jenkins-devops/workspace/kw_il/framework/il/common/lib/ilprotocol/base/DbgMsgSetSrvNotifier.cpp</t>
  </si>
  <si>
    <t>/home/spirent/jenkins-devops/workspace/kw_il/framework/il/common/lib/ilprotocol/base/IlProtocolEthernetMulticastSocketHandler.cpp</t>
  </si>
  <si>
    <t>/home/spirent/jenkins-devops/workspace/kw_il/framework/il/common/lib/ilprotocol/base/IlProtocolEthernetSocketHandler.cpp</t>
  </si>
  <si>
    <t>/home/spirent/jenkins-devops/workspace/kw_il/framework/il/common/lib/ilprotocol/base/IlProtocolRawMulticastSocketHandler.cpp</t>
  </si>
  <si>
    <t>/home/spirent/jenkins-devops/workspace/kw_il/framework/il/common/lib/ilprotocol/base/IlProtocolRawSocketHandler.cpp</t>
  </si>
  <si>
    <t>/home/spirent/jenkins-devops/workspace/kw_il/framework/il/common/lib/ilprotocol/base/IlProtocolUdpMulticastSocketHandler.cpp</t>
  </si>
  <si>
    <t>/home/spirent/jenkins-devops/workspace/kw_il/framework/il/common/lib/ilprotocol/base/IlProtocolUdpSocketHandler.cpp</t>
  </si>
  <si>
    <t>/home/spirent/jenkins-devops/workspace/kw_il/framework/il/common/lib/log4cplusapi/log4cplus_api.cpp</t>
  </si>
  <si>
    <t>/home/spirent/jenkins-devops/workspace/kw_il/framework/il/common/lib/mps/mps_1_tm_msg.cpp</t>
  </si>
  <si>
    <t>/home/spirent/jenkins-devops/workspace/kw_il/framework/il/common/lib/mps/mps_control_message.cpp</t>
  </si>
  <si>
    <t>/home/spirent/jenkins-devops/workspace/kw_il/framework/il/common/lib/mps/mps_message_envelope.h</t>
  </si>
  <si>
    <t>/home/spirent/jenkins-devops/workspace/kw_il/framework/il/common/lib/mps/mps_message_thread.cpp</t>
  </si>
  <si>
    <t>/home/spirent/jenkins-devops/workspace/kw_il/framework/il/common/lib/solarflare/SFPhyPortedFunctions.cpp</t>
  </si>
  <si>
    <t>/home/spirent/jenkins-devops/workspace/kw_il/framework/il/common/lib/statsframework/ExtremeSqlMsgAdapter.cpp</t>
  </si>
  <si>
    <t>/home/spirent/jenkins-devops/workspace/kw_il/framework/il/common/lib/statsframework/ExtremeStatsDBFactory.cpp</t>
  </si>
  <si>
    <t>/home/spirent/jenkins-devops/workspace/kw_il/framework/il/common/lib/statsframework/StatsMsgSetSrv_1.h</t>
  </si>
  <si>
    <t>/home/spirent/jenkins-devops/workspace/kw_il/framework/il/common/lib/sysmgrclient/ChassisSysMgrNotifyHandler_1.cpp</t>
  </si>
  <si>
    <t>/home/spirent/jenkins-devops/workspace/kw_il/framework/il/common/lib/timer/timer.c</t>
  </si>
  <si>
    <t>/home/spirent/jenkins-devops/workspace/kw_il/framework/il/common/lib/vif/Packet.cpp</t>
  </si>
  <si>
    <t>/home/spirent/jenkins-devops/workspace/kw_il/framework/il/common/lib/vif/VifConfigFactory.cpp</t>
  </si>
  <si>
    <t>/home/spirent/jenkins-devops/workspace/kw_il/framework/il/common/utils/cttool/alias_test/alias_test_uss.c</t>
  </si>
  <si>
    <t>/home/spirent/jenkins-devops/workspace/kw_il/framework/il/common/utils/cttool/ct_timestamp/tx_phytime.cpp</t>
  </si>
  <si>
    <t>/home/spirent/jenkins-devops/workspace/kw_il/framework/il/common/utils/cttool/tcp_connection_test/server/tcp_v4v6_server_uss.c</t>
  </si>
  <si>
    <t>/home/spirent/jenkins-devops/workspace/kw_il/framework/il/common/utils/miniserial/miniserial.c</t>
  </si>
  <si>
    <t>/home/spirent/jenkins-devops/workspace/kw_il/framework/il/common/utils/mmt++/cavium.cpp</t>
  </si>
  <si>
    <t>/home/spirent/jenkins-devops/workspace/kw_il/framework/il/common/utils/mmt++/mmt.cpp</t>
  </si>
  <si>
    <t>/home/spirent/jenkins-devops/workspace/kw_il/framework/il/common/utils/readTS/readTS.c</t>
  </si>
  <si>
    <t>/home/spirent/jenkins-devops/workspace/kw_il/framework/il/common/utils/runstop/runstop.c</t>
  </si>
  <si>
    <t>/home/spirent/jenkins-devops/workspace/kw_il/framework/il/common/utils/spamtool++/main.cpp</t>
  </si>
  <si>
    <t>/home/spirent/jenkins-devops/workspace/kw_il/framework/il/common/utils/spiprom/command.c</t>
  </si>
  <si>
    <t>/home/spirent/jenkins-devops/workspace/kw_il/framework/il/common/utils/udpclient/udpclient.c</t>
  </si>
  <si>
    <t>/home/spirent/jenkins-devops/workspace/kw_il/framework/il/freebsd/daemon/ProtocolStack.cpp</t>
  </si>
  <si>
    <t>/home/spirent/jenkins-devops/workspace/kw_il/framework/il/freebsd/lib/bootstrap/bootstrap.c</t>
  </si>
  <si>
    <t>/home/spirent/jenkins-devops/workspace/kw_il/framework/il/freebsd/lib/preload/constant_transforms.h</t>
  </si>
  <si>
    <t>/home/spirent/jenkins-devops/workspace/kw_il/framework/il/freebsd/sys/kern/subr_eventhandler.c</t>
  </si>
  <si>
    <t>/home/spirent/jenkins-devops/workspace/kw_il/framework/il/freebsd/sys/net/if.c</t>
  </si>
  <si>
    <t>/home/spirent/jenkins-devops/workspace/kw_il/framework/il/freebsd/sys/net/if_ethersubr.c</t>
  </si>
  <si>
    <t>/home/spirent/jenkins-devops/workspace/kw_il/framework/il/freebsd/sys/net/if_gif.c</t>
  </si>
  <si>
    <t>/home/spirent/jenkins-devops/workspace/kw_il/framework/il/freebsd/sys/net/if_llatbl.c</t>
  </si>
  <si>
    <t>/home/spirent/jenkins-devops/workspace/kw_il/framework/il/freebsd/sys/net/if_media.c</t>
  </si>
  <si>
    <t>/home/spirent/jenkins-devops/workspace/kw_il/framework/il/freebsd/sys/net/if_stf.c</t>
  </si>
  <si>
    <t>/home/spirent/jenkins-devops/workspace/kw_il/framework/il/freebsd/sys/netinet6/frag6.c</t>
  </si>
  <si>
    <t>/home/spirent/jenkins-devops/workspace/kw_il/framework/il/freebsd/sys/netinet6/in6.c</t>
  </si>
  <si>
    <t>/home/spirent/jenkins-devops/workspace/kw_il/framework/il/freebsd/sys/netinet/ip_encap.c</t>
  </si>
  <si>
    <t>/home/spirent/jenkins-devops/workspace/kw_il/framework/il/freebsd/sys/netinet/ip_output.c</t>
  </si>
  <si>
    <t>/home/spirent/jenkins-devops/workspace/kw_il/framework/il/freebsd/sys/opencrypto/crypto.c</t>
  </si>
  <si>
    <t>/home/spirent/jenkins-devops/workspace/kw_il/framework/il/freebsd/sys/spirent/dev/ctd/e1000/emu.c</t>
  </si>
  <si>
    <t>/home/spirent/jenkins-devops/workspace/kw_il/framework/il/freebsd/sys/spirent/dev/ctd/if_ctd_sfpga.c</t>
  </si>
  <si>
    <t>/home/spirent/jenkins-devops/workspace/kw_il/framework/il/freebsd/sys/spirent/dev/ctd/usfpga_nic/sfpga.c</t>
  </si>
  <si>
    <t>/home/spirent/jenkins-devops/workspace/kw_il/framework/il/freebsd/sys/spirent/dev/pkt/if_pkt.c</t>
  </si>
  <si>
    <t>/home/spirent/jenkins-devops/workspace/kw_il/framework/il/freebsd/sys/spirent/glue/glue_fasttime.c</t>
  </si>
  <si>
    <t>/home/spirent/jenkins-devops/workspace/kw_il/framework/il/freebsd/sys/spirent/glue/glue_flowtable.c</t>
  </si>
  <si>
    <t>/home/spirent/jenkins-devops/workspace/kw_il/framework/il/freebsd/sys/spirent/glue/glue_kthread.c</t>
  </si>
  <si>
    <t>/home/spirent/jenkins-devops/workspace/kw_il/framework/il/freebsd/sys/spirent/glue/glue_poll.c</t>
  </si>
  <si>
    <t>/home/spirent/jenkins-devops/workspace/kw_il/framework/il/freebsd/sys/spirent/glue/glue_sleepqueue.c</t>
  </si>
  <si>
    <t>/home/spirent/jenkins-devops/workspace/kw_il/framework/il/freebsd/sys/spirent/glue/glue_startup.c</t>
  </si>
  <si>
    <t>/home/spirent/jenkins-devops/workspace/kw_il/framework/il/freebsd/sys/spirent/glue/glue_syscalls.c</t>
  </si>
  <si>
    <t>/home/spirent/jenkins-devops/workspace/kw_il/framework/il/freebsd/sys/spirent/glue/glue_taskqueue.c</t>
  </si>
  <si>
    <t>/home/spirent/jenkins-devops/workspace/kw_il/framework/il/freebsd/sys/spirent/glue/glue_thread.c</t>
  </si>
  <si>
    <t>/home/spirent/jenkins-devops/workspace/kw_il/framework/il/freebsd/sys/spirent/host/host_cons.c</t>
  </si>
  <si>
    <t>/home/spirent/jenkins-devops/workspace/kw_il/framework/il/freebsd/sys/spirent/host/host_panic.c</t>
  </si>
  <si>
    <t>/home/spirent/jenkins-devops/workspace/kw_il/framework/il/freebsd/sys/spirent/host/host_proc.c</t>
  </si>
  <si>
    <t>/home/spirent/jenkins-devops/workspace/kw_il/framework/il/freebsd/sys/spirent/host/host_select.c</t>
  </si>
  <si>
    <t>/home/spirent/jenkins-devops/workspace/kw_il/framework/il/freebsd/sys/spirent/host/host_tbird.c</t>
  </si>
  <si>
    <t>/home/spirent/jenkins-devops/workspace/kw_il/framework/il/freebsd/sys/spirent/vif/if_vif.c</t>
  </si>
  <si>
    <t>/home/spirent/jenkins-devops/workspace/kw_il/framework/il/freebsd/sys/spirent/vif/vif_l2tpv3.c</t>
  </si>
  <si>
    <t>/home/spirent/jenkins-devops/workspace/kw_il/framework/il/freebsd/sys/spirent/vif/vif_vxlan.c</t>
  </si>
  <si>
    <t>/home/spirent/jenkins-devops/workspace/kw_il/framework/il/kernel/drivers/phoenix/ds_rtc.c</t>
  </si>
  <si>
    <t>/home/spirent/jenkins-devops/workspace/kw_il/framework/il/kernel/drivers/phoenix/phx_klog.c</t>
  </si>
  <si>
    <t>/home/spirent/jenkins-devops/workspace/kw_il/framework/il/kernel/drivers/phoenix/rtc_ds3232.c</t>
  </si>
  <si>
    <t>/home/spirent/jenkins-devops/workspace/kw_il/framework/il/kernel/linux-2.4.20_mvl31/arch/ppc/kernel/idle.c</t>
  </si>
  <si>
    <t>/home/spirent/jenkins-devops/workspace/kw_il/framework/il/kernel/linux-2.4.20_mvl31/arch/ppc/kernel/irq.c</t>
  </si>
  <si>
    <t>/home/spirent/jenkins-devops/workspace/kw_il/framework/il/kernel/linux-2.4.20_mvl31/arch/ppc/kernel/ppc4xx_setup.c</t>
  </si>
  <si>
    <t>/home/spirent/jenkins-devops/workspace/kw_il/framework/il/kernel/linux-2.4.20_mvl31/arch/ppc/kernel/ppc_htab.c</t>
  </si>
  <si>
    <t>/home/spirent/jenkins-devops/workspace/kw_il/framework/il/kernel/linux-2.4.20_mvl31/arch/ppc/kernel/process.c</t>
  </si>
  <si>
    <t>/home/spirent/jenkins-devops/workspace/kw_il/framework/il/kernel/linux-2.4.20_mvl31/arch/ppc/kernel/ptrace.c</t>
  </si>
  <si>
    <t>/home/spirent/jenkins-devops/workspace/kw_il/framework/il/kernel/linux-2.4.20_mvl31/arch/ppc/kernel/signal.c</t>
  </si>
  <si>
    <t>/home/spirent/jenkins-devops/workspace/kw_il/framework/il/kernel/linux-2.4.20_mvl31/arch/ppc/mm/init.c</t>
  </si>
  <si>
    <t>/home/spirent/jenkins-devops/workspace/kw_il/framework/il/kernel/linux-2.4.20_mvl31/arch/ppc/platforms/xilinx_ocp/xbasic_types.c</t>
  </si>
  <si>
    <t>/home/spirent/jenkins-devops/workspace/kw_il/framework/il/kernel/linux-2.4.20_mvl31/arch/ppc/platforms/xilinx_ocp/xdma_channel_sg.c</t>
  </si>
  <si>
    <t>/home/spirent/jenkins-devops/workspace/kw_il/framework/il/kernel/linux-2.4.20_mvl31/drivers/block/blkpg.c</t>
  </si>
  <si>
    <t>/home/spirent/jenkins-devops/workspace/kw_il/framework/il/kernel/linux-2.4.20_mvl31/drivers/block/ll_rw_blk.c</t>
  </si>
  <si>
    <t>/home/spirent/jenkins-devops/workspace/kw_il/framework/il/kernel/linux-2.4.20_mvl31/drivers/block/loop.c</t>
  </si>
  <si>
    <t>/home/spirent/jenkins-devops/workspace/kw_il/framework/il/kernel/linux-2.4.20_mvl31/drivers/char/pty.c</t>
  </si>
  <si>
    <t>/home/spirent/jenkins-devops/workspace/kw_il/framework/il/kernel/linux-2.4.20_mvl31/drivers/char/serial.c</t>
  </si>
  <si>
    <t>/home/spirent/jenkins-devops/workspace/kw_il/framework/il/kernel/linux-2.4.20_mvl31/drivers/char/tty_io.c</t>
  </si>
  <si>
    <t>/home/spirent/jenkins-devops/workspace/kw_il/framework/il/kernel/linux-2.4.20_mvl31/drivers/i2c/i2c-core.c</t>
  </si>
  <si>
    <t>/home/spirent/jenkins-devops/workspace/kw_il/framework/il/kernel/linux-2.4.20_mvl31/drivers/i2c/i2c-proc.c</t>
  </si>
  <si>
    <t>/home/spirent/jenkins-devops/workspace/kw_il/framework/il/kernel/linux-2.4.20_mvl31/drivers/i2c/xilinx_iic/i2c-algo-xilinx.c</t>
  </si>
  <si>
    <t>/home/spirent/jenkins-devops/workspace/kw_il/framework/il/kernel/linux-2.4.20_mvl31/drivers/i2c/xilinx_iic/xiic.c</t>
  </si>
  <si>
    <t>/home/spirent/jenkins-devops/workspace/kw_il/framework/il/kernel/linux-2.4.20_mvl31/drivers/net/xilinx_enet/adapter.c</t>
  </si>
  <si>
    <t>/home/spirent/jenkins-devops/workspace/kw_il/framework/il/kernel/linux-2.4.20_mvl31/fs/attr.c</t>
  </si>
  <si>
    <t>/home/spirent/jenkins-devops/workspace/kw_il/framework/il/kernel/linux-2.4.20_mvl31/fs/binfmt_elf.c</t>
  </si>
  <si>
    <t>/home/spirent/jenkins-devops/workspace/kw_il/framework/il/kernel/linux-2.4.20_mvl31/fs/block_dev.c</t>
  </si>
  <si>
    <t>/home/spirent/jenkins-devops/workspace/kw_il/framework/il/kernel/linux-2.4.20_mvl31/fs/buffer.c</t>
  </si>
  <si>
    <t>/home/spirent/jenkins-devops/workspace/kw_il/framework/il/kernel/linux-2.4.20_mvl31/fs/devfs/base.c</t>
  </si>
  <si>
    <t>/home/spirent/jenkins-devops/workspace/kw_il/framework/il/kernel/linux-2.4.20_mvl31/fs/devices.c</t>
  </si>
  <si>
    <t>/home/spirent/jenkins-devops/workspace/kw_il/framework/il/kernel/linux-2.4.20_mvl31/fs/ext2/ialloc.c</t>
  </si>
  <si>
    <t>/home/spirent/jenkins-devops/workspace/kw_il/framework/il/kernel/linux-2.4.20_mvl31/fs/ext2/namei.c</t>
  </si>
  <si>
    <t>/home/spirent/jenkins-devops/workspace/kw_il/framework/il/kernel/linux-2.4.20_mvl31/fs/ext3/inode.c</t>
  </si>
  <si>
    <t>/home/spirent/jenkins-devops/workspace/kw_il/framework/il/kernel/linux-2.4.20_mvl31/fs/ext3/namei.c</t>
  </si>
  <si>
    <t>/home/spirent/jenkins-devops/workspace/kw_il/framework/il/kernel/linux-2.4.20_mvl31/fs/ext3/super.c</t>
  </si>
  <si>
    <t>/home/spirent/jenkins-devops/workspace/kw_il/framework/il/kernel/linux-2.4.20_mvl31/fs/fat/dir.c</t>
  </si>
  <si>
    <t>/home/spirent/jenkins-devops/workspace/kw_il/framework/il/kernel/linux-2.4.20_mvl31/fs/fat/misc.c</t>
  </si>
  <si>
    <t>/home/spirent/jenkins-devops/workspace/kw_il/framework/il/kernel/linux-2.4.20_mvl31/fs/inode.c</t>
  </si>
  <si>
    <t>/home/spirent/jenkins-devops/workspace/kw_il/framework/il/kernel/linux-2.4.20_mvl31/fs/jbd/checkpoint.c</t>
  </si>
  <si>
    <t>/home/spirent/jenkins-devops/workspace/kw_il/framework/il/kernel/linux-2.4.20_mvl31/fs/jbd/commit.c</t>
  </si>
  <si>
    <t>/home/spirent/jenkins-devops/workspace/kw_il/framework/il/kernel/linux-2.4.20_mvl31/fs/jbd/journal.c</t>
  </si>
  <si>
    <t>/home/spirent/jenkins-devops/workspace/kw_il/framework/il/kernel/linux-2.4.20_mvl31/fs/jbd/transaction.c</t>
  </si>
  <si>
    <t>/home/spirent/jenkins-devops/workspace/kw_il/framework/il/kernel/linux-2.4.20_mvl31/fs/lockd/clntlock.c</t>
  </si>
  <si>
    <t>/home/spirent/jenkins-devops/workspace/kw_il/framework/il/kernel/linux-2.4.20_mvl31/fs/lockd/clntproc.c</t>
  </si>
  <si>
    <t>/home/spirent/jenkins-devops/workspace/kw_il/framework/il/kernel/linux-2.4.20_mvl31/fs/msdos/namei.c</t>
  </si>
  <si>
    <t>/home/spirent/jenkins-devops/workspace/kw_il/framework/il/kernel/linux-2.4.20_mvl31/fs/namespace.c</t>
  </si>
  <si>
    <t>/home/spirent/jenkins-devops/workspace/kw_il/framework/il/kernel/linux-2.4.20_mvl31/fs/nfsd/export.c</t>
  </si>
  <si>
    <t>/home/spirent/jenkins-devops/workspace/kw_il/framework/il/kernel/linux-2.4.20_mvl31/fs/nfsd/nfsctl.c</t>
  </si>
  <si>
    <t>/home/spirent/jenkins-devops/workspace/kw_il/framework/il/kernel/linux-2.4.20_mvl31/fs/nfsd/nfssvc.c</t>
  </si>
  <si>
    <t>/home/spirent/jenkins-devops/workspace/kw_il/framework/il/kernel/linux-2.4.20_mvl31/fs/nfs/flushd.c</t>
  </si>
  <si>
    <t>/home/spirent/jenkins-devops/workspace/kw_il/framework/il/kernel/linux-2.4.20_mvl31/fs/nfs/inode.c</t>
  </si>
  <si>
    <t>/home/spirent/jenkins-devops/workspace/kw_il/framework/il/kernel/linux-2.4.20_mvl31/fs/nfs/write.c</t>
  </si>
  <si>
    <t>/home/spirent/jenkins-devops/workspace/kw_il/framework/il/kernel/linux-2.4.20_mvl31/fs/partitions/check.c</t>
  </si>
  <si>
    <t>/home/spirent/jenkins-devops/workspace/kw_il/framework/il/kernel/linux-2.4.20_mvl31/fs/proc/kcore.c</t>
  </si>
  <si>
    <t>/home/spirent/jenkins-devops/workspace/kw_il/framework/il/kernel/linux-2.4.20_mvl31/fs/readdir.c</t>
  </si>
  <si>
    <t>/home/spirent/jenkins-devops/workspace/kw_il/framework/il/kernel/linux-2.4.20_mvl31/fs/select.c</t>
  </si>
  <si>
    <t>/home/spirent/jenkins-devops/workspace/kw_il/framework/il/kernel/linux-2.4.20_mvl31/fs/shfs/dir.c</t>
  </si>
  <si>
    <t>/home/spirent/jenkins-devops/workspace/kw_il/framework/il/kernel/linux-2.4.20_mvl31/fs/shfs/fcache.c</t>
  </si>
  <si>
    <t>/home/spirent/jenkins-devops/workspace/kw_il/framework/il/kernel/linux-2.4.20_mvl31/fs/shfs/file.c</t>
  </si>
  <si>
    <t>/home/spirent/jenkins-devops/workspace/kw_il/framework/il/kernel/linux-2.4.20_mvl31/fs/shfs/inode.c</t>
  </si>
  <si>
    <t>/home/spirent/jenkins-devops/workspace/kw_il/framework/il/kernel/linux-2.4.20_mvl31/fs/shfs/proc.c</t>
  </si>
  <si>
    <t>/home/spirent/jenkins-devops/workspace/kw_il/framework/il/kernel/linux-2.4.20_mvl31/fs/shfs/shell.c</t>
  </si>
  <si>
    <t>/home/spirent/jenkins-devops/workspace/kw_il/framework/il/kernel/linux-2.4.20_mvl31/fs/shfs/symlink.c</t>
  </si>
  <si>
    <t>/home/spirent/jenkins-devops/workspace/kw_il/framework/il/kernel/linux-2.4.20_mvl31/fs/vfat/namei.c</t>
  </si>
  <si>
    <t>/home/spirent/jenkins-devops/workspace/kw_il/framework/il/kernel/linux-2.4.20_mvl31/init/do_mounts.c</t>
  </si>
  <si>
    <t>/home/spirent/jenkins-devops/workspace/kw_il/framework/il/kernel/linux-2.4.20_mvl31/ipc/sem.c</t>
  </si>
  <si>
    <t>/home/spirent/jenkins-devops/workspace/kw_il/framework/il/kernel/linux-2.4.20_mvl31/ipc/shm.c</t>
  </si>
  <si>
    <t>/home/spirent/jenkins-devops/workspace/kw_il/framework/il/kernel/linux-2.4.20_mvl31/kernel/context.c</t>
  </si>
  <si>
    <t>/home/spirent/jenkins-devops/workspace/kw_il/framework/il/kernel/linux-2.4.20_mvl31/kernel/exit.c</t>
  </si>
  <si>
    <t>/home/spirent/jenkins-devops/workspace/kw_il/framework/il/kernel/linux-2.4.20_mvl31/kernel/fork.c</t>
  </si>
  <si>
    <t>/home/spirent/jenkins-devops/workspace/kw_il/framework/il/kernel/linux-2.4.20_mvl31/kernel/module.c</t>
  </si>
  <si>
    <t>/home/spirent/jenkins-devops/workspace/kw_il/framework/il/kernel/linux-2.4.20_mvl31/kernel/panic.c</t>
  </si>
  <si>
    <t>/home/spirent/jenkins-devops/workspace/kw_il/framework/il/kernel/linux-2.4.20_mvl31/kernel/posix-timers.c</t>
  </si>
  <si>
    <t>/home/spirent/jenkins-devops/workspace/kw_il/framework/il/kernel/linux-2.4.20_mvl31/kernel/sched.c</t>
  </si>
  <si>
    <t>/home/spirent/jenkins-devops/workspace/kw_il/framework/il/kernel/linux-2.4.20_mvl31/kernel/softirq.c</t>
  </si>
  <si>
    <t>/home/spirent/jenkins-devops/workspace/kw_il/framework/il/kernel/linux-2.4.20_mvl31/kernel/timer.c</t>
  </si>
  <si>
    <t>/home/spirent/jenkins-devops/workspace/kw_il/framework/il/kernel/linux-2.4.20_mvl31/lib/idr.c</t>
  </si>
  <si>
    <t>/home/spirent/jenkins-devops/workspace/kw_il/framework/il/kernel/linux-2.4.20_mvl31/lib/inflate.c</t>
  </si>
  <si>
    <t>/home/spirent/jenkins-devops/workspace/kw_il/framework/il/kernel/linux-2.4.20_mvl31/lib/rwsem.c</t>
  </si>
  <si>
    <t>/home/spirent/jenkins-devops/workspace/kw_il/framework/il/kernel/linux-2.4.20_mvl31/lib/zlib_inflate/inflate.c</t>
  </si>
  <si>
    <t>/home/spirent/jenkins-devops/workspace/kw_il/framework/il/kernel/linux-2.4.20_mvl31/lib/zlib_inflate/inftrees.c</t>
  </si>
  <si>
    <t>/home/spirent/jenkins-devops/workspace/kw_il/framework/il/kernel/linux-2.4.20_mvl31/mm/filemap.c</t>
  </si>
  <si>
    <t>/home/spirent/jenkins-devops/workspace/kw_il/framework/il/kernel/linux-2.4.20_mvl31/mm/memory.c</t>
  </si>
  <si>
    <t>/home/spirent/jenkins-devops/workspace/kw_il/framework/il/kernel/linux-2.4.20_mvl31/mm/page_alloc.c</t>
  </si>
  <si>
    <t>/home/spirent/jenkins-devops/workspace/kw_il/framework/il/kernel/linux-2.4.20_mvl31/mm/slab.c</t>
  </si>
  <si>
    <t>/home/spirent/jenkins-devops/workspace/kw_il/framework/il/kernel/linux-2.4.20_mvl31/mm/swapfile.c</t>
  </si>
  <si>
    <t>/home/spirent/jenkins-devops/workspace/kw_il/framework/il/kernel/linux-2.4.20_mvl31/mm/vmscan.c</t>
  </si>
  <si>
    <t>/home/spirent/jenkins-devops/workspace/kw_il/framework/il/kernel/linux-2.4.20_mvl31/net/core/dev.c</t>
  </si>
  <si>
    <t>/home/spirent/jenkins-devops/workspace/kw_il/framework/il/kernel/linux-2.4.20_mvl31/net/core/netfilter.c</t>
  </si>
  <si>
    <t>/home/spirent/jenkins-devops/workspace/kw_il/framework/il/kernel/linux-2.4.20_mvl31/net/core/netpoll.c</t>
  </si>
  <si>
    <t>/home/spirent/jenkins-devops/workspace/kw_il/framework/il/kernel/linux-2.4.20_mvl31/net/core/rtnetlink.c</t>
  </si>
  <si>
    <t>/home/spirent/jenkins-devops/workspace/kw_il/framework/il/kernel/linux-2.4.20_mvl31/net/core/skbuff.c</t>
  </si>
  <si>
    <t>/home/spirent/jenkins-devops/workspace/kw_il/framework/il/kernel/linux-2.4.20_mvl31/net/core/sock.c</t>
  </si>
  <si>
    <t>/home/spirent/jenkins-devops/workspace/kw_il/framework/il/kernel/linux-2.4.20_mvl31/net/ipv4/af_inet.c</t>
  </si>
  <si>
    <t>/home/spirent/jenkins-devops/workspace/kw_il/framework/il/kernel/linux-2.4.20_mvl31/net/ipv4/arp.c</t>
  </si>
  <si>
    <t>/home/spirent/jenkins-devops/workspace/kw_il/framework/il/kernel/linux-2.4.20_mvl31/net/ipv4/fib_hash.c</t>
  </si>
  <si>
    <t>/home/spirent/jenkins-devops/workspace/kw_il/framework/il/kernel/linux-2.4.20_mvl31/net/ipv4/ip_fragment.c</t>
  </si>
  <si>
    <t>/home/spirent/jenkins-devops/workspace/kw_il/framework/il/kernel/linux-2.4.20_mvl31/net/ipv4/ip_output.c</t>
  </si>
  <si>
    <t>/home/spirent/jenkins-devops/workspace/kw_il/framework/il/kernel/linux-2.4.20_mvl31/net/ipv4/netfilter/ip_conntrack_proto_icmp.c</t>
  </si>
  <si>
    <t>/home/spirent/jenkins-devops/workspace/kw_il/framework/il/kernel/linux-2.4.20_mvl31/net/ipv4/netfilter/ip_nat_ftp.c</t>
  </si>
  <si>
    <t>/home/spirent/jenkins-devops/workspace/kw_il/framework/il/kernel/linux-2.4.20_mvl31/net/ipv4/netfilter/ip_nat_irc.c</t>
  </si>
  <si>
    <t>/home/spirent/jenkins-devops/workspace/kw_il/framework/il/kernel/linux-2.4.20_mvl31/net/ipv4/netfilter/ip_nat_rule.c</t>
  </si>
  <si>
    <t>/home/spirent/jenkins-devops/workspace/kw_il/framework/il/kernel/linux-2.4.20_mvl31/net/ipv4/proc.c</t>
  </si>
  <si>
    <t>/home/spirent/jenkins-devops/workspace/kw_il/framework/il/kernel/linux-2.4.20_mvl31/net/ipv4/raw.c</t>
  </si>
  <si>
    <t>/home/spirent/jenkins-devops/workspace/kw_il/framework/il/kernel/linux-2.4.20_mvl31/net/ipv4/route.c</t>
  </si>
  <si>
    <t>/home/spirent/jenkins-devops/workspace/kw_il/framework/il/kernel/linux-2.4.20_mvl31/net/ipv4/tcp_input.c</t>
  </si>
  <si>
    <t>/home/spirent/jenkins-devops/workspace/kw_il/framework/il/kernel/linux-2.4.20_mvl31/net/ipv4/tcp_ipv4.c</t>
  </si>
  <si>
    <t>/home/spirent/jenkins-devops/workspace/kw_il/framework/il/kernel/linux-2.4.20_mvl31/net/ipv4/tcp_minisocks.c</t>
  </si>
  <si>
    <t>/home/spirent/jenkins-devops/workspace/kw_il/framework/il/kernel/linux-2.4.20_mvl31/net/ipv4/tcp_timer.c</t>
  </si>
  <si>
    <t>/home/spirent/jenkins-devops/workspace/kw_il/framework/il/kernel/linux-2.4.20_mvl31/net/ipv4/udp.c</t>
  </si>
  <si>
    <t>/home/spirent/jenkins-devops/workspace/kw_il/framework/il/kernel/linux-2.4.20_mvl31/net/ipv6/af_inet6.c</t>
  </si>
  <si>
    <t>/home/spirent/jenkins-devops/workspace/kw_il/framework/il/kernel/linux-2.4.20_mvl31/net/ipv6/ip6_fib.c</t>
  </si>
  <si>
    <t>/home/spirent/jenkins-devops/workspace/kw_il/framework/il/kernel/linux-2.4.20_mvl31/net/ipv6/ip6_output.c</t>
  </si>
  <si>
    <t>/home/spirent/jenkins-devops/workspace/kw_il/framework/il/kernel/linux-2.4.20_mvl31/net/ipv6/raw.c</t>
  </si>
  <si>
    <t>/home/spirent/jenkins-devops/workspace/kw_il/framework/il/kernel/linux-2.4.20_mvl31/net/ipv6/reassembly.c</t>
  </si>
  <si>
    <t>/home/spirent/jenkins-devops/workspace/kw_il/framework/il/kernel/linux-2.4.20_mvl31/net/ipv6/route.c</t>
  </si>
  <si>
    <t>/home/spirent/jenkins-devops/workspace/kw_il/framework/il/kernel/linux-2.4.20_mvl31/net/ipv6/tcp_ipv6.c</t>
  </si>
  <si>
    <t>/home/spirent/jenkins-devops/workspace/kw_il/framework/il/kernel/linux-2.4.20_mvl31/net/ipv6/udp.c</t>
  </si>
  <si>
    <t>/home/spirent/jenkins-devops/workspace/kw_il/framework/il/kernel/linux-2.4.20_mvl31/net/packet/af_packet.c</t>
  </si>
  <si>
    <t>/home/spirent/jenkins-devops/workspace/kw_il/framework/il/kernel/linux-2.4.20_mvl31/net/sunrpc/clnt.c</t>
  </si>
  <si>
    <t>/home/spirent/jenkins-devops/workspace/kw_il/framework/il/kernel/linux-2.4.20_mvl31/net/sunrpc/pmap_clnt.c</t>
  </si>
  <si>
    <t>/home/spirent/jenkins-devops/workspace/kw_il/framework/il/kernel/linux-2.4.20_mvl31/net/sunrpc/sched.c</t>
  </si>
  <si>
    <t>/home/spirent/jenkins-devops/workspace/kw_il/framework/il/kernel/linux-2.4.20_mvl31/net/sunrpc/svcsock.c</t>
  </si>
  <si>
    <t>/home/spirent/jenkins-devops/workspace/kw_il/framework/il/kernel/linux-2.4.20_mvl31/net/sunrpc/xprt.c</t>
  </si>
  <si>
    <t>New Issues since 12/23/2015. Goal is ZERO</t>
  </si>
  <si>
    <t>C:\jenkins-devops\workspace\kw_bll_ui\content\cloudstress\cloudstress\bll\src\CloudStressResourceStatus.cpp</t>
  </si>
  <si>
    <t>C:\jenkins-devops\workspace\kw_bll_ui\content\cloudstress\cloudstress\bll\src\commands\CloudStressQueryDynamicResultsCommand.cpp</t>
  </si>
  <si>
    <t>C:\jenkins-devops\workspace\kw_bll_ui\content\cloudstress\cloudstress\bll\src\commands\CloudStressResourceCommand.cpp</t>
  </si>
  <si>
    <t>C:\jenkins-devops\workspace\kw_bll_ui\content\traffic\responder\ui\ResponderInteractiveWorkItemExtension.cs</t>
  </si>
  <si>
    <t>C:\jenkins-devops\workspace\kw_bll_ui\content\access\pppox\bll\src\context\PppoL2tpApplyContextImpl.cpp</t>
  </si>
  <si>
    <t>C:\jenkins-devops\workspace\kw_bll_ui\content\access\pppox\bll\src\l2tpv2\PppoL2tpServerBlockConfig.cpp</t>
  </si>
  <si>
    <t>C:\jenkins-devops\workspace\kw_bll_ui\content\datacenter\datacenter\bll\src\ose\OseViewSwitchConfigCommand.cpp</t>
  </si>
  <si>
    <t>C:\jenkins-devops\workspace\kw_bll_ui\content\traffic\l4l7\ui\L4L7AppPerfInteractiveWorkItemExtension.cs</t>
  </si>
  <si>
    <t>C:\jenkins-devops\workspace\kw_bll_ui\content\traffic\l4l7\ui\ProxyObjects\AppPerfClientConfigProxy.cs</t>
  </si>
  <si>
    <t>C:\jenkins-devops\workspace\kw_bll_ui\content\traffic\l4l7\ui\ProxyObjects\AppPerfPortConfigProxy.cs</t>
  </si>
  <si>
    <t>C:\jenkins-devops\workspace\kw_bll_ui\content\traffic\l4l7\ui\View\AppPerf\AppPerfCpsTestProfileView.cs</t>
  </si>
  <si>
    <t>C:\jenkins-devops\workspace\kw_bll_ui\content\traffic\l4l7\ui\View\AppPerf\AppPerfGoodputTestProfileView.cs</t>
  </si>
  <si>
    <t>C:\jenkins-devops\workspace\kw_bll_ui\content\traffic\l4l7\ui\View\AppPerf\AppPerfTcpCpsTestProfileView.cs</t>
  </si>
  <si>
    <t>C:\jenkins-devops\workspace\kw_bll_ui\content\traffic\l4l7\ui\View\AppPerf\AppPerfTcpGoodputTestProfileView.cs</t>
  </si>
  <si>
    <t>C:\jenkins-devops\workspace\kw_bll_ui\content\traffictests\benchmarking\ui\RfcTestEx\Page\TrafficPropertyPage.designer.cs</t>
  </si>
  <si>
    <t>C:\jenkins-devops\workspace\kw_bll_ui\framework\ui\CorePlugin\WinUiData\UiDataJsonSerializer.cs</t>
  </si>
  <si>
    <t>C:\jenkins-devops\workspace\kw_bll_ui\framework\ui\CorePlugin\WinUiData\UiDataObjectCollectionEditorForm.cs</t>
  </si>
  <si>
    <t>C:\jenkins-devops\workspace\kw_bll_ui\framework\ui\CorePlugin\WinUiData\UiDataTableControl.cs</t>
  </si>
  <si>
    <t>C:\jenkins-devops\workspace\kw_bll_ui\framework\ui\TopologyEditor\ScrollingRecordNode.cs</t>
  </si>
  <si>
    <t>C:\jenkins-devops\workspace\kw_bll_ui\framework\ui\TopologyEditor\TopologyDeviceNode.cs</t>
  </si>
  <si>
    <t>C:\jenkins-devops\workspace\kw_bll_ui\framework\ui\TopologyEditor\TopologyEditorView.cs</t>
  </si>
  <si>
    <t>/home/spirent/jenkins-devops/workspace/kw_il/content/access/saa/il/saad/SaaEmulatedDevice.cpp</t>
  </si>
  <si>
    <t>/home/spirent/jenkins-devops/workspace/kw_il/framework/il/common/apps/hwmgrd/ccpu/PortNemesis.cpp</t>
  </si>
  <si>
    <t>IPS</t>
  </si>
  <si>
    <t>PGA</t>
  </si>
  <si>
    <t>IPS Benchmarking</t>
  </si>
  <si>
    <t>Custom</t>
  </si>
  <si>
    <t>DCB</t>
  </si>
  <si>
    <t>IPS Total</t>
  </si>
  <si>
    <t>Capture</t>
  </si>
  <si>
    <t>ieee 802.11</t>
  </si>
  <si>
    <t>L2L3</t>
  </si>
  <si>
    <t>Learning</t>
  </si>
  <si>
    <t>PGA Total</t>
  </si>
  <si>
    <t>Project: Integraton_Win_BLL_Baseline for IPS and PGA areas</t>
  </si>
  <si>
    <t>gli</t>
  </si>
  <si>
    <t>C:\jenkins-devops\workspace\kw_bll_ui\content\cloudstress\cloudstress\bll\src\CloudNetworkLoadProfile.cpp</t>
  </si>
  <si>
    <t>C:\jenkins-devops\workspace\kw_bll_ui\content\cloudstress\cloudstress\bll\src\CloudStressIpv4NetworkEndpoint.cpp</t>
  </si>
  <si>
    <t>C:\jenkins-devops\workspace\kw_bll_ui\content\cloudstress\cloudstress\bll\src\CloudStressIpv6NetworkEndpoint.cpp</t>
  </si>
  <si>
    <t>C:\jenkins-devops\workspace\kw_bll_ui\content\datacenter\datacenter\bll\src\openflow\OpenflowFeaturesRequestCommand.cpp</t>
  </si>
  <si>
    <t>C:\jenkins-devops\workspace\kw_bll_ui\content\datacenter\datacenter\bll\src\openflow\OpenflowGetAsyncRequestCommand.cpp</t>
  </si>
  <si>
    <t>C:\jenkins-devops\workspace\kw_bll_ui\content\datacenter\datacenter\bll\src\openflow\OpenflowSetAsyncMessageCommand.cpp</t>
  </si>
  <si>
    <t>C:\jenkins-devops\workspace\kw_bll_ui\content\datacenter\datacenter\bll\src\ovsdb\OvsdbProtocol.cpp</t>
  </si>
  <si>
    <t>C:\jenkins-devops\workspace\kw_bll_ui\content\datacenter\datacenter\bll\src\ovsdb\OvsdbServerConfig.cpp</t>
  </si>
  <si>
    <t>C:\jenkins-devops\workspace\kw_bll_ui\content\datacenter\datacenter\bll\src\ovsdb\ViewOvsdbContentsSummaryCommand.cpp</t>
  </si>
  <si>
    <t>C:\jenkins-devops\workspace\kw_bll_ui\content\mcast\igmpmld\bll\src\MulticastGroupMembership.cpp</t>
  </si>
  <si>
    <t>C:\jenkins-devops\workspace\kw_bll_ui\content\routing\bgp\common\lib\BgpRouteParser.h</t>
  </si>
  <si>
    <t>C:\jenkins-devops\workspace\kw_bll_ui\content\routing\isis\bll\src\dynamicview\DynamicViewRegistry.cpp</t>
  </si>
  <si>
    <t>C:\jenkins-devops\workspace\kw_bll_ui\content\routing\pcep\bll\src\PcepAssociationObject.cpp</t>
  </si>
  <si>
    <t>C:\jenkins-devops\workspace\kw_bll_ui\content\routing\pcep\bll\src\PcepLspAutoCommandConfig.cpp</t>
  </si>
  <si>
    <t>C:\jenkins-devops\workspace\kw_bll_ui\content\routing\rsvp\bll\src\RsvpRouterConfig.cpp</t>
  </si>
  <si>
    <t>dchutia</t>
  </si>
  <si>
    <t>C:\jenkins-devops\workspace\kw_bll_ui\content\wlan\ieee80211\bll\src\Ieee80211ConfigParamsCommand.cpp</t>
  </si>
  <si>
    <t>C:\jenkins-devops\workspace\kw_bll_ui\content\wlan\ieee80211\bll\src\Ieee80211ResultLocator.cpp</t>
  </si>
  <si>
    <t>C:\jenkins-devops\workspace\kw_bll_ui\content\wlan\ieee80211\bll\src\Ieee80211ResultQueryInterface.cpp</t>
  </si>
  <si>
    <t>C:\jenkins-devops\workspace\kw_bll_ui\framework\bll\core\src\command\ConfigureSystemMonitorCommand.cpp</t>
  </si>
  <si>
    <t>C:\jenkins-devops\workspace\kw_bll_ui\framework\bll\core\src\phy\Ethernet50GigFiber.cpp</t>
  </si>
  <si>
    <t>C:\jenkins-devops\workspace\kw_bll_ui\framework\bll\core\src\result\SysMonitorResultHandler.cpp</t>
  </si>
  <si>
    <t>C:\jenkins-devops\workspace\kw_bll_ui\framework\bll\pl\bll\src\DynamicScriptable.cpp</t>
  </si>
  <si>
    <t>C:\jenkins-devops\workspace\kw_bll_ui\content\datacenter\datacenter\ui\Controls\Ovsdb\OvsdbBindingView.cs</t>
  </si>
  <si>
    <t>C:\jenkins-devops\workspace\kw_bll_ui\content\datacenter\datacenter\ui\View\Ose\SpineLeafConfigParamsDialog.cs</t>
  </si>
  <si>
    <t>C:\jenkins-devops\workspace\kw_bll_ui\content\datacenter\datacenter\ui\View\Ovsdb\ExportOvsdbContentsCommandEditor.cs</t>
  </si>
  <si>
    <t>C:\jenkins-devops\workspace\kw_bll_ui\content\datacenter\datacenter\ui\View\Ovsdb\OvsdbBindingsForm.cs</t>
  </si>
  <si>
    <t>C:\jenkins-devops\workspace\kw_bll_ui\content\routing\bgp\ui\LsScaleAttributeTeParams.cs</t>
  </si>
  <si>
    <t>C:\jenkins-devops\workspace\kw_bll_ui\content\routing\bgp\ui\ProxyObjects\BgpLsScaleTopologyAttributeNoneBackboneConfigProxy.cs</t>
  </si>
  <si>
    <t>C:\jenkins-devops\workspace\kw_bll_ui\content\routing\isis\ui\Forms\IsisMultiLabelSupportForm.cs</t>
  </si>
  <si>
    <t>C:\jenkins-devops\workspace\kw_bll_ui\content\routing\rsvp\ui\Forms\RsvpTspecProfileForm.cs</t>
  </si>
  <si>
    <t>C:\jenkins-devops\workspace\kw_bll_ui\content\routing\rsvp\ui\ProxyObjects\RsvpIpv4EroObjectProxy.cs</t>
  </si>
  <si>
    <t>C:\jenkins-devops\workspace\kw_bll_ui\content\traffic\l2l3\ui\View\PortConfigView40100GigFiberGeneral.Designer.cs</t>
  </si>
  <si>
    <t>C:\jenkins-devops\workspace\kw_bll_ui\content\wlan\ieee80211\ui\Ieee80211WorkItemExtension.cs</t>
  </si>
  <si>
    <t>C:\jenkins-devops\workspace\kw_bll_ui\content\wlan\ieee80211\ui\Wizards\ConfigurationWizard\Ieee80211ConfigurationEthernetDevicesPage.cs</t>
  </si>
  <si>
    <t>C:\jenkins-devops\workspace\kw_bll_ui\content\wlan\ieee80211\ui\Wizards\ConfigurationWizard\Ieee80211ConfigurationWirelessDevicesPage.cs</t>
  </si>
  <si>
    <t>C:\jenkins-devops\workspace\kw_bll_ui\content\wlan\ieee80211\ui\Wizards\ConfigurationWizard\Ieee80211ConfigurationWizardEndpointsPage.cs</t>
  </si>
  <si>
    <t>C:\jenkins-devops\workspace\kw_bll_ui\framework\ui\CorePlugin\Forms\DiagnosticReportFormEx.Designer.cs</t>
  </si>
  <si>
    <t>Multiple</t>
  </si>
  <si>
    <t>C:\jenkins-devops\workspace\kw_bll_ui\framework\ui\CorePlugin\Wizards\DiagnosticReportWizard\DiagnosticReportQuestion1Page.cs</t>
  </si>
  <si>
    <t>C:\jenkins-devops\workspace\kw_bll_ui\framework\ui\CorePlugin\Wizards\DiagnosticReportWizard\DiagnosticReportWizard.cs</t>
  </si>
  <si>
    <t>/home/spirent/jenkins-devops/workspace/kw_il/common/lib/boost_1_39_0/boost/regex/v4/perl_matcher_non_recursive.hpp</t>
  </si>
  <si>
    <t>/home/spirent/jenkins-devops/workspace/kw_il/content/access/dhcpv4/il/dhcpd/DhcpEventThread.cpp</t>
  </si>
  <si>
    <t>/home/spirent/jenkins-devops/workspace/kw_il/content/access/dhcpv6/il/dhcpv6d/Dhcpv6EventThread.cpp</t>
  </si>
  <si>
    <t>/home/spirent/jenkins-devops/workspace/kw_il/content/access/dot1x/il/framework/src/phycap_file.cpp</t>
  </si>
  <si>
    <t>/home/spirent/jenkins-devops/workspace/kw_il/content/datacenter/datacenter/il/ovsdbd/MpsNotifier.cpp</t>
  </si>
  <si>
    <t>/home/spirent/jenkins-devops/workspace/kw_il/content/routing/bgp/common/lib/BgpRouteParser.h</t>
  </si>
  <si>
    <t>/home/spirent/jenkins-devops/workspace/kw_il/content/routing/il/common/topology/TopologyObject.h</t>
  </si>
  <si>
    <t>/home/spirent/jenkins-devops/workspace/kw_il/content/routing/il/gptpd/GeneratorClientHandler.cpp</t>
  </si>
  <si>
    <t>/home/spirent/jenkins-devops/workspace/kw_il/content/routing/il/gptpd/GptpClock.cpp</t>
  </si>
  <si>
    <t>/home/spirent/jenkins-devops/workspace/kw_il/content/routing/il/gptpd/GptpDataTypes.h</t>
  </si>
  <si>
    <t>/home/spirent/jenkins-devops/workspace/kw_il/content/routing/il/pcepd/PcepLsp.h</t>
  </si>
  <si>
    <t>/home/spirent/jenkins-devops/workspace/kw_il/content/routing/il/srpd/MsrpDataTypes.cpp</t>
  </si>
  <si>
    <t>schallawar</t>
  </si>
  <si>
    <t>/home/spirent/jenkins-devops/workspace/kw_il/content/traffic/l2l3/il/Generator/Driver/refactor/hwaccess/FastVirtualMemMap.cpp</t>
  </si>
  <si>
    <t>/home/spirent/jenkins-devops/workspace/kw_il/content/traffic/l4l7/il/httpd/AbrPlayer.h</t>
  </si>
  <si>
    <t>/home/spirent/jenkins-devops/workspace/kw_il/framework/il/common/apps/hwmgrd/ccpu/FrontEndInterfaceFactoryX86.cpp</t>
  </si>
  <si>
    <t>/home/spirent/jenkins-devops/workspace/kw_il/framework/il/common/apps/hwmgrd/ccpu/phy/fc/FcCounters.h</t>
  </si>
  <si>
    <t>/home/spirent/jenkins-devops/workspace/kw_il/framework/il/common/apps/hwmgrd/ccpu/XilinxCoreEthernet.cpp</t>
  </si>
  <si>
    <t>C:\jenkins-devops\workspace\kw_bll_ui\framework\ui\BLLInterface\BLLInterface.Test\ProxyMetaDataTest.cs</t>
  </si>
  <si>
    <t>Fix in Next Release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</si>
</sst>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;@"/>
    <numFmt numFmtId="165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7"/>
      <color rgb="FF000000"/>
      <name val="Verdana"/>
      <family val="2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Verdana"/>
      <family val="2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1F497D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DCDB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116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0" xfId="0" applyFont="1"/>
    <xf numFmtId="14" fontId="0" fillId="0" borderId="1" xfId="0" applyNumberFormat="1" applyFont="1" applyBorder="1" applyAlignment="1">
      <alignment textRotation="90"/>
    </xf>
    <xf numFmtId="0" fontId="0" fillId="0" borderId="1" xfId="0" applyFont="1" applyBorder="1"/>
    <xf numFmtId="0" fontId="0" fillId="0" borderId="1" xfId="0" applyFont="1" applyFill="1" applyBorder="1"/>
    <xf numFmtId="9" fontId="0" fillId="0" borderId="1" xfId="0" applyNumberFormat="1" applyFont="1" applyBorder="1"/>
    <xf numFmtId="1" fontId="0" fillId="0" borderId="1" xfId="0" applyNumberFormat="1" applyFont="1" applyBorder="1"/>
    <xf numFmtId="0" fontId="3" fillId="0" borderId="0" xfId="0" applyFont="1" applyAlignment="1">
      <alignment vertical="center"/>
    </xf>
    <xf numFmtId="0" fontId="4" fillId="0" borderId="0" xfId="0" applyFont="1"/>
    <xf numFmtId="0" fontId="5" fillId="0" borderId="1" xfId="0" applyFont="1" applyBorder="1" applyAlignment="1">
      <alignment horizontal="center" wrapText="1"/>
    </xf>
    <xf numFmtId="0" fontId="0" fillId="0" borderId="0" xfId="0" applyAlignment="1">
      <alignment wrapText="1"/>
    </xf>
    <xf numFmtId="1" fontId="2" fillId="2" borderId="1" xfId="0" applyNumberFormat="1" applyFont="1" applyFill="1" applyBorder="1" applyAlignment="1">
      <alignment horizontal="center"/>
    </xf>
    <xf numFmtId="0" fontId="5" fillId="0" borderId="1" xfId="0" applyFont="1" applyBorder="1" applyAlignment="1">
      <alignment wrapText="1"/>
    </xf>
    <xf numFmtId="0" fontId="2" fillId="0" borderId="0" xfId="0" applyFont="1" applyFill="1" applyBorder="1"/>
    <xf numFmtId="1" fontId="2" fillId="2" borderId="1" xfId="0" applyNumberFormat="1" applyFont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49" fontId="0" fillId="0" borderId="1" xfId="0" applyNumberFormat="1" applyBorder="1"/>
    <xf numFmtId="0" fontId="1" fillId="0" borderId="1" xfId="0" applyFont="1" applyBorder="1" applyAlignment="1">
      <alignment horizontal="center"/>
    </xf>
    <xf numFmtId="0" fontId="0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3" borderId="1" xfId="0" applyNumberFormat="1" applyFont="1" applyFill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0" borderId="0" xfId="0" applyFont="1" applyBorder="1"/>
    <xf numFmtId="0" fontId="1" fillId="0" borderId="0" xfId="0" applyFont="1" applyBorder="1" applyAlignment="1">
      <alignment horizontal="center"/>
    </xf>
    <xf numFmtId="0" fontId="2" fillId="0" borderId="1" xfId="0" applyFont="1" applyBorder="1"/>
    <xf numFmtId="49" fontId="2" fillId="0" borderId="1" xfId="0" applyNumberFormat="1" applyFont="1" applyBorder="1"/>
    <xf numFmtId="0" fontId="3" fillId="0" borderId="0" xfId="0" applyFont="1" applyAlignment="1">
      <alignment horizontal="left" vertical="center"/>
    </xf>
    <xf numFmtId="0" fontId="0" fillId="0" borderId="0" xfId="0" applyFont="1" applyAlignment="1">
      <alignment horizontal="left"/>
    </xf>
    <xf numFmtId="0" fontId="8" fillId="0" borderId="0" xfId="0" applyFont="1" applyAlignment="1">
      <alignment horizontal="left" vertic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/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49" fontId="2" fillId="0" borderId="0" xfId="0" applyNumberFormat="1" applyFont="1"/>
    <xf numFmtId="165" fontId="0" fillId="0" borderId="1" xfId="0" applyNumberFormat="1" applyBorder="1"/>
    <xf numFmtId="9" fontId="2" fillId="0" borderId="1" xfId="0" applyNumberFormat="1" applyFont="1" applyBorder="1" applyAlignment="1">
      <alignment horizontal="center"/>
    </xf>
    <xf numFmtId="49" fontId="1" fillId="0" borderId="1" xfId="0" applyNumberFormat="1" applyFont="1" applyFill="1" applyBorder="1"/>
    <xf numFmtId="0" fontId="0" fillId="0" borderId="1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9" fillId="0" borderId="0" xfId="0" applyFont="1" applyFill="1" applyBorder="1"/>
    <xf numFmtId="0" fontId="9" fillId="0" borderId="0" xfId="0" applyFont="1"/>
    <xf numFmtId="9" fontId="2" fillId="2" borderId="1" xfId="0" applyNumberFormat="1" applyFont="1" applyFill="1" applyBorder="1" applyAlignment="1">
      <alignment horizontal="center"/>
    </xf>
    <xf numFmtId="0" fontId="8" fillId="3" borderId="0" xfId="0" applyFont="1" applyFill="1" applyAlignment="1">
      <alignment vertical="center"/>
    </xf>
    <xf numFmtId="0" fontId="0" fillId="3" borderId="0" xfId="0" applyFill="1"/>
    <xf numFmtId="0" fontId="6" fillId="3" borderId="0" xfId="0" applyFont="1" applyFill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0" borderId="0" xfId="0" applyFont="1" applyFill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2" xfId="0" applyFont="1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49" fontId="0" fillId="3" borderId="1" xfId="0" applyNumberFormat="1" applyFill="1" applyBorder="1"/>
    <xf numFmtId="49" fontId="0" fillId="0" borderId="0" xfId="0" applyNumberFormat="1"/>
    <xf numFmtId="0" fontId="2" fillId="0" borderId="1" xfId="0" applyFont="1" applyFill="1" applyBorder="1"/>
    <xf numFmtId="14" fontId="0" fillId="3" borderId="1" xfId="0" applyNumberFormat="1" applyFont="1" applyFill="1" applyBorder="1" applyAlignment="1">
      <alignment textRotation="90"/>
    </xf>
    <xf numFmtId="0" fontId="0" fillId="3" borderId="1" xfId="0" applyFont="1" applyFill="1" applyBorder="1"/>
    <xf numFmtId="1" fontId="0" fillId="3" borderId="1" xfId="0" applyNumberFormat="1" applyFont="1" applyFill="1" applyBorder="1"/>
    <xf numFmtId="9" fontId="0" fillId="3" borderId="1" xfId="0" applyNumberFormat="1" applyFont="1" applyFill="1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Font="1" applyBorder="1"/>
    <xf numFmtId="9" fontId="0" fillId="0" borderId="1" xfId="0" applyNumberForma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0" fillId="2" borderId="1" xfId="0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Alignment="1">
      <alignment horizontal="center" wrapText="1"/>
    </xf>
    <xf numFmtId="9" fontId="1" fillId="2" borderId="1" xfId="0" applyNumberFormat="1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14" fontId="0" fillId="0" borderId="1" xfId="0" applyNumberFormat="1" applyFont="1" applyBorder="1" applyAlignment="1">
      <alignment horizontal="center" textRotation="90"/>
    </xf>
    <xf numFmtId="0" fontId="0" fillId="0" borderId="1" xfId="0" applyFont="1" applyFill="1" applyBorder="1" applyAlignment="1">
      <alignment horizontal="center"/>
    </xf>
    <xf numFmtId="0" fontId="1" fillId="0" borderId="1" xfId="0" applyFont="1" applyFill="1" applyBorder="1"/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" fontId="0" fillId="0" borderId="0" xfId="0" applyNumberFormat="1"/>
    <xf numFmtId="1" fontId="0" fillId="0" borderId="1" xfId="0" applyNumberFormat="1" applyBorder="1" applyAlignment="1">
      <alignment horizontal="center"/>
    </xf>
    <xf numFmtId="1" fontId="0" fillId="0" borderId="1" xfId="0" applyNumberForma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textRotation="90" wrapText="1"/>
    </xf>
    <xf numFmtId="0" fontId="1" fillId="0" borderId="3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12" fillId="0" borderId="8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12" fillId="0" borderId="13" xfId="0" applyFont="1" applyBorder="1" applyAlignment="1">
      <alignment vertical="center"/>
    </xf>
    <xf numFmtId="0" fontId="10" fillId="0" borderId="14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4" fontId="10" fillId="0" borderId="15" xfId="0" applyNumberFormat="1" applyFont="1" applyBorder="1" applyAlignment="1">
      <alignment horizontal="right" vertical="center"/>
    </xf>
    <xf numFmtId="0" fontId="10" fillId="4" borderId="11" xfId="0" applyFont="1" applyFill="1" applyBorder="1" applyAlignment="1">
      <alignment horizontal="right" vertical="center"/>
    </xf>
    <xf numFmtId="0" fontId="10" fillId="4" borderId="12" xfId="0" applyFont="1" applyFill="1" applyBorder="1" applyAlignment="1">
      <alignment horizontal="right" vertical="center"/>
    </xf>
    <xf numFmtId="0" fontId="12" fillId="5" borderId="16" xfId="0" applyFont="1" applyFill="1" applyBorder="1" applyAlignment="1">
      <alignment horizontal="right" vertical="center"/>
    </xf>
    <xf numFmtId="0" fontId="12" fillId="5" borderId="17" xfId="0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0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/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IPS_PGA_Win_BLL!$B$3:$B$4</c:f>
              <c:strCache>
                <c:ptCount val="1"/>
                <c:pt idx="0">
                  <c:v>IPS IPS Benchmarking</c:v>
                </c:pt>
              </c:strCache>
            </c:strRef>
          </c:tx>
          <c:marker>
            <c:symbol val="none"/>
          </c:marker>
          <c:cat>
            <c:numRef>
              <c:f>IPS_PGA_Win_BLL!$A$5:$A$15</c:f>
              <c:numCache>
                <c:formatCode>m/d/yyyy</c:formatCode>
                <c:ptCount val="11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</c:numCache>
            </c:numRef>
          </c:cat>
          <c:val>
            <c:numRef>
              <c:f>IPS_PGA_Win_BLL!$B$5:$B$15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IPS_PGA_Win_BLL!$C$3:$C$4</c:f>
              <c:strCache>
                <c:ptCount val="1"/>
                <c:pt idx="0">
                  <c:v>IPS Custom</c:v>
                </c:pt>
              </c:strCache>
            </c:strRef>
          </c:tx>
          <c:marker>
            <c:symbol val="none"/>
          </c:marker>
          <c:cat>
            <c:numRef>
              <c:f>IPS_PGA_Win_BLL!$A$5:$A$15</c:f>
              <c:numCache>
                <c:formatCode>m/d/yyyy</c:formatCode>
                <c:ptCount val="11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</c:numCache>
            </c:numRef>
          </c:cat>
          <c:val>
            <c:numRef>
              <c:f>IPS_PGA_Win_BLL!$C$5:$C$15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IPS_PGA_Win_BLL!$D$3:$D$4</c:f>
              <c:strCache>
                <c:ptCount val="1"/>
                <c:pt idx="0">
                  <c:v>IPS DCB</c:v>
                </c:pt>
              </c:strCache>
            </c:strRef>
          </c:tx>
          <c:marker>
            <c:symbol val="none"/>
          </c:marker>
          <c:cat>
            <c:numRef>
              <c:f>IPS_PGA_Win_BLL!$A$5:$A$15</c:f>
              <c:numCache>
                <c:formatCode>m/d/yyyy</c:formatCode>
                <c:ptCount val="11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</c:numCache>
            </c:numRef>
          </c:cat>
          <c:val>
            <c:numRef>
              <c:f>IPS_PGA_Win_BLL!$D$5:$D$15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IPS_PGA_Win_BLL!$E$3:$E$4</c:f>
              <c:strCache>
                <c:ptCount val="1"/>
                <c:pt idx="0">
                  <c:v>IPS IPS Total</c:v>
                </c:pt>
              </c:strCache>
            </c:strRef>
          </c:tx>
          <c:marker>
            <c:symbol val="none"/>
          </c:marker>
          <c:cat>
            <c:numRef>
              <c:f>IPS_PGA_Win_BLL!$A$5:$A$15</c:f>
              <c:numCache>
                <c:formatCode>m/d/yyyy</c:formatCode>
                <c:ptCount val="11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</c:numCache>
            </c:numRef>
          </c:cat>
          <c:val>
            <c:numRef>
              <c:f>IPS_PGA_Win_BLL!$E$5:$E$15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IPS_PGA_Win_BLL!$F$3:$F$4</c:f>
              <c:strCache>
                <c:ptCount val="1"/>
                <c:pt idx="0">
                  <c:v>PGA Capture</c:v>
                </c:pt>
              </c:strCache>
            </c:strRef>
          </c:tx>
          <c:marker>
            <c:symbol val="none"/>
          </c:marker>
          <c:cat>
            <c:numRef>
              <c:f>IPS_PGA_Win_BLL!$A$5:$A$15</c:f>
              <c:numCache>
                <c:formatCode>m/d/yyyy</c:formatCode>
                <c:ptCount val="11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</c:numCache>
            </c:numRef>
          </c:cat>
          <c:val>
            <c:numRef>
              <c:f>IPS_PGA_Win_BLL!$F$5:$F$15</c:f>
              <c:numCache>
                <c:formatCode>General</c:formatCode>
                <c:ptCount val="1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IPS_PGA_Win_BLL!$G$3:$G$4</c:f>
              <c:strCache>
                <c:ptCount val="1"/>
                <c:pt idx="0">
                  <c:v>PGA ieee 802.11</c:v>
                </c:pt>
              </c:strCache>
            </c:strRef>
          </c:tx>
          <c:marker>
            <c:symbol val="none"/>
          </c:marker>
          <c:cat>
            <c:numRef>
              <c:f>IPS_PGA_Win_BLL!$A$5:$A$15</c:f>
              <c:numCache>
                <c:formatCode>m/d/yyyy</c:formatCode>
                <c:ptCount val="11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</c:numCache>
            </c:numRef>
          </c:cat>
          <c:val>
            <c:numRef>
              <c:f>IPS_PGA_Win_BLL!$G$5:$G$15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IPS_PGA_Win_BLL!$H$3:$H$4</c:f>
              <c:strCache>
                <c:ptCount val="1"/>
                <c:pt idx="0">
                  <c:v>PGA L2L3</c:v>
                </c:pt>
              </c:strCache>
            </c:strRef>
          </c:tx>
          <c:marker>
            <c:symbol val="none"/>
          </c:marker>
          <c:cat>
            <c:numRef>
              <c:f>IPS_PGA_Win_BLL!$A$5:$A$15</c:f>
              <c:numCache>
                <c:formatCode>m/d/yyyy</c:formatCode>
                <c:ptCount val="11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</c:numCache>
            </c:numRef>
          </c:cat>
          <c:val>
            <c:numRef>
              <c:f>IPS_PGA_Win_BLL!$H$5:$H$15</c:f>
              <c:numCache>
                <c:formatCode>General</c:formatCode>
                <c:ptCount val="11"/>
                <c:pt idx="0">
                  <c:v>27</c:v>
                </c:pt>
                <c:pt idx="1">
                  <c:v>27</c:v>
                </c:pt>
                <c:pt idx="2">
                  <c:v>24</c:v>
                </c:pt>
                <c:pt idx="3">
                  <c:v>17</c:v>
                </c:pt>
                <c:pt idx="4">
                  <c:v>17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IPS_PGA_Win_BLL!$I$3:$I$4</c:f>
              <c:strCache>
                <c:ptCount val="1"/>
                <c:pt idx="0">
                  <c:v>PGA Learning</c:v>
                </c:pt>
              </c:strCache>
            </c:strRef>
          </c:tx>
          <c:marker>
            <c:symbol val="none"/>
          </c:marker>
          <c:cat>
            <c:numRef>
              <c:f>IPS_PGA_Win_BLL!$A$5:$A$15</c:f>
              <c:numCache>
                <c:formatCode>m/d/yyyy</c:formatCode>
                <c:ptCount val="11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</c:numCache>
            </c:numRef>
          </c:cat>
          <c:val>
            <c:numRef>
              <c:f>IPS_PGA_Win_BLL!$I$5:$I$15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IPS_PGA_Win_BLL!$J$3:$J$4</c:f>
              <c:strCache>
                <c:ptCount val="1"/>
                <c:pt idx="0">
                  <c:v>PGA PGA Total</c:v>
                </c:pt>
              </c:strCache>
            </c:strRef>
          </c:tx>
          <c:marker>
            <c:symbol val="none"/>
          </c:marker>
          <c:cat>
            <c:numRef>
              <c:f>IPS_PGA_Win_BLL!$A$5:$A$15</c:f>
              <c:numCache>
                <c:formatCode>m/d/yyyy</c:formatCode>
                <c:ptCount val="11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</c:numCache>
            </c:numRef>
          </c:cat>
          <c:val>
            <c:numRef>
              <c:f>IPS_PGA_Win_BLL!$J$5:$J$15</c:f>
              <c:numCache>
                <c:formatCode>General</c:formatCode>
                <c:ptCount val="11"/>
                <c:pt idx="0">
                  <c:v>35</c:v>
                </c:pt>
                <c:pt idx="1">
                  <c:v>35</c:v>
                </c:pt>
                <c:pt idx="2">
                  <c:v>32</c:v>
                </c:pt>
                <c:pt idx="3">
                  <c:v>25</c:v>
                </c:pt>
                <c:pt idx="4">
                  <c:v>25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30048"/>
        <c:axId val="41731584"/>
      </c:lineChart>
      <c:dateAx>
        <c:axId val="41730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1731584"/>
        <c:crosses val="autoZero"/>
        <c:auto val="1"/>
        <c:lblOffset val="100"/>
        <c:baseTimeUnit val="days"/>
      </c:dateAx>
      <c:valAx>
        <c:axId val="41731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7300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BKLG!$B$18</c:f>
              <c:strCache>
                <c:ptCount val="1"/>
                <c:pt idx="0">
                  <c:v>GUI/C++</c:v>
                </c:pt>
              </c:strCache>
            </c:strRef>
          </c:tx>
          <c:marker>
            <c:symbol val="none"/>
          </c:marker>
          <c:cat>
            <c:numRef>
              <c:f>BKLG!$C$17:$AE$17</c:f>
              <c:numCache>
                <c:formatCode>m/d/yyyy</c:formatCode>
                <c:ptCount val="29"/>
                <c:pt idx="0">
                  <c:v>41644</c:v>
                </c:pt>
                <c:pt idx="1">
                  <c:v>41658</c:v>
                </c:pt>
                <c:pt idx="2">
                  <c:v>41672</c:v>
                </c:pt>
                <c:pt idx="3">
                  <c:v>41686</c:v>
                </c:pt>
                <c:pt idx="4">
                  <c:v>41693</c:v>
                </c:pt>
                <c:pt idx="5">
                  <c:v>41700</c:v>
                </c:pt>
                <c:pt idx="6">
                  <c:v>41707</c:v>
                </c:pt>
                <c:pt idx="7">
                  <c:v>41721</c:v>
                </c:pt>
                <c:pt idx="8">
                  <c:v>41742</c:v>
                </c:pt>
                <c:pt idx="9">
                  <c:v>41755</c:v>
                </c:pt>
                <c:pt idx="10">
                  <c:v>41763</c:v>
                </c:pt>
                <c:pt idx="11">
                  <c:v>41770</c:v>
                </c:pt>
                <c:pt idx="12">
                  <c:v>41777</c:v>
                </c:pt>
                <c:pt idx="13">
                  <c:v>41792</c:v>
                </c:pt>
                <c:pt idx="14">
                  <c:v>41798</c:v>
                </c:pt>
                <c:pt idx="15">
                  <c:v>41818</c:v>
                </c:pt>
                <c:pt idx="16">
                  <c:v>41826</c:v>
                </c:pt>
                <c:pt idx="17">
                  <c:v>41841</c:v>
                </c:pt>
                <c:pt idx="18">
                  <c:v>41854</c:v>
                </c:pt>
                <c:pt idx="19">
                  <c:v>41868</c:v>
                </c:pt>
                <c:pt idx="20">
                  <c:v>41889</c:v>
                </c:pt>
                <c:pt idx="21">
                  <c:v>41903</c:v>
                </c:pt>
                <c:pt idx="22">
                  <c:v>41924</c:v>
                </c:pt>
                <c:pt idx="23">
                  <c:v>41980</c:v>
                </c:pt>
                <c:pt idx="24">
                  <c:v>42008</c:v>
                </c:pt>
                <c:pt idx="25">
                  <c:v>42053</c:v>
                </c:pt>
                <c:pt idx="26">
                  <c:v>42090</c:v>
                </c:pt>
                <c:pt idx="27">
                  <c:v>42246</c:v>
                </c:pt>
                <c:pt idx="28">
                  <c:v>42267</c:v>
                </c:pt>
              </c:numCache>
            </c:numRef>
          </c:cat>
          <c:val>
            <c:numRef>
              <c:f>BKLG!$C$18:$AE$18</c:f>
              <c:numCache>
                <c:formatCode>General</c:formatCode>
                <c:ptCount val="29"/>
                <c:pt idx="0">
                  <c:v>3397</c:v>
                </c:pt>
                <c:pt idx="1">
                  <c:v>3243</c:v>
                </c:pt>
                <c:pt idx="2">
                  <c:v>3181</c:v>
                </c:pt>
                <c:pt idx="3">
                  <c:v>3030</c:v>
                </c:pt>
                <c:pt idx="4">
                  <c:v>2923</c:v>
                </c:pt>
                <c:pt idx="5">
                  <c:v>2924</c:v>
                </c:pt>
                <c:pt idx="6">
                  <c:v>2865</c:v>
                </c:pt>
                <c:pt idx="7">
                  <c:v>2695</c:v>
                </c:pt>
                <c:pt idx="8">
                  <c:v>2540</c:v>
                </c:pt>
                <c:pt idx="9">
                  <c:v>2540</c:v>
                </c:pt>
                <c:pt idx="10">
                  <c:v>2408</c:v>
                </c:pt>
                <c:pt idx="11">
                  <c:v>2400</c:v>
                </c:pt>
                <c:pt idx="12">
                  <c:v>2400</c:v>
                </c:pt>
                <c:pt idx="13">
                  <c:v>2262</c:v>
                </c:pt>
                <c:pt idx="14">
                  <c:v>2281</c:v>
                </c:pt>
                <c:pt idx="15">
                  <c:v>2281</c:v>
                </c:pt>
                <c:pt idx="16">
                  <c:v>2290</c:v>
                </c:pt>
                <c:pt idx="17">
                  <c:v>2290</c:v>
                </c:pt>
                <c:pt idx="18">
                  <c:v>2276</c:v>
                </c:pt>
                <c:pt idx="19">
                  <c:v>2283</c:v>
                </c:pt>
                <c:pt idx="20">
                  <c:v>2288</c:v>
                </c:pt>
                <c:pt idx="21">
                  <c:v>2244</c:v>
                </c:pt>
                <c:pt idx="22">
                  <c:v>2198</c:v>
                </c:pt>
                <c:pt idx="23">
                  <c:v>2024</c:v>
                </c:pt>
                <c:pt idx="24">
                  <c:v>2005</c:v>
                </c:pt>
                <c:pt idx="25">
                  <c:v>2082</c:v>
                </c:pt>
                <c:pt idx="26">
                  <c:v>1977</c:v>
                </c:pt>
                <c:pt idx="27">
                  <c:v>2035</c:v>
                </c:pt>
                <c:pt idx="28">
                  <c:v>2036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BKLG!$B$19</c:f>
              <c:strCache>
                <c:ptCount val="1"/>
                <c:pt idx="0">
                  <c:v>GUI/C++ Goal (15%)</c:v>
                </c:pt>
              </c:strCache>
            </c:strRef>
          </c:tx>
          <c:marker>
            <c:symbol val="none"/>
          </c:marker>
          <c:cat>
            <c:numRef>
              <c:f>BKLG!$C$17:$AE$17</c:f>
              <c:numCache>
                <c:formatCode>m/d/yyyy</c:formatCode>
                <c:ptCount val="29"/>
                <c:pt idx="0">
                  <c:v>41644</c:v>
                </c:pt>
                <c:pt idx="1">
                  <c:v>41658</c:v>
                </c:pt>
                <c:pt idx="2">
                  <c:v>41672</c:v>
                </c:pt>
                <c:pt idx="3">
                  <c:v>41686</c:v>
                </c:pt>
                <c:pt idx="4">
                  <c:v>41693</c:v>
                </c:pt>
                <c:pt idx="5">
                  <c:v>41700</c:v>
                </c:pt>
                <c:pt idx="6">
                  <c:v>41707</c:v>
                </c:pt>
                <c:pt idx="7">
                  <c:v>41721</c:v>
                </c:pt>
                <c:pt idx="8">
                  <c:v>41742</c:v>
                </c:pt>
                <c:pt idx="9">
                  <c:v>41755</c:v>
                </c:pt>
                <c:pt idx="10">
                  <c:v>41763</c:v>
                </c:pt>
                <c:pt idx="11">
                  <c:v>41770</c:v>
                </c:pt>
                <c:pt idx="12">
                  <c:v>41777</c:v>
                </c:pt>
                <c:pt idx="13">
                  <c:v>41792</c:v>
                </c:pt>
                <c:pt idx="14">
                  <c:v>41798</c:v>
                </c:pt>
                <c:pt idx="15">
                  <c:v>41818</c:v>
                </c:pt>
                <c:pt idx="16">
                  <c:v>41826</c:v>
                </c:pt>
                <c:pt idx="17">
                  <c:v>41841</c:v>
                </c:pt>
                <c:pt idx="18">
                  <c:v>41854</c:v>
                </c:pt>
                <c:pt idx="19">
                  <c:v>41868</c:v>
                </c:pt>
                <c:pt idx="20">
                  <c:v>41889</c:v>
                </c:pt>
                <c:pt idx="21">
                  <c:v>41903</c:v>
                </c:pt>
                <c:pt idx="22">
                  <c:v>41924</c:v>
                </c:pt>
                <c:pt idx="23">
                  <c:v>41980</c:v>
                </c:pt>
                <c:pt idx="24">
                  <c:v>42008</c:v>
                </c:pt>
                <c:pt idx="25">
                  <c:v>42053</c:v>
                </c:pt>
                <c:pt idx="26">
                  <c:v>42090</c:v>
                </c:pt>
                <c:pt idx="27">
                  <c:v>42246</c:v>
                </c:pt>
                <c:pt idx="28">
                  <c:v>42267</c:v>
                </c:pt>
              </c:numCache>
            </c:numRef>
          </c:cat>
          <c:val>
            <c:numRef>
              <c:f>BKLG!$C$19:$AE$19</c:f>
              <c:numCache>
                <c:formatCode>0</c:formatCode>
                <c:ptCount val="29"/>
                <c:pt idx="0">
                  <c:v>2887</c:v>
                </c:pt>
                <c:pt idx="1">
                  <c:v>2887</c:v>
                </c:pt>
                <c:pt idx="2">
                  <c:v>2887</c:v>
                </c:pt>
                <c:pt idx="3">
                  <c:v>2887</c:v>
                </c:pt>
                <c:pt idx="4">
                  <c:v>2887</c:v>
                </c:pt>
                <c:pt idx="5">
                  <c:v>2887</c:v>
                </c:pt>
                <c:pt idx="6">
                  <c:v>2887</c:v>
                </c:pt>
                <c:pt idx="7">
                  <c:v>2887</c:v>
                </c:pt>
                <c:pt idx="8">
                  <c:v>2887</c:v>
                </c:pt>
                <c:pt idx="9">
                  <c:v>2887</c:v>
                </c:pt>
                <c:pt idx="10">
                  <c:v>2887</c:v>
                </c:pt>
                <c:pt idx="11">
                  <c:v>2887</c:v>
                </c:pt>
                <c:pt idx="12">
                  <c:v>2887</c:v>
                </c:pt>
                <c:pt idx="13">
                  <c:v>2887</c:v>
                </c:pt>
                <c:pt idx="14">
                  <c:v>2887</c:v>
                </c:pt>
                <c:pt idx="15">
                  <c:v>2887</c:v>
                </c:pt>
                <c:pt idx="16">
                  <c:v>2887</c:v>
                </c:pt>
                <c:pt idx="17">
                  <c:v>2887</c:v>
                </c:pt>
                <c:pt idx="18">
                  <c:v>2887</c:v>
                </c:pt>
                <c:pt idx="19">
                  <c:v>2887</c:v>
                </c:pt>
                <c:pt idx="20">
                  <c:v>2887</c:v>
                </c:pt>
                <c:pt idx="21">
                  <c:v>2887</c:v>
                </c:pt>
                <c:pt idx="22">
                  <c:v>2887</c:v>
                </c:pt>
                <c:pt idx="23">
                  <c:v>2887</c:v>
                </c:pt>
                <c:pt idx="24">
                  <c:v>1704</c:v>
                </c:pt>
                <c:pt idx="25">
                  <c:v>1704</c:v>
                </c:pt>
                <c:pt idx="26">
                  <c:v>1704</c:v>
                </c:pt>
                <c:pt idx="27">
                  <c:v>1704</c:v>
                </c:pt>
                <c:pt idx="28">
                  <c:v>1704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BKLG!$B$20</c:f>
              <c:strCache>
                <c:ptCount val="1"/>
                <c:pt idx="0">
                  <c:v>IL and IL Plug-ins</c:v>
                </c:pt>
              </c:strCache>
            </c:strRef>
          </c:tx>
          <c:marker>
            <c:symbol val="none"/>
          </c:marker>
          <c:cat>
            <c:numRef>
              <c:f>BKLG!$C$17:$AE$17</c:f>
              <c:numCache>
                <c:formatCode>m/d/yyyy</c:formatCode>
                <c:ptCount val="29"/>
                <c:pt idx="0">
                  <c:v>41644</c:v>
                </c:pt>
                <c:pt idx="1">
                  <c:v>41658</c:v>
                </c:pt>
                <c:pt idx="2">
                  <c:v>41672</c:v>
                </c:pt>
                <c:pt idx="3">
                  <c:v>41686</c:v>
                </c:pt>
                <c:pt idx="4">
                  <c:v>41693</c:v>
                </c:pt>
                <c:pt idx="5">
                  <c:v>41700</c:v>
                </c:pt>
                <c:pt idx="6">
                  <c:v>41707</c:v>
                </c:pt>
                <c:pt idx="7">
                  <c:v>41721</c:v>
                </c:pt>
                <c:pt idx="8">
                  <c:v>41742</c:v>
                </c:pt>
                <c:pt idx="9">
                  <c:v>41755</c:v>
                </c:pt>
                <c:pt idx="10">
                  <c:v>41763</c:v>
                </c:pt>
                <c:pt idx="11">
                  <c:v>41770</c:v>
                </c:pt>
                <c:pt idx="12">
                  <c:v>41777</c:v>
                </c:pt>
                <c:pt idx="13">
                  <c:v>41792</c:v>
                </c:pt>
                <c:pt idx="14">
                  <c:v>41798</c:v>
                </c:pt>
                <c:pt idx="15">
                  <c:v>41818</c:v>
                </c:pt>
                <c:pt idx="16">
                  <c:v>41826</c:v>
                </c:pt>
                <c:pt idx="17">
                  <c:v>41841</c:v>
                </c:pt>
                <c:pt idx="18">
                  <c:v>41854</c:v>
                </c:pt>
                <c:pt idx="19">
                  <c:v>41868</c:v>
                </c:pt>
                <c:pt idx="20">
                  <c:v>41889</c:v>
                </c:pt>
                <c:pt idx="21">
                  <c:v>41903</c:v>
                </c:pt>
                <c:pt idx="22">
                  <c:v>41924</c:v>
                </c:pt>
                <c:pt idx="23">
                  <c:v>41980</c:v>
                </c:pt>
                <c:pt idx="24">
                  <c:v>42008</c:v>
                </c:pt>
                <c:pt idx="25">
                  <c:v>42053</c:v>
                </c:pt>
                <c:pt idx="26">
                  <c:v>42090</c:v>
                </c:pt>
                <c:pt idx="27">
                  <c:v>42246</c:v>
                </c:pt>
                <c:pt idx="28">
                  <c:v>42267</c:v>
                </c:pt>
              </c:numCache>
            </c:numRef>
          </c:cat>
          <c:val>
            <c:numRef>
              <c:f>BKLG!$C$20:$AE$20</c:f>
              <c:numCache>
                <c:formatCode>General</c:formatCode>
                <c:ptCount val="29"/>
                <c:pt idx="0">
                  <c:v>2862</c:v>
                </c:pt>
                <c:pt idx="1">
                  <c:v>2910</c:v>
                </c:pt>
                <c:pt idx="2">
                  <c:v>2732</c:v>
                </c:pt>
                <c:pt idx="3">
                  <c:v>2573</c:v>
                </c:pt>
                <c:pt idx="4">
                  <c:v>2576</c:v>
                </c:pt>
                <c:pt idx="5">
                  <c:v>2581</c:v>
                </c:pt>
                <c:pt idx="6">
                  <c:v>2481</c:v>
                </c:pt>
                <c:pt idx="7">
                  <c:v>2395</c:v>
                </c:pt>
                <c:pt idx="8">
                  <c:v>2342</c:v>
                </c:pt>
                <c:pt idx="9">
                  <c:v>2342</c:v>
                </c:pt>
                <c:pt idx="10">
                  <c:v>2337</c:v>
                </c:pt>
                <c:pt idx="11">
                  <c:v>2340</c:v>
                </c:pt>
                <c:pt idx="12">
                  <c:v>2340</c:v>
                </c:pt>
                <c:pt idx="13">
                  <c:v>2111</c:v>
                </c:pt>
                <c:pt idx="14">
                  <c:v>2081</c:v>
                </c:pt>
                <c:pt idx="15">
                  <c:v>2081</c:v>
                </c:pt>
                <c:pt idx="16">
                  <c:v>2082</c:v>
                </c:pt>
                <c:pt idx="17">
                  <c:v>2097</c:v>
                </c:pt>
                <c:pt idx="18">
                  <c:v>1918</c:v>
                </c:pt>
                <c:pt idx="19">
                  <c:v>1928</c:v>
                </c:pt>
                <c:pt idx="20">
                  <c:v>1868</c:v>
                </c:pt>
                <c:pt idx="21">
                  <c:v>1919</c:v>
                </c:pt>
                <c:pt idx="22">
                  <c:v>1922</c:v>
                </c:pt>
                <c:pt idx="23">
                  <c:v>1923</c:v>
                </c:pt>
                <c:pt idx="24">
                  <c:v>1931</c:v>
                </c:pt>
                <c:pt idx="25">
                  <c:v>1931</c:v>
                </c:pt>
                <c:pt idx="26">
                  <c:v>1937</c:v>
                </c:pt>
                <c:pt idx="27">
                  <c:v>1937</c:v>
                </c:pt>
                <c:pt idx="28">
                  <c:v>1934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BKLG!$B$21</c:f>
              <c:strCache>
                <c:ptCount val="1"/>
                <c:pt idx="0">
                  <c:v>IL/Plugins Goal (15%)</c:v>
                </c:pt>
              </c:strCache>
            </c:strRef>
          </c:tx>
          <c:marker>
            <c:symbol val="none"/>
          </c:marker>
          <c:cat>
            <c:numRef>
              <c:f>BKLG!$C$17:$AE$17</c:f>
              <c:numCache>
                <c:formatCode>m/d/yyyy</c:formatCode>
                <c:ptCount val="29"/>
                <c:pt idx="0">
                  <c:v>41644</c:v>
                </c:pt>
                <c:pt idx="1">
                  <c:v>41658</c:v>
                </c:pt>
                <c:pt idx="2">
                  <c:v>41672</c:v>
                </c:pt>
                <c:pt idx="3">
                  <c:v>41686</c:v>
                </c:pt>
                <c:pt idx="4">
                  <c:v>41693</c:v>
                </c:pt>
                <c:pt idx="5">
                  <c:v>41700</c:v>
                </c:pt>
                <c:pt idx="6">
                  <c:v>41707</c:v>
                </c:pt>
                <c:pt idx="7">
                  <c:v>41721</c:v>
                </c:pt>
                <c:pt idx="8">
                  <c:v>41742</c:v>
                </c:pt>
                <c:pt idx="9">
                  <c:v>41755</c:v>
                </c:pt>
                <c:pt idx="10">
                  <c:v>41763</c:v>
                </c:pt>
                <c:pt idx="11">
                  <c:v>41770</c:v>
                </c:pt>
                <c:pt idx="12">
                  <c:v>41777</c:v>
                </c:pt>
                <c:pt idx="13">
                  <c:v>41792</c:v>
                </c:pt>
                <c:pt idx="14">
                  <c:v>41798</c:v>
                </c:pt>
                <c:pt idx="15">
                  <c:v>41818</c:v>
                </c:pt>
                <c:pt idx="16">
                  <c:v>41826</c:v>
                </c:pt>
                <c:pt idx="17">
                  <c:v>41841</c:v>
                </c:pt>
                <c:pt idx="18">
                  <c:v>41854</c:v>
                </c:pt>
                <c:pt idx="19">
                  <c:v>41868</c:v>
                </c:pt>
                <c:pt idx="20">
                  <c:v>41889</c:v>
                </c:pt>
                <c:pt idx="21">
                  <c:v>41903</c:v>
                </c:pt>
                <c:pt idx="22">
                  <c:v>41924</c:v>
                </c:pt>
                <c:pt idx="23">
                  <c:v>41980</c:v>
                </c:pt>
                <c:pt idx="24">
                  <c:v>42008</c:v>
                </c:pt>
                <c:pt idx="25">
                  <c:v>42053</c:v>
                </c:pt>
                <c:pt idx="26">
                  <c:v>42090</c:v>
                </c:pt>
                <c:pt idx="27">
                  <c:v>42246</c:v>
                </c:pt>
                <c:pt idx="28">
                  <c:v>42267</c:v>
                </c:pt>
              </c:numCache>
            </c:numRef>
          </c:cat>
          <c:val>
            <c:numRef>
              <c:f>BKLG!$C$21:$AE$21</c:f>
              <c:numCache>
                <c:formatCode>0</c:formatCode>
                <c:ptCount val="29"/>
                <c:pt idx="0">
                  <c:v>2433</c:v>
                </c:pt>
                <c:pt idx="1">
                  <c:v>2433</c:v>
                </c:pt>
                <c:pt idx="2">
                  <c:v>2433</c:v>
                </c:pt>
                <c:pt idx="3">
                  <c:v>2433</c:v>
                </c:pt>
                <c:pt idx="4">
                  <c:v>2433</c:v>
                </c:pt>
                <c:pt idx="5">
                  <c:v>2433</c:v>
                </c:pt>
                <c:pt idx="6">
                  <c:v>2433</c:v>
                </c:pt>
                <c:pt idx="7">
                  <c:v>2433</c:v>
                </c:pt>
                <c:pt idx="8">
                  <c:v>2433</c:v>
                </c:pt>
                <c:pt idx="9">
                  <c:v>2433</c:v>
                </c:pt>
                <c:pt idx="10">
                  <c:v>2433</c:v>
                </c:pt>
                <c:pt idx="11">
                  <c:v>2433</c:v>
                </c:pt>
                <c:pt idx="12">
                  <c:v>2433</c:v>
                </c:pt>
                <c:pt idx="13">
                  <c:v>2433</c:v>
                </c:pt>
                <c:pt idx="14">
                  <c:v>2433</c:v>
                </c:pt>
                <c:pt idx="15">
                  <c:v>2433</c:v>
                </c:pt>
                <c:pt idx="16">
                  <c:v>2433</c:v>
                </c:pt>
                <c:pt idx="17">
                  <c:v>2433</c:v>
                </c:pt>
                <c:pt idx="18">
                  <c:v>2433</c:v>
                </c:pt>
                <c:pt idx="19">
                  <c:v>2433</c:v>
                </c:pt>
                <c:pt idx="20">
                  <c:v>2433</c:v>
                </c:pt>
                <c:pt idx="21">
                  <c:v>2433</c:v>
                </c:pt>
                <c:pt idx="22">
                  <c:v>2433</c:v>
                </c:pt>
                <c:pt idx="23">
                  <c:v>2433</c:v>
                </c:pt>
                <c:pt idx="24">
                  <c:v>1641</c:v>
                </c:pt>
                <c:pt idx="25">
                  <c:v>1641</c:v>
                </c:pt>
                <c:pt idx="26">
                  <c:v>1641</c:v>
                </c:pt>
                <c:pt idx="27">
                  <c:v>1641</c:v>
                </c:pt>
                <c:pt idx="28">
                  <c:v>1641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BKLG!$B$22</c:f>
              <c:strCache>
                <c:ptCount val="1"/>
                <c:pt idx="0">
                  <c:v>Win/BLL</c:v>
                </c:pt>
              </c:strCache>
            </c:strRef>
          </c:tx>
          <c:marker>
            <c:symbol val="none"/>
          </c:marker>
          <c:cat>
            <c:numRef>
              <c:f>BKLG!$C$17:$AE$17</c:f>
              <c:numCache>
                <c:formatCode>m/d/yyyy</c:formatCode>
                <c:ptCount val="29"/>
                <c:pt idx="0">
                  <c:v>41644</c:v>
                </c:pt>
                <c:pt idx="1">
                  <c:v>41658</c:v>
                </c:pt>
                <c:pt idx="2">
                  <c:v>41672</c:v>
                </c:pt>
                <c:pt idx="3">
                  <c:v>41686</c:v>
                </c:pt>
                <c:pt idx="4">
                  <c:v>41693</c:v>
                </c:pt>
                <c:pt idx="5">
                  <c:v>41700</c:v>
                </c:pt>
                <c:pt idx="6">
                  <c:v>41707</c:v>
                </c:pt>
                <c:pt idx="7">
                  <c:v>41721</c:v>
                </c:pt>
                <c:pt idx="8">
                  <c:v>41742</c:v>
                </c:pt>
                <c:pt idx="9">
                  <c:v>41755</c:v>
                </c:pt>
                <c:pt idx="10">
                  <c:v>41763</c:v>
                </c:pt>
                <c:pt idx="11">
                  <c:v>41770</c:v>
                </c:pt>
                <c:pt idx="12">
                  <c:v>41777</c:v>
                </c:pt>
                <c:pt idx="13">
                  <c:v>41792</c:v>
                </c:pt>
                <c:pt idx="14">
                  <c:v>41798</c:v>
                </c:pt>
                <c:pt idx="15">
                  <c:v>41818</c:v>
                </c:pt>
                <c:pt idx="16">
                  <c:v>41826</c:v>
                </c:pt>
                <c:pt idx="17">
                  <c:v>41841</c:v>
                </c:pt>
                <c:pt idx="18">
                  <c:v>41854</c:v>
                </c:pt>
                <c:pt idx="19">
                  <c:v>41868</c:v>
                </c:pt>
                <c:pt idx="20">
                  <c:v>41889</c:v>
                </c:pt>
                <c:pt idx="21">
                  <c:v>41903</c:v>
                </c:pt>
                <c:pt idx="22">
                  <c:v>41924</c:v>
                </c:pt>
                <c:pt idx="23">
                  <c:v>41980</c:v>
                </c:pt>
                <c:pt idx="24">
                  <c:v>42008</c:v>
                </c:pt>
                <c:pt idx="25">
                  <c:v>42053</c:v>
                </c:pt>
                <c:pt idx="26">
                  <c:v>42090</c:v>
                </c:pt>
                <c:pt idx="27">
                  <c:v>42246</c:v>
                </c:pt>
                <c:pt idx="28">
                  <c:v>42267</c:v>
                </c:pt>
              </c:numCache>
            </c:numRef>
          </c:cat>
          <c:val>
            <c:numRef>
              <c:f>BKLG!$C$22:$AE$22</c:f>
              <c:numCache>
                <c:formatCode>General</c:formatCode>
                <c:ptCount val="29"/>
                <c:pt idx="0">
                  <c:v>711</c:v>
                </c:pt>
                <c:pt idx="1">
                  <c:v>632</c:v>
                </c:pt>
                <c:pt idx="2">
                  <c:v>610</c:v>
                </c:pt>
                <c:pt idx="3">
                  <c:v>673</c:v>
                </c:pt>
                <c:pt idx="4">
                  <c:v>680</c:v>
                </c:pt>
                <c:pt idx="5">
                  <c:v>681</c:v>
                </c:pt>
                <c:pt idx="6">
                  <c:v>640</c:v>
                </c:pt>
                <c:pt idx="7">
                  <c:v>499</c:v>
                </c:pt>
                <c:pt idx="8">
                  <c:v>500</c:v>
                </c:pt>
                <c:pt idx="9">
                  <c:v>500</c:v>
                </c:pt>
                <c:pt idx="10">
                  <c:v>498</c:v>
                </c:pt>
                <c:pt idx="11">
                  <c:v>499</c:v>
                </c:pt>
                <c:pt idx="12">
                  <c:v>499</c:v>
                </c:pt>
                <c:pt idx="13">
                  <c:v>504</c:v>
                </c:pt>
                <c:pt idx="14">
                  <c:v>506</c:v>
                </c:pt>
                <c:pt idx="15">
                  <c:v>506</c:v>
                </c:pt>
                <c:pt idx="16">
                  <c:v>506</c:v>
                </c:pt>
                <c:pt idx="17">
                  <c:v>506</c:v>
                </c:pt>
                <c:pt idx="18">
                  <c:v>500</c:v>
                </c:pt>
                <c:pt idx="19">
                  <c:v>492</c:v>
                </c:pt>
                <c:pt idx="20">
                  <c:v>493</c:v>
                </c:pt>
                <c:pt idx="21">
                  <c:v>493</c:v>
                </c:pt>
                <c:pt idx="22">
                  <c:v>496</c:v>
                </c:pt>
                <c:pt idx="23">
                  <c:v>493</c:v>
                </c:pt>
                <c:pt idx="24">
                  <c:v>495</c:v>
                </c:pt>
                <c:pt idx="25">
                  <c:v>497</c:v>
                </c:pt>
                <c:pt idx="26">
                  <c:v>475</c:v>
                </c:pt>
                <c:pt idx="27">
                  <c:v>495</c:v>
                </c:pt>
                <c:pt idx="28">
                  <c:v>495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BKLG!$B$23</c:f>
              <c:strCache>
                <c:ptCount val="1"/>
                <c:pt idx="0">
                  <c:v>Win/BLL Goal (15%)</c:v>
                </c:pt>
              </c:strCache>
            </c:strRef>
          </c:tx>
          <c:marker>
            <c:symbol val="none"/>
          </c:marker>
          <c:cat>
            <c:numRef>
              <c:f>BKLG!$C$17:$AE$17</c:f>
              <c:numCache>
                <c:formatCode>m/d/yyyy</c:formatCode>
                <c:ptCount val="29"/>
                <c:pt idx="0">
                  <c:v>41644</c:v>
                </c:pt>
                <c:pt idx="1">
                  <c:v>41658</c:v>
                </c:pt>
                <c:pt idx="2">
                  <c:v>41672</c:v>
                </c:pt>
                <c:pt idx="3">
                  <c:v>41686</c:v>
                </c:pt>
                <c:pt idx="4">
                  <c:v>41693</c:v>
                </c:pt>
                <c:pt idx="5">
                  <c:v>41700</c:v>
                </c:pt>
                <c:pt idx="6">
                  <c:v>41707</c:v>
                </c:pt>
                <c:pt idx="7">
                  <c:v>41721</c:v>
                </c:pt>
                <c:pt idx="8">
                  <c:v>41742</c:v>
                </c:pt>
                <c:pt idx="9">
                  <c:v>41755</c:v>
                </c:pt>
                <c:pt idx="10">
                  <c:v>41763</c:v>
                </c:pt>
                <c:pt idx="11">
                  <c:v>41770</c:v>
                </c:pt>
                <c:pt idx="12">
                  <c:v>41777</c:v>
                </c:pt>
                <c:pt idx="13">
                  <c:v>41792</c:v>
                </c:pt>
                <c:pt idx="14">
                  <c:v>41798</c:v>
                </c:pt>
                <c:pt idx="15">
                  <c:v>41818</c:v>
                </c:pt>
                <c:pt idx="16">
                  <c:v>41826</c:v>
                </c:pt>
                <c:pt idx="17">
                  <c:v>41841</c:v>
                </c:pt>
                <c:pt idx="18">
                  <c:v>41854</c:v>
                </c:pt>
                <c:pt idx="19">
                  <c:v>41868</c:v>
                </c:pt>
                <c:pt idx="20">
                  <c:v>41889</c:v>
                </c:pt>
                <c:pt idx="21">
                  <c:v>41903</c:v>
                </c:pt>
                <c:pt idx="22">
                  <c:v>41924</c:v>
                </c:pt>
                <c:pt idx="23">
                  <c:v>41980</c:v>
                </c:pt>
                <c:pt idx="24">
                  <c:v>42008</c:v>
                </c:pt>
                <c:pt idx="25">
                  <c:v>42053</c:v>
                </c:pt>
                <c:pt idx="26">
                  <c:v>42090</c:v>
                </c:pt>
                <c:pt idx="27">
                  <c:v>42246</c:v>
                </c:pt>
                <c:pt idx="28">
                  <c:v>42267</c:v>
                </c:pt>
              </c:numCache>
            </c:numRef>
          </c:cat>
          <c:val>
            <c:numRef>
              <c:f>BKLG!$C$23:$AE$23</c:f>
              <c:numCache>
                <c:formatCode>0</c:formatCode>
                <c:ptCount val="29"/>
                <c:pt idx="0">
                  <c:v>604</c:v>
                </c:pt>
                <c:pt idx="1">
                  <c:v>604</c:v>
                </c:pt>
                <c:pt idx="2">
                  <c:v>604</c:v>
                </c:pt>
                <c:pt idx="3">
                  <c:v>604</c:v>
                </c:pt>
                <c:pt idx="4">
                  <c:v>604</c:v>
                </c:pt>
                <c:pt idx="5">
                  <c:v>604</c:v>
                </c:pt>
                <c:pt idx="6">
                  <c:v>604</c:v>
                </c:pt>
                <c:pt idx="7">
                  <c:v>604</c:v>
                </c:pt>
                <c:pt idx="8">
                  <c:v>604</c:v>
                </c:pt>
                <c:pt idx="9">
                  <c:v>604</c:v>
                </c:pt>
                <c:pt idx="10">
                  <c:v>604</c:v>
                </c:pt>
                <c:pt idx="11">
                  <c:v>604</c:v>
                </c:pt>
                <c:pt idx="12">
                  <c:v>604</c:v>
                </c:pt>
                <c:pt idx="13">
                  <c:v>604</c:v>
                </c:pt>
                <c:pt idx="14">
                  <c:v>604</c:v>
                </c:pt>
                <c:pt idx="15">
                  <c:v>604</c:v>
                </c:pt>
                <c:pt idx="16">
                  <c:v>604</c:v>
                </c:pt>
                <c:pt idx="17">
                  <c:v>604</c:v>
                </c:pt>
                <c:pt idx="18">
                  <c:v>604</c:v>
                </c:pt>
                <c:pt idx="19">
                  <c:v>604</c:v>
                </c:pt>
                <c:pt idx="20">
                  <c:v>604</c:v>
                </c:pt>
                <c:pt idx="21">
                  <c:v>604</c:v>
                </c:pt>
                <c:pt idx="22">
                  <c:v>604</c:v>
                </c:pt>
                <c:pt idx="23">
                  <c:v>604</c:v>
                </c:pt>
                <c:pt idx="24">
                  <c:v>420</c:v>
                </c:pt>
                <c:pt idx="25">
                  <c:v>420</c:v>
                </c:pt>
                <c:pt idx="26">
                  <c:v>420</c:v>
                </c:pt>
                <c:pt idx="27">
                  <c:v>420</c:v>
                </c:pt>
                <c:pt idx="28">
                  <c:v>420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BKLG!$B$24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BKLG!$C$17:$AE$17</c:f>
              <c:numCache>
                <c:formatCode>m/d/yyyy</c:formatCode>
                <c:ptCount val="29"/>
                <c:pt idx="0">
                  <c:v>41644</c:v>
                </c:pt>
                <c:pt idx="1">
                  <c:v>41658</c:v>
                </c:pt>
                <c:pt idx="2">
                  <c:v>41672</c:v>
                </c:pt>
                <c:pt idx="3">
                  <c:v>41686</c:v>
                </c:pt>
                <c:pt idx="4">
                  <c:v>41693</c:v>
                </c:pt>
                <c:pt idx="5">
                  <c:v>41700</c:v>
                </c:pt>
                <c:pt idx="6">
                  <c:v>41707</c:v>
                </c:pt>
                <c:pt idx="7">
                  <c:v>41721</c:v>
                </c:pt>
                <c:pt idx="8">
                  <c:v>41742</c:v>
                </c:pt>
                <c:pt idx="9">
                  <c:v>41755</c:v>
                </c:pt>
                <c:pt idx="10">
                  <c:v>41763</c:v>
                </c:pt>
                <c:pt idx="11">
                  <c:v>41770</c:v>
                </c:pt>
                <c:pt idx="12">
                  <c:v>41777</c:v>
                </c:pt>
                <c:pt idx="13">
                  <c:v>41792</c:v>
                </c:pt>
                <c:pt idx="14">
                  <c:v>41798</c:v>
                </c:pt>
                <c:pt idx="15">
                  <c:v>41818</c:v>
                </c:pt>
                <c:pt idx="16">
                  <c:v>41826</c:v>
                </c:pt>
                <c:pt idx="17">
                  <c:v>41841</c:v>
                </c:pt>
                <c:pt idx="18">
                  <c:v>41854</c:v>
                </c:pt>
                <c:pt idx="19">
                  <c:v>41868</c:v>
                </c:pt>
                <c:pt idx="20">
                  <c:v>41889</c:v>
                </c:pt>
                <c:pt idx="21">
                  <c:v>41903</c:v>
                </c:pt>
                <c:pt idx="22">
                  <c:v>41924</c:v>
                </c:pt>
                <c:pt idx="23">
                  <c:v>41980</c:v>
                </c:pt>
                <c:pt idx="24">
                  <c:v>42008</c:v>
                </c:pt>
                <c:pt idx="25">
                  <c:v>42053</c:v>
                </c:pt>
                <c:pt idx="26">
                  <c:v>42090</c:v>
                </c:pt>
                <c:pt idx="27">
                  <c:v>42246</c:v>
                </c:pt>
                <c:pt idx="28">
                  <c:v>42267</c:v>
                </c:pt>
              </c:numCache>
            </c:numRef>
          </c:cat>
          <c:val>
            <c:numRef>
              <c:f>BKLG!$C$24:$AE$24</c:f>
              <c:numCache>
                <c:formatCode>General</c:formatCode>
                <c:ptCount val="29"/>
                <c:pt idx="0">
                  <c:v>6970</c:v>
                </c:pt>
                <c:pt idx="1">
                  <c:v>6785</c:v>
                </c:pt>
                <c:pt idx="2">
                  <c:v>6523</c:v>
                </c:pt>
                <c:pt idx="3">
                  <c:v>6276</c:v>
                </c:pt>
                <c:pt idx="4">
                  <c:v>6179</c:v>
                </c:pt>
                <c:pt idx="5">
                  <c:v>6186</c:v>
                </c:pt>
                <c:pt idx="6">
                  <c:v>5986</c:v>
                </c:pt>
                <c:pt idx="7">
                  <c:v>5589</c:v>
                </c:pt>
                <c:pt idx="8">
                  <c:v>5382</c:v>
                </c:pt>
                <c:pt idx="9">
                  <c:v>5382</c:v>
                </c:pt>
                <c:pt idx="10">
                  <c:v>5243</c:v>
                </c:pt>
                <c:pt idx="11">
                  <c:v>5239</c:v>
                </c:pt>
                <c:pt idx="12">
                  <c:v>5239</c:v>
                </c:pt>
                <c:pt idx="13">
                  <c:v>4877</c:v>
                </c:pt>
                <c:pt idx="14">
                  <c:v>4868</c:v>
                </c:pt>
                <c:pt idx="15">
                  <c:v>4868</c:v>
                </c:pt>
                <c:pt idx="16">
                  <c:v>4878</c:v>
                </c:pt>
                <c:pt idx="17">
                  <c:v>4893</c:v>
                </c:pt>
                <c:pt idx="18">
                  <c:v>4694</c:v>
                </c:pt>
                <c:pt idx="19">
                  <c:v>4703</c:v>
                </c:pt>
                <c:pt idx="20">
                  <c:v>4649</c:v>
                </c:pt>
                <c:pt idx="21">
                  <c:v>4656</c:v>
                </c:pt>
                <c:pt idx="22">
                  <c:v>4616</c:v>
                </c:pt>
                <c:pt idx="23">
                  <c:v>4440</c:v>
                </c:pt>
                <c:pt idx="24">
                  <c:v>4431</c:v>
                </c:pt>
                <c:pt idx="25">
                  <c:v>4510</c:v>
                </c:pt>
                <c:pt idx="26">
                  <c:v>4389</c:v>
                </c:pt>
                <c:pt idx="27">
                  <c:v>4467</c:v>
                </c:pt>
                <c:pt idx="28">
                  <c:v>4465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BKLG!$B$25</c:f>
              <c:strCache>
                <c:ptCount val="1"/>
                <c:pt idx="0">
                  <c:v>Change since 1/5/2014</c:v>
                </c:pt>
              </c:strCache>
            </c:strRef>
          </c:tx>
          <c:marker>
            <c:symbol val="none"/>
          </c:marker>
          <c:cat>
            <c:numRef>
              <c:f>BKLG!$C$17:$AE$17</c:f>
              <c:numCache>
                <c:formatCode>m/d/yyyy</c:formatCode>
                <c:ptCount val="29"/>
                <c:pt idx="0">
                  <c:v>41644</c:v>
                </c:pt>
                <c:pt idx="1">
                  <c:v>41658</c:v>
                </c:pt>
                <c:pt idx="2">
                  <c:v>41672</c:v>
                </c:pt>
                <c:pt idx="3">
                  <c:v>41686</c:v>
                </c:pt>
                <c:pt idx="4">
                  <c:v>41693</c:v>
                </c:pt>
                <c:pt idx="5">
                  <c:v>41700</c:v>
                </c:pt>
                <c:pt idx="6">
                  <c:v>41707</c:v>
                </c:pt>
                <c:pt idx="7">
                  <c:v>41721</c:v>
                </c:pt>
                <c:pt idx="8">
                  <c:v>41742</c:v>
                </c:pt>
                <c:pt idx="9">
                  <c:v>41755</c:v>
                </c:pt>
                <c:pt idx="10">
                  <c:v>41763</c:v>
                </c:pt>
                <c:pt idx="11">
                  <c:v>41770</c:v>
                </c:pt>
                <c:pt idx="12">
                  <c:v>41777</c:v>
                </c:pt>
                <c:pt idx="13">
                  <c:v>41792</c:v>
                </c:pt>
                <c:pt idx="14">
                  <c:v>41798</c:v>
                </c:pt>
                <c:pt idx="15">
                  <c:v>41818</c:v>
                </c:pt>
                <c:pt idx="16">
                  <c:v>41826</c:v>
                </c:pt>
                <c:pt idx="17">
                  <c:v>41841</c:v>
                </c:pt>
                <c:pt idx="18">
                  <c:v>41854</c:v>
                </c:pt>
                <c:pt idx="19">
                  <c:v>41868</c:v>
                </c:pt>
                <c:pt idx="20">
                  <c:v>41889</c:v>
                </c:pt>
                <c:pt idx="21">
                  <c:v>41903</c:v>
                </c:pt>
                <c:pt idx="22">
                  <c:v>41924</c:v>
                </c:pt>
                <c:pt idx="23">
                  <c:v>41980</c:v>
                </c:pt>
                <c:pt idx="24">
                  <c:v>42008</c:v>
                </c:pt>
                <c:pt idx="25">
                  <c:v>42053</c:v>
                </c:pt>
                <c:pt idx="26">
                  <c:v>42090</c:v>
                </c:pt>
                <c:pt idx="27">
                  <c:v>42246</c:v>
                </c:pt>
                <c:pt idx="28">
                  <c:v>42267</c:v>
                </c:pt>
              </c:numCache>
            </c:numRef>
          </c:cat>
          <c:val>
            <c:numRef>
              <c:f>BKLG!$C$25:$AE$25</c:f>
              <c:numCache>
                <c:formatCode>General</c:formatCode>
                <c:ptCount val="29"/>
                <c:pt idx="0">
                  <c:v>0</c:v>
                </c:pt>
                <c:pt idx="1">
                  <c:v>-185</c:v>
                </c:pt>
                <c:pt idx="2">
                  <c:v>-447</c:v>
                </c:pt>
                <c:pt idx="3">
                  <c:v>-694</c:v>
                </c:pt>
                <c:pt idx="4">
                  <c:v>-791</c:v>
                </c:pt>
                <c:pt idx="5">
                  <c:v>-784</c:v>
                </c:pt>
                <c:pt idx="6">
                  <c:v>-984</c:v>
                </c:pt>
                <c:pt idx="7">
                  <c:v>-1381</c:v>
                </c:pt>
                <c:pt idx="8">
                  <c:v>-1588</c:v>
                </c:pt>
                <c:pt idx="9">
                  <c:v>-1588</c:v>
                </c:pt>
                <c:pt idx="10">
                  <c:v>-1727</c:v>
                </c:pt>
                <c:pt idx="11">
                  <c:v>-1731</c:v>
                </c:pt>
                <c:pt idx="12">
                  <c:v>-1731</c:v>
                </c:pt>
                <c:pt idx="13">
                  <c:v>-2093</c:v>
                </c:pt>
                <c:pt idx="14">
                  <c:v>-2102</c:v>
                </c:pt>
                <c:pt idx="15">
                  <c:v>-2102</c:v>
                </c:pt>
                <c:pt idx="16">
                  <c:v>-2092</c:v>
                </c:pt>
                <c:pt idx="17">
                  <c:v>-2077</c:v>
                </c:pt>
                <c:pt idx="18">
                  <c:v>-2276</c:v>
                </c:pt>
                <c:pt idx="19">
                  <c:v>-2267</c:v>
                </c:pt>
                <c:pt idx="20">
                  <c:v>-2321</c:v>
                </c:pt>
                <c:pt idx="21">
                  <c:v>-2314</c:v>
                </c:pt>
                <c:pt idx="22">
                  <c:v>-2354</c:v>
                </c:pt>
                <c:pt idx="23">
                  <c:v>-2530</c:v>
                </c:pt>
                <c:pt idx="24">
                  <c:v>0</c:v>
                </c:pt>
                <c:pt idx="25">
                  <c:v>79</c:v>
                </c:pt>
                <c:pt idx="26">
                  <c:v>-42</c:v>
                </c:pt>
                <c:pt idx="27">
                  <c:v>36</c:v>
                </c:pt>
                <c:pt idx="28">
                  <c:v>34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BKLG!$B$26</c:f>
              <c:strCache>
                <c:ptCount val="1"/>
                <c:pt idx="0">
                  <c:v>Change % since 6/30/13</c:v>
                </c:pt>
              </c:strCache>
            </c:strRef>
          </c:tx>
          <c:marker>
            <c:symbol val="none"/>
          </c:marker>
          <c:cat>
            <c:numRef>
              <c:f>BKLG!$C$17:$AE$17</c:f>
              <c:numCache>
                <c:formatCode>m/d/yyyy</c:formatCode>
                <c:ptCount val="29"/>
                <c:pt idx="0">
                  <c:v>41644</c:v>
                </c:pt>
                <c:pt idx="1">
                  <c:v>41658</c:v>
                </c:pt>
                <c:pt idx="2">
                  <c:v>41672</c:v>
                </c:pt>
                <c:pt idx="3">
                  <c:v>41686</c:v>
                </c:pt>
                <c:pt idx="4">
                  <c:v>41693</c:v>
                </c:pt>
                <c:pt idx="5">
                  <c:v>41700</c:v>
                </c:pt>
                <c:pt idx="6">
                  <c:v>41707</c:v>
                </c:pt>
                <c:pt idx="7">
                  <c:v>41721</c:v>
                </c:pt>
                <c:pt idx="8">
                  <c:v>41742</c:v>
                </c:pt>
                <c:pt idx="9">
                  <c:v>41755</c:v>
                </c:pt>
                <c:pt idx="10">
                  <c:v>41763</c:v>
                </c:pt>
                <c:pt idx="11">
                  <c:v>41770</c:v>
                </c:pt>
                <c:pt idx="12">
                  <c:v>41777</c:v>
                </c:pt>
                <c:pt idx="13">
                  <c:v>41792</c:v>
                </c:pt>
                <c:pt idx="14">
                  <c:v>41798</c:v>
                </c:pt>
                <c:pt idx="15">
                  <c:v>41818</c:v>
                </c:pt>
                <c:pt idx="16">
                  <c:v>41826</c:v>
                </c:pt>
                <c:pt idx="17">
                  <c:v>41841</c:v>
                </c:pt>
                <c:pt idx="18">
                  <c:v>41854</c:v>
                </c:pt>
                <c:pt idx="19">
                  <c:v>41868</c:v>
                </c:pt>
                <c:pt idx="20">
                  <c:v>41889</c:v>
                </c:pt>
                <c:pt idx="21">
                  <c:v>41903</c:v>
                </c:pt>
                <c:pt idx="22">
                  <c:v>41924</c:v>
                </c:pt>
                <c:pt idx="23">
                  <c:v>41980</c:v>
                </c:pt>
                <c:pt idx="24">
                  <c:v>42008</c:v>
                </c:pt>
                <c:pt idx="25">
                  <c:v>42053</c:v>
                </c:pt>
                <c:pt idx="26">
                  <c:v>42090</c:v>
                </c:pt>
                <c:pt idx="27">
                  <c:v>42246</c:v>
                </c:pt>
                <c:pt idx="28">
                  <c:v>42267</c:v>
                </c:pt>
              </c:numCache>
            </c:numRef>
          </c:cat>
          <c:val>
            <c:numRef>
              <c:f>BKLG!$C$26:$AE$26</c:f>
              <c:numCache>
                <c:formatCode>0%</c:formatCode>
                <c:ptCount val="29"/>
                <c:pt idx="0">
                  <c:v>0</c:v>
                </c:pt>
                <c:pt idx="1">
                  <c:v>-2.654232424677188E-2</c:v>
                </c:pt>
                <c:pt idx="2">
                  <c:v>-6.4131994261119082E-2</c:v>
                </c:pt>
                <c:pt idx="3">
                  <c:v>-9.9569583931133424E-2</c:v>
                </c:pt>
                <c:pt idx="4">
                  <c:v>-0.11348637015781922</c:v>
                </c:pt>
                <c:pt idx="5">
                  <c:v>-0.11248206599713056</c:v>
                </c:pt>
                <c:pt idx="6">
                  <c:v>-0.14117647058823529</c:v>
                </c:pt>
                <c:pt idx="7">
                  <c:v>-0.19813486370157818</c:v>
                </c:pt>
                <c:pt idx="8">
                  <c:v>-0.2278335724533716</c:v>
                </c:pt>
                <c:pt idx="9">
                  <c:v>-0.2278335724533716</c:v>
                </c:pt>
                <c:pt idx="10">
                  <c:v>-0.24777618364418938</c:v>
                </c:pt>
                <c:pt idx="11">
                  <c:v>-0.24835007173601148</c:v>
                </c:pt>
                <c:pt idx="12">
                  <c:v>-0.24835007173601148</c:v>
                </c:pt>
                <c:pt idx="13">
                  <c:v>-0.30028694404591105</c:v>
                </c:pt>
                <c:pt idx="14">
                  <c:v>-0.30157819225251076</c:v>
                </c:pt>
                <c:pt idx="15">
                  <c:v>-0.30157819225251076</c:v>
                </c:pt>
                <c:pt idx="16">
                  <c:v>-0.30014347202295555</c:v>
                </c:pt>
                <c:pt idx="17">
                  <c:v>-0.29799139167862265</c:v>
                </c:pt>
                <c:pt idx="18">
                  <c:v>-0.32654232424677188</c:v>
                </c:pt>
                <c:pt idx="19">
                  <c:v>-0.32525107604017217</c:v>
                </c:pt>
                <c:pt idx="20">
                  <c:v>-0.33299856527977045</c:v>
                </c:pt>
                <c:pt idx="21">
                  <c:v>-0.33199426111908176</c:v>
                </c:pt>
                <c:pt idx="22">
                  <c:v>-0.3377331420373027</c:v>
                </c:pt>
                <c:pt idx="23">
                  <c:v>-0.36298421807747488</c:v>
                </c:pt>
                <c:pt idx="24">
                  <c:v>0</c:v>
                </c:pt>
                <c:pt idx="25">
                  <c:v>1.782893252087565E-2</c:v>
                </c:pt>
                <c:pt idx="26">
                  <c:v>-9.4786729857819912E-3</c:v>
                </c:pt>
                <c:pt idx="27">
                  <c:v>8.124576844955992E-3</c:v>
                </c:pt>
                <c:pt idx="28">
                  <c:v>7.6732114646806586E-3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64576"/>
        <c:axId val="41878656"/>
      </c:lineChart>
      <c:dateAx>
        <c:axId val="41864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1878656"/>
        <c:crosses val="autoZero"/>
        <c:auto val="1"/>
        <c:lblOffset val="100"/>
        <c:baseTimeUnit val="days"/>
      </c:dateAx>
      <c:valAx>
        <c:axId val="41878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864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23026580654826"/>
          <c:y val="6.3822907986680028E-2"/>
          <c:w val="0.5213021618433249"/>
          <c:h val="0.8567016518892332"/>
        </c:manualLayout>
      </c:layout>
      <c:lineChart>
        <c:grouping val="standard"/>
        <c:varyColors val="0"/>
        <c:ser>
          <c:idx val="0"/>
          <c:order val="0"/>
          <c:tx>
            <c:strRef>
              <c:f>'Long BKLG'!$B$24</c:f>
              <c:strCache>
                <c:ptCount val="1"/>
                <c:pt idx="0">
                  <c:v>Open GUI/C++ Issues</c:v>
                </c:pt>
              </c:strCache>
            </c:strRef>
          </c:tx>
          <c:marker>
            <c:symbol val="none"/>
          </c:marker>
          <c:cat>
            <c:numRef>
              <c:f>'Long BKLG'!$C$23:$DG$23</c:f>
              <c:numCache>
                <c:formatCode>m/d/yyyy</c:formatCode>
                <c:ptCount val="105"/>
                <c:pt idx="0">
                  <c:v>40923</c:v>
                </c:pt>
                <c:pt idx="1">
                  <c:v>40930</c:v>
                </c:pt>
                <c:pt idx="2">
                  <c:v>40937</c:v>
                </c:pt>
                <c:pt idx="3">
                  <c:v>40944</c:v>
                </c:pt>
                <c:pt idx="4">
                  <c:v>40951</c:v>
                </c:pt>
                <c:pt idx="5">
                  <c:v>40958</c:v>
                </c:pt>
                <c:pt idx="6">
                  <c:v>40965</c:v>
                </c:pt>
                <c:pt idx="7">
                  <c:v>40972</c:v>
                </c:pt>
                <c:pt idx="8">
                  <c:v>40980</c:v>
                </c:pt>
                <c:pt idx="9">
                  <c:v>40995</c:v>
                </c:pt>
                <c:pt idx="10">
                  <c:v>41008</c:v>
                </c:pt>
                <c:pt idx="11">
                  <c:v>41016</c:v>
                </c:pt>
                <c:pt idx="12">
                  <c:v>41022</c:v>
                </c:pt>
                <c:pt idx="13">
                  <c:v>41029</c:v>
                </c:pt>
                <c:pt idx="14">
                  <c:v>41043</c:v>
                </c:pt>
                <c:pt idx="15">
                  <c:v>41049</c:v>
                </c:pt>
                <c:pt idx="16">
                  <c:v>41058</c:v>
                </c:pt>
                <c:pt idx="17">
                  <c:v>41064</c:v>
                </c:pt>
                <c:pt idx="18">
                  <c:v>41072</c:v>
                </c:pt>
                <c:pt idx="19">
                  <c:v>41078</c:v>
                </c:pt>
                <c:pt idx="20">
                  <c:v>41085</c:v>
                </c:pt>
                <c:pt idx="21">
                  <c:v>41092</c:v>
                </c:pt>
                <c:pt idx="22">
                  <c:v>41099</c:v>
                </c:pt>
                <c:pt idx="23">
                  <c:v>41106</c:v>
                </c:pt>
                <c:pt idx="24">
                  <c:v>41113</c:v>
                </c:pt>
                <c:pt idx="25">
                  <c:v>41120</c:v>
                </c:pt>
                <c:pt idx="26">
                  <c:v>41127</c:v>
                </c:pt>
                <c:pt idx="27">
                  <c:v>41159</c:v>
                </c:pt>
                <c:pt idx="28">
                  <c:v>41170</c:v>
                </c:pt>
                <c:pt idx="29">
                  <c:v>41184</c:v>
                </c:pt>
                <c:pt idx="30">
                  <c:v>41190</c:v>
                </c:pt>
                <c:pt idx="31">
                  <c:v>41204</c:v>
                </c:pt>
                <c:pt idx="32">
                  <c:v>41215</c:v>
                </c:pt>
                <c:pt idx="33">
                  <c:v>41227</c:v>
                </c:pt>
                <c:pt idx="34">
                  <c:v>41238</c:v>
                </c:pt>
                <c:pt idx="35">
                  <c:v>41252</c:v>
                </c:pt>
                <c:pt idx="36">
                  <c:v>41281</c:v>
                </c:pt>
                <c:pt idx="37">
                  <c:v>41288</c:v>
                </c:pt>
                <c:pt idx="38">
                  <c:v>41295</c:v>
                </c:pt>
                <c:pt idx="39">
                  <c:v>41308</c:v>
                </c:pt>
                <c:pt idx="40">
                  <c:v>41315</c:v>
                </c:pt>
                <c:pt idx="41">
                  <c:v>41330</c:v>
                </c:pt>
                <c:pt idx="42">
                  <c:v>41337</c:v>
                </c:pt>
                <c:pt idx="43">
                  <c:v>41344</c:v>
                </c:pt>
                <c:pt idx="44">
                  <c:v>41351</c:v>
                </c:pt>
                <c:pt idx="45">
                  <c:v>41358</c:v>
                </c:pt>
                <c:pt idx="46">
                  <c:v>41364</c:v>
                </c:pt>
                <c:pt idx="47">
                  <c:v>41372</c:v>
                </c:pt>
                <c:pt idx="48">
                  <c:v>41379</c:v>
                </c:pt>
                <c:pt idx="49">
                  <c:v>41385</c:v>
                </c:pt>
                <c:pt idx="50">
                  <c:v>41392</c:v>
                </c:pt>
                <c:pt idx="51">
                  <c:v>41400</c:v>
                </c:pt>
                <c:pt idx="52">
                  <c:v>41406</c:v>
                </c:pt>
                <c:pt idx="53">
                  <c:v>41413</c:v>
                </c:pt>
                <c:pt idx="54">
                  <c:v>41420</c:v>
                </c:pt>
                <c:pt idx="55">
                  <c:v>41427</c:v>
                </c:pt>
                <c:pt idx="56">
                  <c:v>41434</c:v>
                </c:pt>
                <c:pt idx="57">
                  <c:v>41441</c:v>
                </c:pt>
                <c:pt idx="58">
                  <c:v>41448</c:v>
                </c:pt>
                <c:pt idx="59">
                  <c:v>41455</c:v>
                </c:pt>
                <c:pt idx="60">
                  <c:v>41462</c:v>
                </c:pt>
                <c:pt idx="61">
                  <c:v>41469</c:v>
                </c:pt>
                <c:pt idx="62">
                  <c:v>41483</c:v>
                </c:pt>
                <c:pt idx="63">
                  <c:v>41490</c:v>
                </c:pt>
                <c:pt idx="64">
                  <c:v>41497</c:v>
                </c:pt>
                <c:pt idx="65">
                  <c:v>41514</c:v>
                </c:pt>
                <c:pt idx="66">
                  <c:v>41533</c:v>
                </c:pt>
                <c:pt idx="67">
                  <c:v>41542</c:v>
                </c:pt>
                <c:pt idx="68">
                  <c:v>41560</c:v>
                </c:pt>
                <c:pt idx="69">
                  <c:v>41567</c:v>
                </c:pt>
                <c:pt idx="70">
                  <c:v>41574</c:v>
                </c:pt>
                <c:pt idx="71">
                  <c:v>41581</c:v>
                </c:pt>
                <c:pt idx="72">
                  <c:v>41588</c:v>
                </c:pt>
                <c:pt idx="73">
                  <c:v>41617</c:v>
                </c:pt>
                <c:pt idx="74">
                  <c:v>41623</c:v>
                </c:pt>
                <c:pt idx="75">
                  <c:v>41630</c:v>
                </c:pt>
                <c:pt idx="76">
                  <c:v>41637</c:v>
                </c:pt>
                <c:pt idx="77">
                  <c:v>41640</c:v>
                </c:pt>
                <c:pt idx="78">
                  <c:v>41658</c:v>
                </c:pt>
                <c:pt idx="79">
                  <c:v>41672</c:v>
                </c:pt>
                <c:pt idx="80">
                  <c:v>41686</c:v>
                </c:pt>
                <c:pt idx="81">
                  <c:v>41693</c:v>
                </c:pt>
                <c:pt idx="82">
                  <c:v>41700</c:v>
                </c:pt>
                <c:pt idx="83">
                  <c:v>41707</c:v>
                </c:pt>
                <c:pt idx="84">
                  <c:v>41721</c:v>
                </c:pt>
                <c:pt idx="85">
                  <c:v>41755</c:v>
                </c:pt>
                <c:pt idx="86">
                  <c:v>41763</c:v>
                </c:pt>
                <c:pt idx="87">
                  <c:v>41770</c:v>
                </c:pt>
                <c:pt idx="88">
                  <c:v>41777</c:v>
                </c:pt>
                <c:pt idx="89">
                  <c:v>41792</c:v>
                </c:pt>
                <c:pt idx="90">
                  <c:v>41798</c:v>
                </c:pt>
                <c:pt idx="91">
                  <c:v>41818</c:v>
                </c:pt>
                <c:pt idx="92">
                  <c:v>41826</c:v>
                </c:pt>
                <c:pt idx="93">
                  <c:v>41841</c:v>
                </c:pt>
                <c:pt idx="94">
                  <c:v>41854</c:v>
                </c:pt>
                <c:pt idx="95">
                  <c:v>41868</c:v>
                </c:pt>
                <c:pt idx="96">
                  <c:v>41889</c:v>
                </c:pt>
                <c:pt idx="97">
                  <c:v>41903</c:v>
                </c:pt>
                <c:pt idx="98">
                  <c:v>41924</c:v>
                </c:pt>
                <c:pt idx="99">
                  <c:v>41980</c:v>
                </c:pt>
                <c:pt idx="100">
                  <c:v>42008</c:v>
                </c:pt>
                <c:pt idx="101">
                  <c:v>42053</c:v>
                </c:pt>
                <c:pt idx="102">
                  <c:v>42090</c:v>
                </c:pt>
                <c:pt idx="103">
                  <c:v>42246</c:v>
                </c:pt>
                <c:pt idx="104">
                  <c:v>42267</c:v>
                </c:pt>
              </c:numCache>
            </c:numRef>
          </c:cat>
          <c:val>
            <c:numRef>
              <c:f>'Long BKLG'!$C$24:$DG$24</c:f>
              <c:numCache>
                <c:formatCode>General</c:formatCode>
                <c:ptCount val="105"/>
                <c:pt idx="0">
                  <c:v>4325</c:v>
                </c:pt>
                <c:pt idx="1">
                  <c:v>4325</c:v>
                </c:pt>
                <c:pt idx="2">
                  <c:v>4325</c:v>
                </c:pt>
                <c:pt idx="3">
                  <c:v>4325</c:v>
                </c:pt>
                <c:pt idx="4">
                  <c:v>4325</c:v>
                </c:pt>
                <c:pt idx="5">
                  <c:v>4325</c:v>
                </c:pt>
                <c:pt idx="6">
                  <c:v>4325</c:v>
                </c:pt>
                <c:pt idx="7">
                  <c:v>4325</c:v>
                </c:pt>
                <c:pt idx="8">
                  <c:v>4325</c:v>
                </c:pt>
                <c:pt idx="9">
                  <c:v>4325</c:v>
                </c:pt>
                <c:pt idx="10">
                  <c:v>4325</c:v>
                </c:pt>
                <c:pt idx="11">
                  <c:v>4325</c:v>
                </c:pt>
                <c:pt idx="12">
                  <c:v>4325</c:v>
                </c:pt>
                <c:pt idx="13">
                  <c:v>4325</c:v>
                </c:pt>
                <c:pt idx="14">
                  <c:v>4325</c:v>
                </c:pt>
                <c:pt idx="15">
                  <c:v>4325</c:v>
                </c:pt>
                <c:pt idx="16">
                  <c:v>4325</c:v>
                </c:pt>
                <c:pt idx="17">
                  <c:v>4325</c:v>
                </c:pt>
                <c:pt idx="18">
                  <c:v>4325</c:v>
                </c:pt>
                <c:pt idx="19">
                  <c:v>4325</c:v>
                </c:pt>
                <c:pt idx="20">
                  <c:v>4325</c:v>
                </c:pt>
                <c:pt idx="21">
                  <c:v>4325</c:v>
                </c:pt>
                <c:pt idx="22">
                  <c:v>4325</c:v>
                </c:pt>
                <c:pt idx="23">
                  <c:v>4325</c:v>
                </c:pt>
                <c:pt idx="24">
                  <c:v>4325</c:v>
                </c:pt>
                <c:pt idx="25">
                  <c:v>4325</c:v>
                </c:pt>
                <c:pt idx="26">
                  <c:v>4325</c:v>
                </c:pt>
                <c:pt idx="27">
                  <c:v>4325</c:v>
                </c:pt>
                <c:pt idx="28">
                  <c:v>4325</c:v>
                </c:pt>
                <c:pt idx="29">
                  <c:v>4325</c:v>
                </c:pt>
                <c:pt idx="30">
                  <c:v>4325</c:v>
                </c:pt>
                <c:pt idx="31">
                  <c:v>4325</c:v>
                </c:pt>
                <c:pt idx="32">
                  <c:v>4325</c:v>
                </c:pt>
                <c:pt idx="33">
                  <c:v>4325</c:v>
                </c:pt>
                <c:pt idx="34">
                  <c:v>4325</c:v>
                </c:pt>
                <c:pt idx="35">
                  <c:v>4325</c:v>
                </c:pt>
                <c:pt idx="36">
                  <c:v>4325</c:v>
                </c:pt>
                <c:pt idx="37">
                  <c:v>4325</c:v>
                </c:pt>
                <c:pt idx="38">
                  <c:v>4325</c:v>
                </c:pt>
                <c:pt idx="39">
                  <c:v>4325</c:v>
                </c:pt>
                <c:pt idx="40">
                  <c:v>4325</c:v>
                </c:pt>
                <c:pt idx="41">
                  <c:v>4325</c:v>
                </c:pt>
                <c:pt idx="42">
                  <c:v>4325</c:v>
                </c:pt>
                <c:pt idx="43">
                  <c:v>4325</c:v>
                </c:pt>
                <c:pt idx="44">
                  <c:v>4325</c:v>
                </c:pt>
                <c:pt idx="45">
                  <c:v>4325</c:v>
                </c:pt>
                <c:pt idx="46">
                  <c:v>4325</c:v>
                </c:pt>
                <c:pt idx="47">
                  <c:v>4325</c:v>
                </c:pt>
                <c:pt idx="48">
                  <c:v>4325</c:v>
                </c:pt>
                <c:pt idx="49">
                  <c:v>4325</c:v>
                </c:pt>
                <c:pt idx="50">
                  <c:v>4364</c:v>
                </c:pt>
                <c:pt idx="51">
                  <c:v>4366</c:v>
                </c:pt>
                <c:pt idx="52">
                  <c:v>4365</c:v>
                </c:pt>
                <c:pt idx="53">
                  <c:v>4378</c:v>
                </c:pt>
                <c:pt idx="54">
                  <c:v>4378</c:v>
                </c:pt>
                <c:pt idx="55">
                  <c:v>4289</c:v>
                </c:pt>
                <c:pt idx="56">
                  <c:v>4286</c:v>
                </c:pt>
                <c:pt idx="57">
                  <c:v>4231</c:v>
                </c:pt>
                <c:pt idx="58">
                  <c:v>4230</c:v>
                </c:pt>
                <c:pt idx="59">
                  <c:v>4219</c:v>
                </c:pt>
                <c:pt idx="60">
                  <c:v>4220</c:v>
                </c:pt>
                <c:pt idx="61">
                  <c:v>4223</c:v>
                </c:pt>
                <c:pt idx="62">
                  <c:v>4153</c:v>
                </c:pt>
                <c:pt idx="63">
                  <c:v>4121</c:v>
                </c:pt>
                <c:pt idx="64">
                  <c:v>4125</c:v>
                </c:pt>
                <c:pt idx="65">
                  <c:v>4121</c:v>
                </c:pt>
                <c:pt idx="66">
                  <c:v>4057</c:v>
                </c:pt>
                <c:pt idx="67">
                  <c:v>3790</c:v>
                </c:pt>
                <c:pt idx="68">
                  <c:v>3800</c:v>
                </c:pt>
                <c:pt idx="69">
                  <c:v>3801</c:v>
                </c:pt>
                <c:pt idx="70">
                  <c:v>3689</c:v>
                </c:pt>
                <c:pt idx="71">
                  <c:v>3687</c:v>
                </c:pt>
                <c:pt idx="72">
                  <c:v>3584</c:v>
                </c:pt>
                <c:pt idx="73">
                  <c:v>3596</c:v>
                </c:pt>
                <c:pt idx="74">
                  <c:v>3551</c:v>
                </c:pt>
                <c:pt idx="75">
                  <c:v>3397</c:v>
                </c:pt>
                <c:pt idx="76">
                  <c:v>3397</c:v>
                </c:pt>
                <c:pt idx="77">
                  <c:v>3397</c:v>
                </c:pt>
                <c:pt idx="78">
                  <c:v>3243</c:v>
                </c:pt>
                <c:pt idx="79">
                  <c:v>3181</c:v>
                </c:pt>
                <c:pt idx="80">
                  <c:v>3030</c:v>
                </c:pt>
                <c:pt idx="81">
                  <c:v>2923</c:v>
                </c:pt>
                <c:pt idx="82">
                  <c:v>2924</c:v>
                </c:pt>
                <c:pt idx="83">
                  <c:v>2865</c:v>
                </c:pt>
                <c:pt idx="84">
                  <c:v>2695</c:v>
                </c:pt>
                <c:pt idx="85">
                  <c:v>2417</c:v>
                </c:pt>
                <c:pt idx="86">
                  <c:v>2408</c:v>
                </c:pt>
                <c:pt idx="87">
                  <c:v>2400</c:v>
                </c:pt>
                <c:pt idx="88">
                  <c:v>2395</c:v>
                </c:pt>
                <c:pt idx="89">
                  <c:v>2262</c:v>
                </c:pt>
                <c:pt idx="90">
                  <c:v>2281</c:v>
                </c:pt>
                <c:pt idx="91">
                  <c:v>2281</c:v>
                </c:pt>
                <c:pt idx="92">
                  <c:v>2290</c:v>
                </c:pt>
                <c:pt idx="93">
                  <c:v>2290</c:v>
                </c:pt>
                <c:pt idx="94">
                  <c:v>2276</c:v>
                </c:pt>
                <c:pt idx="95">
                  <c:v>2283</c:v>
                </c:pt>
                <c:pt idx="96">
                  <c:v>2288</c:v>
                </c:pt>
                <c:pt idx="97">
                  <c:v>2244</c:v>
                </c:pt>
                <c:pt idx="98">
                  <c:v>2198</c:v>
                </c:pt>
                <c:pt idx="99">
                  <c:v>2024</c:v>
                </c:pt>
                <c:pt idx="100">
                  <c:v>2005</c:v>
                </c:pt>
                <c:pt idx="101">
                  <c:v>2082</c:v>
                </c:pt>
                <c:pt idx="102">
                  <c:v>1977</c:v>
                </c:pt>
                <c:pt idx="103">
                  <c:v>1977</c:v>
                </c:pt>
                <c:pt idx="104">
                  <c:v>2036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'Long BKLG'!$B$25</c:f>
              <c:strCache>
                <c:ptCount val="1"/>
                <c:pt idx="0">
                  <c:v>Open IL and IL Plug-in Issues</c:v>
                </c:pt>
              </c:strCache>
            </c:strRef>
          </c:tx>
          <c:marker>
            <c:symbol val="none"/>
          </c:marker>
          <c:cat>
            <c:numRef>
              <c:f>'Long BKLG'!$C$23:$DG$23</c:f>
              <c:numCache>
                <c:formatCode>m/d/yyyy</c:formatCode>
                <c:ptCount val="105"/>
                <c:pt idx="0">
                  <c:v>40923</c:v>
                </c:pt>
                <c:pt idx="1">
                  <c:v>40930</c:v>
                </c:pt>
                <c:pt idx="2">
                  <c:v>40937</c:v>
                </c:pt>
                <c:pt idx="3">
                  <c:v>40944</c:v>
                </c:pt>
                <c:pt idx="4">
                  <c:v>40951</c:v>
                </c:pt>
                <c:pt idx="5">
                  <c:v>40958</c:v>
                </c:pt>
                <c:pt idx="6">
                  <c:v>40965</c:v>
                </c:pt>
                <c:pt idx="7">
                  <c:v>40972</c:v>
                </c:pt>
                <c:pt idx="8">
                  <c:v>40980</c:v>
                </c:pt>
                <c:pt idx="9">
                  <c:v>40995</c:v>
                </c:pt>
                <c:pt idx="10">
                  <c:v>41008</c:v>
                </c:pt>
                <c:pt idx="11">
                  <c:v>41016</c:v>
                </c:pt>
                <c:pt idx="12">
                  <c:v>41022</c:v>
                </c:pt>
                <c:pt idx="13">
                  <c:v>41029</c:v>
                </c:pt>
                <c:pt idx="14">
                  <c:v>41043</c:v>
                </c:pt>
                <c:pt idx="15">
                  <c:v>41049</c:v>
                </c:pt>
                <c:pt idx="16">
                  <c:v>41058</c:v>
                </c:pt>
                <c:pt idx="17">
                  <c:v>41064</c:v>
                </c:pt>
                <c:pt idx="18">
                  <c:v>41072</c:v>
                </c:pt>
                <c:pt idx="19">
                  <c:v>41078</c:v>
                </c:pt>
                <c:pt idx="20">
                  <c:v>41085</c:v>
                </c:pt>
                <c:pt idx="21">
                  <c:v>41092</c:v>
                </c:pt>
                <c:pt idx="22">
                  <c:v>41099</c:v>
                </c:pt>
                <c:pt idx="23">
                  <c:v>41106</c:v>
                </c:pt>
                <c:pt idx="24">
                  <c:v>41113</c:v>
                </c:pt>
                <c:pt idx="25">
                  <c:v>41120</c:v>
                </c:pt>
                <c:pt idx="26">
                  <c:v>41127</c:v>
                </c:pt>
                <c:pt idx="27">
                  <c:v>41159</c:v>
                </c:pt>
                <c:pt idx="28">
                  <c:v>41170</c:v>
                </c:pt>
                <c:pt idx="29">
                  <c:v>41184</c:v>
                </c:pt>
                <c:pt idx="30">
                  <c:v>41190</c:v>
                </c:pt>
                <c:pt idx="31">
                  <c:v>41204</c:v>
                </c:pt>
                <c:pt idx="32">
                  <c:v>41215</c:v>
                </c:pt>
                <c:pt idx="33">
                  <c:v>41227</c:v>
                </c:pt>
                <c:pt idx="34">
                  <c:v>41238</c:v>
                </c:pt>
                <c:pt idx="35">
                  <c:v>41252</c:v>
                </c:pt>
                <c:pt idx="36">
                  <c:v>41281</c:v>
                </c:pt>
                <c:pt idx="37">
                  <c:v>41288</c:v>
                </c:pt>
                <c:pt idx="38">
                  <c:v>41295</c:v>
                </c:pt>
                <c:pt idx="39">
                  <c:v>41308</c:v>
                </c:pt>
                <c:pt idx="40">
                  <c:v>41315</c:v>
                </c:pt>
                <c:pt idx="41">
                  <c:v>41330</c:v>
                </c:pt>
                <c:pt idx="42">
                  <c:v>41337</c:v>
                </c:pt>
                <c:pt idx="43">
                  <c:v>41344</c:v>
                </c:pt>
                <c:pt idx="44">
                  <c:v>41351</c:v>
                </c:pt>
                <c:pt idx="45">
                  <c:v>41358</c:v>
                </c:pt>
                <c:pt idx="46">
                  <c:v>41364</c:v>
                </c:pt>
                <c:pt idx="47">
                  <c:v>41372</c:v>
                </c:pt>
                <c:pt idx="48">
                  <c:v>41379</c:v>
                </c:pt>
                <c:pt idx="49">
                  <c:v>41385</c:v>
                </c:pt>
                <c:pt idx="50">
                  <c:v>41392</c:v>
                </c:pt>
                <c:pt idx="51">
                  <c:v>41400</c:v>
                </c:pt>
                <c:pt idx="52">
                  <c:v>41406</c:v>
                </c:pt>
                <c:pt idx="53">
                  <c:v>41413</c:v>
                </c:pt>
                <c:pt idx="54">
                  <c:v>41420</c:v>
                </c:pt>
                <c:pt idx="55">
                  <c:v>41427</c:v>
                </c:pt>
                <c:pt idx="56">
                  <c:v>41434</c:v>
                </c:pt>
                <c:pt idx="57">
                  <c:v>41441</c:v>
                </c:pt>
                <c:pt idx="58">
                  <c:v>41448</c:v>
                </c:pt>
                <c:pt idx="59">
                  <c:v>41455</c:v>
                </c:pt>
                <c:pt idx="60">
                  <c:v>41462</c:v>
                </c:pt>
                <c:pt idx="61">
                  <c:v>41469</c:v>
                </c:pt>
                <c:pt idx="62">
                  <c:v>41483</c:v>
                </c:pt>
                <c:pt idx="63">
                  <c:v>41490</c:v>
                </c:pt>
                <c:pt idx="64">
                  <c:v>41497</c:v>
                </c:pt>
                <c:pt idx="65">
                  <c:v>41514</c:v>
                </c:pt>
                <c:pt idx="66">
                  <c:v>41533</c:v>
                </c:pt>
                <c:pt idx="67">
                  <c:v>41542</c:v>
                </c:pt>
                <c:pt idx="68">
                  <c:v>41560</c:v>
                </c:pt>
                <c:pt idx="69">
                  <c:v>41567</c:v>
                </c:pt>
                <c:pt idx="70">
                  <c:v>41574</c:v>
                </c:pt>
                <c:pt idx="71">
                  <c:v>41581</c:v>
                </c:pt>
                <c:pt idx="72">
                  <c:v>41588</c:v>
                </c:pt>
                <c:pt idx="73">
                  <c:v>41617</c:v>
                </c:pt>
                <c:pt idx="74">
                  <c:v>41623</c:v>
                </c:pt>
                <c:pt idx="75">
                  <c:v>41630</c:v>
                </c:pt>
                <c:pt idx="76">
                  <c:v>41637</c:v>
                </c:pt>
                <c:pt idx="77">
                  <c:v>41640</c:v>
                </c:pt>
                <c:pt idx="78">
                  <c:v>41658</c:v>
                </c:pt>
                <c:pt idx="79">
                  <c:v>41672</c:v>
                </c:pt>
                <c:pt idx="80">
                  <c:v>41686</c:v>
                </c:pt>
                <c:pt idx="81">
                  <c:v>41693</c:v>
                </c:pt>
                <c:pt idx="82">
                  <c:v>41700</c:v>
                </c:pt>
                <c:pt idx="83">
                  <c:v>41707</c:v>
                </c:pt>
                <c:pt idx="84">
                  <c:v>41721</c:v>
                </c:pt>
                <c:pt idx="85">
                  <c:v>41755</c:v>
                </c:pt>
                <c:pt idx="86">
                  <c:v>41763</c:v>
                </c:pt>
                <c:pt idx="87">
                  <c:v>41770</c:v>
                </c:pt>
                <c:pt idx="88">
                  <c:v>41777</c:v>
                </c:pt>
                <c:pt idx="89">
                  <c:v>41792</c:v>
                </c:pt>
                <c:pt idx="90">
                  <c:v>41798</c:v>
                </c:pt>
                <c:pt idx="91">
                  <c:v>41818</c:v>
                </c:pt>
                <c:pt idx="92">
                  <c:v>41826</c:v>
                </c:pt>
                <c:pt idx="93">
                  <c:v>41841</c:v>
                </c:pt>
                <c:pt idx="94">
                  <c:v>41854</c:v>
                </c:pt>
                <c:pt idx="95">
                  <c:v>41868</c:v>
                </c:pt>
                <c:pt idx="96">
                  <c:v>41889</c:v>
                </c:pt>
                <c:pt idx="97">
                  <c:v>41903</c:v>
                </c:pt>
                <c:pt idx="98">
                  <c:v>41924</c:v>
                </c:pt>
                <c:pt idx="99">
                  <c:v>41980</c:v>
                </c:pt>
                <c:pt idx="100">
                  <c:v>42008</c:v>
                </c:pt>
                <c:pt idx="101">
                  <c:v>42053</c:v>
                </c:pt>
                <c:pt idx="102">
                  <c:v>42090</c:v>
                </c:pt>
                <c:pt idx="103">
                  <c:v>42246</c:v>
                </c:pt>
                <c:pt idx="104">
                  <c:v>42267</c:v>
                </c:pt>
              </c:numCache>
            </c:numRef>
          </c:cat>
          <c:val>
            <c:numRef>
              <c:f>'Long BKLG'!$C$25:$DG$25</c:f>
              <c:numCache>
                <c:formatCode>General</c:formatCode>
                <c:ptCount val="105"/>
                <c:pt idx="0">
                  <c:v>7101</c:v>
                </c:pt>
                <c:pt idx="1">
                  <c:v>7096</c:v>
                </c:pt>
                <c:pt idx="2">
                  <c:v>7100</c:v>
                </c:pt>
                <c:pt idx="3">
                  <c:v>7022</c:v>
                </c:pt>
                <c:pt idx="4">
                  <c:v>7025</c:v>
                </c:pt>
                <c:pt idx="5">
                  <c:v>6940</c:v>
                </c:pt>
                <c:pt idx="6">
                  <c:v>6671</c:v>
                </c:pt>
                <c:pt idx="7">
                  <c:v>6939</c:v>
                </c:pt>
                <c:pt idx="8">
                  <c:v>6942</c:v>
                </c:pt>
                <c:pt idx="9">
                  <c:v>6987</c:v>
                </c:pt>
                <c:pt idx="10">
                  <c:v>6972</c:v>
                </c:pt>
                <c:pt idx="11">
                  <c:v>6890</c:v>
                </c:pt>
                <c:pt idx="12">
                  <c:v>6890</c:v>
                </c:pt>
                <c:pt idx="13">
                  <c:v>6848</c:v>
                </c:pt>
                <c:pt idx="14">
                  <c:v>6770</c:v>
                </c:pt>
                <c:pt idx="15">
                  <c:v>6719</c:v>
                </c:pt>
                <c:pt idx="16">
                  <c:v>6667</c:v>
                </c:pt>
                <c:pt idx="17">
                  <c:v>6635</c:v>
                </c:pt>
                <c:pt idx="18">
                  <c:v>6475</c:v>
                </c:pt>
                <c:pt idx="19">
                  <c:v>6395</c:v>
                </c:pt>
                <c:pt idx="20">
                  <c:v>6346</c:v>
                </c:pt>
                <c:pt idx="21">
                  <c:v>6201</c:v>
                </c:pt>
                <c:pt idx="22">
                  <c:v>6206</c:v>
                </c:pt>
                <c:pt idx="23">
                  <c:v>6208</c:v>
                </c:pt>
                <c:pt idx="24">
                  <c:v>6207</c:v>
                </c:pt>
                <c:pt idx="25">
                  <c:v>6204</c:v>
                </c:pt>
                <c:pt idx="26">
                  <c:v>6204</c:v>
                </c:pt>
                <c:pt idx="27">
                  <c:v>5950</c:v>
                </c:pt>
                <c:pt idx="28">
                  <c:v>5911</c:v>
                </c:pt>
                <c:pt idx="29">
                  <c:v>5911</c:v>
                </c:pt>
                <c:pt idx="30">
                  <c:v>5806</c:v>
                </c:pt>
                <c:pt idx="31">
                  <c:v>5765</c:v>
                </c:pt>
                <c:pt idx="32">
                  <c:v>5746</c:v>
                </c:pt>
                <c:pt idx="33">
                  <c:v>5744</c:v>
                </c:pt>
                <c:pt idx="34">
                  <c:v>5744</c:v>
                </c:pt>
                <c:pt idx="35">
                  <c:v>4352</c:v>
                </c:pt>
                <c:pt idx="36">
                  <c:v>4339</c:v>
                </c:pt>
                <c:pt idx="37">
                  <c:v>4336</c:v>
                </c:pt>
                <c:pt idx="38">
                  <c:v>4335</c:v>
                </c:pt>
                <c:pt idx="39">
                  <c:v>4350</c:v>
                </c:pt>
                <c:pt idx="40">
                  <c:v>4229</c:v>
                </c:pt>
                <c:pt idx="41">
                  <c:v>4688</c:v>
                </c:pt>
                <c:pt idx="42">
                  <c:v>4815</c:v>
                </c:pt>
                <c:pt idx="43">
                  <c:v>3980</c:v>
                </c:pt>
                <c:pt idx="44">
                  <c:v>3811</c:v>
                </c:pt>
                <c:pt idx="45">
                  <c:v>3472</c:v>
                </c:pt>
                <c:pt idx="46">
                  <c:v>3416</c:v>
                </c:pt>
                <c:pt idx="47">
                  <c:v>3335</c:v>
                </c:pt>
                <c:pt idx="48">
                  <c:v>3328</c:v>
                </c:pt>
                <c:pt idx="49">
                  <c:v>3283</c:v>
                </c:pt>
                <c:pt idx="50">
                  <c:v>3643</c:v>
                </c:pt>
                <c:pt idx="51">
                  <c:v>2996</c:v>
                </c:pt>
                <c:pt idx="52">
                  <c:v>2976</c:v>
                </c:pt>
                <c:pt idx="53">
                  <c:v>2976</c:v>
                </c:pt>
                <c:pt idx="54">
                  <c:v>2974</c:v>
                </c:pt>
                <c:pt idx="55">
                  <c:v>2994</c:v>
                </c:pt>
                <c:pt idx="56">
                  <c:v>3000</c:v>
                </c:pt>
                <c:pt idx="57">
                  <c:v>2999</c:v>
                </c:pt>
                <c:pt idx="58">
                  <c:v>2955</c:v>
                </c:pt>
                <c:pt idx="59">
                  <c:v>2958</c:v>
                </c:pt>
                <c:pt idx="60">
                  <c:v>2962</c:v>
                </c:pt>
                <c:pt idx="61">
                  <c:v>2960</c:v>
                </c:pt>
                <c:pt idx="62">
                  <c:v>2961</c:v>
                </c:pt>
                <c:pt idx="63">
                  <c:v>2960</c:v>
                </c:pt>
                <c:pt idx="64">
                  <c:v>2965</c:v>
                </c:pt>
                <c:pt idx="65">
                  <c:v>3014</c:v>
                </c:pt>
                <c:pt idx="66">
                  <c:v>3022</c:v>
                </c:pt>
                <c:pt idx="67">
                  <c:v>3000</c:v>
                </c:pt>
                <c:pt idx="68">
                  <c:v>3001</c:v>
                </c:pt>
                <c:pt idx="69">
                  <c:v>3008</c:v>
                </c:pt>
                <c:pt idx="70">
                  <c:v>2902</c:v>
                </c:pt>
                <c:pt idx="71">
                  <c:v>2902</c:v>
                </c:pt>
                <c:pt idx="72">
                  <c:v>2902</c:v>
                </c:pt>
                <c:pt idx="73">
                  <c:v>2897</c:v>
                </c:pt>
                <c:pt idx="74">
                  <c:v>2901</c:v>
                </c:pt>
                <c:pt idx="75">
                  <c:v>2879</c:v>
                </c:pt>
                <c:pt idx="76">
                  <c:v>2879</c:v>
                </c:pt>
                <c:pt idx="77">
                  <c:v>2862</c:v>
                </c:pt>
                <c:pt idx="78">
                  <c:v>2910</c:v>
                </c:pt>
                <c:pt idx="79">
                  <c:v>2732</c:v>
                </c:pt>
                <c:pt idx="80">
                  <c:v>2573</c:v>
                </c:pt>
                <c:pt idx="81">
                  <c:v>2576</c:v>
                </c:pt>
                <c:pt idx="82">
                  <c:v>2581</c:v>
                </c:pt>
                <c:pt idx="83">
                  <c:v>2481</c:v>
                </c:pt>
                <c:pt idx="84">
                  <c:v>2395</c:v>
                </c:pt>
                <c:pt idx="85">
                  <c:v>2338</c:v>
                </c:pt>
                <c:pt idx="86">
                  <c:v>2337</c:v>
                </c:pt>
                <c:pt idx="87">
                  <c:v>2340</c:v>
                </c:pt>
                <c:pt idx="88">
                  <c:v>2337</c:v>
                </c:pt>
                <c:pt idx="89">
                  <c:v>2111</c:v>
                </c:pt>
                <c:pt idx="90">
                  <c:v>2081</c:v>
                </c:pt>
                <c:pt idx="91">
                  <c:v>2081</c:v>
                </c:pt>
                <c:pt idx="92">
                  <c:v>2082</c:v>
                </c:pt>
                <c:pt idx="93">
                  <c:v>2097</c:v>
                </c:pt>
                <c:pt idx="94">
                  <c:v>1918</c:v>
                </c:pt>
                <c:pt idx="95">
                  <c:v>1928</c:v>
                </c:pt>
                <c:pt idx="96">
                  <c:v>1868</c:v>
                </c:pt>
                <c:pt idx="97">
                  <c:v>1919</c:v>
                </c:pt>
                <c:pt idx="98">
                  <c:v>1922</c:v>
                </c:pt>
                <c:pt idx="99">
                  <c:v>1923</c:v>
                </c:pt>
                <c:pt idx="100">
                  <c:v>1931</c:v>
                </c:pt>
                <c:pt idx="101">
                  <c:v>1931</c:v>
                </c:pt>
                <c:pt idx="102">
                  <c:v>1937</c:v>
                </c:pt>
                <c:pt idx="103">
                  <c:v>1937</c:v>
                </c:pt>
                <c:pt idx="104">
                  <c:v>1934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'Long BKLG'!$B$26</c:f>
              <c:strCache>
                <c:ptCount val="1"/>
                <c:pt idx="0">
                  <c:v>Open Win/BLL Issues</c:v>
                </c:pt>
              </c:strCache>
            </c:strRef>
          </c:tx>
          <c:marker>
            <c:symbol val="none"/>
          </c:marker>
          <c:cat>
            <c:numRef>
              <c:f>'Long BKLG'!$C$23:$DG$23</c:f>
              <c:numCache>
                <c:formatCode>m/d/yyyy</c:formatCode>
                <c:ptCount val="105"/>
                <c:pt idx="0">
                  <c:v>40923</c:v>
                </c:pt>
                <c:pt idx="1">
                  <c:v>40930</c:v>
                </c:pt>
                <c:pt idx="2">
                  <c:v>40937</c:v>
                </c:pt>
                <c:pt idx="3">
                  <c:v>40944</c:v>
                </c:pt>
                <c:pt idx="4">
                  <c:v>40951</c:v>
                </c:pt>
                <c:pt idx="5">
                  <c:v>40958</c:v>
                </c:pt>
                <c:pt idx="6">
                  <c:v>40965</c:v>
                </c:pt>
                <c:pt idx="7">
                  <c:v>40972</c:v>
                </c:pt>
                <c:pt idx="8">
                  <c:v>40980</c:v>
                </c:pt>
                <c:pt idx="9">
                  <c:v>40995</c:v>
                </c:pt>
                <c:pt idx="10">
                  <c:v>41008</c:v>
                </c:pt>
                <c:pt idx="11">
                  <c:v>41016</c:v>
                </c:pt>
                <c:pt idx="12">
                  <c:v>41022</c:v>
                </c:pt>
                <c:pt idx="13">
                  <c:v>41029</c:v>
                </c:pt>
                <c:pt idx="14">
                  <c:v>41043</c:v>
                </c:pt>
                <c:pt idx="15">
                  <c:v>41049</c:v>
                </c:pt>
                <c:pt idx="16">
                  <c:v>41058</c:v>
                </c:pt>
                <c:pt idx="17">
                  <c:v>41064</c:v>
                </c:pt>
                <c:pt idx="18">
                  <c:v>41072</c:v>
                </c:pt>
                <c:pt idx="19">
                  <c:v>41078</c:v>
                </c:pt>
                <c:pt idx="20">
                  <c:v>41085</c:v>
                </c:pt>
                <c:pt idx="21">
                  <c:v>41092</c:v>
                </c:pt>
                <c:pt idx="22">
                  <c:v>41099</c:v>
                </c:pt>
                <c:pt idx="23">
                  <c:v>41106</c:v>
                </c:pt>
                <c:pt idx="24">
                  <c:v>41113</c:v>
                </c:pt>
                <c:pt idx="25">
                  <c:v>41120</c:v>
                </c:pt>
                <c:pt idx="26">
                  <c:v>41127</c:v>
                </c:pt>
                <c:pt idx="27">
                  <c:v>41159</c:v>
                </c:pt>
                <c:pt idx="28">
                  <c:v>41170</c:v>
                </c:pt>
                <c:pt idx="29">
                  <c:v>41184</c:v>
                </c:pt>
                <c:pt idx="30">
                  <c:v>41190</c:v>
                </c:pt>
                <c:pt idx="31">
                  <c:v>41204</c:v>
                </c:pt>
                <c:pt idx="32">
                  <c:v>41215</c:v>
                </c:pt>
                <c:pt idx="33">
                  <c:v>41227</c:v>
                </c:pt>
                <c:pt idx="34">
                  <c:v>41238</c:v>
                </c:pt>
                <c:pt idx="35">
                  <c:v>41252</c:v>
                </c:pt>
                <c:pt idx="36">
                  <c:v>41281</c:v>
                </c:pt>
                <c:pt idx="37">
                  <c:v>41288</c:v>
                </c:pt>
                <c:pt idx="38">
                  <c:v>41295</c:v>
                </c:pt>
                <c:pt idx="39">
                  <c:v>41308</c:v>
                </c:pt>
                <c:pt idx="40">
                  <c:v>41315</c:v>
                </c:pt>
                <c:pt idx="41">
                  <c:v>41330</c:v>
                </c:pt>
                <c:pt idx="42">
                  <c:v>41337</c:v>
                </c:pt>
                <c:pt idx="43">
                  <c:v>41344</c:v>
                </c:pt>
                <c:pt idx="44">
                  <c:v>41351</c:v>
                </c:pt>
                <c:pt idx="45">
                  <c:v>41358</c:v>
                </c:pt>
                <c:pt idx="46">
                  <c:v>41364</c:v>
                </c:pt>
                <c:pt idx="47">
                  <c:v>41372</c:v>
                </c:pt>
                <c:pt idx="48">
                  <c:v>41379</c:v>
                </c:pt>
                <c:pt idx="49">
                  <c:v>41385</c:v>
                </c:pt>
                <c:pt idx="50">
                  <c:v>41392</c:v>
                </c:pt>
                <c:pt idx="51">
                  <c:v>41400</c:v>
                </c:pt>
                <c:pt idx="52">
                  <c:v>41406</c:v>
                </c:pt>
                <c:pt idx="53">
                  <c:v>41413</c:v>
                </c:pt>
                <c:pt idx="54">
                  <c:v>41420</c:v>
                </c:pt>
                <c:pt idx="55">
                  <c:v>41427</c:v>
                </c:pt>
                <c:pt idx="56">
                  <c:v>41434</c:v>
                </c:pt>
                <c:pt idx="57">
                  <c:v>41441</c:v>
                </c:pt>
                <c:pt idx="58">
                  <c:v>41448</c:v>
                </c:pt>
                <c:pt idx="59">
                  <c:v>41455</c:v>
                </c:pt>
                <c:pt idx="60">
                  <c:v>41462</c:v>
                </c:pt>
                <c:pt idx="61">
                  <c:v>41469</c:v>
                </c:pt>
                <c:pt idx="62">
                  <c:v>41483</c:v>
                </c:pt>
                <c:pt idx="63">
                  <c:v>41490</c:v>
                </c:pt>
                <c:pt idx="64">
                  <c:v>41497</c:v>
                </c:pt>
                <c:pt idx="65">
                  <c:v>41514</c:v>
                </c:pt>
                <c:pt idx="66">
                  <c:v>41533</c:v>
                </c:pt>
                <c:pt idx="67">
                  <c:v>41542</c:v>
                </c:pt>
                <c:pt idx="68">
                  <c:v>41560</c:v>
                </c:pt>
                <c:pt idx="69">
                  <c:v>41567</c:v>
                </c:pt>
                <c:pt idx="70">
                  <c:v>41574</c:v>
                </c:pt>
                <c:pt idx="71">
                  <c:v>41581</c:v>
                </c:pt>
                <c:pt idx="72">
                  <c:v>41588</c:v>
                </c:pt>
                <c:pt idx="73">
                  <c:v>41617</c:v>
                </c:pt>
                <c:pt idx="74">
                  <c:v>41623</c:v>
                </c:pt>
                <c:pt idx="75">
                  <c:v>41630</c:v>
                </c:pt>
                <c:pt idx="76">
                  <c:v>41637</c:v>
                </c:pt>
                <c:pt idx="77">
                  <c:v>41640</c:v>
                </c:pt>
                <c:pt idx="78">
                  <c:v>41658</c:v>
                </c:pt>
                <c:pt idx="79">
                  <c:v>41672</c:v>
                </c:pt>
                <c:pt idx="80">
                  <c:v>41686</c:v>
                </c:pt>
                <c:pt idx="81">
                  <c:v>41693</c:v>
                </c:pt>
                <c:pt idx="82">
                  <c:v>41700</c:v>
                </c:pt>
                <c:pt idx="83">
                  <c:v>41707</c:v>
                </c:pt>
                <c:pt idx="84">
                  <c:v>41721</c:v>
                </c:pt>
                <c:pt idx="85">
                  <c:v>41755</c:v>
                </c:pt>
                <c:pt idx="86">
                  <c:v>41763</c:v>
                </c:pt>
                <c:pt idx="87">
                  <c:v>41770</c:v>
                </c:pt>
                <c:pt idx="88">
                  <c:v>41777</c:v>
                </c:pt>
                <c:pt idx="89">
                  <c:v>41792</c:v>
                </c:pt>
                <c:pt idx="90">
                  <c:v>41798</c:v>
                </c:pt>
                <c:pt idx="91">
                  <c:v>41818</c:v>
                </c:pt>
                <c:pt idx="92">
                  <c:v>41826</c:v>
                </c:pt>
                <c:pt idx="93">
                  <c:v>41841</c:v>
                </c:pt>
                <c:pt idx="94">
                  <c:v>41854</c:v>
                </c:pt>
                <c:pt idx="95">
                  <c:v>41868</c:v>
                </c:pt>
                <c:pt idx="96">
                  <c:v>41889</c:v>
                </c:pt>
                <c:pt idx="97">
                  <c:v>41903</c:v>
                </c:pt>
                <c:pt idx="98">
                  <c:v>41924</c:v>
                </c:pt>
                <c:pt idx="99">
                  <c:v>41980</c:v>
                </c:pt>
                <c:pt idx="100">
                  <c:v>42008</c:v>
                </c:pt>
                <c:pt idx="101">
                  <c:v>42053</c:v>
                </c:pt>
                <c:pt idx="102">
                  <c:v>42090</c:v>
                </c:pt>
                <c:pt idx="103">
                  <c:v>42246</c:v>
                </c:pt>
                <c:pt idx="104">
                  <c:v>42267</c:v>
                </c:pt>
              </c:numCache>
            </c:numRef>
          </c:cat>
          <c:val>
            <c:numRef>
              <c:f>'Long BKLG'!$C$26:$DG$26</c:f>
              <c:numCache>
                <c:formatCode>General</c:formatCode>
                <c:ptCount val="105"/>
                <c:pt idx="0">
                  <c:v>3044</c:v>
                </c:pt>
                <c:pt idx="1">
                  <c:v>3044</c:v>
                </c:pt>
                <c:pt idx="2">
                  <c:v>3044</c:v>
                </c:pt>
                <c:pt idx="3">
                  <c:v>3044</c:v>
                </c:pt>
                <c:pt idx="4">
                  <c:v>3044</c:v>
                </c:pt>
                <c:pt idx="5">
                  <c:v>3044</c:v>
                </c:pt>
                <c:pt idx="6">
                  <c:v>3044</c:v>
                </c:pt>
                <c:pt idx="7">
                  <c:v>3044</c:v>
                </c:pt>
                <c:pt idx="8">
                  <c:v>3044</c:v>
                </c:pt>
                <c:pt idx="9">
                  <c:v>3044</c:v>
                </c:pt>
                <c:pt idx="10">
                  <c:v>3044</c:v>
                </c:pt>
                <c:pt idx="11">
                  <c:v>3044</c:v>
                </c:pt>
                <c:pt idx="12">
                  <c:v>3026</c:v>
                </c:pt>
                <c:pt idx="13">
                  <c:v>3010</c:v>
                </c:pt>
                <c:pt idx="14">
                  <c:v>2995</c:v>
                </c:pt>
                <c:pt idx="15">
                  <c:v>2981</c:v>
                </c:pt>
                <c:pt idx="16">
                  <c:v>2848</c:v>
                </c:pt>
                <c:pt idx="17">
                  <c:v>2554</c:v>
                </c:pt>
                <c:pt idx="18">
                  <c:v>2465</c:v>
                </c:pt>
                <c:pt idx="19">
                  <c:v>2465</c:v>
                </c:pt>
                <c:pt idx="20">
                  <c:v>2390</c:v>
                </c:pt>
                <c:pt idx="21">
                  <c:v>2299</c:v>
                </c:pt>
                <c:pt idx="22">
                  <c:v>2291</c:v>
                </c:pt>
                <c:pt idx="23">
                  <c:v>2288</c:v>
                </c:pt>
                <c:pt idx="24">
                  <c:v>2286</c:v>
                </c:pt>
                <c:pt idx="25">
                  <c:v>2268</c:v>
                </c:pt>
                <c:pt idx="26">
                  <c:v>2270</c:v>
                </c:pt>
                <c:pt idx="27">
                  <c:v>2270</c:v>
                </c:pt>
                <c:pt idx="28">
                  <c:v>2270</c:v>
                </c:pt>
                <c:pt idx="29">
                  <c:v>2166</c:v>
                </c:pt>
                <c:pt idx="30">
                  <c:v>2159</c:v>
                </c:pt>
                <c:pt idx="31">
                  <c:v>2127</c:v>
                </c:pt>
                <c:pt idx="32">
                  <c:v>2148</c:v>
                </c:pt>
                <c:pt idx="33">
                  <c:v>2125</c:v>
                </c:pt>
                <c:pt idx="34">
                  <c:v>2125</c:v>
                </c:pt>
                <c:pt idx="35">
                  <c:v>1438</c:v>
                </c:pt>
                <c:pt idx="36">
                  <c:v>1260</c:v>
                </c:pt>
                <c:pt idx="37">
                  <c:v>1260</c:v>
                </c:pt>
                <c:pt idx="38">
                  <c:v>1260</c:v>
                </c:pt>
                <c:pt idx="39">
                  <c:v>1256</c:v>
                </c:pt>
                <c:pt idx="40">
                  <c:v>1082</c:v>
                </c:pt>
                <c:pt idx="41">
                  <c:v>1082</c:v>
                </c:pt>
                <c:pt idx="42">
                  <c:v>1082</c:v>
                </c:pt>
                <c:pt idx="43">
                  <c:v>1013</c:v>
                </c:pt>
                <c:pt idx="44">
                  <c:v>878</c:v>
                </c:pt>
                <c:pt idx="45">
                  <c:v>880</c:v>
                </c:pt>
                <c:pt idx="46">
                  <c:v>877</c:v>
                </c:pt>
                <c:pt idx="47">
                  <c:v>881</c:v>
                </c:pt>
                <c:pt idx="48">
                  <c:v>904</c:v>
                </c:pt>
                <c:pt idx="49">
                  <c:v>901</c:v>
                </c:pt>
                <c:pt idx="50">
                  <c:v>901</c:v>
                </c:pt>
                <c:pt idx="51">
                  <c:v>1005</c:v>
                </c:pt>
                <c:pt idx="52">
                  <c:v>892</c:v>
                </c:pt>
                <c:pt idx="53">
                  <c:v>891</c:v>
                </c:pt>
                <c:pt idx="54">
                  <c:v>839</c:v>
                </c:pt>
                <c:pt idx="55">
                  <c:v>833</c:v>
                </c:pt>
                <c:pt idx="56">
                  <c:v>787</c:v>
                </c:pt>
                <c:pt idx="57">
                  <c:v>788</c:v>
                </c:pt>
                <c:pt idx="58">
                  <c:v>790</c:v>
                </c:pt>
                <c:pt idx="59">
                  <c:v>787</c:v>
                </c:pt>
                <c:pt idx="60">
                  <c:v>781</c:v>
                </c:pt>
                <c:pt idx="61">
                  <c:v>782</c:v>
                </c:pt>
                <c:pt idx="62">
                  <c:v>775</c:v>
                </c:pt>
                <c:pt idx="63">
                  <c:v>694</c:v>
                </c:pt>
                <c:pt idx="64">
                  <c:v>700</c:v>
                </c:pt>
                <c:pt idx="65">
                  <c:v>709</c:v>
                </c:pt>
                <c:pt idx="66">
                  <c:v>719</c:v>
                </c:pt>
                <c:pt idx="67">
                  <c:v>713</c:v>
                </c:pt>
                <c:pt idx="68">
                  <c:v>716</c:v>
                </c:pt>
                <c:pt idx="69">
                  <c:v>728</c:v>
                </c:pt>
                <c:pt idx="70">
                  <c:v>739</c:v>
                </c:pt>
                <c:pt idx="71">
                  <c:v>738</c:v>
                </c:pt>
                <c:pt idx="72">
                  <c:v>743</c:v>
                </c:pt>
                <c:pt idx="73">
                  <c:v>728</c:v>
                </c:pt>
                <c:pt idx="74">
                  <c:v>732</c:v>
                </c:pt>
                <c:pt idx="75">
                  <c:v>732</c:v>
                </c:pt>
                <c:pt idx="76">
                  <c:v>723</c:v>
                </c:pt>
                <c:pt idx="77">
                  <c:v>711</c:v>
                </c:pt>
                <c:pt idx="78">
                  <c:v>632</c:v>
                </c:pt>
                <c:pt idx="79">
                  <c:v>610</c:v>
                </c:pt>
                <c:pt idx="80">
                  <c:v>673</c:v>
                </c:pt>
                <c:pt idx="81">
                  <c:v>680</c:v>
                </c:pt>
                <c:pt idx="82">
                  <c:v>681</c:v>
                </c:pt>
                <c:pt idx="83">
                  <c:v>640</c:v>
                </c:pt>
                <c:pt idx="84">
                  <c:v>499</c:v>
                </c:pt>
                <c:pt idx="85">
                  <c:v>500</c:v>
                </c:pt>
                <c:pt idx="86">
                  <c:v>498</c:v>
                </c:pt>
                <c:pt idx="87">
                  <c:v>499</c:v>
                </c:pt>
                <c:pt idx="88">
                  <c:v>500</c:v>
                </c:pt>
                <c:pt idx="89">
                  <c:v>504</c:v>
                </c:pt>
                <c:pt idx="90">
                  <c:v>506</c:v>
                </c:pt>
                <c:pt idx="91">
                  <c:v>506</c:v>
                </c:pt>
                <c:pt idx="92">
                  <c:v>506</c:v>
                </c:pt>
                <c:pt idx="93">
                  <c:v>506</c:v>
                </c:pt>
                <c:pt idx="94">
                  <c:v>500</c:v>
                </c:pt>
                <c:pt idx="95">
                  <c:v>492</c:v>
                </c:pt>
                <c:pt idx="96">
                  <c:v>493</c:v>
                </c:pt>
                <c:pt idx="97">
                  <c:v>493</c:v>
                </c:pt>
                <c:pt idx="98">
                  <c:v>496</c:v>
                </c:pt>
                <c:pt idx="99">
                  <c:v>493</c:v>
                </c:pt>
                <c:pt idx="100">
                  <c:v>495</c:v>
                </c:pt>
                <c:pt idx="101">
                  <c:v>497</c:v>
                </c:pt>
                <c:pt idx="102">
                  <c:v>475</c:v>
                </c:pt>
                <c:pt idx="103">
                  <c:v>475</c:v>
                </c:pt>
                <c:pt idx="104">
                  <c:v>495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'Long BKLG'!$B$27</c:f>
              <c:strCache>
                <c:ptCount val="1"/>
                <c:pt idx="0">
                  <c:v>Total Open Issues</c:v>
                </c:pt>
              </c:strCache>
            </c:strRef>
          </c:tx>
          <c:marker>
            <c:symbol val="none"/>
          </c:marker>
          <c:cat>
            <c:numRef>
              <c:f>'Long BKLG'!$C$23:$DG$23</c:f>
              <c:numCache>
                <c:formatCode>m/d/yyyy</c:formatCode>
                <c:ptCount val="105"/>
                <c:pt idx="0">
                  <c:v>40923</c:v>
                </c:pt>
                <c:pt idx="1">
                  <c:v>40930</c:v>
                </c:pt>
                <c:pt idx="2">
                  <c:v>40937</c:v>
                </c:pt>
                <c:pt idx="3">
                  <c:v>40944</c:v>
                </c:pt>
                <c:pt idx="4">
                  <c:v>40951</c:v>
                </c:pt>
                <c:pt idx="5">
                  <c:v>40958</c:v>
                </c:pt>
                <c:pt idx="6">
                  <c:v>40965</c:v>
                </c:pt>
                <c:pt idx="7">
                  <c:v>40972</c:v>
                </c:pt>
                <c:pt idx="8">
                  <c:v>40980</c:v>
                </c:pt>
                <c:pt idx="9">
                  <c:v>40995</c:v>
                </c:pt>
                <c:pt idx="10">
                  <c:v>41008</c:v>
                </c:pt>
                <c:pt idx="11">
                  <c:v>41016</c:v>
                </c:pt>
                <c:pt idx="12">
                  <c:v>41022</c:v>
                </c:pt>
                <c:pt idx="13">
                  <c:v>41029</c:v>
                </c:pt>
                <c:pt idx="14">
                  <c:v>41043</c:v>
                </c:pt>
                <c:pt idx="15">
                  <c:v>41049</c:v>
                </c:pt>
                <c:pt idx="16">
                  <c:v>41058</c:v>
                </c:pt>
                <c:pt idx="17">
                  <c:v>41064</c:v>
                </c:pt>
                <c:pt idx="18">
                  <c:v>41072</c:v>
                </c:pt>
                <c:pt idx="19">
                  <c:v>41078</c:v>
                </c:pt>
                <c:pt idx="20">
                  <c:v>41085</c:v>
                </c:pt>
                <c:pt idx="21">
                  <c:v>41092</c:v>
                </c:pt>
                <c:pt idx="22">
                  <c:v>41099</c:v>
                </c:pt>
                <c:pt idx="23">
                  <c:v>41106</c:v>
                </c:pt>
                <c:pt idx="24">
                  <c:v>41113</c:v>
                </c:pt>
                <c:pt idx="25">
                  <c:v>41120</c:v>
                </c:pt>
                <c:pt idx="26">
                  <c:v>41127</c:v>
                </c:pt>
                <c:pt idx="27">
                  <c:v>41159</c:v>
                </c:pt>
                <c:pt idx="28">
                  <c:v>41170</c:v>
                </c:pt>
                <c:pt idx="29">
                  <c:v>41184</c:v>
                </c:pt>
                <c:pt idx="30">
                  <c:v>41190</c:v>
                </c:pt>
                <c:pt idx="31">
                  <c:v>41204</c:v>
                </c:pt>
                <c:pt idx="32">
                  <c:v>41215</c:v>
                </c:pt>
                <c:pt idx="33">
                  <c:v>41227</c:v>
                </c:pt>
                <c:pt idx="34">
                  <c:v>41238</c:v>
                </c:pt>
                <c:pt idx="35">
                  <c:v>41252</c:v>
                </c:pt>
                <c:pt idx="36">
                  <c:v>41281</c:v>
                </c:pt>
                <c:pt idx="37">
                  <c:v>41288</c:v>
                </c:pt>
                <c:pt idx="38">
                  <c:v>41295</c:v>
                </c:pt>
                <c:pt idx="39">
                  <c:v>41308</c:v>
                </c:pt>
                <c:pt idx="40">
                  <c:v>41315</c:v>
                </c:pt>
                <c:pt idx="41">
                  <c:v>41330</c:v>
                </c:pt>
                <c:pt idx="42">
                  <c:v>41337</c:v>
                </c:pt>
                <c:pt idx="43">
                  <c:v>41344</c:v>
                </c:pt>
                <c:pt idx="44">
                  <c:v>41351</c:v>
                </c:pt>
                <c:pt idx="45">
                  <c:v>41358</c:v>
                </c:pt>
                <c:pt idx="46">
                  <c:v>41364</c:v>
                </c:pt>
                <c:pt idx="47">
                  <c:v>41372</c:v>
                </c:pt>
                <c:pt idx="48">
                  <c:v>41379</c:v>
                </c:pt>
                <c:pt idx="49">
                  <c:v>41385</c:v>
                </c:pt>
                <c:pt idx="50">
                  <c:v>41392</c:v>
                </c:pt>
                <c:pt idx="51">
                  <c:v>41400</c:v>
                </c:pt>
                <c:pt idx="52">
                  <c:v>41406</c:v>
                </c:pt>
                <c:pt idx="53">
                  <c:v>41413</c:v>
                </c:pt>
                <c:pt idx="54">
                  <c:v>41420</c:v>
                </c:pt>
                <c:pt idx="55">
                  <c:v>41427</c:v>
                </c:pt>
                <c:pt idx="56">
                  <c:v>41434</c:v>
                </c:pt>
                <c:pt idx="57">
                  <c:v>41441</c:v>
                </c:pt>
                <c:pt idx="58">
                  <c:v>41448</c:v>
                </c:pt>
                <c:pt idx="59">
                  <c:v>41455</c:v>
                </c:pt>
                <c:pt idx="60">
                  <c:v>41462</c:v>
                </c:pt>
                <c:pt idx="61">
                  <c:v>41469</c:v>
                </c:pt>
                <c:pt idx="62">
                  <c:v>41483</c:v>
                </c:pt>
                <c:pt idx="63">
                  <c:v>41490</c:v>
                </c:pt>
                <c:pt idx="64">
                  <c:v>41497</c:v>
                </c:pt>
                <c:pt idx="65">
                  <c:v>41514</c:v>
                </c:pt>
                <c:pt idx="66">
                  <c:v>41533</c:v>
                </c:pt>
                <c:pt idx="67">
                  <c:v>41542</c:v>
                </c:pt>
                <c:pt idx="68">
                  <c:v>41560</c:v>
                </c:pt>
                <c:pt idx="69">
                  <c:v>41567</c:v>
                </c:pt>
                <c:pt idx="70">
                  <c:v>41574</c:v>
                </c:pt>
                <c:pt idx="71">
                  <c:v>41581</c:v>
                </c:pt>
                <c:pt idx="72">
                  <c:v>41588</c:v>
                </c:pt>
                <c:pt idx="73">
                  <c:v>41617</c:v>
                </c:pt>
                <c:pt idx="74">
                  <c:v>41623</c:v>
                </c:pt>
                <c:pt idx="75">
                  <c:v>41630</c:v>
                </c:pt>
                <c:pt idx="76">
                  <c:v>41637</c:v>
                </c:pt>
                <c:pt idx="77">
                  <c:v>41640</c:v>
                </c:pt>
                <c:pt idx="78">
                  <c:v>41658</c:v>
                </c:pt>
                <c:pt idx="79">
                  <c:v>41672</c:v>
                </c:pt>
                <c:pt idx="80">
                  <c:v>41686</c:v>
                </c:pt>
                <c:pt idx="81">
                  <c:v>41693</c:v>
                </c:pt>
                <c:pt idx="82">
                  <c:v>41700</c:v>
                </c:pt>
                <c:pt idx="83">
                  <c:v>41707</c:v>
                </c:pt>
                <c:pt idx="84">
                  <c:v>41721</c:v>
                </c:pt>
                <c:pt idx="85">
                  <c:v>41755</c:v>
                </c:pt>
                <c:pt idx="86">
                  <c:v>41763</c:v>
                </c:pt>
                <c:pt idx="87">
                  <c:v>41770</c:v>
                </c:pt>
                <c:pt idx="88">
                  <c:v>41777</c:v>
                </c:pt>
                <c:pt idx="89">
                  <c:v>41792</c:v>
                </c:pt>
                <c:pt idx="90">
                  <c:v>41798</c:v>
                </c:pt>
                <c:pt idx="91">
                  <c:v>41818</c:v>
                </c:pt>
                <c:pt idx="92">
                  <c:v>41826</c:v>
                </c:pt>
                <c:pt idx="93">
                  <c:v>41841</c:v>
                </c:pt>
                <c:pt idx="94">
                  <c:v>41854</c:v>
                </c:pt>
                <c:pt idx="95">
                  <c:v>41868</c:v>
                </c:pt>
                <c:pt idx="96">
                  <c:v>41889</c:v>
                </c:pt>
                <c:pt idx="97">
                  <c:v>41903</c:v>
                </c:pt>
                <c:pt idx="98">
                  <c:v>41924</c:v>
                </c:pt>
                <c:pt idx="99">
                  <c:v>41980</c:v>
                </c:pt>
                <c:pt idx="100">
                  <c:v>42008</c:v>
                </c:pt>
                <c:pt idx="101">
                  <c:v>42053</c:v>
                </c:pt>
                <c:pt idx="102">
                  <c:v>42090</c:v>
                </c:pt>
                <c:pt idx="103">
                  <c:v>42246</c:v>
                </c:pt>
                <c:pt idx="104">
                  <c:v>42267</c:v>
                </c:pt>
              </c:numCache>
            </c:numRef>
          </c:cat>
          <c:val>
            <c:numRef>
              <c:f>'Long BKLG'!$C$27:$DG$27</c:f>
              <c:numCache>
                <c:formatCode>General</c:formatCode>
                <c:ptCount val="105"/>
                <c:pt idx="0">
                  <c:v>14470</c:v>
                </c:pt>
                <c:pt idx="1">
                  <c:v>14465</c:v>
                </c:pt>
                <c:pt idx="2">
                  <c:v>14469</c:v>
                </c:pt>
                <c:pt idx="3">
                  <c:v>14391</c:v>
                </c:pt>
                <c:pt idx="4">
                  <c:v>14394</c:v>
                </c:pt>
                <c:pt idx="5">
                  <c:v>14309</c:v>
                </c:pt>
                <c:pt idx="6">
                  <c:v>14040</c:v>
                </c:pt>
                <c:pt idx="7">
                  <c:v>14308</c:v>
                </c:pt>
                <c:pt idx="8">
                  <c:v>14311</c:v>
                </c:pt>
                <c:pt idx="9">
                  <c:v>14356</c:v>
                </c:pt>
                <c:pt idx="10">
                  <c:v>14341</c:v>
                </c:pt>
                <c:pt idx="11">
                  <c:v>14259</c:v>
                </c:pt>
                <c:pt idx="12">
                  <c:v>14241</c:v>
                </c:pt>
                <c:pt idx="13">
                  <c:v>14183</c:v>
                </c:pt>
                <c:pt idx="14">
                  <c:v>14090</c:v>
                </c:pt>
                <c:pt idx="15">
                  <c:v>14025</c:v>
                </c:pt>
                <c:pt idx="16">
                  <c:v>13840</c:v>
                </c:pt>
                <c:pt idx="17">
                  <c:v>13514</c:v>
                </c:pt>
                <c:pt idx="18">
                  <c:v>13265</c:v>
                </c:pt>
                <c:pt idx="19">
                  <c:v>13185</c:v>
                </c:pt>
                <c:pt idx="20">
                  <c:v>13061</c:v>
                </c:pt>
                <c:pt idx="21">
                  <c:v>12825</c:v>
                </c:pt>
                <c:pt idx="22">
                  <c:v>12822</c:v>
                </c:pt>
                <c:pt idx="23">
                  <c:v>12821</c:v>
                </c:pt>
                <c:pt idx="24">
                  <c:v>12818</c:v>
                </c:pt>
                <c:pt idx="25">
                  <c:v>12797</c:v>
                </c:pt>
                <c:pt idx="26">
                  <c:v>12799</c:v>
                </c:pt>
                <c:pt idx="27">
                  <c:v>12545</c:v>
                </c:pt>
                <c:pt idx="28">
                  <c:v>12506</c:v>
                </c:pt>
                <c:pt idx="29">
                  <c:v>12402</c:v>
                </c:pt>
                <c:pt idx="30">
                  <c:v>12290</c:v>
                </c:pt>
                <c:pt idx="31">
                  <c:v>12217</c:v>
                </c:pt>
                <c:pt idx="32">
                  <c:v>12219</c:v>
                </c:pt>
                <c:pt idx="33">
                  <c:v>12194</c:v>
                </c:pt>
                <c:pt idx="34">
                  <c:v>12194</c:v>
                </c:pt>
                <c:pt idx="35">
                  <c:v>10115</c:v>
                </c:pt>
                <c:pt idx="36">
                  <c:v>9924</c:v>
                </c:pt>
                <c:pt idx="37">
                  <c:v>9921</c:v>
                </c:pt>
                <c:pt idx="38">
                  <c:v>9920</c:v>
                </c:pt>
                <c:pt idx="39">
                  <c:v>9931</c:v>
                </c:pt>
                <c:pt idx="40">
                  <c:v>9636</c:v>
                </c:pt>
                <c:pt idx="41">
                  <c:v>10095</c:v>
                </c:pt>
                <c:pt idx="42">
                  <c:v>10222</c:v>
                </c:pt>
                <c:pt idx="43">
                  <c:v>9318</c:v>
                </c:pt>
                <c:pt idx="44">
                  <c:v>9014</c:v>
                </c:pt>
                <c:pt idx="45">
                  <c:v>8677</c:v>
                </c:pt>
                <c:pt idx="46">
                  <c:v>8618</c:v>
                </c:pt>
                <c:pt idx="47">
                  <c:v>8541</c:v>
                </c:pt>
                <c:pt idx="48">
                  <c:v>8557</c:v>
                </c:pt>
                <c:pt idx="49">
                  <c:v>8509</c:v>
                </c:pt>
                <c:pt idx="50">
                  <c:v>8908</c:v>
                </c:pt>
                <c:pt idx="51">
                  <c:v>8367</c:v>
                </c:pt>
                <c:pt idx="52">
                  <c:v>8233</c:v>
                </c:pt>
                <c:pt idx="53">
                  <c:v>8245</c:v>
                </c:pt>
                <c:pt idx="54">
                  <c:v>8191</c:v>
                </c:pt>
                <c:pt idx="55">
                  <c:v>8116</c:v>
                </c:pt>
                <c:pt idx="56">
                  <c:v>8073</c:v>
                </c:pt>
                <c:pt idx="57">
                  <c:v>8018</c:v>
                </c:pt>
                <c:pt idx="58">
                  <c:v>7975</c:v>
                </c:pt>
                <c:pt idx="59">
                  <c:v>7964</c:v>
                </c:pt>
                <c:pt idx="60">
                  <c:v>7963</c:v>
                </c:pt>
                <c:pt idx="61">
                  <c:v>7965</c:v>
                </c:pt>
                <c:pt idx="62">
                  <c:v>7889</c:v>
                </c:pt>
                <c:pt idx="63">
                  <c:v>7775</c:v>
                </c:pt>
                <c:pt idx="64">
                  <c:v>7790</c:v>
                </c:pt>
                <c:pt idx="65">
                  <c:v>7844</c:v>
                </c:pt>
                <c:pt idx="66">
                  <c:v>7798</c:v>
                </c:pt>
                <c:pt idx="67">
                  <c:v>7503</c:v>
                </c:pt>
                <c:pt idx="68">
                  <c:v>7517</c:v>
                </c:pt>
                <c:pt idx="69">
                  <c:v>7537</c:v>
                </c:pt>
                <c:pt idx="70">
                  <c:v>7330</c:v>
                </c:pt>
                <c:pt idx="71">
                  <c:v>7327</c:v>
                </c:pt>
                <c:pt idx="72">
                  <c:v>7229</c:v>
                </c:pt>
                <c:pt idx="73">
                  <c:v>7221</c:v>
                </c:pt>
                <c:pt idx="74">
                  <c:v>7184</c:v>
                </c:pt>
                <c:pt idx="75">
                  <c:v>7008</c:v>
                </c:pt>
                <c:pt idx="76">
                  <c:v>6999</c:v>
                </c:pt>
                <c:pt idx="77">
                  <c:v>6970</c:v>
                </c:pt>
                <c:pt idx="78">
                  <c:v>6785</c:v>
                </c:pt>
                <c:pt idx="79">
                  <c:v>6523</c:v>
                </c:pt>
                <c:pt idx="80">
                  <c:v>6276</c:v>
                </c:pt>
                <c:pt idx="81">
                  <c:v>6179</c:v>
                </c:pt>
                <c:pt idx="82">
                  <c:v>6186</c:v>
                </c:pt>
                <c:pt idx="83">
                  <c:v>5986</c:v>
                </c:pt>
                <c:pt idx="84">
                  <c:v>5589</c:v>
                </c:pt>
                <c:pt idx="85">
                  <c:v>5255</c:v>
                </c:pt>
                <c:pt idx="86">
                  <c:v>5243</c:v>
                </c:pt>
                <c:pt idx="87">
                  <c:v>5239</c:v>
                </c:pt>
                <c:pt idx="88">
                  <c:v>5232</c:v>
                </c:pt>
                <c:pt idx="89">
                  <c:v>4877</c:v>
                </c:pt>
                <c:pt idx="90">
                  <c:v>4868</c:v>
                </c:pt>
                <c:pt idx="91">
                  <c:v>4868</c:v>
                </c:pt>
                <c:pt idx="92">
                  <c:v>4878</c:v>
                </c:pt>
                <c:pt idx="93">
                  <c:v>4893</c:v>
                </c:pt>
                <c:pt idx="94">
                  <c:v>4694</c:v>
                </c:pt>
                <c:pt idx="95">
                  <c:v>4703</c:v>
                </c:pt>
                <c:pt idx="96">
                  <c:v>4649</c:v>
                </c:pt>
                <c:pt idx="97">
                  <c:v>4656</c:v>
                </c:pt>
                <c:pt idx="98">
                  <c:v>4616</c:v>
                </c:pt>
                <c:pt idx="99">
                  <c:v>4440</c:v>
                </c:pt>
                <c:pt idx="100">
                  <c:v>4431</c:v>
                </c:pt>
                <c:pt idx="101">
                  <c:v>4510</c:v>
                </c:pt>
                <c:pt idx="102">
                  <c:v>4389</c:v>
                </c:pt>
                <c:pt idx="103">
                  <c:v>4389</c:v>
                </c:pt>
                <c:pt idx="104">
                  <c:v>4465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'Long BKLG'!$B$28</c:f>
              <c:strCache>
                <c:ptCount val="1"/>
                <c:pt idx="0">
                  <c:v>Total Resolved since 1/15/12</c:v>
                </c:pt>
              </c:strCache>
            </c:strRef>
          </c:tx>
          <c:marker>
            <c:symbol val="none"/>
          </c:marker>
          <c:cat>
            <c:numRef>
              <c:f>'Long BKLG'!$C$23:$DG$23</c:f>
              <c:numCache>
                <c:formatCode>m/d/yyyy</c:formatCode>
                <c:ptCount val="105"/>
                <c:pt idx="0">
                  <c:v>40923</c:v>
                </c:pt>
                <c:pt idx="1">
                  <c:v>40930</c:v>
                </c:pt>
                <c:pt idx="2">
                  <c:v>40937</c:v>
                </c:pt>
                <c:pt idx="3">
                  <c:v>40944</c:v>
                </c:pt>
                <c:pt idx="4">
                  <c:v>40951</c:v>
                </c:pt>
                <c:pt idx="5">
                  <c:v>40958</c:v>
                </c:pt>
                <c:pt idx="6">
                  <c:v>40965</c:v>
                </c:pt>
                <c:pt idx="7">
                  <c:v>40972</c:v>
                </c:pt>
                <c:pt idx="8">
                  <c:v>40980</c:v>
                </c:pt>
                <c:pt idx="9">
                  <c:v>40995</c:v>
                </c:pt>
                <c:pt idx="10">
                  <c:v>41008</c:v>
                </c:pt>
                <c:pt idx="11">
                  <c:v>41016</c:v>
                </c:pt>
                <c:pt idx="12">
                  <c:v>41022</c:v>
                </c:pt>
                <c:pt idx="13">
                  <c:v>41029</c:v>
                </c:pt>
                <c:pt idx="14">
                  <c:v>41043</c:v>
                </c:pt>
                <c:pt idx="15">
                  <c:v>41049</c:v>
                </c:pt>
                <c:pt idx="16">
                  <c:v>41058</c:v>
                </c:pt>
                <c:pt idx="17">
                  <c:v>41064</c:v>
                </c:pt>
                <c:pt idx="18">
                  <c:v>41072</c:v>
                </c:pt>
                <c:pt idx="19">
                  <c:v>41078</c:v>
                </c:pt>
                <c:pt idx="20">
                  <c:v>41085</c:v>
                </c:pt>
                <c:pt idx="21">
                  <c:v>41092</c:v>
                </c:pt>
                <c:pt idx="22">
                  <c:v>41099</c:v>
                </c:pt>
                <c:pt idx="23">
                  <c:v>41106</c:v>
                </c:pt>
                <c:pt idx="24">
                  <c:v>41113</c:v>
                </c:pt>
                <c:pt idx="25">
                  <c:v>41120</c:v>
                </c:pt>
                <c:pt idx="26">
                  <c:v>41127</c:v>
                </c:pt>
                <c:pt idx="27">
                  <c:v>41159</c:v>
                </c:pt>
                <c:pt idx="28">
                  <c:v>41170</c:v>
                </c:pt>
                <c:pt idx="29">
                  <c:v>41184</c:v>
                </c:pt>
                <c:pt idx="30">
                  <c:v>41190</c:v>
                </c:pt>
                <c:pt idx="31">
                  <c:v>41204</c:v>
                </c:pt>
                <c:pt idx="32">
                  <c:v>41215</c:v>
                </c:pt>
                <c:pt idx="33">
                  <c:v>41227</c:v>
                </c:pt>
                <c:pt idx="34">
                  <c:v>41238</c:v>
                </c:pt>
                <c:pt idx="35">
                  <c:v>41252</c:v>
                </c:pt>
                <c:pt idx="36">
                  <c:v>41281</c:v>
                </c:pt>
                <c:pt idx="37">
                  <c:v>41288</c:v>
                </c:pt>
                <c:pt idx="38">
                  <c:v>41295</c:v>
                </c:pt>
                <c:pt idx="39">
                  <c:v>41308</c:v>
                </c:pt>
                <c:pt idx="40">
                  <c:v>41315</c:v>
                </c:pt>
                <c:pt idx="41">
                  <c:v>41330</c:v>
                </c:pt>
                <c:pt idx="42">
                  <c:v>41337</c:v>
                </c:pt>
                <c:pt idx="43">
                  <c:v>41344</c:v>
                </c:pt>
                <c:pt idx="44">
                  <c:v>41351</c:v>
                </c:pt>
                <c:pt idx="45">
                  <c:v>41358</c:v>
                </c:pt>
                <c:pt idx="46">
                  <c:v>41364</c:v>
                </c:pt>
                <c:pt idx="47">
                  <c:v>41372</c:v>
                </c:pt>
                <c:pt idx="48">
                  <c:v>41379</c:v>
                </c:pt>
                <c:pt idx="49">
                  <c:v>41385</c:v>
                </c:pt>
                <c:pt idx="50">
                  <c:v>41392</c:v>
                </c:pt>
                <c:pt idx="51">
                  <c:v>41400</c:v>
                </c:pt>
                <c:pt idx="52">
                  <c:v>41406</c:v>
                </c:pt>
                <c:pt idx="53">
                  <c:v>41413</c:v>
                </c:pt>
                <c:pt idx="54">
                  <c:v>41420</c:v>
                </c:pt>
                <c:pt idx="55">
                  <c:v>41427</c:v>
                </c:pt>
                <c:pt idx="56">
                  <c:v>41434</c:v>
                </c:pt>
                <c:pt idx="57">
                  <c:v>41441</c:v>
                </c:pt>
                <c:pt idx="58">
                  <c:v>41448</c:v>
                </c:pt>
                <c:pt idx="59">
                  <c:v>41455</c:v>
                </c:pt>
                <c:pt idx="60">
                  <c:v>41462</c:v>
                </c:pt>
                <c:pt idx="61">
                  <c:v>41469</c:v>
                </c:pt>
                <c:pt idx="62">
                  <c:v>41483</c:v>
                </c:pt>
                <c:pt idx="63">
                  <c:v>41490</c:v>
                </c:pt>
                <c:pt idx="64">
                  <c:v>41497</c:v>
                </c:pt>
                <c:pt idx="65">
                  <c:v>41514</c:v>
                </c:pt>
                <c:pt idx="66">
                  <c:v>41533</c:v>
                </c:pt>
                <c:pt idx="67">
                  <c:v>41542</c:v>
                </c:pt>
                <c:pt idx="68">
                  <c:v>41560</c:v>
                </c:pt>
                <c:pt idx="69">
                  <c:v>41567</c:v>
                </c:pt>
                <c:pt idx="70">
                  <c:v>41574</c:v>
                </c:pt>
                <c:pt idx="71">
                  <c:v>41581</c:v>
                </c:pt>
                <c:pt idx="72">
                  <c:v>41588</c:v>
                </c:pt>
                <c:pt idx="73">
                  <c:v>41617</c:v>
                </c:pt>
                <c:pt idx="74">
                  <c:v>41623</c:v>
                </c:pt>
                <c:pt idx="75">
                  <c:v>41630</c:v>
                </c:pt>
                <c:pt idx="76">
                  <c:v>41637</c:v>
                </c:pt>
                <c:pt idx="77">
                  <c:v>41640</c:v>
                </c:pt>
                <c:pt idx="78">
                  <c:v>41658</c:v>
                </c:pt>
                <c:pt idx="79">
                  <c:v>41672</c:v>
                </c:pt>
                <c:pt idx="80">
                  <c:v>41686</c:v>
                </c:pt>
                <c:pt idx="81">
                  <c:v>41693</c:v>
                </c:pt>
                <c:pt idx="82">
                  <c:v>41700</c:v>
                </c:pt>
                <c:pt idx="83">
                  <c:v>41707</c:v>
                </c:pt>
                <c:pt idx="84">
                  <c:v>41721</c:v>
                </c:pt>
                <c:pt idx="85">
                  <c:v>41755</c:v>
                </c:pt>
                <c:pt idx="86">
                  <c:v>41763</c:v>
                </c:pt>
                <c:pt idx="87">
                  <c:v>41770</c:v>
                </c:pt>
                <c:pt idx="88">
                  <c:v>41777</c:v>
                </c:pt>
                <c:pt idx="89">
                  <c:v>41792</c:v>
                </c:pt>
                <c:pt idx="90">
                  <c:v>41798</c:v>
                </c:pt>
                <c:pt idx="91">
                  <c:v>41818</c:v>
                </c:pt>
                <c:pt idx="92">
                  <c:v>41826</c:v>
                </c:pt>
                <c:pt idx="93">
                  <c:v>41841</c:v>
                </c:pt>
                <c:pt idx="94">
                  <c:v>41854</c:v>
                </c:pt>
                <c:pt idx="95">
                  <c:v>41868</c:v>
                </c:pt>
                <c:pt idx="96">
                  <c:v>41889</c:v>
                </c:pt>
                <c:pt idx="97">
                  <c:v>41903</c:v>
                </c:pt>
                <c:pt idx="98">
                  <c:v>41924</c:v>
                </c:pt>
                <c:pt idx="99">
                  <c:v>41980</c:v>
                </c:pt>
                <c:pt idx="100">
                  <c:v>42008</c:v>
                </c:pt>
                <c:pt idx="101">
                  <c:v>42053</c:v>
                </c:pt>
                <c:pt idx="102">
                  <c:v>42090</c:v>
                </c:pt>
                <c:pt idx="103">
                  <c:v>42246</c:v>
                </c:pt>
                <c:pt idx="104">
                  <c:v>42267</c:v>
                </c:pt>
              </c:numCache>
            </c:numRef>
          </c:cat>
          <c:val>
            <c:numRef>
              <c:f>'Long BKLG'!$C$28:$DG$28</c:f>
              <c:numCache>
                <c:formatCode>General</c:formatCode>
                <c:ptCount val="105"/>
                <c:pt idx="0">
                  <c:v>0</c:v>
                </c:pt>
                <c:pt idx="1">
                  <c:v>5</c:v>
                </c:pt>
                <c:pt idx="2">
                  <c:v>1</c:v>
                </c:pt>
                <c:pt idx="3">
                  <c:v>79</c:v>
                </c:pt>
                <c:pt idx="4">
                  <c:v>76</c:v>
                </c:pt>
                <c:pt idx="5">
                  <c:v>161</c:v>
                </c:pt>
                <c:pt idx="6">
                  <c:v>430</c:v>
                </c:pt>
                <c:pt idx="7">
                  <c:v>162</c:v>
                </c:pt>
                <c:pt idx="8">
                  <c:v>159</c:v>
                </c:pt>
                <c:pt idx="9">
                  <c:v>114</c:v>
                </c:pt>
                <c:pt idx="10">
                  <c:v>129</c:v>
                </c:pt>
                <c:pt idx="11">
                  <c:v>211</c:v>
                </c:pt>
                <c:pt idx="12">
                  <c:v>229</c:v>
                </c:pt>
                <c:pt idx="13">
                  <c:v>287</c:v>
                </c:pt>
                <c:pt idx="14">
                  <c:v>380</c:v>
                </c:pt>
                <c:pt idx="15">
                  <c:v>445</c:v>
                </c:pt>
                <c:pt idx="16">
                  <c:v>630</c:v>
                </c:pt>
                <c:pt idx="17">
                  <c:v>956</c:v>
                </c:pt>
                <c:pt idx="18">
                  <c:v>1205</c:v>
                </c:pt>
                <c:pt idx="19">
                  <c:v>1285</c:v>
                </c:pt>
                <c:pt idx="20">
                  <c:v>1409</c:v>
                </c:pt>
                <c:pt idx="21">
                  <c:v>1645</c:v>
                </c:pt>
                <c:pt idx="22">
                  <c:v>1648</c:v>
                </c:pt>
                <c:pt idx="23">
                  <c:v>1649</c:v>
                </c:pt>
                <c:pt idx="24">
                  <c:v>1652</c:v>
                </c:pt>
                <c:pt idx="25">
                  <c:v>1673</c:v>
                </c:pt>
                <c:pt idx="26">
                  <c:v>1671</c:v>
                </c:pt>
                <c:pt idx="27">
                  <c:v>1925</c:v>
                </c:pt>
                <c:pt idx="28">
                  <c:v>1964</c:v>
                </c:pt>
                <c:pt idx="29">
                  <c:v>2068</c:v>
                </c:pt>
                <c:pt idx="30">
                  <c:v>2180</c:v>
                </c:pt>
                <c:pt idx="31">
                  <c:v>2253</c:v>
                </c:pt>
                <c:pt idx="32">
                  <c:v>2251</c:v>
                </c:pt>
                <c:pt idx="33">
                  <c:v>2276</c:v>
                </c:pt>
                <c:pt idx="34">
                  <c:v>2276</c:v>
                </c:pt>
                <c:pt idx="35">
                  <c:v>4355</c:v>
                </c:pt>
                <c:pt idx="36">
                  <c:v>4546</c:v>
                </c:pt>
                <c:pt idx="37">
                  <c:v>4549</c:v>
                </c:pt>
                <c:pt idx="38">
                  <c:v>4550</c:v>
                </c:pt>
                <c:pt idx="39">
                  <c:v>4539</c:v>
                </c:pt>
                <c:pt idx="40">
                  <c:v>4834</c:v>
                </c:pt>
                <c:pt idx="41">
                  <c:v>4375</c:v>
                </c:pt>
                <c:pt idx="42">
                  <c:v>4248</c:v>
                </c:pt>
                <c:pt idx="43">
                  <c:v>5152</c:v>
                </c:pt>
                <c:pt idx="44">
                  <c:v>5456</c:v>
                </c:pt>
                <c:pt idx="45">
                  <c:v>5793</c:v>
                </c:pt>
                <c:pt idx="46">
                  <c:v>5852</c:v>
                </c:pt>
                <c:pt idx="47">
                  <c:v>5929</c:v>
                </c:pt>
                <c:pt idx="48">
                  <c:v>5913</c:v>
                </c:pt>
                <c:pt idx="49">
                  <c:v>5961</c:v>
                </c:pt>
                <c:pt idx="50">
                  <c:v>5562</c:v>
                </c:pt>
                <c:pt idx="51">
                  <c:v>6103</c:v>
                </c:pt>
                <c:pt idx="52">
                  <c:v>6237</c:v>
                </c:pt>
                <c:pt idx="53">
                  <c:v>6225</c:v>
                </c:pt>
                <c:pt idx="54">
                  <c:v>6279</c:v>
                </c:pt>
                <c:pt idx="55">
                  <c:v>6354</c:v>
                </c:pt>
                <c:pt idx="56">
                  <c:v>6397</c:v>
                </c:pt>
                <c:pt idx="57">
                  <c:v>6452</c:v>
                </c:pt>
                <c:pt idx="58">
                  <c:v>6495</c:v>
                </c:pt>
                <c:pt idx="59">
                  <c:v>6506</c:v>
                </c:pt>
                <c:pt idx="60">
                  <c:v>6507</c:v>
                </c:pt>
                <c:pt idx="61">
                  <c:v>6505</c:v>
                </c:pt>
                <c:pt idx="62">
                  <c:v>6581</c:v>
                </c:pt>
                <c:pt idx="63">
                  <c:v>6695</c:v>
                </c:pt>
                <c:pt idx="64">
                  <c:v>6680</c:v>
                </c:pt>
                <c:pt idx="65">
                  <c:v>6626</c:v>
                </c:pt>
                <c:pt idx="66">
                  <c:v>6672</c:v>
                </c:pt>
                <c:pt idx="67">
                  <c:v>6967</c:v>
                </c:pt>
                <c:pt idx="68">
                  <c:v>6953</c:v>
                </c:pt>
                <c:pt idx="69">
                  <c:v>6933</c:v>
                </c:pt>
                <c:pt idx="70">
                  <c:v>7140</c:v>
                </c:pt>
                <c:pt idx="71">
                  <c:v>7143</c:v>
                </c:pt>
                <c:pt idx="72">
                  <c:v>7241</c:v>
                </c:pt>
                <c:pt idx="73">
                  <c:v>7249</c:v>
                </c:pt>
                <c:pt idx="74">
                  <c:v>7286</c:v>
                </c:pt>
                <c:pt idx="75">
                  <c:v>7462</c:v>
                </c:pt>
                <c:pt idx="76">
                  <c:v>7471</c:v>
                </c:pt>
                <c:pt idx="77">
                  <c:v>7500</c:v>
                </c:pt>
                <c:pt idx="78">
                  <c:v>7685</c:v>
                </c:pt>
                <c:pt idx="79">
                  <c:v>7947</c:v>
                </c:pt>
                <c:pt idx="80">
                  <c:v>8194</c:v>
                </c:pt>
                <c:pt idx="81">
                  <c:v>8291</c:v>
                </c:pt>
                <c:pt idx="82">
                  <c:v>8284</c:v>
                </c:pt>
                <c:pt idx="83">
                  <c:v>8484</c:v>
                </c:pt>
                <c:pt idx="84">
                  <c:v>8881</c:v>
                </c:pt>
                <c:pt idx="85">
                  <c:v>9215</c:v>
                </c:pt>
                <c:pt idx="86">
                  <c:v>9227</c:v>
                </c:pt>
                <c:pt idx="87">
                  <c:v>9231</c:v>
                </c:pt>
                <c:pt idx="88">
                  <c:v>9238</c:v>
                </c:pt>
                <c:pt idx="89">
                  <c:v>9593</c:v>
                </c:pt>
                <c:pt idx="90">
                  <c:v>9602</c:v>
                </c:pt>
                <c:pt idx="91">
                  <c:v>9602</c:v>
                </c:pt>
                <c:pt idx="92">
                  <c:v>9592</c:v>
                </c:pt>
                <c:pt idx="93">
                  <c:v>9577</c:v>
                </c:pt>
                <c:pt idx="94">
                  <c:v>9776</c:v>
                </c:pt>
                <c:pt idx="95">
                  <c:v>9767</c:v>
                </c:pt>
                <c:pt idx="96">
                  <c:v>9821</c:v>
                </c:pt>
                <c:pt idx="97">
                  <c:v>9814</c:v>
                </c:pt>
                <c:pt idx="98">
                  <c:v>9854</c:v>
                </c:pt>
                <c:pt idx="99">
                  <c:v>10030</c:v>
                </c:pt>
                <c:pt idx="100">
                  <c:v>10039</c:v>
                </c:pt>
                <c:pt idx="101">
                  <c:v>9960</c:v>
                </c:pt>
                <c:pt idx="102">
                  <c:v>10081</c:v>
                </c:pt>
                <c:pt idx="103">
                  <c:v>10081</c:v>
                </c:pt>
                <c:pt idx="104">
                  <c:v>10005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19616"/>
        <c:axId val="41921152"/>
      </c:lineChart>
      <c:dateAx>
        <c:axId val="41919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1921152"/>
        <c:crosses val="autoZero"/>
        <c:auto val="1"/>
        <c:lblOffset val="100"/>
        <c:baseTimeUnit val="days"/>
      </c:dateAx>
      <c:valAx>
        <c:axId val="41921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919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'ML Trend'!$B$4</c:f>
              <c:strCache>
                <c:ptCount val="1"/>
                <c:pt idx="0">
                  <c:v>GUI / C#</c:v>
                </c:pt>
              </c:strCache>
            </c:strRef>
          </c:tx>
          <c:marker>
            <c:symbol val="none"/>
          </c:marker>
          <c:cat>
            <c:numRef>
              <c:f>'ML Trend'!$C$3:$AE$3</c:f>
              <c:numCache>
                <c:formatCode>m/d/yyyy</c:formatCode>
                <c:ptCount val="28"/>
                <c:pt idx="0">
                  <c:v>41640</c:v>
                </c:pt>
                <c:pt idx="1">
                  <c:v>41658</c:v>
                </c:pt>
                <c:pt idx="2">
                  <c:v>41672</c:v>
                </c:pt>
                <c:pt idx="3">
                  <c:v>41686</c:v>
                </c:pt>
                <c:pt idx="4">
                  <c:v>41693</c:v>
                </c:pt>
                <c:pt idx="5">
                  <c:v>41700</c:v>
                </c:pt>
                <c:pt idx="6">
                  <c:v>41721</c:v>
                </c:pt>
                <c:pt idx="7">
                  <c:v>41742</c:v>
                </c:pt>
                <c:pt idx="8">
                  <c:v>41755</c:v>
                </c:pt>
                <c:pt idx="9">
                  <c:v>41763</c:v>
                </c:pt>
                <c:pt idx="10">
                  <c:v>41770</c:v>
                </c:pt>
                <c:pt idx="11">
                  <c:v>41777</c:v>
                </c:pt>
                <c:pt idx="12">
                  <c:v>41792</c:v>
                </c:pt>
                <c:pt idx="13">
                  <c:v>41798</c:v>
                </c:pt>
                <c:pt idx="14">
                  <c:v>41818</c:v>
                </c:pt>
                <c:pt idx="15">
                  <c:v>41826</c:v>
                </c:pt>
                <c:pt idx="16">
                  <c:v>41841</c:v>
                </c:pt>
                <c:pt idx="17">
                  <c:v>41854</c:v>
                </c:pt>
                <c:pt idx="18">
                  <c:v>41868</c:v>
                </c:pt>
                <c:pt idx="19">
                  <c:v>41889</c:v>
                </c:pt>
                <c:pt idx="20">
                  <c:v>41903</c:v>
                </c:pt>
                <c:pt idx="21">
                  <c:v>41924</c:v>
                </c:pt>
                <c:pt idx="22">
                  <c:v>41980</c:v>
                </c:pt>
                <c:pt idx="23">
                  <c:v>42008</c:v>
                </c:pt>
                <c:pt idx="24">
                  <c:v>42053</c:v>
                </c:pt>
                <c:pt idx="25">
                  <c:v>42090</c:v>
                </c:pt>
                <c:pt idx="26">
                  <c:v>42246</c:v>
                </c:pt>
                <c:pt idx="27">
                  <c:v>42267</c:v>
                </c:pt>
              </c:numCache>
            </c:numRef>
          </c:cat>
          <c:val>
            <c:numRef>
              <c:f>'ML Trend'!$C$4:$AE$4</c:f>
              <c:numCache>
                <c:formatCode>General</c:formatCode>
                <c:ptCount val="28"/>
                <c:pt idx="0">
                  <c:v>1853</c:v>
                </c:pt>
                <c:pt idx="1">
                  <c:v>1812</c:v>
                </c:pt>
                <c:pt idx="2">
                  <c:v>1812</c:v>
                </c:pt>
                <c:pt idx="3">
                  <c:v>1805</c:v>
                </c:pt>
                <c:pt idx="4">
                  <c:v>1808</c:v>
                </c:pt>
                <c:pt idx="5">
                  <c:v>1808</c:v>
                </c:pt>
                <c:pt idx="6">
                  <c:v>1701</c:v>
                </c:pt>
                <c:pt idx="7">
                  <c:v>1606</c:v>
                </c:pt>
                <c:pt idx="8">
                  <c:v>1565</c:v>
                </c:pt>
                <c:pt idx="9">
                  <c:v>1556</c:v>
                </c:pt>
                <c:pt idx="10">
                  <c:v>1546</c:v>
                </c:pt>
                <c:pt idx="11">
                  <c:v>1541</c:v>
                </c:pt>
                <c:pt idx="12">
                  <c:v>1472</c:v>
                </c:pt>
                <c:pt idx="13">
                  <c:v>1491</c:v>
                </c:pt>
                <c:pt idx="14">
                  <c:v>1491</c:v>
                </c:pt>
                <c:pt idx="15">
                  <c:v>1496</c:v>
                </c:pt>
                <c:pt idx="16">
                  <c:v>1496</c:v>
                </c:pt>
                <c:pt idx="17">
                  <c:v>1497</c:v>
                </c:pt>
                <c:pt idx="18">
                  <c:v>1506</c:v>
                </c:pt>
                <c:pt idx="19">
                  <c:v>1505</c:v>
                </c:pt>
                <c:pt idx="20">
                  <c:v>1491</c:v>
                </c:pt>
                <c:pt idx="21">
                  <c:v>1468</c:v>
                </c:pt>
                <c:pt idx="22">
                  <c:v>1388</c:v>
                </c:pt>
                <c:pt idx="23">
                  <c:v>1368</c:v>
                </c:pt>
                <c:pt idx="24">
                  <c:v>1453</c:v>
                </c:pt>
                <c:pt idx="25">
                  <c:v>1354</c:v>
                </c:pt>
                <c:pt idx="26">
                  <c:v>1397</c:v>
                </c:pt>
                <c:pt idx="27">
                  <c:v>1396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'ML Trend'!$B$5</c:f>
              <c:strCache>
                <c:ptCount val="1"/>
                <c:pt idx="0">
                  <c:v>IL</c:v>
                </c:pt>
              </c:strCache>
            </c:strRef>
          </c:tx>
          <c:marker>
            <c:symbol val="none"/>
          </c:marker>
          <c:cat>
            <c:numRef>
              <c:f>'ML Trend'!$C$3:$AE$3</c:f>
              <c:numCache>
                <c:formatCode>m/d/yyyy</c:formatCode>
                <c:ptCount val="28"/>
                <c:pt idx="0">
                  <c:v>41640</c:v>
                </c:pt>
                <c:pt idx="1">
                  <c:v>41658</c:v>
                </c:pt>
                <c:pt idx="2">
                  <c:v>41672</c:v>
                </c:pt>
                <c:pt idx="3">
                  <c:v>41686</c:v>
                </c:pt>
                <c:pt idx="4">
                  <c:v>41693</c:v>
                </c:pt>
                <c:pt idx="5">
                  <c:v>41700</c:v>
                </c:pt>
                <c:pt idx="6">
                  <c:v>41721</c:v>
                </c:pt>
                <c:pt idx="7">
                  <c:v>41742</c:v>
                </c:pt>
                <c:pt idx="8">
                  <c:v>41755</c:v>
                </c:pt>
                <c:pt idx="9">
                  <c:v>41763</c:v>
                </c:pt>
                <c:pt idx="10">
                  <c:v>41770</c:v>
                </c:pt>
                <c:pt idx="11">
                  <c:v>41777</c:v>
                </c:pt>
                <c:pt idx="12">
                  <c:v>41792</c:v>
                </c:pt>
                <c:pt idx="13">
                  <c:v>41798</c:v>
                </c:pt>
                <c:pt idx="14">
                  <c:v>41818</c:v>
                </c:pt>
                <c:pt idx="15">
                  <c:v>41826</c:v>
                </c:pt>
                <c:pt idx="16">
                  <c:v>41841</c:v>
                </c:pt>
                <c:pt idx="17">
                  <c:v>41854</c:v>
                </c:pt>
                <c:pt idx="18">
                  <c:v>41868</c:v>
                </c:pt>
                <c:pt idx="19">
                  <c:v>41889</c:v>
                </c:pt>
                <c:pt idx="20">
                  <c:v>41903</c:v>
                </c:pt>
                <c:pt idx="21">
                  <c:v>41924</c:v>
                </c:pt>
                <c:pt idx="22">
                  <c:v>41980</c:v>
                </c:pt>
                <c:pt idx="23">
                  <c:v>42008</c:v>
                </c:pt>
                <c:pt idx="24">
                  <c:v>42053</c:v>
                </c:pt>
                <c:pt idx="25">
                  <c:v>42090</c:v>
                </c:pt>
                <c:pt idx="26">
                  <c:v>42246</c:v>
                </c:pt>
                <c:pt idx="27">
                  <c:v>42267</c:v>
                </c:pt>
              </c:numCache>
            </c:numRef>
          </c:cat>
          <c:val>
            <c:numRef>
              <c:f>'ML Trend'!$C$5:$AE$5</c:f>
              <c:numCache>
                <c:formatCode>General</c:formatCode>
                <c:ptCount val="28"/>
                <c:pt idx="0">
                  <c:v>57</c:v>
                </c:pt>
                <c:pt idx="1">
                  <c:v>57</c:v>
                </c:pt>
                <c:pt idx="2">
                  <c:v>28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15</c:v>
                </c:pt>
                <c:pt idx="22">
                  <c:v>14</c:v>
                </c:pt>
                <c:pt idx="23">
                  <c:v>19</c:v>
                </c:pt>
                <c:pt idx="24">
                  <c:v>14</c:v>
                </c:pt>
                <c:pt idx="25">
                  <c:v>12</c:v>
                </c:pt>
                <c:pt idx="26">
                  <c:v>14</c:v>
                </c:pt>
                <c:pt idx="27">
                  <c:v>14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'ML Trend'!$B$6</c:f>
              <c:strCache>
                <c:ptCount val="1"/>
                <c:pt idx="0">
                  <c:v>BLL</c:v>
                </c:pt>
              </c:strCache>
            </c:strRef>
          </c:tx>
          <c:marker>
            <c:symbol val="none"/>
          </c:marker>
          <c:cat>
            <c:numRef>
              <c:f>'ML Trend'!$C$3:$AE$3</c:f>
              <c:numCache>
                <c:formatCode>m/d/yyyy</c:formatCode>
                <c:ptCount val="28"/>
                <c:pt idx="0">
                  <c:v>41640</c:v>
                </c:pt>
                <c:pt idx="1">
                  <c:v>41658</c:v>
                </c:pt>
                <c:pt idx="2">
                  <c:v>41672</c:v>
                </c:pt>
                <c:pt idx="3">
                  <c:v>41686</c:v>
                </c:pt>
                <c:pt idx="4">
                  <c:v>41693</c:v>
                </c:pt>
                <c:pt idx="5">
                  <c:v>41700</c:v>
                </c:pt>
                <c:pt idx="6">
                  <c:v>41721</c:v>
                </c:pt>
                <c:pt idx="7">
                  <c:v>41742</c:v>
                </c:pt>
                <c:pt idx="8">
                  <c:v>41755</c:v>
                </c:pt>
                <c:pt idx="9">
                  <c:v>41763</c:v>
                </c:pt>
                <c:pt idx="10">
                  <c:v>41770</c:v>
                </c:pt>
                <c:pt idx="11">
                  <c:v>41777</c:v>
                </c:pt>
                <c:pt idx="12">
                  <c:v>41792</c:v>
                </c:pt>
                <c:pt idx="13">
                  <c:v>41798</c:v>
                </c:pt>
                <c:pt idx="14">
                  <c:v>41818</c:v>
                </c:pt>
                <c:pt idx="15">
                  <c:v>41826</c:v>
                </c:pt>
                <c:pt idx="16">
                  <c:v>41841</c:v>
                </c:pt>
                <c:pt idx="17">
                  <c:v>41854</c:v>
                </c:pt>
                <c:pt idx="18">
                  <c:v>41868</c:v>
                </c:pt>
                <c:pt idx="19">
                  <c:v>41889</c:v>
                </c:pt>
                <c:pt idx="20">
                  <c:v>41903</c:v>
                </c:pt>
                <c:pt idx="21">
                  <c:v>41924</c:v>
                </c:pt>
                <c:pt idx="22">
                  <c:v>41980</c:v>
                </c:pt>
                <c:pt idx="23">
                  <c:v>42008</c:v>
                </c:pt>
                <c:pt idx="24">
                  <c:v>42053</c:v>
                </c:pt>
                <c:pt idx="25">
                  <c:v>42090</c:v>
                </c:pt>
                <c:pt idx="26">
                  <c:v>42246</c:v>
                </c:pt>
                <c:pt idx="27">
                  <c:v>42267</c:v>
                </c:pt>
              </c:numCache>
            </c:numRef>
          </c:cat>
          <c:val>
            <c:numRef>
              <c:f>'ML Trend'!$C$6:$AE$6</c:f>
              <c:numCache>
                <c:formatCode>General</c:formatCode>
                <c:ptCount val="28"/>
                <c:pt idx="0">
                  <c:v>17</c:v>
                </c:pt>
                <c:pt idx="1">
                  <c:v>16</c:v>
                </c:pt>
                <c:pt idx="2">
                  <c:v>16</c:v>
                </c:pt>
                <c:pt idx="3">
                  <c:v>74</c:v>
                </c:pt>
                <c:pt idx="4">
                  <c:v>74</c:v>
                </c:pt>
                <c:pt idx="5">
                  <c:v>74</c:v>
                </c:pt>
                <c:pt idx="6">
                  <c:v>51</c:v>
                </c:pt>
                <c:pt idx="7">
                  <c:v>51</c:v>
                </c:pt>
                <c:pt idx="8">
                  <c:v>51</c:v>
                </c:pt>
                <c:pt idx="9">
                  <c:v>51</c:v>
                </c:pt>
                <c:pt idx="10">
                  <c:v>51</c:v>
                </c:pt>
                <c:pt idx="11">
                  <c:v>51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51</c:v>
                </c:pt>
                <c:pt idx="17">
                  <c:v>51</c:v>
                </c:pt>
                <c:pt idx="18">
                  <c:v>51</c:v>
                </c:pt>
                <c:pt idx="19">
                  <c:v>51</c:v>
                </c:pt>
                <c:pt idx="20">
                  <c:v>51</c:v>
                </c:pt>
                <c:pt idx="21">
                  <c:v>51</c:v>
                </c:pt>
                <c:pt idx="22">
                  <c:v>53</c:v>
                </c:pt>
                <c:pt idx="23">
                  <c:v>53</c:v>
                </c:pt>
                <c:pt idx="24">
                  <c:v>50</c:v>
                </c:pt>
                <c:pt idx="25">
                  <c:v>45</c:v>
                </c:pt>
                <c:pt idx="26">
                  <c:v>46</c:v>
                </c:pt>
                <c:pt idx="27">
                  <c:v>46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'ML Trend'!$B$7</c:f>
              <c:strCache>
                <c:ptCount val="1"/>
                <c:pt idx="0">
                  <c:v>Total Open</c:v>
                </c:pt>
              </c:strCache>
            </c:strRef>
          </c:tx>
          <c:marker>
            <c:symbol val="none"/>
          </c:marker>
          <c:cat>
            <c:numRef>
              <c:f>'ML Trend'!$C$3:$AE$3</c:f>
              <c:numCache>
                <c:formatCode>m/d/yyyy</c:formatCode>
                <c:ptCount val="28"/>
                <c:pt idx="0">
                  <c:v>41640</c:v>
                </c:pt>
                <c:pt idx="1">
                  <c:v>41658</c:v>
                </c:pt>
                <c:pt idx="2">
                  <c:v>41672</c:v>
                </c:pt>
                <c:pt idx="3">
                  <c:v>41686</c:v>
                </c:pt>
                <c:pt idx="4">
                  <c:v>41693</c:v>
                </c:pt>
                <c:pt idx="5">
                  <c:v>41700</c:v>
                </c:pt>
                <c:pt idx="6">
                  <c:v>41721</c:v>
                </c:pt>
                <c:pt idx="7">
                  <c:v>41742</c:v>
                </c:pt>
                <c:pt idx="8">
                  <c:v>41755</c:v>
                </c:pt>
                <c:pt idx="9">
                  <c:v>41763</c:v>
                </c:pt>
                <c:pt idx="10">
                  <c:v>41770</c:v>
                </c:pt>
                <c:pt idx="11">
                  <c:v>41777</c:v>
                </c:pt>
                <c:pt idx="12">
                  <c:v>41792</c:v>
                </c:pt>
                <c:pt idx="13">
                  <c:v>41798</c:v>
                </c:pt>
                <c:pt idx="14">
                  <c:v>41818</c:v>
                </c:pt>
                <c:pt idx="15">
                  <c:v>41826</c:v>
                </c:pt>
                <c:pt idx="16">
                  <c:v>41841</c:v>
                </c:pt>
                <c:pt idx="17">
                  <c:v>41854</c:v>
                </c:pt>
                <c:pt idx="18">
                  <c:v>41868</c:v>
                </c:pt>
                <c:pt idx="19">
                  <c:v>41889</c:v>
                </c:pt>
                <c:pt idx="20">
                  <c:v>41903</c:v>
                </c:pt>
                <c:pt idx="21">
                  <c:v>41924</c:v>
                </c:pt>
                <c:pt idx="22">
                  <c:v>41980</c:v>
                </c:pt>
                <c:pt idx="23">
                  <c:v>42008</c:v>
                </c:pt>
                <c:pt idx="24">
                  <c:v>42053</c:v>
                </c:pt>
                <c:pt idx="25">
                  <c:v>42090</c:v>
                </c:pt>
                <c:pt idx="26">
                  <c:v>42246</c:v>
                </c:pt>
                <c:pt idx="27">
                  <c:v>42267</c:v>
                </c:pt>
              </c:numCache>
            </c:numRef>
          </c:cat>
          <c:val>
            <c:numRef>
              <c:f>'ML Trend'!$C$7:$AE$7</c:f>
              <c:numCache>
                <c:formatCode>General</c:formatCode>
                <c:ptCount val="28"/>
                <c:pt idx="0">
                  <c:v>1927</c:v>
                </c:pt>
                <c:pt idx="1">
                  <c:v>1885</c:v>
                </c:pt>
                <c:pt idx="2">
                  <c:v>1856</c:v>
                </c:pt>
                <c:pt idx="3">
                  <c:v>1902</c:v>
                </c:pt>
                <c:pt idx="4">
                  <c:v>1905</c:v>
                </c:pt>
                <c:pt idx="5">
                  <c:v>1905</c:v>
                </c:pt>
                <c:pt idx="6">
                  <c:v>1763</c:v>
                </c:pt>
                <c:pt idx="7">
                  <c:v>1668</c:v>
                </c:pt>
                <c:pt idx="8">
                  <c:v>1627</c:v>
                </c:pt>
                <c:pt idx="9">
                  <c:v>1618</c:v>
                </c:pt>
                <c:pt idx="10">
                  <c:v>1608</c:v>
                </c:pt>
                <c:pt idx="11">
                  <c:v>1603</c:v>
                </c:pt>
                <c:pt idx="12">
                  <c:v>1534</c:v>
                </c:pt>
                <c:pt idx="13">
                  <c:v>1553</c:v>
                </c:pt>
                <c:pt idx="14">
                  <c:v>1553</c:v>
                </c:pt>
                <c:pt idx="15">
                  <c:v>1558</c:v>
                </c:pt>
                <c:pt idx="16">
                  <c:v>1559</c:v>
                </c:pt>
                <c:pt idx="17">
                  <c:v>1560</c:v>
                </c:pt>
                <c:pt idx="18">
                  <c:v>1569</c:v>
                </c:pt>
                <c:pt idx="19">
                  <c:v>1568</c:v>
                </c:pt>
                <c:pt idx="20">
                  <c:v>1554</c:v>
                </c:pt>
                <c:pt idx="21">
                  <c:v>1534</c:v>
                </c:pt>
                <c:pt idx="22">
                  <c:v>1455</c:v>
                </c:pt>
                <c:pt idx="23">
                  <c:v>1440</c:v>
                </c:pt>
                <c:pt idx="24">
                  <c:v>1517</c:v>
                </c:pt>
                <c:pt idx="25">
                  <c:v>1411</c:v>
                </c:pt>
                <c:pt idx="26">
                  <c:v>1457</c:v>
                </c:pt>
                <c:pt idx="27">
                  <c:v>1456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'ML Trend'!$B$8</c:f>
              <c:strCache>
                <c:ptCount val="1"/>
                <c:pt idx="0">
                  <c:v>Total Resolved since 1/1/2015</c:v>
                </c:pt>
              </c:strCache>
            </c:strRef>
          </c:tx>
          <c:marker>
            <c:symbol val="none"/>
          </c:marker>
          <c:cat>
            <c:numRef>
              <c:f>'ML Trend'!$C$3:$AE$3</c:f>
              <c:numCache>
                <c:formatCode>m/d/yyyy</c:formatCode>
                <c:ptCount val="28"/>
                <c:pt idx="0">
                  <c:v>41640</c:v>
                </c:pt>
                <c:pt idx="1">
                  <c:v>41658</c:v>
                </c:pt>
                <c:pt idx="2">
                  <c:v>41672</c:v>
                </c:pt>
                <c:pt idx="3">
                  <c:v>41686</c:v>
                </c:pt>
                <c:pt idx="4">
                  <c:v>41693</c:v>
                </c:pt>
                <c:pt idx="5">
                  <c:v>41700</c:v>
                </c:pt>
                <c:pt idx="6">
                  <c:v>41721</c:v>
                </c:pt>
                <c:pt idx="7">
                  <c:v>41742</c:v>
                </c:pt>
                <c:pt idx="8">
                  <c:v>41755</c:v>
                </c:pt>
                <c:pt idx="9">
                  <c:v>41763</c:v>
                </c:pt>
                <c:pt idx="10">
                  <c:v>41770</c:v>
                </c:pt>
                <c:pt idx="11">
                  <c:v>41777</c:v>
                </c:pt>
                <c:pt idx="12">
                  <c:v>41792</c:v>
                </c:pt>
                <c:pt idx="13">
                  <c:v>41798</c:v>
                </c:pt>
                <c:pt idx="14">
                  <c:v>41818</c:v>
                </c:pt>
                <c:pt idx="15">
                  <c:v>41826</c:v>
                </c:pt>
                <c:pt idx="16">
                  <c:v>41841</c:v>
                </c:pt>
                <c:pt idx="17">
                  <c:v>41854</c:v>
                </c:pt>
                <c:pt idx="18">
                  <c:v>41868</c:v>
                </c:pt>
                <c:pt idx="19">
                  <c:v>41889</c:v>
                </c:pt>
                <c:pt idx="20">
                  <c:v>41903</c:v>
                </c:pt>
                <c:pt idx="21">
                  <c:v>41924</c:v>
                </c:pt>
                <c:pt idx="22">
                  <c:v>41980</c:v>
                </c:pt>
                <c:pt idx="23">
                  <c:v>42008</c:v>
                </c:pt>
                <c:pt idx="24">
                  <c:v>42053</c:v>
                </c:pt>
                <c:pt idx="25">
                  <c:v>42090</c:v>
                </c:pt>
                <c:pt idx="26">
                  <c:v>42246</c:v>
                </c:pt>
                <c:pt idx="27">
                  <c:v>42267</c:v>
                </c:pt>
              </c:numCache>
            </c:numRef>
          </c:cat>
          <c:val>
            <c:numRef>
              <c:f>'ML Trend'!$C$8:$AE$8</c:f>
              <c:numCache>
                <c:formatCode>General</c:formatCode>
                <c:ptCount val="28"/>
                <c:pt idx="0">
                  <c:v>0</c:v>
                </c:pt>
                <c:pt idx="1">
                  <c:v>42</c:v>
                </c:pt>
                <c:pt idx="2">
                  <c:v>71</c:v>
                </c:pt>
                <c:pt idx="3">
                  <c:v>25</c:v>
                </c:pt>
                <c:pt idx="4">
                  <c:v>22</c:v>
                </c:pt>
                <c:pt idx="5">
                  <c:v>22</c:v>
                </c:pt>
                <c:pt idx="6">
                  <c:v>164</c:v>
                </c:pt>
                <c:pt idx="7">
                  <c:v>259</c:v>
                </c:pt>
                <c:pt idx="8">
                  <c:v>300</c:v>
                </c:pt>
                <c:pt idx="9">
                  <c:v>309</c:v>
                </c:pt>
                <c:pt idx="10">
                  <c:v>319</c:v>
                </c:pt>
                <c:pt idx="11">
                  <c:v>324</c:v>
                </c:pt>
                <c:pt idx="12">
                  <c:v>393</c:v>
                </c:pt>
                <c:pt idx="13">
                  <c:v>374</c:v>
                </c:pt>
                <c:pt idx="14">
                  <c:v>374</c:v>
                </c:pt>
                <c:pt idx="15">
                  <c:v>369</c:v>
                </c:pt>
                <c:pt idx="16">
                  <c:v>368</c:v>
                </c:pt>
                <c:pt idx="17">
                  <c:v>367</c:v>
                </c:pt>
                <c:pt idx="18">
                  <c:v>358</c:v>
                </c:pt>
                <c:pt idx="19">
                  <c:v>359</c:v>
                </c:pt>
                <c:pt idx="20">
                  <c:v>373</c:v>
                </c:pt>
                <c:pt idx="21">
                  <c:v>393</c:v>
                </c:pt>
                <c:pt idx="22">
                  <c:v>472</c:v>
                </c:pt>
                <c:pt idx="23">
                  <c:v>0</c:v>
                </c:pt>
                <c:pt idx="24">
                  <c:v>-77</c:v>
                </c:pt>
                <c:pt idx="25">
                  <c:v>29</c:v>
                </c:pt>
                <c:pt idx="26">
                  <c:v>-17</c:v>
                </c:pt>
                <c:pt idx="27">
                  <c:v>-16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80800"/>
        <c:axId val="41586688"/>
      </c:lineChart>
      <c:dateAx>
        <c:axId val="41580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1586688"/>
        <c:crosses val="autoZero"/>
        <c:auto val="1"/>
        <c:lblOffset val="100"/>
        <c:baseTimeUnit val="days"/>
      </c:dateAx>
      <c:valAx>
        <c:axId val="41586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5808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'SW Changes'!$B$27</c:f>
              <c:strCache>
                <c:ptCount val="1"/>
                <c:pt idx="0">
                  <c:v># SW Changes</c:v>
                </c:pt>
              </c:strCache>
            </c:strRef>
          </c:tx>
          <c:cat>
            <c:numRef>
              <c:f>'SW Changes'!$C$26:$W$26</c:f>
              <c:numCache>
                <c:formatCode>m/d/yy;@</c:formatCode>
                <c:ptCount val="21"/>
                <c:pt idx="0">
                  <c:v>40938</c:v>
                </c:pt>
                <c:pt idx="1">
                  <c:v>40945</c:v>
                </c:pt>
                <c:pt idx="2">
                  <c:v>40952</c:v>
                </c:pt>
                <c:pt idx="3">
                  <c:v>40959</c:v>
                </c:pt>
                <c:pt idx="4">
                  <c:v>40966</c:v>
                </c:pt>
                <c:pt idx="5">
                  <c:v>40973</c:v>
                </c:pt>
                <c:pt idx="6">
                  <c:v>40980</c:v>
                </c:pt>
                <c:pt idx="7">
                  <c:v>40987</c:v>
                </c:pt>
                <c:pt idx="8">
                  <c:v>40994</c:v>
                </c:pt>
                <c:pt idx="9">
                  <c:v>41001</c:v>
                </c:pt>
                <c:pt idx="10">
                  <c:v>41008</c:v>
                </c:pt>
                <c:pt idx="11">
                  <c:v>41015</c:v>
                </c:pt>
                <c:pt idx="12">
                  <c:v>41022</c:v>
                </c:pt>
                <c:pt idx="13">
                  <c:v>41029</c:v>
                </c:pt>
                <c:pt idx="14">
                  <c:v>41036</c:v>
                </c:pt>
                <c:pt idx="15">
                  <c:v>41043</c:v>
                </c:pt>
                <c:pt idx="16">
                  <c:v>41050</c:v>
                </c:pt>
                <c:pt idx="17">
                  <c:v>41057</c:v>
                </c:pt>
                <c:pt idx="18">
                  <c:v>41064</c:v>
                </c:pt>
                <c:pt idx="19">
                  <c:v>41071</c:v>
                </c:pt>
                <c:pt idx="20">
                  <c:v>41078</c:v>
                </c:pt>
              </c:numCache>
            </c:numRef>
          </c:cat>
          <c:val>
            <c:numRef>
              <c:f>'SW Changes'!$C$27:$W$27</c:f>
              <c:numCache>
                <c:formatCode>General</c:formatCode>
                <c:ptCount val="21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8</c:v>
                </c:pt>
                <c:pt idx="15">
                  <c:v>5</c:v>
                </c:pt>
                <c:pt idx="16">
                  <c:v>15</c:v>
                </c:pt>
                <c:pt idx="17">
                  <c:v>22</c:v>
                </c:pt>
                <c:pt idx="18">
                  <c:v>10</c:v>
                </c:pt>
                <c:pt idx="19">
                  <c:v>7</c:v>
                </c:pt>
                <c:pt idx="20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756992"/>
        <c:axId val="130758528"/>
      </c:lineChart>
      <c:dateAx>
        <c:axId val="130756992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nextTo"/>
        <c:crossAx val="130758528"/>
        <c:crosses val="autoZero"/>
        <c:auto val="1"/>
        <c:lblOffset val="100"/>
        <c:baseTimeUnit val="days"/>
      </c:dateAx>
      <c:valAx>
        <c:axId val="130758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07569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255843019622545E-2"/>
          <c:y val="4.0724504655524678E-2"/>
          <c:w val="0.84839841448390385"/>
          <c:h val="0.73506052846371439"/>
        </c:manualLayout>
      </c:layout>
      <c:lineChart>
        <c:grouping val="standard"/>
        <c:varyColors val="0"/>
        <c:ser>
          <c:idx val="0"/>
          <c:order val="0"/>
          <c:tx>
            <c:strRef>
              <c:f>'Long Term Backlog GUI'!$B$24</c:f>
              <c:strCache>
                <c:ptCount val="1"/>
                <c:pt idx="0">
                  <c:v>Open GUI/C++ Issues</c:v>
                </c:pt>
              </c:strCache>
            </c:strRef>
          </c:tx>
          <c:cat>
            <c:numRef>
              <c:f>'Long Term Backlog GUI'!$C$23:$BZ$23</c:f>
              <c:numCache>
                <c:formatCode>m/d/yyyy</c:formatCode>
                <c:ptCount val="16"/>
                <c:pt idx="0">
                  <c:v>41462</c:v>
                </c:pt>
                <c:pt idx="1">
                  <c:v>41469</c:v>
                </c:pt>
                <c:pt idx="2">
                  <c:v>41483</c:v>
                </c:pt>
                <c:pt idx="3">
                  <c:v>41490</c:v>
                </c:pt>
                <c:pt idx="4">
                  <c:v>41497</c:v>
                </c:pt>
                <c:pt idx="5">
                  <c:v>41514</c:v>
                </c:pt>
                <c:pt idx="6">
                  <c:v>41533</c:v>
                </c:pt>
                <c:pt idx="7">
                  <c:v>41542</c:v>
                </c:pt>
                <c:pt idx="8">
                  <c:v>41560</c:v>
                </c:pt>
                <c:pt idx="9">
                  <c:v>41567</c:v>
                </c:pt>
                <c:pt idx="10">
                  <c:v>41574</c:v>
                </c:pt>
                <c:pt idx="11">
                  <c:v>41581</c:v>
                </c:pt>
                <c:pt idx="12">
                  <c:v>41588</c:v>
                </c:pt>
                <c:pt idx="13">
                  <c:v>41595</c:v>
                </c:pt>
                <c:pt idx="14">
                  <c:v>41602</c:v>
                </c:pt>
                <c:pt idx="15">
                  <c:v>41609</c:v>
                </c:pt>
              </c:numCache>
            </c:numRef>
          </c:cat>
          <c:val>
            <c:numRef>
              <c:f>'Long Term Backlog GUI'!$C$24:$BZ$24</c:f>
              <c:numCache>
                <c:formatCode>General</c:formatCode>
                <c:ptCount val="16"/>
                <c:pt idx="0">
                  <c:v>4220</c:v>
                </c:pt>
                <c:pt idx="1">
                  <c:v>4223</c:v>
                </c:pt>
                <c:pt idx="2">
                  <c:v>4153</c:v>
                </c:pt>
                <c:pt idx="3">
                  <c:v>4121</c:v>
                </c:pt>
                <c:pt idx="4">
                  <c:v>4125</c:v>
                </c:pt>
                <c:pt idx="5">
                  <c:v>4121</c:v>
                </c:pt>
                <c:pt idx="6">
                  <c:v>4057</c:v>
                </c:pt>
                <c:pt idx="7">
                  <c:v>3790</c:v>
                </c:pt>
                <c:pt idx="8">
                  <c:v>3800</c:v>
                </c:pt>
                <c:pt idx="9">
                  <c:v>3801</c:v>
                </c:pt>
                <c:pt idx="10">
                  <c:v>3689</c:v>
                </c:pt>
                <c:pt idx="11">
                  <c:v>3687</c:v>
                </c:pt>
                <c:pt idx="12">
                  <c:v>3584</c:v>
                </c:pt>
                <c:pt idx="13">
                  <c:v>3594</c:v>
                </c:pt>
                <c:pt idx="14">
                  <c:v>3594</c:v>
                </c:pt>
                <c:pt idx="15">
                  <c:v>3595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'Long Term Backlog GUI'!$B$25</c:f>
              <c:strCache>
                <c:ptCount val="1"/>
                <c:pt idx="0">
                  <c:v>YE 2013 Goal (15%)</c:v>
                </c:pt>
              </c:strCache>
            </c:strRef>
          </c:tx>
          <c:cat>
            <c:numRef>
              <c:f>'Long Term Backlog GUI'!$C$23:$BZ$23</c:f>
              <c:numCache>
                <c:formatCode>m/d/yyyy</c:formatCode>
                <c:ptCount val="16"/>
                <c:pt idx="0">
                  <c:v>41462</c:v>
                </c:pt>
                <c:pt idx="1">
                  <c:v>41469</c:v>
                </c:pt>
                <c:pt idx="2">
                  <c:v>41483</c:v>
                </c:pt>
                <c:pt idx="3">
                  <c:v>41490</c:v>
                </c:pt>
                <c:pt idx="4">
                  <c:v>41497</c:v>
                </c:pt>
                <c:pt idx="5">
                  <c:v>41514</c:v>
                </c:pt>
                <c:pt idx="6">
                  <c:v>41533</c:v>
                </c:pt>
                <c:pt idx="7">
                  <c:v>41542</c:v>
                </c:pt>
                <c:pt idx="8">
                  <c:v>41560</c:v>
                </c:pt>
                <c:pt idx="9">
                  <c:v>41567</c:v>
                </c:pt>
                <c:pt idx="10">
                  <c:v>41574</c:v>
                </c:pt>
                <c:pt idx="11">
                  <c:v>41581</c:v>
                </c:pt>
                <c:pt idx="12">
                  <c:v>41588</c:v>
                </c:pt>
                <c:pt idx="13">
                  <c:v>41595</c:v>
                </c:pt>
                <c:pt idx="14">
                  <c:v>41602</c:v>
                </c:pt>
                <c:pt idx="15">
                  <c:v>41609</c:v>
                </c:pt>
              </c:numCache>
            </c:numRef>
          </c:cat>
          <c:val>
            <c:numRef>
              <c:f>'Long Term Backlog GUI'!$C$25:$BZ$25</c:f>
              <c:numCache>
                <c:formatCode>General</c:formatCode>
                <c:ptCount val="16"/>
                <c:pt idx="0">
                  <c:v>3586</c:v>
                </c:pt>
                <c:pt idx="1">
                  <c:v>3586</c:v>
                </c:pt>
                <c:pt idx="2">
                  <c:v>3586</c:v>
                </c:pt>
                <c:pt idx="3">
                  <c:v>3586</c:v>
                </c:pt>
                <c:pt idx="4">
                  <c:v>3586</c:v>
                </c:pt>
                <c:pt idx="5">
                  <c:v>3586</c:v>
                </c:pt>
                <c:pt idx="6">
                  <c:v>3586</c:v>
                </c:pt>
                <c:pt idx="7">
                  <c:v>3586</c:v>
                </c:pt>
                <c:pt idx="8">
                  <c:v>3586</c:v>
                </c:pt>
                <c:pt idx="9">
                  <c:v>3586</c:v>
                </c:pt>
                <c:pt idx="10">
                  <c:v>3586</c:v>
                </c:pt>
                <c:pt idx="11">
                  <c:v>3586</c:v>
                </c:pt>
                <c:pt idx="12">
                  <c:v>3586</c:v>
                </c:pt>
                <c:pt idx="13">
                  <c:v>3586</c:v>
                </c:pt>
                <c:pt idx="14">
                  <c:v>3586</c:v>
                </c:pt>
                <c:pt idx="15">
                  <c:v>3586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'Long Term Backlog GUI'!#REF!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'Long Term Backlog GUI'!$C$23:$BZ$23</c:f>
              <c:numCache>
                <c:formatCode>m/d/yyyy</c:formatCode>
                <c:ptCount val="16"/>
                <c:pt idx="0">
                  <c:v>41462</c:v>
                </c:pt>
                <c:pt idx="1">
                  <c:v>41469</c:v>
                </c:pt>
                <c:pt idx="2">
                  <c:v>41483</c:v>
                </c:pt>
                <c:pt idx="3">
                  <c:v>41490</c:v>
                </c:pt>
                <c:pt idx="4">
                  <c:v>41497</c:v>
                </c:pt>
                <c:pt idx="5">
                  <c:v>41514</c:v>
                </c:pt>
                <c:pt idx="6">
                  <c:v>41533</c:v>
                </c:pt>
                <c:pt idx="7">
                  <c:v>41542</c:v>
                </c:pt>
                <c:pt idx="8">
                  <c:v>41560</c:v>
                </c:pt>
                <c:pt idx="9">
                  <c:v>41567</c:v>
                </c:pt>
                <c:pt idx="10">
                  <c:v>41574</c:v>
                </c:pt>
                <c:pt idx="11">
                  <c:v>41581</c:v>
                </c:pt>
                <c:pt idx="12">
                  <c:v>41588</c:v>
                </c:pt>
                <c:pt idx="13">
                  <c:v>41595</c:v>
                </c:pt>
                <c:pt idx="14">
                  <c:v>41602</c:v>
                </c:pt>
                <c:pt idx="15">
                  <c:v>41609</c:v>
                </c:pt>
              </c:numCache>
            </c:numRef>
          </c:cat>
          <c:val>
            <c:numRef>
              <c:f>'Long Term Backlog GUI'!#REF!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'Long Term Backlog GUI'!#REF!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'Long Term Backlog GUI'!$C$23:$BZ$23</c:f>
              <c:numCache>
                <c:formatCode>m/d/yyyy</c:formatCode>
                <c:ptCount val="16"/>
                <c:pt idx="0">
                  <c:v>41462</c:v>
                </c:pt>
                <c:pt idx="1">
                  <c:v>41469</c:v>
                </c:pt>
                <c:pt idx="2">
                  <c:v>41483</c:v>
                </c:pt>
                <c:pt idx="3">
                  <c:v>41490</c:v>
                </c:pt>
                <c:pt idx="4">
                  <c:v>41497</c:v>
                </c:pt>
                <c:pt idx="5">
                  <c:v>41514</c:v>
                </c:pt>
                <c:pt idx="6">
                  <c:v>41533</c:v>
                </c:pt>
                <c:pt idx="7">
                  <c:v>41542</c:v>
                </c:pt>
                <c:pt idx="8">
                  <c:v>41560</c:v>
                </c:pt>
                <c:pt idx="9">
                  <c:v>41567</c:v>
                </c:pt>
                <c:pt idx="10">
                  <c:v>41574</c:v>
                </c:pt>
                <c:pt idx="11">
                  <c:v>41581</c:v>
                </c:pt>
                <c:pt idx="12">
                  <c:v>41588</c:v>
                </c:pt>
                <c:pt idx="13">
                  <c:v>41595</c:v>
                </c:pt>
                <c:pt idx="14">
                  <c:v>41602</c:v>
                </c:pt>
                <c:pt idx="15">
                  <c:v>41609</c:v>
                </c:pt>
              </c:numCache>
            </c:numRef>
          </c:cat>
          <c:val>
            <c:numRef>
              <c:f>'Long Term Backlog GUI'!#REF!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'Long Term Backlog GUI'!#REF!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'Long Term Backlog GUI'!$C$23:$BZ$23</c:f>
              <c:numCache>
                <c:formatCode>m/d/yyyy</c:formatCode>
                <c:ptCount val="16"/>
                <c:pt idx="0">
                  <c:v>41462</c:v>
                </c:pt>
                <c:pt idx="1">
                  <c:v>41469</c:v>
                </c:pt>
                <c:pt idx="2">
                  <c:v>41483</c:v>
                </c:pt>
                <c:pt idx="3">
                  <c:v>41490</c:v>
                </c:pt>
                <c:pt idx="4">
                  <c:v>41497</c:v>
                </c:pt>
                <c:pt idx="5">
                  <c:v>41514</c:v>
                </c:pt>
                <c:pt idx="6">
                  <c:v>41533</c:v>
                </c:pt>
                <c:pt idx="7">
                  <c:v>41542</c:v>
                </c:pt>
                <c:pt idx="8">
                  <c:v>41560</c:v>
                </c:pt>
                <c:pt idx="9">
                  <c:v>41567</c:v>
                </c:pt>
                <c:pt idx="10">
                  <c:v>41574</c:v>
                </c:pt>
                <c:pt idx="11">
                  <c:v>41581</c:v>
                </c:pt>
                <c:pt idx="12">
                  <c:v>41588</c:v>
                </c:pt>
                <c:pt idx="13">
                  <c:v>41595</c:v>
                </c:pt>
                <c:pt idx="14">
                  <c:v>41602</c:v>
                </c:pt>
                <c:pt idx="15">
                  <c:v>41609</c:v>
                </c:pt>
              </c:numCache>
            </c:numRef>
          </c:cat>
          <c:val>
            <c:numRef>
              <c:f>'Long Term Backlog GUI'!#REF!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972096"/>
        <c:axId val="131973888"/>
      </c:lineChart>
      <c:dateAx>
        <c:axId val="1319720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1973888"/>
        <c:crosses val="autoZero"/>
        <c:auto val="1"/>
        <c:lblOffset val="100"/>
        <c:baseTimeUnit val="days"/>
      </c:dateAx>
      <c:valAx>
        <c:axId val="13197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19720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140482439695035"/>
          <c:y val="2.6062157998439188E-2"/>
          <c:w val="0.33498973342617888"/>
          <c:h val="0.3316443975140497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32524059492564"/>
          <c:y val="5.1400554097404488E-2"/>
          <c:w val="0.86234536307961507"/>
          <c:h val="0.70771544181977253"/>
        </c:manualLayout>
      </c:layout>
      <c:lineChart>
        <c:grouping val="standard"/>
        <c:varyColors val="0"/>
        <c:ser>
          <c:idx val="0"/>
          <c:order val="0"/>
          <c:tx>
            <c:strRef>
              <c:f>'Long Term Backlog GUI'!$B$24</c:f>
              <c:strCache>
                <c:ptCount val="1"/>
                <c:pt idx="0">
                  <c:v>Open GUI/C++ Issues</c:v>
                </c:pt>
              </c:strCache>
            </c:strRef>
          </c:tx>
          <c:cat>
            <c:numRef>
              <c:f>'Long Term Backlog GUI'!$C$23:$BZ$23</c:f>
              <c:numCache>
                <c:formatCode>m/d/yyyy</c:formatCode>
                <c:ptCount val="16"/>
                <c:pt idx="0">
                  <c:v>41462</c:v>
                </c:pt>
                <c:pt idx="1">
                  <c:v>41469</c:v>
                </c:pt>
                <c:pt idx="2">
                  <c:v>41483</c:v>
                </c:pt>
                <c:pt idx="3">
                  <c:v>41490</c:v>
                </c:pt>
                <c:pt idx="4">
                  <c:v>41497</c:v>
                </c:pt>
                <c:pt idx="5">
                  <c:v>41514</c:v>
                </c:pt>
                <c:pt idx="6">
                  <c:v>41533</c:v>
                </c:pt>
                <c:pt idx="7">
                  <c:v>41542</c:v>
                </c:pt>
                <c:pt idx="8">
                  <c:v>41560</c:v>
                </c:pt>
                <c:pt idx="9">
                  <c:v>41567</c:v>
                </c:pt>
                <c:pt idx="10">
                  <c:v>41574</c:v>
                </c:pt>
                <c:pt idx="11">
                  <c:v>41581</c:v>
                </c:pt>
                <c:pt idx="12">
                  <c:v>41588</c:v>
                </c:pt>
                <c:pt idx="13">
                  <c:v>41595</c:v>
                </c:pt>
                <c:pt idx="14">
                  <c:v>41602</c:v>
                </c:pt>
                <c:pt idx="15">
                  <c:v>41609</c:v>
                </c:pt>
              </c:numCache>
            </c:numRef>
          </c:cat>
          <c:val>
            <c:numRef>
              <c:f>'Long Term Backlog GUI'!$C$24:$BZ$24</c:f>
              <c:numCache>
                <c:formatCode>General</c:formatCode>
                <c:ptCount val="16"/>
                <c:pt idx="0">
                  <c:v>4220</c:v>
                </c:pt>
                <c:pt idx="1">
                  <c:v>4223</c:v>
                </c:pt>
                <c:pt idx="2">
                  <c:v>4153</c:v>
                </c:pt>
                <c:pt idx="3">
                  <c:v>4121</c:v>
                </c:pt>
                <c:pt idx="4">
                  <c:v>4125</c:v>
                </c:pt>
                <c:pt idx="5">
                  <c:v>4121</c:v>
                </c:pt>
                <c:pt idx="6">
                  <c:v>4057</c:v>
                </c:pt>
                <c:pt idx="7">
                  <c:v>3790</c:v>
                </c:pt>
                <c:pt idx="8">
                  <c:v>3800</c:v>
                </c:pt>
                <c:pt idx="9">
                  <c:v>3801</c:v>
                </c:pt>
                <c:pt idx="10">
                  <c:v>3689</c:v>
                </c:pt>
                <c:pt idx="11">
                  <c:v>3687</c:v>
                </c:pt>
                <c:pt idx="12">
                  <c:v>3584</c:v>
                </c:pt>
                <c:pt idx="13">
                  <c:v>3594</c:v>
                </c:pt>
                <c:pt idx="14">
                  <c:v>3594</c:v>
                </c:pt>
                <c:pt idx="15">
                  <c:v>3595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'Long Term Backlog GUI'!$B$25</c:f>
              <c:strCache>
                <c:ptCount val="1"/>
                <c:pt idx="0">
                  <c:v>YE 2013 Goal (15%)</c:v>
                </c:pt>
              </c:strCache>
            </c:strRef>
          </c:tx>
          <c:cat>
            <c:numRef>
              <c:f>'Long Term Backlog GUI'!$C$23:$BZ$23</c:f>
              <c:numCache>
                <c:formatCode>m/d/yyyy</c:formatCode>
                <c:ptCount val="16"/>
                <c:pt idx="0">
                  <c:v>41462</c:v>
                </c:pt>
                <c:pt idx="1">
                  <c:v>41469</c:v>
                </c:pt>
                <c:pt idx="2">
                  <c:v>41483</c:v>
                </c:pt>
                <c:pt idx="3">
                  <c:v>41490</c:v>
                </c:pt>
                <c:pt idx="4">
                  <c:v>41497</c:v>
                </c:pt>
                <c:pt idx="5">
                  <c:v>41514</c:v>
                </c:pt>
                <c:pt idx="6">
                  <c:v>41533</c:v>
                </c:pt>
                <c:pt idx="7">
                  <c:v>41542</c:v>
                </c:pt>
                <c:pt idx="8">
                  <c:v>41560</c:v>
                </c:pt>
                <c:pt idx="9">
                  <c:v>41567</c:v>
                </c:pt>
                <c:pt idx="10">
                  <c:v>41574</c:v>
                </c:pt>
                <c:pt idx="11">
                  <c:v>41581</c:v>
                </c:pt>
                <c:pt idx="12">
                  <c:v>41588</c:v>
                </c:pt>
                <c:pt idx="13">
                  <c:v>41595</c:v>
                </c:pt>
                <c:pt idx="14">
                  <c:v>41602</c:v>
                </c:pt>
                <c:pt idx="15">
                  <c:v>41609</c:v>
                </c:pt>
              </c:numCache>
            </c:numRef>
          </c:cat>
          <c:val>
            <c:numRef>
              <c:f>'Long Term Backlog GUI'!$C$25:$BZ$25</c:f>
              <c:numCache>
                <c:formatCode>General</c:formatCode>
                <c:ptCount val="16"/>
                <c:pt idx="0">
                  <c:v>3586</c:v>
                </c:pt>
                <c:pt idx="1">
                  <c:v>3586</c:v>
                </c:pt>
                <c:pt idx="2">
                  <c:v>3586</c:v>
                </c:pt>
                <c:pt idx="3">
                  <c:v>3586</c:v>
                </c:pt>
                <c:pt idx="4">
                  <c:v>3586</c:v>
                </c:pt>
                <c:pt idx="5">
                  <c:v>3586</c:v>
                </c:pt>
                <c:pt idx="6">
                  <c:v>3586</c:v>
                </c:pt>
                <c:pt idx="7">
                  <c:v>3586</c:v>
                </c:pt>
                <c:pt idx="8">
                  <c:v>3586</c:v>
                </c:pt>
                <c:pt idx="9">
                  <c:v>3586</c:v>
                </c:pt>
                <c:pt idx="10">
                  <c:v>3586</c:v>
                </c:pt>
                <c:pt idx="11">
                  <c:v>3586</c:v>
                </c:pt>
                <c:pt idx="12">
                  <c:v>3586</c:v>
                </c:pt>
                <c:pt idx="13">
                  <c:v>3586</c:v>
                </c:pt>
                <c:pt idx="14">
                  <c:v>3586</c:v>
                </c:pt>
                <c:pt idx="15">
                  <c:v>3586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764992"/>
        <c:axId val="131766528"/>
      </c:lineChart>
      <c:dateAx>
        <c:axId val="131764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1766528"/>
        <c:crosses val="autoZero"/>
        <c:auto val="1"/>
        <c:lblOffset val="100"/>
        <c:baseTimeUnit val="days"/>
      </c:dateAx>
      <c:valAx>
        <c:axId val="131766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17649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4583267716535431"/>
          <c:y val="6.9060586176727903E-2"/>
          <c:w val="0.32083398950131231"/>
          <c:h val="0.1674343832020997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34798775153106"/>
          <c:y val="5.1400554097404488E-2"/>
          <c:w val="0.84167410323709535"/>
          <c:h val="0.70771544181977253"/>
        </c:manualLayout>
      </c:layout>
      <c:lineChart>
        <c:grouping val="standard"/>
        <c:varyColors val="0"/>
        <c:ser>
          <c:idx val="0"/>
          <c:order val="0"/>
          <c:tx>
            <c:strRef>
              <c:f>'Long Term Backlog IL'!$B$24</c:f>
              <c:strCache>
                <c:ptCount val="1"/>
                <c:pt idx="0">
                  <c:v>Open IL and IL Plug-in Issues</c:v>
                </c:pt>
              </c:strCache>
            </c:strRef>
          </c:tx>
          <c:cat>
            <c:numRef>
              <c:f>'Long Term Backlog IL'!$C$23:$BZ$23</c:f>
              <c:numCache>
                <c:formatCode>m/d/yyyy</c:formatCode>
                <c:ptCount val="16"/>
                <c:pt idx="0">
                  <c:v>41462</c:v>
                </c:pt>
                <c:pt idx="1">
                  <c:v>41469</c:v>
                </c:pt>
                <c:pt idx="2">
                  <c:v>41483</c:v>
                </c:pt>
                <c:pt idx="3">
                  <c:v>41490</c:v>
                </c:pt>
                <c:pt idx="4">
                  <c:v>41497</c:v>
                </c:pt>
                <c:pt idx="5">
                  <c:v>41514</c:v>
                </c:pt>
                <c:pt idx="6">
                  <c:v>41533</c:v>
                </c:pt>
                <c:pt idx="7">
                  <c:v>41542</c:v>
                </c:pt>
                <c:pt idx="8">
                  <c:v>41560</c:v>
                </c:pt>
                <c:pt idx="9">
                  <c:v>41567</c:v>
                </c:pt>
                <c:pt idx="10">
                  <c:v>41574</c:v>
                </c:pt>
                <c:pt idx="11">
                  <c:v>41581</c:v>
                </c:pt>
                <c:pt idx="12">
                  <c:v>41588</c:v>
                </c:pt>
                <c:pt idx="13">
                  <c:v>41595</c:v>
                </c:pt>
                <c:pt idx="14">
                  <c:v>41602</c:v>
                </c:pt>
                <c:pt idx="15">
                  <c:v>41609</c:v>
                </c:pt>
              </c:numCache>
            </c:numRef>
          </c:cat>
          <c:val>
            <c:numRef>
              <c:f>'Long Term Backlog IL'!$C$24:$BZ$24</c:f>
              <c:numCache>
                <c:formatCode>General</c:formatCode>
                <c:ptCount val="16"/>
                <c:pt idx="0">
                  <c:v>2962</c:v>
                </c:pt>
                <c:pt idx="1">
                  <c:v>2960</c:v>
                </c:pt>
                <c:pt idx="2">
                  <c:v>2961</c:v>
                </c:pt>
                <c:pt idx="3">
                  <c:v>2960</c:v>
                </c:pt>
                <c:pt idx="4">
                  <c:v>2965</c:v>
                </c:pt>
                <c:pt idx="5">
                  <c:v>3014</c:v>
                </c:pt>
                <c:pt idx="6">
                  <c:v>3022</c:v>
                </c:pt>
                <c:pt idx="7">
                  <c:v>3000</c:v>
                </c:pt>
                <c:pt idx="8">
                  <c:v>3001</c:v>
                </c:pt>
                <c:pt idx="9">
                  <c:v>3008</c:v>
                </c:pt>
                <c:pt idx="10">
                  <c:v>2902</c:v>
                </c:pt>
                <c:pt idx="11">
                  <c:v>2902</c:v>
                </c:pt>
                <c:pt idx="12">
                  <c:v>2902</c:v>
                </c:pt>
                <c:pt idx="13">
                  <c:v>2902</c:v>
                </c:pt>
                <c:pt idx="14">
                  <c:v>2902</c:v>
                </c:pt>
                <c:pt idx="15">
                  <c:v>2899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'Long Term Backlog IL'!$B$25</c:f>
              <c:strCache>
                <c:ptCount val="1"/>
                <c:pt idx="0">
                  <c:v>YE 2013 Goal</c:v>
                </c:pt>
              </c:strCache>
            </c:strRef>
          </c:tx>
          <c:cat>
            <c:numRef>
              <c:f>'Long Term Backlog IL'!$C$23:$BZ$23</c:f>
              <c:numCache>
                <c:formatCode>m/d/yyyy</c:formatCode>
                <c:ptCount val="16"/>
                <c:pt idx="0">
                  <c:v>41462</c:v>
                </c:pt>
                <c:pt idx="1">
                  <c:v>41469</c:v>
                </c:pt>
                <c:pt idx="2">
                  <c:v>41483</c:v>
                </c:pt>
                <c:pt idx="3">
                  <c:v>41490</c:v>
                </c:pt>
                <c:pt idx="4">
                  <c:v>41497</c:v>
                </c:pt>
                <c:pt idx="5">
                  <c:v>41514</c:v>
                </c:pt>
                <c:pt idx="6">
                  <c:v>41533</c:v>
                </c:pt>
                <c:pt idx="7">
                  <c:v>41542</c:v>
                </c:pt>
                <c:pt idx="8">
                  <c:v>41560</c:v>
                </c:pt>
                <c:pt idx="9">
                  <c:v>41567</c:v>
                </c:pt>
                <c:pt idx="10">
                  <c:v>41574</c:v>
                </c:pt>
                <c:pt idx="11">
                  <c:v>41581</c:v>
                </c:pt>
                <c:pt idx="12">
                  <c:v>41588</c:v>
                </c:pt>
                <c:pt idx="13">
                  <c:v>41595</c:v>
                </c:pt>
                <c:pt idx="14">
                  <c:v>41602</c:v>
                </c:pt>
                <c:pt idx="15">
                  <c:v>41609</c:v>
                </c:pt>
              </c:numCache>
            </c:numRef>
          </c:cat>
          <c:val>
            <c:numRef>
              <c:f>'Long Term Backlog IL'!$C$25:$BZ$25</c:f>
              <c:numCache>
                <c:formatCode>General</c:formatCode>
                <c:ptCount val="16"/>
                <c:pt idx="0">
                  <c:v>2514</c:v>
                </c:pt>
                <c:pt idx="1">
                  <c:v>2514</c:v>
                </c:pt>
                <c:pt idx="2">
                  <c:v>2514</c:v>
                </c:pt>
                <c:pt idx="3">
                  <c:v>2514</c:v>
                </c:pt>
                <c:pt idx="4">
                  <c:v>2514</c:v>
                </c:pt>
                <c:pt idx="5">
                  <c:v>2514</c:v>
                </c:pt>
                <c:pt idx="6">
                  <c:v>2514</c:v>
                </c:pt>
                <c:pt idx="7">
                  <c:v>2514</c:v>
                </c:pt>
                <c:pt idx="8">
                  <c:v>2514</c:v>
                </c:pt>
                <c:pt idx="9">
                  <c:v>2514</c:v>
                </c:pt>
                <c:pt idx="10">
                  <c:v>2514</c:v>
                </c:pt>
                <c:pt idx="11">
                  <c:v>2514</c:v>
                </c:pt>
                <c:pt idx="12">
                  <c:v>2514</c:v>
                </c:pt>
                <c:pt idx="13">
                  <c:v>2514</c:v>
                </c:pt>
                <c:pt idx="14">
                  <c:v>2514</c:v>
                </c:pt>
                <c:pt idx="15">
                  <c:v>2514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779968"/>
        <c:axId val="131798144"/>
      </c:lineChart>
      <c:dateAx>
        <c:axId val="131779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1798144"/>
        <c:crosses val="autoZero"/>
        <c:auto val="1"/>
        <c:lblOffset val="100"/>
        <c:baseTimeUnit val="days"/>
      </c:dateAx>
      <c:valAx>
        <c:axId val="13179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1779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8076246719160104"/>
          <c:y val="0.55015820939049287"/>
          <c:w val="0.44701531058617672"/>
          <c:h val="0.1913502478856809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Landslide!$B$4</c:f>
              <c:strCache>
                <c:ptCount val="1"/>
                <c:pt idx="0">
                  <c:v>Open </c:v>
                </c:pt>
              </c:strCache>
            </c:strRef>
          </c:tx>
          <c:cat>
            <c:numRef>
              <c:f>Landslide!$C$3:$Q$3</c:f>
              <c:numCache>
                <c:formatCode>m/d/yyyy</c:formatCode>
                <c:ptCount val="7"/>
                <c:pt idx="0">
                  <c:v>41407</c:v>
                </c:pt>
                <c:pt idx="1">
                  <c:v>41468</c:v>
                </c:pt>
                <c:pt idx="2">
                  <c:v>41502</c:v>
                </c:pt>
                <c:pt idx="3">
                  <c:v>41603</c:v>
                </c:pt>
                <c:pt idx="4">
                  <c:v>41617</c:v>
                </c:pt>
                <c:pt idx="5">
                  <c:v>41729</c:v>
                </c:pt>
                <c:pt idx="6">
                  <c:v>41753</c:v>
                </c:pt>
              </c:numCache>
            </c:numRef>
          </c:cat>
          <c:val>
            <c:numRef>
              <c:f>Landslide!$C$4:$Q$4</c:f>
              <c:numCache>
                <c:formatCode>0</c:formatCode>
                <c:ptCount val="7"/>
                <c:pt idx="0">
                  <c:v>3402</c:v>
                </c:pt>
                <c:pt idx="1">
                  <c:v>3118</c:v>
                </c:pt>
                <c:pt idx="2">
                  <c:v>2888</c:v>
                </c:pt>
                <c:pt idx="3">
                  <c:v>2806</c:v>
                </c:pt>
                <c:pt idx="4">
                  <c:v>2211</c:v>
                </c:pt>
                <c:pt idx="5">
                  <c:v>2032</c:v>
                </c:pt>
                <c:pt idx="6">
                  <c:v>1613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Landslide!$B$5</c:f>
              <c:strCache>
                <c:ptCount val="1"/>
                <c:pt idx="0">
                  <c:v>Resolved</c:v>
                </c:pt>
              </c:strCache>
            </c:strRef>
          </c:tx>
          <c:cat>
            <c:numRef>
              <c:f>Landslide!$C$3:$Q$3</c:f>
              <c:numCache>
                <c:formatCode>m/d/yyyy</c:formatCode>
                <c:ptCount val="7"/>
                <c:pt idx="0">
                  <c:v>41407</c:v>
                </c:pt>
                <c:pt idx="1">
                  <c:v>41468</c:v>
                </c:pt>
                <c:pt idx="2">
                  <c:v>41502</c:v>
                </c:pt>
                <c:pt idx="3">
                  <c:v>41603</c:v>
                </c:pt>
                <c:pt idx="4">
                  <c:v>41617</c:v>
                </c:pt>
                <c:pt idx="5">
                  <c:v>41729</c:v>
                </c:pt>
                <c:pt idx="6">
                  <c:v>41753</c:v>
                </c:pt>
              </c:numCache>
            </c:numRef>
          </c:cat>
          <c:val>
            <c:numRef>
              <c:f>Landslide!$C$5:$Q$5</c:f>
              <c:numCache>
                <c:formatCode>0</c:formatCode>
                <c:ptCount val="7"/>
                <c:pt idx="0">
                  <c:v>0</c:v>
                </c:pt>
                <c:pt idx="1">
                  <c:v>284</c:v>
                </c:pt>
                <c:pt idx="2">
                  <c:v>514</c:v>
                </c:pt>
                <c:pt idx="3">
                  <c:v>596</c:v>
                </c:pt>
                <c:pt idx="4">
                  <c:v>1191</c:v>
                </c:pt>
                <c:pt idx="5">
                  <c:v>1370</c:v>
                </c:pt>
                <c:pt idx="6">
                  <c:v>1789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83392"/>
        <c:axId val="131884928"/>
      </c:lineChart>
      <c:dateAx>
        <c:axId val="131883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1884928"/>
        <c:crosses val="autoZero"/>
        <c:auto val="1"/>
        <c:lblOffset val="100"/>
        <c:baseTimeUnit val="days"/>
      </c:dateAx>
      <c:valAx>
        <c:axId val="13188492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318833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IPS_PGA_UI!$B$3:$B$4</c:f>
              <c:strCache>
                <c:ptCount val="1"/>
                <c:pt idx="0">
                  <c:v>IPS IPS Benchmarking</c:v>
                </c:pt>
              </c:strCache>
            </c:strRef>
          </c:tx>
          <c:marker>
            <c:symbol val="none"/>
          </c:marker>
          <c:cat>
            <c:numRef>
              <c:f>IPS_PGA_UI!$A$5:$A$15</c:f>
              <c:numCache>
                <c:formatCode>m/d/yyyy</c:formatCode>
                <c:ptCount val="11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</c:numCache>
            </c:numRef>
          </c:cat>
          <c:val>
            <c:numRef>
              <c:f>IPS_PGA_UI!$B$5:$B$15</c:f>
              <c:numCache>
                <c:formatCode>General</c:formatCode>
                <c:ptCount val="11"/>
                <c:pt idx="0">
                  <c:v>242</c:v>
                </c:pt>
                <c:pt idx="1">
                  <c:v>242</c:v>
                </c:pt>
                <c:pt idx="2">
                  <c:v>242</c:v>
                </c:pt>
                <c:pt idx="3">
                  <c:v>276</c:v>
                </c:pt>
                <c:pt idx="4">
                  <c:v>276</c:v>
                </c:pt>
                <c:pt idx="5">
                  <c:v>242</c:v>
                </c:pt>
                <c:pt idx="6">
                  <c:v>242</c:v>
                </c:pt>
                <c:pt idx="7">
                  <c:v>242</c:v>
                </c:pt>
                <c:pt idx="8">
                  <c:v>242</c:v>
                </c:pt>
                <c:pt idx="9">
                  <c:v>242</c:v>
                </c:pt>
                <c:pt idx="10">
                  <c:v>242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IPS_PGA_UI!$C$3:$C$4</c:f>
              <c:strCache>
                <c:ptCount val="1"/>
                <c:pt idx="0">
                  <c:v>IPS Custom</c:v>
                </c:pt>
              </c:strCache>
            </c:strRef>
          </c:tx>
          <c:marker>
            <c:symbol val="none"/>
          </c:marker>
          <c:cat>
            <c:numRef>
              <c:f>IPS_PGA_UI!$A$5:$A$15</c:f>
              <c:numCache>
                <c:formatCode>m/d/yyyy</c:formatCode>
                <c:ptCount val="11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</c:numCache>
            </c:numRef>
          </c:cat>
          <c:val>
            <c:numRef>
              <c:f>IPS_PGA_UI!$C$5:$C$15</c:f>
              <c:numCache>
                <c:formatCode>General</c:formatCode>
                <c:ptCount val="11"/>
                <c:pt idx="0">
                  <c:v>13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IPS_PGA_UI!$D$3:$D$4</c:f>
              <c:strCache>
                <c:ptCount val="1"/>
                <c:pt idx="0">
                  <c:v>IPS DCB</c:v>
                </c:pt>
              </c:strCache>
            </c:strRef>
          </c:tx>
          <c:marker>
            <c:symbol val="none"/>
          </c:marker>
          <c:cat>
            <c:numRef>
              <c:f>IPS_PGA_UI!$A$5:$A$15</c:f>
              <c:numCache>
                <c:formatCode>m/d/yyyy</c:formatCode>
                <c:ptCount val="11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</c:numCache>
            </c:numRef>
          </c:cat>
          <c:val>
            <c:numRef>
              <c:f>IPS_PGA_UI!$D$5:$D$15</c:f>
              <c:numCache>
                <c:formatCode>General</c:formatCode>
                <c:ptCount val="1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56</c:v>
                </c:pt>
                <c:pt idx="5">
                  <c:v>46</c:v>
                </c:pt>
                <c:pt idx="6">
                  <c:v>41</c:v>
                </c:pt>
                <c:pt idx="7">
                  <c:v>41</c:v>
                </c:pt>
                <c:pt idx="8">
                  <c:v>41</c:v>
                </c:pt>
                <c:pt idx="9">
                  <c:v>41</c:v>
                </c:pt>
                <c:pt idx="10">
                  <c:v>41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IPS_PGA_UI!$E$3:$E$4</c:f>
              <c:strCache>
                <c:ptCount val="1"/>
                <c:pt idx="0">
                  <c:v>IPS IPS Total</c:v>
                </c:pt>
              </c:strCache>
            </c:strRef>
          </c:tx>
          <c:marker>
            <c:symbol val="none"/>
          </c:marker>
          <c:cat>
            <c:numRef>
              <c:f>IPS_PGA_UI!$A$5:$A$15</c:f>
              <c:numCache>
                <c:formatCode>m/d/yyyy</c:formatCode>
                <c:ptCount val="11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</c:numCache>
            </c:numRef>
          </c:cat>
          <c:val>
            <c:numRef>
              <c:f>IPS_PGA_UI!$E$5:$E$15</c:f>
              <c:numCache>
                <c:formatCode>General</c:formatCode>
                <c:ptCount val="11"/>
                <c:pt idx="0">
                  <c:v>333</c:v>
                </c:pt>
                <c:pt idx="1">
                  <c:v>333</c:v>
                </c:pt>
                <c:pt idx="2">
                  <c:v>333</c:v>
                </c:pt>
                <c:pt idx="3">
                  <c:v>367</c:v>
                </c:pt>
                <c:pt idx="4">
                  <c:v>345</c:v>
                </c:pt>
                <c:pt idx="5">
                  <c:v>301</c:v>
                </c:pt>
                <c:pt idx="6">
                  <c:v>296</c:v>
                </c:pt>
                <c:pt idx="7">
                  <c:v>296</c:v>
                </c:pt>
                <c:pt idx="8">
                  <c:v>296</c:v>
                </c:pt>
                <c:pt idx="9">
                  <c:v>296</c:v>
                </c:pt>
                <c:pt idx="10">
                  <c:v>296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IPS_PGA_UI!$F$3:$F$4</c:f>
              <c:strCache>
                <c:ptCount val="1"/>
                <c:pt idx="0">
                  <c:v>PGA Capture</c:v>
                </c:pt>
              </c:strCache>
            </c:strRef>
          </c:tx>
          <c:marker>
            <c:symbol val="none"/>
          </c:marker>
          <c:cat>
            <c:numRef>
              <c:f>IPS_PGA_UI!$A$5:$A$15</c:f>
              <c:numCache>
                <c:formatCode>m/d/yyyy</c:formatCode>
                <c:ptCount val="11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</c:numCache>
            </c:numRef>
          </c:cat>
          <c:val>
            <c:numRef>
              <c:f>IPS_PGA_UI!$F$5:$F$15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IPS_PGA_UI!$G$3:$G$4</c:f>
              <c:strCache>
                <c:ptCount val="1"/>
                <c:pt idx="0">
                  <c:v>PGA ieee 802.11</c:v>
                </c:pt>
              </c:strCache>
            </c:strRef>
          </c:tx>
          <c:marker>
            <c:symbol val="none"/>
          </c:marker>
          <c:cat>
            <c:numRef>
              <c:f>IPS_PGA_UI!$A$5:$A$15</c:f>
              <c:numCache>
                <c:formatCode>m/d/yyyy</c:formatCode>
                <c:ptCount val="11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</c:numCache>
            </c:numRef>
          </c:cat>
          <c:val>
            <c:numRef>
              <c:f>IPS_PGA_UI!$G$5:$G$15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IPS_PGA_UI!$H$3:$H$4</c:f>
              <c:strCache>
                <c:ptCount val="1"/>
                <c:pt idx="0">
                  <c:v>PGA L2L3</c:v>
                </c:pt>
              </c:strCache>
            </c:strRef>
          </c:tx>
          <c:marker>
            <c:symbol val="none"/>
          </c:marker>
          <c:cat>
            <c:numRef>
              <c:f>IPS_PGA_UI!$A$5:$A$15</c:f>
              <c:numCache>
                <c:formatCode>m/d/yyyy</c:formatCode>
                <c:ptCount val="11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</c:numCache>
            </c:numRef>
          </c:cat>
          <c:val>
            <c:numRef>
              <c:f>IPS_PGA_UI!$H$5:$H$15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IPS_PGA_UI!$I$3:$I$4</c:f>
              <c:strCache>
                <c:ptCount val="1"/>
                <c:pt idx="0">
                  <c:v>PGA Learning</c:v>
                </c:pt>
              </c:strCache>
            </c:strRef>
          </c:tx>
          <c:marker>
            <c:symbol val="none"/>
          </c:marker>
          <c:cat>
            <c:numRef>
              <c:f>IPS_PGA_UI!$A$5:$A$15</c:f>
              <c:numCache>
                <c:formatCode>m/d/yyyy</c:formatCode>
                <c:ptCount val="11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</c:numCache>
            </c:numRef>
          </c:cat>
          <c:val>
            <c:numRef>
              <c:f>IPS_PGA_UI!$I$5:$I$15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IPS_PGA_UI!$J$3:$J$4</c:f>
              <c:strCache>
                <c:ptCount val="1"/>
                <c:pt idx="0">
                  <c:v>PGA PGA Total</c:v>
                </c:pt>
              </c:strCache>
            </c:strRef>
          </c:tx>
          <c:marker>
            <c:symbol val="none"/>
          </c:marker>
          <c:cat>
            <c:numRef>
              <c:f>IPS_PGA_UI!$A$5:$A$15</c:f>
              <c:numCache>
                <c:formatCode>m/d/yyyy</c:formatCode>
                <c:ptCount val="11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</c:numCache>
            </c:numRef>
          </c:cat>
          <c:val>
            <c:numRef>
              <c:f>IPS_PGA_UI!$J$5:$J$15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018560"/>
        <c:axId val="132020096"/>
      </c:lineChart>
      <c:dateAx>
        <c:axId val="132018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2020096"/>
        <c:crosses val="autoZero"/>
        <c:auto val="1"/>
        <c:lblOffset val="100"/>
        <c:baseTimeUnit val="days"/>
      </c:dateAx>
      <c:valAx>
        <c:axId val="132020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20185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16</xdr:row>
      <xdr:rowOff>72390</xdr:rowOff>
    </xdr:from>
    <xdr:to>
      <xdr:col>6</xdr:col>
      <xdr:colOff>525780</xdr:colOff>
      <xdr:row>31</xdr:row>
      <xdr:rowOff>72390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152400</xdr:colOff>
      <xdr:row>27</xdr:row>
      <xdr:rowOff>300990</xdr:rowOff>
    </xdr:from>
    <xdr:to>
      <xdr:col>22</xdr:col>
      <xdr:colOff>297180</xdr:colOff>
      <xdr:row>47</xdr:row>
      <xdr:rowOff>60960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53340</xdr:colOff>
      <xdr:row>28</xdr:row>
      <xdr:rowOff>64770</xdr:rowOff>
    </xdr:from>
    <xdr:to>
      <xdr:col>99</xdr:col>
      <xdr:colOff>219710</xdr:colOff>
      <xdr:row>43</xdr:row>
      <xdr:rowOff>45720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121920</xdr:colOff>
      <xdr:row>10</xdr:row>
      <xdr:rowOff>99060</xdr:rowOff>
    </xdr:from>
    <xdr:to>
      <xdr:col>29</xdr:col>
      <xdr:colOff>297180</xdr:colOff>
      <xdr:row>26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2</xdr:row>
      <xdr:rowOff>42861</xdr:rowOff>
    </xdr:from>
    <xdr:to>
      <xdr:col>16</xdr:col>
      <xdr:colOff>76200</xdr:colOff>
      <xdr:row>20</xdr:row>
      <xdr:rowOff>47624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133350</xdr:colOff>
      <xdr:row>27</xdr:row>
      <xdr:rowOff>138112</xdr:rowOff>
    </xdr:from>
    <xdr:to>
      <xdr:col>58</xdr:col>
      <xdr:colOff>95250</xdr:colOff>
      <xdr:row>42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466725</xdr:colOff>
      <xdr:row>27</xdr:row>
      <xdr:rowOff>500062</xdr:rowOff>
    </xdr:from>
    <xdr:to>
      <xdr:col>88</xdr:col>
      <xdr:colOff>161925</xdr:colOff>
      <xdr:row>40</xdr:row>
      <xdr:rowOff>166687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80</xdr:col>
      <xdr:colOff>466725</xdr:colOff>
      <xdr:row>27</xdr:row>
      <xdr:rowOff>500062</xdr:rowOff>
    </xdr:from>
    <xdr:to>
      <xdr:col>88</xdr:col>
      <xdr:colOff>161925</xdr:colOff>
      <xdr:row>40</xdr:row>
      <xdr:rowOff>166687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14286</xdr:colOff>
      <xdr:row>6</xdr:row>
      <xdr:rowOff>14287</xdr:rowOff>
    </xdr:from>
    <xdr:to>
      <xdr:col>16</xdr:col>
      <xdr:colOff>752474</xdr:colOff>
      <xdr:row>22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16</xdr:row>
      <xdr:rowOff>72390</xdr:rowOff>
    </xdr:from>
    <xdr:to>
      <xdr:col>6</xdr:col>
      <xdr:colOff>525780</xdr:colOff>
      <xdr:row>31</xdr:row>
      <xdr:rowOff>72390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integration_x86_baseline_uninit_20160704" connectionId="2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integration_x86_baseline_uninit_20160703" connectionId="25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kw_integration_win_ui_diff_integration_ui_2014105_vs_integration_ui_2014-07-05" connectionId="23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integration_x86_baseline_uninit_20150830" connectionId="2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integration_x86_baseline_uninit_20150920" connectionId="24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integration_x86_baseline_uninit_20141207" connectionId="24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integration_x86_baseline_uninit_20150104" connectionId="24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kw_integration_Win_BLL_baseline_diff_integration_2014105_vs_integration_2014-08-02_2" connectionId="24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integration_x86_baseline_uninit_20140921" connectionId="2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kw_integration_x86_baseline_diff_integration_2014_1_5_vs_integration_2014-07-20" connectionId="23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integration_x86_baseline_uninit_20160214" connectionId="25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integration_x86_baseline_uninit_20140608" connectionId="2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integration_x86_baseline_uninit_20140602" connectionId="23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kw_integration_Win_BLL_baseline_diff_integration_2014105_vs_integration_2014-08-02" connectionId="24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integration_x86_baseline_uninit_20150219" connectionId="24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integration_x86_baseline_uninit_20150329" connectionId="24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integration_x86_baseline_uninit_20160115" connectionId="25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integration_x86_baseline_uninit_20141012" connectionId="24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kw_integration_Win_BLL_baseline_diff_integration_2014105_vs_integration_2014-08-02_1" connectionId="23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integration_x86_baseline_uninit_20140629" connectionId="23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integration_Win_BLL_baseline_uninit_20160703" connectionId="8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kw_integration_win_ui_diff_integration_ui_2014105_vs_integration_ui_2014-07-05" connectionId="7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integration_Win_BLL_baseline_uninit_20150830" connectionId="8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integration_Win_BLL_baseline_uninit_20150920" connectionId="8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integration_Win_BLL_baseline_uninit_20141207" connectionId="7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integration_Win_BLL_baseline_uninit_20150104" connectionId="8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kw_integration_Win_BLL_baseline_diff_integration_2014105_vs_integration_2014-08-02_2" connectionId="7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integration_Win_BLL_baseline_uninit_20140921" connectionId="7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kw_integration_x86_baseline_diff_integration_2014_1_5_vs_integration_2014-07-20" connectionId="7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integration_Win_BLL_baseline_uninit_20160214" connectionId="8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integration_Win_BLL_baseline_uninit_20140608" connectionId="7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integration_Win_BLL_baseline_uninit_20140602" connectionId="6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kw_integration_Win_BLL_baseline_diff_integration_2014105_vs_integration_2014-08-02_1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integration_Win_BLL_baseline_uninit_20150219" connectionId="8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integration_Win_BLL_baseline_uninit_20150329" connectionId="8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integration_Win_BLL_baseline_uninit_20160115" connectionId="8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integration_Win_BLL_baseline_uninit_20141012" connectionId="7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kw_integration_Win_BLL_baseline_diff_integration_2014105_vs_integration_2014-08-02" connectionId="7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integration_Win_BLL_baseline_uninit_20140629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kw_integration_win_ui_diff_integration_ui_2015-10-11_vs_integration_ui_2016-07-03" connectionId="35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kw_integration_win_ui_diff_integration_ui_2013114_vs_integration_ui_2013518" connectionId="30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kw_integration_win_ui_diff_integration_ui_2014105_vs_integration_ui_2014-01-19" connectionId="3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kw_integration_win_ui_diff_integration_ui_2015-10-11_vs_integration_ui_2016-01-14" connectionId="35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kw_integration_win_ui_diff_integration_ui_2013114_vs_integration_ui_2013525" connectionId="30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kw_integration_win_ui_diff_integration_ui_2014105_vs_integration_ui_2014-07-05" connectionId="33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kw_integration_win_ui_diff_integration_ui_2013114_vs_integration_ui_2013622" connectionId="31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kw_integration_win_ui_diff_integration_ui_2013629_vs_integration_ui_2014104" connectionId="3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kw_integration_win_ui_diff_integration_ui_2014105_vs_integration_ui_2014-04-12_1" connectionId="32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kw_integration_win_ui_diff_integration_ui_2013114_vs_integration_ui_2013415" connectionId="30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kw_integration_win_ui_diff_integration_ui_2014105_vs_integration_ui_2014-05-18" connectionId="33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kw_integration_win_ui_diff_integration_ui_2014105_vs_integration_ui_2015-01-04" connectionId="34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kw_integration_win_ui_diff_integration_ui_2013114_vs_integration_ui_2013608" connectionId="31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kw_integration_win_ui_diff_integration_ui_2015-02-15_vs_integration_ui_2015-09-20_1" connectionId="34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kw_integration_win_ui_diff_integration_ui_2014105_vs_integration_ui_2014-06-07" connectionId="33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kw_integration_win_ui_diff_integration_ui_2015-02-15_vs_integration_ui_2015-03-28_1" connectionId="34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kw_integration_win_ui_diff_integration_ui_2014105_vs_integration_ui_2014-10-12" connectionId="34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kw_integration_win_ui_diff_integration_ui_2013114_vs_integration_ui_2013511" connectionId="30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kw_integration_Win_BLL_baseline_diff_integration_2014105_vs_integration_2014-08-02_1" connectionId="33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kw_integration_win_ui_diff_integration_ui_2013629_vs_integration_ui_2014-05-30_1" connectionId="31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kw_integration_win_ui_diff_integration_ui_2014105_vs_integration_ui_2014-09-20_1" connectionId="33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kw_integration_win_ui_diff_integration_ui_2013629_vs_integration_ui_2013804" connectionId="31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kw_integration_win_ui_diff_integration_ui_2013114_vs_integration_ui_2013629" connectionId="3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kw_integration_win_ui_diff_integration_ui_2013114_vs_integration_ui_2013601" connectionId="31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kw_integration_win_ui_diff_integration_ui_2013629_vs_integration_ui_2013713" connectionId="3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kw_integration_Win_BLL_baseline_diff_integration_2014105_vs_integration_2014-08-02" connectionId="33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kw_integration_win_ui_diff_integration_ui_2015-10-11_vs_integration_ui_2016-02-13" connectionId="35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kw_integration_win_ui_diff_integration_ui_2013114_vs_integration_ui_2013427" connectionId="30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kw_integration_win_ui_diff_integration_ui_2014105_vs_integration_ui_2014-02-22_1" connectionId="3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kw_integration_win_ui_diff_integration_ui_2014105_vs_integration_ui_2014-05-04" connectionId="32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kw_integration_win_ui_diff_integration_ui_2014105_vs_integration_ui_2014-09-20" connectionId="3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kw_integration_win_ui_diff_integration_ui_2014105_vs_integration_ui_2014-12-05" connectionId="3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kw_integration_win_ui_diff_integration_ui_2015-02-15_vs_integration_ui_2015-02-19_1" connectionId="34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kw_integration_win_ui_diff_integration_ui_2013629_vs_integration_ui_2013727" connectionId="31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kw_integration_win_ui_diff_integration_ui_2015-02-15_vs_integration_ui_2015-02-19" connectionId="34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kw_integration_win_ui_diff_integration_ui_2014105_vs_integration_ui_2014-06-28" connectionId="33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kw_integration_win_ui_diff_integration_ui_2013114_vs_integration_ui_2013420" connectionId="30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kw_integration_win_ui_diff_integration_ui_2014105_vs_integration_ui_2014-03-08" connectionId="32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kw_integration_win_ui_diff_integration_ui_2013114_vs_integration_ui_2013504" connectionId="30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kw_integration_win_ui_diff_integration_ui_2014105_vs_integration_ui_2014-04-26" connectionId="32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kw_integration_win_ui_diff_integration_ui_2013114_vs_integration_ui_2013615" connectionId="31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kw_integration_win_ui_diff_integration_ui_2014105_vs_integration_ui_2014-03-02_1" connectionId="32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kw_integration_win_ui_diff_integration_ui_2014105_vs_integration_ui_2014-01-31" connectionId="32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kw_integration_win_ui_diff_integration_ui_2014105_vs_integration_ui_2014-03-22_1" connectionId="32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kw_integration_win_ui_diff_integration_ui_2014105_vs_integration_ui_2014-05-11_1" connectionId="33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kw_integration_Win_BLL_baseline_diff_integration_2014105_vs_integration_2014-08-02_2" connectionId="33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kw_integration_win_ui_diff_integration_ui_2014105_vs_integration_ui_2014-02-13_1" connectionId="32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kw_integration_win_ui_diff_integration_ui_2015-02-15_vs_integration_ui_2015-09-20" connectionId="348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kw_integration_win_ui_diff_integration_ui_2015-02-15_vs_integration_ui_2015-08-30" connectionId="34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kw_integration_x86_baseline_diff_integration_2015-12-27_vs_integration_2016-07-03" connectionId="41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kw_integration_x86_baseline_diff_integration_2014_1_5_vs_integration_2014-12-07_3" connectionId="40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kw_integration_x86_baseline_diff_integration_2014_1_5_vs_integration_2014-07-20_1" connectionId="398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kw_integration_x86_baseline_diff_integration_2014_1_5_vs_integration_2014-03-02_1" connectionId="389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kw_integration_x86_baseline_diff_integration_2014_1_5_vs_integration_2014-03-23" connectionId="39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kw_integration_Win_BLL_baseline_diff_integration_2014105_vs_integration_2014-08-02_1" connectionId="40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kw_integration_x86_baseline_diff_integration_2013_6_30_vs_integration_2014-06-01" connectionId="38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kw_integration_Win_BLL_baseline_diff_integration_2014105_vs_integration_2014-08-02" connectionId="39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kw_integration_x86_baseline_diff_integration_2014_1_5_vs_integration_2014-12-07_2" connectionId="40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kw_integration_x86_baseline_diff_integration_2014_1_5_vs_integration_2014-05-11" connectionId="39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kw_integration_x86_baseline_diff_integration_2014_1_5_vs_integration_2014-09-21_1" connectionId="40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kw_integration_x86_baseline_diff_integration_2014_1_5_vs_integration_2014-10-12" connectionId="40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kw_integration_Win_BLL_baseline_diff_integration_2014105_vs_integration_2014-08-02_3" connectionId="40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kw_integration_x86_baseline_diff_integration_2014_1_5_vs_integration_2014-06-29" connectionId="39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kw_integration_x86_baseline_diff_integration_2014_1_5_vs_integration_2014-02-02_1" connectionId="386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kw_integration_x86_baseline_diff_integration_2015-01-29_vs_integration_2015-08-30_1" connectionId="41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kw_integration_x86_baseline_diff_integration_2015-01-29_vs_integration_2015-02-19" connectionId="41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kw_integration_x86_baseline_diff_integration_2014_1_5_vs_integration_2014-05-18_1" connectionId="39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kw_integration_x86_baseline_diff_integration_2015-12-27_vs_integration_2016-02-14" connectionId="41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kw_integration_x86_baseline_diff_integration_2014_1_5_vs_integration_2014-12-07_1" connectionId="40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kw_integration_x86_baseline_diff_integration_2014_1_5_vs_integration_2014-05-04_1" connectionId="39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kw_integration_x86_baseline_diff_integration_2014_1_5_vs_integration_2014-06-08_1" connectionId="39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kw_integration_x86_baseline_diff_integration_2013_6_30_vs_integration_2014_1_5" connectionId="38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kw_integration_Win_BLL_baseline_diff_integration_2014105_vs_integration_2014-08-02_2" connectionId="40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kw_integration_x86_baseline_diff_integration_2014_1_5_vs_integration_2014-12-07" connectionId="406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kw_integration_x86_baseline_diff_integration_2014_1_5_vs_integration_2014-02-16" connectionId="387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kw_integration_x86_baseline_diff_integration_2014_1_5_vs_integration_2014-04-29" connectionId="39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kw_integration_x86_baseline_diff_integration_2014_1_5_vs_integration_2015-01-04" connectionId="410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kw_integration_x86_baseline_diff_integration_2014_1_5_vs_integration_2014-03-09_1" connectionId="390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kw_integration_x86_baseline_diff_integration_2013_6_30_vs_integration_2013_12_21" connectionId="377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kw_integration_x86_baseline_diff_integration_2015-01-29_vs_integration_2015-03-28" connectionId="412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kw_integration_x86_baseline_diff_integration_2013_6_30_vs_integration_2013_12_29" connectionId="378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kw_integration_x86_baseline_diff_integration_2014_1_5_vs_integration_2014-02-23_1" connectionId="388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kw_integration_x86_baseline_diff_integration_2014_1_5_vs_integration_2014-01-18_1" connectionId="385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kw_integration_x86_baseline_diff_integration_2015-01-29_vs_integration_2015-09-20_1" connectionId="414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kw_integration_Win_BLL_baseline_diff_integration_2015-12-23_vs_integration_2016-07-03" connectionId="29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kw_integration_Win_BLL_baseline_diff_integration_2014105_vs_integration_2014-02-13_1" connectionId="266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kw_integration_x86_baseline_diff_integration_2014_1_5_vs_integration_2014-07-20" connectionId="278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kw_integration_Win_BLL_baseline_diff_integration_2014105_vs_integration_2014-01-31_1" connectionId="265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kw_integration_Win_BLL_baseline_diff_integration_2013630_vs_integration_2013728" connectionId="26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kw_integration_Win_BLL_baseline_diff_integration_2014105_vs_integration_2014-08-02_2" connectionId="282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kw_integration_Win_BLL_baseline_diff_integration_2014105_vs_integration_2014-06-07_1" connectionId="275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kw_integration_x86_baseline_diff_integration_2014_1_5_vs_integration_2014-09-21" connectionId="40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kw_integration_Win_BLL_baseline_diff_integration_2014105_vs_integration_2014-04-26" connectionId="27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kw_integration_Win_BLL_baseline_diff_integration_2013630_vs_integration_2013804" connectionId="262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kw_integration_Win_BLL_baseline_diff_integration_2014105_vs_integration_2014-02-22_1" connectionId="267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kw_integration_Win_BLL_baseline_diff_integration_2014105_vs_integration_2014-08-02_1" connectionId="279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kw_integration_Win_BLL_baseline_diff_integration_2014105_vs_integration_2014-05-18_1" connectionId="274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kw_integration_Win_BLL_baseline_diff_integration_2015-12-23_vs_integration_2016-01-14" connectionId="292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kw_integration_Win_BLL_baseline_diff_integration_2014105_vs_integration_2014-05-04" connectionId="272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kw_integration_Win_BLL_baseline_diff_integration_2014105_vs_integration_2014-04-12_1" connectionId="270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kw_integration_Win_BLL_baseline_diff_integration_2015-02-15_vs_integration_2015-03-27" connectionId="289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kw_integration_Win_BLL_baseline_diff_integration_2014105_vs_integration_2014-12-05_1" connectionId="286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kw_integration_Win_BLL_baseline_diff_integration_2015-02-15_vs_integration_2015-08-30" connectionId="290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kw_integration_Win_BLL_baseline_diff_integration_2014105_vs_integration_2014-12-05" connectionId="285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kw_integration_Win_BLL_baseline_diff_integration_2014105_vs_integration_2015-01-04" connectionId="287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kw_integration_Win_BLL_baseline_diff_integration_2015-12-23_vs_integration_2016-02-13" connectionId="29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kw_integration_Win_BLL_baseline_diff_integration_2014105_vs_integration_2014-06-28_1" connectionId="276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kw_integration_Win_BLL_baseline_diff_integration_2014105_vs_integration_2014-05-11_1" connectionId="27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kw_integration_Win_BLL_baseline_diff_integration_2014105_vs_integration_2014-07-05_1" connectionId="277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kw_integration_Win_BLL_baseline_diff_integration_2014105_vs_integration_2014-08-02" connectionId="280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kw_integration_Win_BLL_baseline_diff_integration_2013630_vs_integration_2014-05-30" connectionId="263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kw_integration_Win_BLL_baseline_diff_integration_2014105_vs_integration_2014-10-12" connectionId="284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kw_integration_Win_BLL_baseline_diff_integration_2014105_vs_integration_2014-03-02_1" connectionId="268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kw_integration_Win_BLL_baseline_diff_integration_2014105_vs_integration_2014-01-19_1" connectionId="264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kw_integration_Win_BLL_baseline_diff_integration_2014105_vs_integration_2014-09-20" connectionId="283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kw_integration_Win_BLL_baseline_diff_integration_2014105_vs_integration_2014-03-22" connectionId="269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kw_integration_Win_BLL_baseline_diff_integration_2015-02-15_vs_integration_2015-09-20" connectionId="29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integration_win_ui_backlog_20160703" connectionId="125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integration_win_ui_backlog_20150329" connectionId="120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kw_integration_Win_BLL_baseline_diff_integration_2014105_vs_integration_2014-08-02_3" connectionId="113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integration_win_ui_backlog_20140202" connectionId="93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integration_win_ui_backlog_20150219" connectionId="119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integration_win_ui_backlog_20141012" connectionId="116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kw_integration_win_ui_diff_integration_ui_2014105_vs_integration_ui_2014-07-05" connectionId="107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kw_integration_Win_BLL_baseline_diff_integration_2014105_vs_integration_2014-08-02" connectionId="110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kw_integration_x86_baseline_diff_integration_2014_1_5_vs_integration_2014-07-20_1" connectionId="108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integration_win_ui_backlog_20140105" connectionId="91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kw_integration_Win_BLL_baseline_diff_integration_2014105_vs_integration_2014-08-02_2" connectionId="11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kw_integration_Win_BLL_baseline_diff_integration_2014105_vs_integration_2014-08-02_1" connectionId="11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kw_integration_win_ui_diff_integration_ui_2015-02-15_vs_integration_ui_2015-09-20" connectionId="347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integration_win_ui_backlog_20160115" connectionId="123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integration_win_ui_backlog_20140309" connectionId="97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integration_win_ui_backlog_20150920" connectionId="122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kw_integration_x86_baseline_diff_integration_2014_1_5_vs_integration_2014-07-20_2" connectionId="109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integration_win_ui_backlog_20140119" connectionId="9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integration_win_ui_backlog_20131229" connectionId="9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integration_win_ui_backlog_20140302" connectionId="96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integration_win_ui_backlog_20140223" connectionId="95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integration_win_ui_backlog_20160214" connectionId="124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integration_win_ui_backlog_20140511" connectionId="10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integration_win_ui_backlog_20140921" connectionId="114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integration_win_ui_backlog_20141207" connectionId="117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integration_win_ui_backlog_20140504" connectionId="10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integration_win_ui_backlog_20140518" connectionId="103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integration_win_ui_backlog_20140429" connectionId="100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integration_win_ui_backlog_20150104" connectionId="118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integration_win_ui_backlog_20140922" connectionId="115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integration_win_ui_backlog_20140629" connectionId="106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integration_win_ui_backlog_20131120" connectionId="88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integration_win_ui_backlog_20140413" connectionId="99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integration_win_ui_backlog_20140216" connectionId="94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integration_win_ui_backlog_20140608" connectionId="105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integration_win_ui_backlog_20140602" connectionId="104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integration_win_ui_backlog_20140323" connectionId="98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integration_win_ui_backlog_20150830" connectionId="12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integration_x86_baseline_backlog_20160703" connectionId="20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integration_x86_baseline_backlog_20150329" connectionId="195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integration_x86_baseline_backlog_20140518" connectionId="179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integration_x86_baseline_backlog_20140309" connectionId="173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integration_x86_baseline_backlog_20150219" connectionId="194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integration_x86_baseline_backlog_20141012" connectionId="191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integration_x86_baseline_backlog_20140602" connectionId="180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integration_x86_baseline_backlog_20140608" connectionId="18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kw_integration_x86_baseline_diff_integration_2014_1_5_vs_integration_2014-07-20" connectionId="185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kw_integration_Win_BLL_baseline_diff_integration_2014105_vs_integration_2014-08-02_3" connectionId="189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kw_integration_win_ui_diff_integration_ui_2014105_vs_integration_ui_2014-07-05" connectionId="183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kw_integration_Win_BLL_baseline_diff_integration_2014105_vs_integration_2014-08-02" connectionId="186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integration_x86_baseline_backlog_20150920" connectionId="197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integration_x86_baseline_backlog_20160115" connectionId="199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integration_x86_baseline_backlog_20131229" connectionId="166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integration_x86_baseline_backlog_20150921" connectionId="198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integration_x86_baseline_backlog_20140629" connectionId="182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integration_x86_baseline_backlog_20140413" connectionId="175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kw_integration_Win_BLL_baseline_diff_integration_2014105_vs_integration_2014-08-02_1" connectionId="187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integration_x86_baseline_backlog_20131222" connectionId="165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integration_x86_baseline_backlog_20140223" connectionId="17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integration_x86_baseline_backlog_20160214" connectionId="200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integration_x86_baseline_backlog_20140429" connectionId="176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integration_x86_baseline_backlog_20140105" connectionId="167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integration_x86_baseline_backlog_20141207" connectionId="19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integration_x86_baseline_backlog_20140119" connectionId="168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integration_x86_baseline_backlog_20131120" connectionId="163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integration_x86_baseline_backlog_20140323" connectionId="174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integration_x86_baseline_backlog_20150104" connectionId="193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integration_x86_baseline_backlog_20140921" connectionId="190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kw_integration_win_ui_diff_integration_ui_2014105_vs_integration_ui_2014-07-05_1" connectionId="184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kw_integration_Win_BLL_baseline_diff_integration_2014105_vs_integration_2014-08-02_2" connectionId="188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integration_x86_baseline_backlog_20140202" connectionId="169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integration_x86_baseline_backlog_20140504" connectionId="177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integration_x86_baseline_backlog_20140302" connectionId="172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integration_x86_baseline_backlog_20140216" connectionId="170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integration_x86_baseline_backlog_20140511" connectionId="178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integration_x86_baseline_backlog_20150830" connectionId="196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integration_Win_BLL_baseline_backlog_20160703" connectionId="35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integration_Win_BLL_baseline_backlog_20141207" connectionId="28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integration_Win_BLL_baseline_backlog_20140413" connectionId="13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integration_Win_BLL_baseline_backlog_20140602" connectionId="18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integration_Win_BLL_baseline_backlog_20140921" connectionId="26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kw_integration_Win_BLL_baseline_diff_integration_2014105_vs_integration_2014-08-02" connectionId="23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integration_Win_BLL_baseline_backlog_20150104" connectionId="29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kw_integration_Win_BLL_baseline_diff_integration_2014105_vs_integration_2014-08-02_1" connectionId="24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integration_Win_BLL_baseline_backlog_20150329" connectionId="31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integration_Win_BLL_baseline_backlog_20131222" connectionId="3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integration_Win_BLL_baseline_backlog_20140629" connectionId="2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integration_Win_BLL_baseline_uninit_20140602" connectionId="69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integration_Win_BLL_baseline_backlog_20140504" connectionId="15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integration_Win_BLL_baseline_backlog_20140429" connectionId="14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integration_Win_BLL_baseline_backlog_20160115" connectionId="33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integration_Win_BLL_baseline_backlog_20140119" connectionId="6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integration_Win_BLL_baseline_backlog_20140105" connectionId="5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kw_integration_x86_baseline_diff_integration_2014_1_5_vs_integration_2014-07-20" connectionId="22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integration_Win_BLL_baseline_backlog_20150830" connectionId="32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kw_integration_Win_BLL_baseline_diff_integration_2014105_vs_integration_2014-08-02_2" connectionId="25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integration_Win_BLL_baseline_backlog_20131120" connectionId="1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integration_Win_BLL_baseline_backlog_20140323" connectionId="12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integration_Win_BLL_baseline_backlog_20160214" connectionId="34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integration_Win_BLL_baseline_backlog_20150219" connectionId="30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integration_Win_BLL_baseline_backlog_20140309" connectionId="11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integration_Win_BLL_baseline_backlog_20140511" connectionId="16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integration_Win_BLL_baseline_backlog_20140202" connectionId="7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integration_Win_BLL_baseline_backlog_20140302" connectionId="10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integration_Win_BLL_baseline_backlog_20140223" connectionId="9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integration_Win_BLL_baseline_backlog_20140608" connectionId="19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kw_integration_win_ui_diff_integration_ui_2014105_vs_integration_ui_2014-07-05_1" connectionId="21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integration_Win_BLL_baseline_backlog_20141012" connectionId="27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integration_Win_BLL_baseline_backlog_20131229" connectionId="4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integration_Win_BLL_baseline_backlog_20140518" connectionId="17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integration_Win_BLL_baseline_backlog_20140216" connectionId="8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integration_win_ui_mem_leak_20160703" connectionId="162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kw_integration_win_ui_diff_integration_ui_2014105_vs_integration_ui_2014-07-05_1" connectionId="146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kw_integration_Win_BLL_baseline_diff_integration_2014105_vs_integration_2014-08-02" connectionId="148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integration_win_ui_mem_leak_20140216" connectionId="133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integration_win_ui_mem_leak_20140602" connectionId="143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kw_integration_Win_BLL_baseline_diff_integration_2014105_vs_integration_2014-08-02_2" connectionId="150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integration_win_ui_mem_leak_20140429" connectionId="139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integration_win_ui_mem_leak_20140629" connectionId="145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integration_win_ui_mem_leak_20150104" connectionId="155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integration_win_ui_mem_leak_20150830" connectionId="158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integration_win_ui_mem_leak_20160115" connectionId="160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integration_win_ui_mem_leak_20140922" connectionId="152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integration_win_ui_mem_leak_20131028" connectionId="126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integration_win_ui_mem_leak_20140202" connectionId="132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integration_win_ui_mem_leak_20140323" connectionId="137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integration_win_ui_mem_leak_20140119" connectionId="131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integration_win_ui_mem_leak_20140302" connectionId="135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integration_win_ui_mem_leak_20140105" connectionId="130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integration_win_ui_mem_leak_20140504" connectionId="140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integration_win_ui_mem_leak_20141207" connectionId="154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integration_win_ui_mem_leak_20160214" connectionId="161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integration_win_ui_mem_leak_20131222" connectionId="127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integration_win_ui_mem_leak_20150219" connectionId="156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integration_win_ui_mem_leak_20140223" connectionId="134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integration_win_ui_mem_leak_20141012" connectionId="153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integration_win_ui_mem_leak_20140608" connectionId="144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integration_win_ui_mem_leak_20140309" connectionId="136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integration_win_ui_mem_leak_20131229" connectionId="129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integration_win_ui_mem_leak_20140511" connectionId="141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integration_win_ui_mem_leak_20150920" connectionId="159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integration_win_ui_mem_leak_20150329" connectionId="157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kw_integration_Win_BLL_baseline_diff_integration_2014105_vs_integration_2014-08-02_1" connectionId="149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kw_integration_x86_baseline_diff_integration_2014_1_5_vs_integration_2014-07-20" connectionId="147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integration_win_ui_mem_leak_20140518" connectionId="142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integration_win_ui_mem_leak_20140413" connectionId="138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integration_win_ui_mem_leak_20140921" connectionId="151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integration_win_ui_mem_leak_20131223" connectionId="128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integration_x86_baseline_mem_leak_20160703" connectionId="233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integration_x86_baseline_mem_leak_20140223" connectionId="207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integration_x86_baseline_mem_leak_20160115" connectionId="231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integration_x86_baseline_mem_leak_20140602" connectionId="214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integration_x86_baseline_mem_leak_20140309" connectionId="209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integration_x86_baseline_mem_leak_20140302" connectionId="208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integration_x86_baseline_mem_leak_20140202" connectionId="205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integration_x86_baseline_mem_leak_20140921" connectionId="223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integration_x86_baseline_mem_leak_20140504" connectionId="213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integration_x86_baseline_mem_leak_20141207" connectionId="225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integration_x86_baseline_mem_leak_20150219" connectionId="227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integration_x86_baseline_mem_leak_20140216" connectionId="206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kw_integration_Win_BLL_baseline_diff_integration_2014105_vs_integration_2014-08-02_3" connectionId="222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kw_integration_Win_BLL_baseline_diff_integration_2014105_vs_integration_2014-08-02" connectionId="219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integration_x86_baseline_mem_leak_20150329" connectionId="228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kw_integration_win_ui_diff_integration_ui_2014105_vs_integration_ui_2014-07-05_1" connectionId="217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integration_x86_baseline_mem_leak_20140119" connectionId="204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integration_x86_baseline_mem_leak_20131028" connectionId="202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integration_x86_baseline_mem_leak_20150920" connectionId="230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integration_x86_baseline_mem_leak_20140429" connectionId="212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kw_integration_x86_baseline_diff_integration_2014_1_5_vs_integration_2014-07-20" connectionId="218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integration_x86_baseline_mem_leak_20160214" connectionId="232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integration_x86_baseline_mem_leak_20140608" connectionId="215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kw_integration_Win_BLL_baseline_diff_integration_2014105_vs_integration_2014-08-02_1" connectionId="220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integration_x86_baseline_mem_leak_20131222" connectionId="20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integration_x86_baseline_mem_leak_20150830" connectionId="229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integration_x86_baseline_mem_leak_20140629" connectionId="216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integration_x86_baseline_mem_leak_20141012" connectionId="224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integration_x86_baseline_mem_leak_20140323" connectionId="210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kw_integration_Win_BLL_baseline_diff_integration_2014105_vs_integration_2014-08-02_2" connectionId="221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integration_x86_baseline_mem_leak_20140413" connectionId="211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integration_x86_baseline_mem_leak_20150104" connectionId="226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integration_Win_BLL_baseline_mem_leak_20160704" connectionId="67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integration_Win_BLL_baseline_mem_leak_20160703" connectionId="66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integration_Win_BLL_baseline_mem_leak_20140309" connectionId="43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integration_Win_BLL_baseline_mem_leak_20140504" connectionId="47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integration_Win_BLL_baseline_mem_leak_20140302" connectionId="42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integration_Win_BLL_baseline_mem_leak_20140202" connectionId="39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integration_Win_BLL_baseline_mem_leak_20150219" connectionId="60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integration_Win_BLL_baseline_mem_leak_20150329" connectionId="61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integration_Win_BLL_baseline_mem_leak_20140921" connectionId="56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integration_Win_BLL_baseline_mem_leak_20140608" connectionId="49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integration_Win_BLL_baseline_mem_leak_20150920" connectionId="6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integration_Win_BLL_baseline_mem_leak_20150104" connectionId="59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integration_Win_BLL_baseline_mem_leak_20141012" connectionId="57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integration_Win_BLL_baseline_mem_leak_20141207" connectionId="58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integration_Win_BLL_baseline_mem_leak_20140602" connectionId="48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integration_Win_BLL_baseline_mem_leak_20160115" connectionId="64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integration_Win_BLL_baseline_mem_leak_20140105" connectionId="37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integration_Win_BLL_baseline_mem_leak_20160214" connectionId="65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integration_Win_BLL_baseline_mem_leak_20150830" connectionId="62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kw_integration_x86_baseline_diff_integration_2014_1_5_vs_integration_2014-07-20" connectionId="52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integration_Win_BLL_baseline_mem_leak_20140323" connectionId="44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integration_Win_BLL_baseline_mem_leak_20140223" connectionId="41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kw_integration_Win_BLL_baseline_diff_integration_2014105_vs_integration_2014-08-02" connectionId="53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integration_Win_BLL_baseline_mem_leak_20140413" connectionId="45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integration_Win_BLL_baseline_mem_leak_20131028" connectionId="36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kw_integration_Win_BLL_baseline_diff_integration_2014105_vs_integration_2014-08-02_2" connectionId="55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kw_integration_win_ui_diff_integration_ui_2014105_vs_integration_ui_2014-07-05" connectionId="51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integration_Win_BLL_baseline_mem_leak_20140629" connectionId="50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integration_Win_BLL_baseline_mem_leak_20140216" connectionId="40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integration_Win_BLL_baseline_mem_leak_20140429" connectionId="46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kw_integration_Win_BLL_baseline_diff_integration_2014105_vs_integration_2014-08-02_1" connectionId="54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integration_Win_BLL_baseline_mem_leak_20140119" connectionId="38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integration_win_ui_backlog_20131216" connectionId="89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integration_x86_baseline_backlog_20131216" connectionId="164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integration_Win_BLL_baseline_backlog_20131216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.xml"/><Relationship Id="rId13" Type="http://schemas.openxmlformats.org/officeDocument/2006/relationships/queryTable" Target="../queryTables/queryTable33.xml"/><Relationship Id="rId18" Type="http://schemas.openxmlformats.org/officeDocument/2006/relationships/queryTable" Target="../queryTables/queryTable38.xml"/><Relationship Id="rId3" Type="http://schemas.openxmlformats.org/officeDocument/2006/relationships/queryTable" Target="../queryTables/queryTable23.xml"/><Relationship Id="rId7" Type="http://schemas.openxmlformats.org/officeDocument/2006/relationships/queryTable" Target="../queryTables/queryTable27.xml"/><Relationship Id="rId12" Type="http://schemas.openxmlformats.org/officeDocument/2006/relationships/queryTable" Target="../queryTables/queryTable32.xml"/><Relationship Id="rId17" Type="http://schemas.openxmlformats.org/officeDocument/2006/relationships/queryTable" Target="../queryTables/queryTable37.xml"/><Relationship Id="rId2" Type="http://schemas.openxmlformats.org/officeDocument/2006/relationships/queryTable" Target="../queryTables/queryTable22.xml"/><Relationship Id="rId16" Type="http://schemas.openxmlformats.org/officeDocument/2006/relationships/queryTable" Target="../queryTables/queryTable36.xml"/><Relationship Id="rId1" Type="http://schemas.openxmlformats.org/officeDocument/2006/relationships/queryTable" Target="../queryTables/queryTable21.xml"/><Relationship Id="rId6" Type="http://schemas.openxmlformats.org/officeDocument/2006/relationships/queryTable" Target="../queryTables/queryTable26.xml"/><Relationship Id="rId11" Type="http://schemas.openxmlformats.org/officeDocument/2006/relationships/queryTable" Target="../queryTables/queryTable31.xml"/><Relationship Id="rId5" Type="http://schemas.openxmlformats.org/officeDocument/2006/relationships/queryTable" Target="../queryTables/queryTable25.xml"/><Relationship Id="rId15" Type="http://schemas.openxmlformats.org/officeDocument/2006/relationships/queryTable" Target="../queryTables/queryTable35.xml"/><Relationship Id="rId10" Type="http://schemas.openxmlformats.org/officeDocument/2006/relationships/queryTable" Target="../queryTables/queryTable30.xml"/><Relationship Id="rId19" Type="http://schemas.openxmlformats.org/officeDocument/2006/relationships/queryTable" Target="../queryTables/queryTable39.xml"/><Relationship Id="rId4" Type="http://schemas.openxmlformats.org/officeDocument/2006/relationships/queryTable" Target="../queryTables/queryTable24.xml"/><Relationship Id="rId9" Type="http://schemas.openxmlformats.org/officeDocument/2006/relationships/queryTable" Target="../queryTables/queryTable29.xml"/><Relationship Id="rId14" Type="http://schemas.openxmlformats.org/officeDocument/2006/relationships/queryTable" Target="../queryTables/queryTable34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52.xml"/><Relationship Id="rId18" Type="http://schemas.openxmlformats.org/officeDocument/2006/relationships/queryTable" Target="../queryTables/queryTable57.xml"/><Relationship Id="rId26" Type="http://schemas.openxmlformats.org/officeDocument/2006/relationships/queryTable" Target="../queryTables/queryTable65.xml"/><Relationship Id="rId39" Type="http://schemas.openxmlformats.org/officeDocument/2006/relationships/queryTable" Target="../queryTables/queryTable78.xml"/><Relationship Id="rId3" Type="http://schemas.openxmlformats.org/officeDocument/2006/relationships/queryTable" Target="../queryTables/queryTable42.xml"/><Relationship Id="rId21" Type="http://schemas.openxmlformats.org/officeDocument/2006/relationships/queryTable" Target="../queryTables/queryTable60.xml"/><Relationship Id="rId34" Type="http://schemas.openxmlformats.org/officeDocument/2006/relationships/queryTable" Target="../queryTables/queryTable73.xml"/><Relationship Id="rId42" Type="http://schemas.openxmlformats.org/officeDocument/2006/relationships/queryTable" Target="../queryTables/queryTable81.xml"/><Relationship Id="rId47" Type="http://schemas.openxmlformats.org/officeDocument/2006/relationships/queryTable" Target="../queryTables/queryTable86.xml"/><Relationship Id="rId7" Type="http://schemas.openxmlformats.org/officeDocument/2006/relationships/queryTable" Target="../queryTables/queryTable46.xml"/><Relationship Id="rId12" Type="http://schemas.openxmlformats.org/officeDocument/2006/relationships/queryTable" Target="../queryTables/queryTable51.xml"/><Relationship Id="rId17" Type="http://schemas.openxmlformats.org/officeDocument/2006/relationships/queryTable" Target="../queryTables/queryTable56.xml"/><Relationship Id="rId25" Type="http://schemas.openxmlformats.org/officeDocument/2006/relationships/queryTable" Target="../queryTables/queryTable64.xml"/><Relationship Id="rId33" Type="http://schemas.openxmlformats.org/officeDocument/2006/relationships/queryTable" Target="../queryTables/queryTable72.xml"/><Relationship Id="rId38" Type="http://schemas.openxmlformats.org/officeDocument/2006/relationships/queryTable" Target="../queryTables/queryTable77.xml"/><Relationship Id="rId46" Type="http://schemas.openxmlformats.org/officeDocument/2006/relationships/queryTable" Target="../queryTables/queryTable85.xml"/><Relationship Id="rId2" Type="http://schemas.openxmlformats.org/officeDocument/2006/relationships/queryTable" Target="../queryTables/queryTable41.xml"/><Relationship Id="rId16" Type="http://schemas.openxmlformats.org/officeDocument/2006/relationships/queryTable" Target="../queryTables/queryTable55.xml"/><Relationship Id="rId20" Type="http://schemas.openxmlformats.org/officeDocument/2006/relationships/queryTable" Target="../queryTables/queryTable59.xml"/><Relationship Id="rId29" Type="http://schemas.openxmlformats.org/officeDocument/2006/relationships/queryTable" Target="../queryTables/queryTable68.xml"/><Relationship Id="rId41" Type="http://schemas.openxmlformats.org/officeDocument/2006/relationships/queryTable" Target="../queryTables/queryTable80.xml"/><Relationship Id="rId1" Type="http://schemas.openxmlformats.org/officeDocument/2006/relationships/queryTable" Target="../queryTables/queryTable40.xml"/><Relationship Id="rId6" Type="http://schemas.openxmlformats.org/officeDocument/2006/relationships/queryTable" Target="../queryTables/queryTable45.xml"/><Relationship Id="rId11" Type="http://schemas.openxmlformats.org/officeDocument/2006/relationships/queryTable" Target="../queryTables/queryTable50.xml"/><Relationship Id="rId24" Type="http://schemas.openxmlformats.org/officeDocument/2006/relationships/queryTable" Target="../queryTables/queryTable63.xml"/><Relationship Id="rId32" Type="http://schemas.openxmlformats.org/officeDocument/2006/relationships/queryTable" Target="../queryTables/queryTable71.xml"/><Relationship Id="rId37" Type="http://schemas.openxmlformats.org/officeDocument/2006/relationships/queryTable" Target="../queryTables/queryTable76.xml"/><Relationship Id="rId40" Type="http://schemas.openxmlformats.org/officeDocument/2006/relationships/queryTable" Target="../queryTables/queryTable79.xml"/><Relationship Id="rId45" Type="http://schemas.openxmlformats.org/officeDocument/2006/relationships/queryTable" Target="../queryTables/queryTable84.xml"/><Relationship Id="rId5" Type="http://schemas.openxmlformats.org/officeDocument/2006/relationships/queryTable" Target="../queryTables/queryTable44.xml"/><Relationship Id="rId15" Type="http://schemas.openxmlformats.org/officeDocument/2006/relationships/queryTable" Target="../queryTables/queryTable54.xml"/><Relationship Id="rId23" Type="http://schemas.openxmlformats.org/officeDocument/2006/relationships/queryTable" Target="../queryTables/queryTable62.xml"/><Relationship Id="rId28" Type="http://schemas.openxmlformats.org/officeDocument/2006/relationships/queryTable" Target="../queryTables/queryTable67.xml"/><Relationship Id="rId36" Type="http://schemas.openxmlformats.org/officeDocument/2006/relationships/queryTable" Target="../queryTables/queryTable75.xml"/><Relationship Id="rId49" Type="http://schemas.openxmlformats.org/officeDocument/2006/relationships/queryTable" Target="../queryTables/queryTable88.xml"/><Relationship Id="rId10" Type="http://schemas.openxmlformats.org/officeDocument/2006/relationships/queryTable" Target="../queryTables/queryTable49.xml"/><Relationship Id="rId19" Type="http://schemas.openxmlformats.org/officeDocument/2006/relationships/queryTable" Target="../queryTables/queryTable58.xml"/><Relationship Id="rId31" Type="http://schemas.openxmlformats.org/officeDocument/2006/relationships/queryTable" Target="../queryTables/queryTable70.xml"/><Relationship Id="rId44" Type="http://schemas.openxmlformats.org/officeDocument/2006/relationships/queryTable" Target="../queryTables/queryTable83.xml"/><Relationship Id="rId4" Type="http://schemas.openxmlformats.org/officeDocument/2006/relationships/queryTable" Target="../queryTables/queryTable43.xml"/><Relationship Id="rId9" Type="http://schemas.openxmlformats.org/officeDocument/2006/relationships/queryTable" Target="../queryTables/queryTable48.xml"/><Relationship Id="rId14" Type="http://schemas.openxmlformats.org/officeDocument/2006/relationships/queryTable" Target="../queryTables/queryTable53.xml"/><Relationship Id="rId22" Type="http://schemas.openxmlformats.org/officeDocument/2006/relationships/queryTable" Target="../queryTables/queryTable61.xml"/><Relationship Id="rId27" Type="http://schemas.openxmlformats.org/officeDocument/2006/relationships/queryTable" Target="../queryTables/queryTable66.xml"/><Relationship Id="rId30" Type="http://schemas.openxmlformats.org/officeDocument/2006/relationships/queryTable" Target="../queryTables/queryTable69.xml"/><Relationship Id="rId35" Type="http://schemas.openxmlformats.org/officeDocument/2006/relationships/queryTable" Target="../queryTables/queryTable74.xml"/><Relationship Id="rId43" Type="http://schemas.openxmlformats.org/officeDocument/2006/relationships/queryTable" Target="../queryTables/queryTable82.xml"/><Relationship Id="rId48" Type="http://schemas.openxmlformats.org/officeDocument/2006/relationships/queryTable" Target="../queryTables/queryTable87.xml"/><Relationship Id="rId8" Type="http://schemas.openxmlformats.org/officeDocument/2006/relationships/queryTable" Target="../queryTables/queryTable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6.xml"/><Relationship Id="rId13" Type="http://schemas.openxmlformats.org/officeDocument/2006/relationships/queryTable" Target="../queryTables/queryTable101.xml"/><Relationship Id="rId18" Type="http://schemas.openxmlformats.org/officeDocument/2006/relationships/queryTable" Target="../queryTables/queryTable106.xml"/><Relationship Id="rId26" Type="http://schemas.openxmlformats.org/officeDocument/2006/relationships/queryTable" Target="../queryTables/queryTable114.xml"/><Relationship Id="rId3" Type="http://schemas.openxmlformats.org/officeDocument/2006/relationships/queryTable" Target="../queryTables/queryTable91.xml"/><Relationship Id="rId21" Type="http://schemas.openxmlformats.org/officeDocument/2006/relationships/queryTable" Target="../queryTables/queryTable109.xml"/><Relationship Id="rId34" Type="http://schemas.openxmlformats.org/officeDocument/2006/relationships/queryTable" Target="../queryTables/queryTable122.xml"/><Relationship Id="rId7" Type="http://schemas.openxmlformats.org/officeDocument/2006/relationships/queryTable" Target="../queryTables/queryTable95.xml"/><Relationship Id="rId12" Type="http://schemas.openxmlformats.org/officeDocument/2006/relationships/queryTable" Target="../queryTables/queryTable100.xml"/><Relationship Id="rId17" Type="http://schemas.openxmlformats.org/officeDocument/2006/relationships/queryTable" Target="../queryTables/queryTable105.xml"/><Relationship Id="rId25" Type="http://schemas.openxmlformats.org/officeDocument/2006/relationships/queryTable" Target="../queryTables/queryTable113.xml"/><Relationship Id="rId33" Type="http://schemas.openxmlformats.org/officeDocument/2006/relationships/queryTable" Target="../queryTables/queryTable121.xml"/><Relationship Id="rId2" Type="http://schemas.openxmlformats.org/officeDocument/2006/relationships/queryTable" Target="../queryTables/queryTable90.xml"/><Relationship Id="rId16" Type="http://schemas.openxmlformats.org/officeDocument/2006/relationships/queryTable" Target="../queryTables/queryTable104.xml"/><Relationship Id="rId20" Type="http://schemas.openxmlformats.org/officeDocument/2006/relationships/queryTable" Target="../queryTables/queryTable108.xml"/><Relationship Id="rId29" Type="http://schemas.openxmlformats.org/officeDocument/2006/relationships/queryTable" Target="../queryTables/queryTable117.xml"/><Relationship Id="rId1" Type="http://schemas.openxmlformats.org/officeDocument/2006/relationships/queryTable" Target="../queryTables/queryTable89.xml"/><Relationship Id="rId6" Type="http://schemas.openxmlformats.org/officeDocument/2006/relationships/queryTable" Target="../queryTables/queryTable94.xml"/><Relationship Id="rId11" Type="http://schemas.openxmlformats.org/officeDocument/2006/relationships/queryTable" Target="../queryTables/queryTable99.xml"/><Relationship Id="rId24" Type="http://schemas.openxmlformats.org/officeDocument/2006/relationships/queryTable" Target="../queryTables/queryTable112.xml"/><Relationship Id="rId32" Type="http://schemas.openxmlformats.org/officeDocument/2006/relationships/queryTable" Target="../queryTables/queryTable120.xml"/><Relationship Id="rId5" Type="http://schemas.openxmlformats.org/officeDocument/2006/relationships/queryTable" Target="../queryTables/queryTable93.xml"/><Relationship Id="rId15" Type="http://schemas.openxmlformats.org/officeDocument/2006/relationships/queryTable" Target="../queryTables/queryTable103.xml"/><Relationship Id="rId23" Type="http://schemas.openxmlformats.org/officeDocument/2006/relationships/queryTable" Target="../queryTables/queryTable111.xml"/><Relationship Id="rId28" Type="http://schemas.openxmlformats.org/officeDocument/2006/relationships/queryTable" Target="../queryTables/queryTable116.xml"/><Relationship Id="rId10" Type="http://schemas.openxmlformats.org/officeDocument/2006/relationships/queryTable" Target="../queryTables/queryTable98.xml"/><Relationship Id="rId19" Type="http://schemas.openxmlformats.org/officeDocument/2006/relationships/queryTable" Target="../queryTables/queryTable107.xml"/><Relationship Id="rId31" Type="http://schemas.openxmlformats.org/officeDocument/2006/relationships/queryTable" Target="../queryTables/queryTable119.xml"/><Relationship Id="rId4" Type="http://schemas.openxmlformats.org/officeDocument/2006/relationships/queryTable" Target="../queryTables/queryTable92.xml"/><Relationship Id="rId9" Type="http://schemas.openxmlformats.org/officeDocument/2006/relationships/queryTable" Target="../queryTables/queryTable97.xml"/><Relationship Id="rId14" Type="http://schemas.openxmlformats.org/officeDocument/2006/relationships/queryTable" Target="../queryTables/queryTable102.xml"/><Relationship Id="rId22" Type="http://schemas.openxmlformats.org/officeDocument/2006/relationships/queryTable" Target="../queryTables/queryTable110.xml"/><Relationship Id="rId27" Type="http://schemas.openxmlformats.org/officeDocument/2006/relationships/queryTable" Target="../queryTables/queryTable115.xml"/><Relationship Id="rId30" Type="http://schemas.openxmlformats.org/officeDocument/2006/relationships/queryTable" Target="../queryTables/queryTable118.xml"/><Relationship Id="rId35" Type="http://schemas.openxmlformats.org/officeDocument/2006/relationships/queryTable" Target="../queryTables/queryTable12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0.xml"/><Relationship Id="rId13" Type="http://schemas.openxmlformats.org/officeDocument/2006/relationships/queryTable" Target="../queryTables/queryTable135.xml"/><Relationship Id="rId18" Type="http://schemas.openxmlformats.org/officeDocument/2006/relationships/queryTable" Target="../queryTables/queryTable140.xml"/><Relationship Id="rId26" Type="http://schemas.openxmlformats.org/officeDocument/2006/relationships/queryTable" Target="../queryTables/queryTable148.xml"/><Relationship Id="rId3" Type="http://schemas.openxmlformats.org/officeDocument/2006/relationships/queryTable" Target="../queryTables/queryTable125.xml"/><Relationship Id="rId21" Type="http://schemas.openxmlformats.org/officeDocument/2006/relationships/queryTable" Target="../queryTables/queryTable143.xml"/><Relationship Id="rId34" Type="http://schemas.openxmlformats.org/officeDocument/2006/relationships/queryTable" Target="../queryTables/queryTable156.xml"/><Relationship Id="rId7" Type="http://schemas.openxmlformats.org/officeDocument/2006/relationships/queryTable" Target="../queryTables/queryTable129.xml"/><Relationship Id="rId12" Type="http://schemas.openxmlformats.org/officeDocument/2006/relationships/queryTable" Target="../queryTables/queryTable134.xml"/><Relationship Id="rId17" Type="http://schemas.openxmlformats.org/officeDocument/2006/relationships/queryTable" Target="../queryTables/queryTable139.xml"/><Relationship Id="rId25" Type="http://schemas.openxmlformats.org/officeDocument/2006/relationships/queryTable" Target="../queryTables/queryTable147.xml"/><Relationship Id="rId33" Type="http://schemas.openxmlformats.org/officeDocument/2006/relationships/queryTable" Target="../queryTables/queryTable155.xml"/><Relationship Id="rId2" Type="http://schemas.openxmlformats.org/officeDocument/2006/relationships/queryTable" Target="../queryTables/queryTable124.xml"/><Relationship Id="rId16" Type="http://schemas.openxmlformats.org/officeDocument/2006/relationships/queryTable" Target="../queryTables/queryTable138.xml"/><Relationship Id="rId20" Type="http://schemas.openxmlformats.org/officeDocument/2006/relationships/queryTable" Target="../queryTables/queryTable142.xml"/><Relationship Id="rId29" Type="http://schemas.openxmlformats.org/officeDocument/2006/relationships/queryTable" Target="../queryTables/queryTable151.xml"/><Relationship Id="rId1" Type="http://schemas.openxmlformats.org/officeDocument/2006/relationships/printerSettings" Target="../printerSettings/printerSettings6.bin"/><Relationship Id="rId6" Type="http://schemas.openxmlformats.org/officeDocument/2006/relationships/queryTable" Target="../queryTables/queryTable128.xml"/><Relationship Id="rId11" Type="http://schemas.openxmlformats.org/officeDocument/2006/relationships/queryTable" Target="../queryTables/queryTable133.xml"/><Relationship Id="rId24" Type="http://schemas.openxmlformats.org/officeDocument/2006/relationships/queryTable" Target="../queryTables/queryTable146.xml"/><Relationship Id="rId32" Type="http://schemas.openxmlformats.org/officeDocument/2006/relationships/queryTable" Target="../queryTables/queryTable154.xml"/><Relationship Id="rId5" Type="http://schemas.openxmlformats.org/officeDocument/2006/relationships/queryTable" Target="../queryTables/queryTable127.xml"/><Relationship Id="rId15" Type="http://schemas.openxmlformats.org/officeDocument/2006/relationships/queryTable" Target="../queryTables/queryTable137.xml"/><Relationship Id="rId23" Type="http://schemas.openxmlformats.org/officeDocument/2006/relationships/queryTable" Target="../queryTables/queryTable145.xml"/><Relationship Id="rId28" Type="http://schemas.openxmlformats.org/officeDocument/2006/relationships/queryTable" Target="../queryTables/queryTable150.xml"/><Relationship Id="rId10" Type="http://schemas.openxmlformats.org/officeDocument/2006/relationships/queryTable" Target="../queryTables/queryTable132.xml"/><Relationship Id="rId19" Type="http://schemas.openxmlformats.org/officeDocument/2006/relationships/queryTable" Target="../queryTables/queryTable141.xml"/><Relationship Id="rId31" Type="http://schemas.openxmlformats.org/officeDocument/2006/relationships/queryTable" Target="../queryTables/queryTable153.xml"/><Relationship Id="rId4" Type="http://schemas.openxmlformats.org/officeDocument/2006/relationships/queryTable" Target="../queryTables/queryTable126.xml"/><Relationship Id="rId9" Type="http://schemas.openxmlformats.org/officeDocument/2006/relationships/queryTable" Target="../queryTables/queryTable131.xml"/><Relationship Id="rId14" Type="http://schemas.openxmlformats.org/officeDocument/2006/relationships/queryTable" Target="../queryTables/queryTable136.xml"/><Relationship Id="rId22" Type="http://schemas.openxmlformats.org/officeDocument/2006/relationships/queryTable" Target="../queryTables/queryTable144.xml"/><Relationship Id="rId27" Type="http://schemas.openxmlformats.org/officeDocument/2006/relationships/queryTable" Target="../queryTables/queryTable149.xml"/><Relationship Id="rId30" Type="http://schemas.openxmlformats.org/officeDocument/2006/relationships/queryTable" Target="../queryTables/queryTable15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4.xml"/><Relationship Id="rId13" Type="http://schemas.openxmlformats.org/officeDocument/2006/relationships/queryTable" Target="../queryTables/queryTable169.xml"/><Relationship Id="rId18" Type="http://schemas.openxmlformats.org/officeDocument/2006/relationships/queryTable" Target="../queryTables/queryTable174.xml"/><Relationship Id="rId26" Type="http://schemas.openxmlformats.org/officeDocument/2006/relationships/queryTable" Target="../queryTables/queryTable182.xml"/><Relationship Id="rId3" Type="http://schemas.openxmlformats.org/officeDocument/2006/relationships/queryTable" Target="../queryTables/queryTable159.xml"/><Relationship Id="rId21" Type="http://schemas.openxmlformats.org/officeDocument/2006/relationships/queryTable" Target="../queryTables/queryTable177.xml"/><Relationship Id="rId34" Type="http://schemas.openxmlformats.org/officeDocument/2006/relationships/queryTable" Target="../queryTables/queryTable190.xml"/><Relationship Id="rId7" Type="http://schemas.openxmlformats.org/officeDocument/2006/relationships/queryTable" Target="../queryTables/queryTable163.xml"/><Relationship Id="rId12" Type="http://schemas.openxmlformats.org/officeDocument/2006/relationships/queryTable" Target="../queryTables/queryTable168.xml"/><Relationship Id="rId17" Type="http://schemas.openxmlformats.org/officeDocument/2006/relationships/queryTable" Target="../queryTables/queryTable173.xml"/><Relationship Id="rId25" Type="http://schemas.openxmlformats.org/officeDocument/2006/relationships/queryTable" Target="../queryTables/queryTable181.xml"/><Relationship Id="rId33" Type="http://schemas.openxmlformats.org/officeDocument/2006/relationships/queryTable" Target="../queryTables/queryTable189.xml"/><Relationship Id="rId38" Type="http://schemas.openxmlformats.org/officeDocument/2006/relationships/queryTable" Target="../queryTables/queryTable194.xml"/><Relationship Id="rId2" Type="http://schemas.openxmlformats.org/officeDocument/2006/relationships/queryTable" Target="../queryTables/queryTable158.xml"/><Relationship Id="rId16" Type="http://schemas.openxmlformats.org/officeDocument/2006/relationships/queryTable" Target="../queryTables/queryTable172.xml"/><Relationship Id="rId20" Type="http://schemas.openxmlformats.org/officeDocument/2006/relationships/queryTable" Target="../queryTables/queryTable176.xml"/><Relationship Id="rId29" Type="http://schemas.openxmlformats.org/officeDocument/2006/relationships/queryTable" Target="../queryTables/queryTable185.xml"/><Relationship Id="rId1" Type="http://schemas.openxmlformats.org/officeDocument/2006/relationships/queryTable" Target="../queryTables/queryTable157.xml"/><Relationship Id="rId6" Type="http://schemas.openxmlformats.org/officeDocument/2006/relationships/queryTable" Target="../queryTables/queryTable162.xml"/><Relationship Id="rId11" Type="http://schemas.openxmlformats.org/officeDocument/2006/relationships/queryTable" Target="../queryTables/queryTable167.xml"/><Relationship Id="rId24" Type="http://schemas.openxmlformats.org/officeDocument/2006/relationships/queryTable" Target="../queryTables/queryTable180.xml"/><Relationship Id="rId32" Type="http://schemas.openxmlformats.org/officeDocument/2006/relationships/queryTable" Target="../queryTables/queryTable188.xml"/><Relationship Id="rId37" Type="http://schemas.openxmlformats.org/officeDocument/2006/relationships/queryTable" Target="../queryTables/queryTable193.xml"/><Relationship Id="rId5" Type="http://schemas.openxmlformats.org/officeDocument/2006/relationships/queryTable" Target="../queryTables/queryTable161.xml"/><Relationship Id="rId15" Type="http://schemas.openxmlformats.org/officeDocument/2006/relationships/queryTable" Target="../queryTables/queryTable171.xml"/><Relationship Id="rId23" Type="http://schemas.openxmlformats.org/officeDocument/2006/relationships/queryTable" Target="../queryTables/queryTable179.xml"/><Relationship Id="rId28" Type="http://schemas.openxmlformats.org/officeDocument/2006/relationships/queryTable" Target="../queryTables/queryTable184.xml"/><Relationship Id="rId36" Type="http://schemas.openxmlformats.org/officeDocument/2006/relationships/queryTable" Target="../queryTables/queryTable192.xml"/><Relationship Id="rId10" Type="http://schemas.openxmlformats.org/officeDocument/2006/relationships/queryTable" Target="../queryTables/queryTable166.xml"/><Relationship Id="rId19" Type="http://schemas.openxmlformats.org/officeDocument/2006/relationships/queryTable" Target="../queryTables/queryTable175.xml"/><Relationship Id="rId31" Type="http://schemas.openxmlformats.org/officeDocument/2006/relationships/queryTable" Target="../queryTables/queryTable187.xml"/><Relationship Id="rId4" Type="http://schemas.openxmlformats.org/officeDocument/2006/relationships/queryTable" Target="../queryTables/queryTable160.xml"/><Relationship Id="rId9" Type="http://schemas.openxmlformats.org/officeDocument/2006/relationships/queryTable" Target="../queryTables/queryTable165.xml"/><Relationship Id="rId14" Type="http://schemas.openxmlformats.org/officeDocument/2006/relationships/queryTable" Target="../queryTables/queryTable170.xml"/><Relationship Id="rId22" Type="http://schemas.openxmlformats.org/officeDocument/2006/relationships/queryTable" Target="../queryTables/queryTable178.xml"/><Relationship Id="rId27" Type="http://schemas.openxmlformats.org/officeDocument/2006/relationships/queryTable" Target="../queryTables/queryTable183.xml"/><Relationship Id="rId30" Type="http://schemas.openxmlformats.org/officeDocument/2006/relationships/queryTable" Target="../queryTables/queryTable186.xml"/><Relationship Id="rId35" Type="http://schemas.openxmlformats.org/officeDocument/2006/relationships/queryTable" Target="../queryTables/queryTable19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02.xml"/><Relationship Id="rId13" Type="http://schemas.openxmlformats.org/officeDocument/2006/relationships/queryTable" Target="../queryTables/queryTable207.xml"/><Relationship Id="rId18" Type="http://schemas.openxmlformats.org/officeDocument/2006/relationships/queryTable" Target="../queryTables/queryTable212.xml"/><Relationship Id="rId26" Type="http://schemas.openxmlformats.org/officeDocument/2006/relationships/queryTable" Target="../queryTables/queryTable220.xml"/><Relationship Id="rId3" Type="http://schemas.openxmlformats.org/officeDocument/2006/relationships/queryTable" Target="../queryTables/queryTable197.xml"/><Relationship Id="rId21" Type="http://schemas.openxmlformats.org/officeDocument/2006/relationships/queryTable" Target="../queryTables/queryTable215.xml"/><Relationship Id="rId34" Type="http://schemas.openxmlformats.org/officeDocument/2006/relationships/queryTable" Target="../queryTables/queryTable228.xml"/><Relationship Id="rId7" Type="http://schemas.openxmlformats.org/officeDocument/2006/relationships/queryTable" Target="../queryTables/queryTable201.xml"/><Relationship Id="rId12" Type="http://schemas.openxmlformats.org/officeDocument/2006/relationships/queryTable" Target="../queryTables/queryTable206.xml"/><Relationship Id="rId17" Type="http://schemas.openxmlformats.org/officeDocument/2006/relationships/queryTable" Target="../queryTables/queryTable211.xml"/><Relationship Id="rId25" Type="http://schemas.openxmlformats.org/officeDocument/2006/relationships/queryTable" Target="../queryTables/queryTable219.xml"/><Relationship Id="rId33" Type="http://schemas.openxmlformats.org/officeDocument/2006/relationships/queryTable" Target="../queryTables/queryTable227.xml"/><Relationship Id="rId38" Type="http://schemas.openxmlformats.org/officeDocument/2006/relationships/queryTable" Target="../queryTables/queryTable232.xml"/><Relationship Id="rId2" Type="http://schemas.openxmlformats.org/officeDocument/2006/relationships/queryTable" Target="../queryTables/queryTable196.xml"/><Relationship Id="rId16" Type="http://schemas.openxmlformats.org/officeDocument/2006/relationships/queryTable" Target="../queryTables/queryTable210.xml"/><Relationship Id="rId20" Type="http://schemas.openxmlformats.org/officeDocument/2006/relationships/queryTable" Target="../queryTables/queryTable214.xml"/><Relationship Id="rId29" Type="http://schemas.openxmlformats.org/officeDocument/2006/relationships/queryTable" Target="../queryTables/queryTable223.xml"/><Relationship Id="rId1" Type="http://schemas.openxmlformats.org/officeDocument/2006/relationships/queryTable" Target="../queryTables/queryTable195.xml"/><Relationship Id="rId6" Type="http://schemas.openxmlformats.org/officeDocument/2006/relationships/queryTable" Target="../queryTables/queryTable200.xml"/><Relationship Id="rId11" Type="http://schemas.openxmlformats.org/officeDocument/2006/relationships/queryTable" Target="../queryTables/queryTable205.xml"/><Relationship Id="rId24" Type="http://schemas.openxmlformats.org/officeDocument/2006/relationships/queryTable" Target="../queryTables/queryTable218.xml"/><Relationship Id="rId32" Type="http://schemas.openxmlformats.org/officeDocument/2006/relationships/queryTable" Target="../queryTables/queryTable226.xml"/><Relationship Id="rId37" Type="http://schemas.openxmlformats.org/officeDocument/2006/relationships/queryTable" Target="../queryTables/queryTable231.xml"/><Relationship Id="rId5" Type="http://schemas.openxmlformats.org/officeDocument/2006/relationships/queryTable" Target="../queryTables/queryTable199.xml"/><Relationship Id="rId15" Type="http://schemas.openxmlformats.org/officeDocument/2006/relationships/queryTable" Target="../queryTables/queryTable209.xml"/><Relationship Id="rId23" Type="http://schemas.openxmlformats.org/officeDocument/2006/relationships/queryTable" Target="../queryTables/queryTable217.xml"/><Relationship Id="rId28" Type="http://schemas.openxmlformats.org/officeDocument/2006/relationships/queryTable" Target="../queryTables/queryTable222.xml"/><Relationship Id="rId36" Type="http://schemas.openxmlformats.org/officeDocument/2006/relationships/queryTable" Target="../queryTables/queryTable230.xml"/><Relationship Id="rId10" Type="http://schemas.openxmlformats.org/officeDocument/2006/relationships/queryTable" Target="../queryTables/queryTable204.xml"/><Relationship Id="rId19" Type="http://schemas.openxmlformats.org/officeDocument/2006/relationships/queryTable" Target="../queryTables/queryTable213.xml"/><Relationship Id="rId31" Type="http://schemas.openxmlformats.org/officeDocument/2006/relationships/queryTable" Target="../queryTables/queryTable225.xml"/><Relationship Id="rId4" Type="http://schemas.openxmlformats.org/officeDocument/2006/relationships/queryTable" Target="../queryTables/queryTable198.xml"/><Relationship Id="rId9" Type="http://schemas.openxmlformats.org/officeDocument/2006/relationships/queryTable" Target="../queryTables/queryTable203.xml"/><Relationship Id="rId14" Type="http://schemas.openxmlformats.org/officeDocument/2006/relationships/queryTable" Target="../queryTables/queryTable208.xml"/><Relationship Id="rId22" Type="http://schemas.openxmlformats.org/officeDocument/2006/relationships/queryTable" Target="../queryTables/queryTable216.xml"/><Relationship Id="rId27" Type="http://schemas.openxmlformats.org/officeDocument/2006/relationships/queryTable" Target="../queryTables/queryTable221.xml"/><Relationship Id="rId30" Type="http://schemas.openxmlformats.org/officeDocument/2006/relationships/queryTable" Target="../queryTables/queryTable224.xml"/><Relationship Id="rId35" Type="http://schemas.openxmlformats.org/officeDocument/2006/relationships/queryTable" Target="../queryTables/queryTable22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39.xml"/><Relationship Id="rId13" Type="http://schemas.openxmlformats.org/officeDocument/2006/relationships/queryTable" Target="../queryTables/queryTable244.xml"/><Relationship Id="rId18" Type="http://schemas.openxmlformats.org/officeDocument/2006/relationships/queryTable" Target="../queryTables/queryTable249.xml"/><Relationship Id="rId26" Type="http://schemas.openxmlformats.org/officeDocument/2006/relationships/queryTable" Target="../queryTables/queryTable257.xml"/><Relationship Id="rId3" Type="http://schemas.openxmlformats.org/officeDocument/2006/relationships/queryTable" Target="../queryTables/queryTable234.xml"/><Relationship Id="rId21" Type="http://schemas.openxmlformats.org/officeDocument/2006/relationships/queryTable" Target="../queryTables/queryTable252.xml"/><Relationship Id="rId34" Type="http://schemas.openxmlformats.org/officeDocument/2006/relationships/queryTable" Target="../queryTables/queryTable265.xml"/><Relationship Id="rId7" Type="http://schemas.openxmlformats.org/officeDocument/2006/relationships/queryTable" Target="../queryTables/queryTable238.xml"/><Relationship Id="rId12" Type="http://schemas.openxmlformats.org/officeDocument/2006/relationships/queryTable" Target="../queryTables/queryTable243.xml"/><Relationship Id="rId17" Type="http://schemas.openxmlformats.org/officeDocument/2006/relationships/queryTable" Target="../queryTables/queryTable248.xml"/><Relationship Id="rId25" Type="http://schemas.openxmlformats.org/officeDocument/2006/relationships/queryTable" Target="../queryTables/queryTable256.xml"/><Relationship Id="rId33" Type="http://schemas.openxmlformats.org/officeDocument/2006/relationships/queryTable" Target="../queryTables/queryTable264.xml"/><Relationship Id="rId2" Type="http://schemas.openxmlformats.org/officeDocument/2006/relationships/queryTable" Target="../queryTables/queryTable233.xml"/><Relationship Id="rId16" Type="http://schemas.openxmlformats.org/officeDocument/2006/relationships/queryTable" Target="../queryTables/queryTable247.xml"/><Relationship Id="rId20" Type="http://schemas.openxmlformats.org/officeDocument/2006/relationships/queryTable" Target="../queryTables/queryTable251.xml"/><Relationship Id="rId29" Type="http://schemas.openxmlformats.org/officeDocument/2006/relationships/queryTable" Target="../queryTables/queryTable260.xml"/><Relationship Id="rId1" Type="http://schemas.openxmlformats.org/officeDocument/2006/relationships/printerSettings" Target="../printerSettings/printerSettings7.bin"/><Relationship Id="rId6" Type="http://schemas.openxmlformats.org/officeDocument/2006/relationships/queryTable" Target="../queryTables/queryTable237.xml"/><Relationship Id="rId11" Type="http://schemas.openxmlformats.org/officeDocument/2006/relationships/queryTable" Target="../queryTables/queryTable242.xml"/><Relationship Id="rId24" Type="http://schemas.openxmlformats.org/officeDocument/2006/relationships/queryTable" Target="../queryTables/queryTable255.xml"/><Relationship Id="rId32" Type="http://schemas.openxmlformats.org/officeDocument/2006/relationships/queryTable" Target="../queryTables/queryTable263.xml"/><Relationship Id="rId5" Type="http://schemas.openxmlformats.org/officeDocument/2006/relationships/queryTable" Target="../queryTables/queryTable236.xml"/><Relationship Id="rId15" Type="http://schemas.openxmlformats.org/officeDocument/2006/relationships/queryTable" Target="../queryTables/queryTable246.xml"/><Relationship Id="rId23" Type="http://schemas.openxmlformats.org/officeDocument/2006/relationships/queryTable" Target="../queryTables/queryTable254.xml"/><Relationship Id="rId28" Type="http://schemas.openxmlformats.org/officeDocument/2006/relationships/queryTable" Target="../queryTables/queryTable259.xml"/><Relationship Id="rId36" Type="http://schemas.openxmlformats.org/officeDocument/2006/relationships/queryTable" Target="../queryTables/queryTable267.xml"/><Relationship Id="rId10" Type="http://schemas.openxmlformats.org/officeDocument/2006/relationships/queryTable" Target="../queryTables/queryTable241.xml"/><Relationship Id="rId19" Type="http://schemas.openxmlformats.org/officeDocument/2006/relationships/queryTable" Target="../queryTables/queryTable250.xml"/><Relationship Id="rId31" Type="http://schemas.openxmlformats.org/officeDocument/2006/relationships/queryTable" Target="../queryTables/queryTable262.xml"/><Relationship Id="rId4" Type="http://schemas.openxmlformats.org/officeDocument/2006/relationships/queryTable" Target="../queryTables/queryTable235.xml"/><Relationship Id="rId9" Type="http://schemas.openxmlformats.org/officeDocument/2006/relationships/queryTable" Target="../queryTables/queryTable240.xml"/><Relationship Id="rId14" Type="http://schemas.openxmlformats.org/officeDocument/2006/relationships/queryTable" Target="../queryTables/queryTable245.xml"/><Relationship Id="rId22" Type="http://schemas.openxmlformats.org/officeDocument/2006/relationships/queryTable" Target="../queryTables/queryTable253.xml"/><Relationship Id="rId27" Type="http://schemas.openxmlformats.org/officeDocument/2006/relationships/queryTable" Target="../queryTables/queryTable258.xml"/><Relationship Id="rId30" Type="http://schemas.openxmlformats.org/officeDocument/2006/relationships/queryTable" Target="../queryTables/queryTable261.xml"/><Relationship Id="rId35" Type="http://schemas.openxmlformats.org/officeDocument/2006/relationships/queryTable" Target="../queryTables/queryTable26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75.xml"/><Relationship Id="rId13" Type="http://schemas.openxmlformats.org/officeDocument/2006/relationships/queryTable" Target="../queryTables/queryTable280.xml"/><Relationship Id="rId18" Type="http://schemas.openxmlformats.org/officeDocument/2006/relationships/queryTable" Target="../queryTables/queryTable285.xml"/><Relationship Id="rId26" Type="http://schemas.openxmlformats.org/officeDocument/2006/relationships/queryTable" Target="../queryTables/queryTable293.xml"/><Relationship Id="rId3" Type="http://schemas.openxmlformats.org/officeDocument/2006/relationships/queryTable" Target="../queryTables/queryTable270.xml"/><Relationship Id="rId21" Type="http://schemas.openxmlformats.org/officeDocument/2006/relationships/queryTable" Target="../queryTables/queryTable288.xml"/><Relationship Id="rId34" Type="http://schemas.openxmlformats.org/officeDocument/2006/relationships/queryTable" Target="../queryTables/queryTable301.xml"/><Relationship Id="rId7" Type="http://schemas.openxmlformats.org/officeDocument/2006/relationships/queryTable" Target="../queryTables/queryTable274.xml"/><Relationship Id="rId12" Type="http://schemas.openxmlformats.org/officeDocument/2006/relationships/queryTable" Target="../queryTables/queryTable279.xml"/><Relationship Id="rId17" Type="http://schemas.openxmlformats.org/officeDocument/2006/relationships/queryTable" Target="../queryTables/queryTable284.xml"/><Relationship Id="rId25" Type="http://schemas.openxmlformats.org/officeDocument/2006/relationships/queryTable" Target="../queryTables/queryTable292.xml"/><Relationship Id="rId33" Type="http://schemas.openxmlformats.org/officeDocument/2006/relationships/queryTable" Target="../queryTables/queryTable300.xml"/><Relationship Id="rId2" Type="http://schemas.openxmlformats.org/officeDocument/2006/relationships/queryTable" Target="../queryTables/queryTable269.xml"/><Relationship Id="rId16" Type="http://schemas.openxmlformats.org/officeDocument/2006/relationships/queryTable" Target="../queryTables/queryTable283.xml"/><Relationship Id="rId20" Type="http://schemas.openxmlformats.org/officeDocument/2006/relationships/queryTable" Target="../queryTables/queryTable287.xml"/><Relationship Id="rId29" Type="http://schemas.openxmlformats.org/officeDocument/2006/relationships/queryTable" Target="../queryTables/queryTable296.xml"/><Relationship Id="rId1" Type="http://schemas.openxmlformats.org/officeDocument/2006/relationships/queryTable" Target="../queryTables/queryTable268.xml"/><Relationship Id="rId6" Type="http://schemas.openxmlformats.org/officeDocument/2006/relationships/queryTable" Target="../queryTables/queryTable273.xml"/><Relationship Id="rId11" Type="http://schemas.openxmlformats.org/officeDocument/2006/relationships/queryTable" Target="../queryTables/queryTable278.xml"/><Relationship Id="rId24" Type="http://schemas.openxmlformats.org/officeDocument/2006/relationships/queryTable" Target="../queryTables/queryTable291.xml"/><Relationship Id="rId32" Type="http://schemas.openxmlformats.org/officeDocument/2006/relationships/queryTable" Target="../queryTables/queryTable299.xml"/><Relationship Id="rId37" Type="http://schemas.openxmlformats.org/officeDocument/2006/relationships/queryTable" Target="../queryTables/queryTable304.xml"/><Relationship Id="rId5" Type="http://schemas.openxmlformats.org/officeDocument/2006/relationships/queryTable" Target="../queryTables/queryTable272.xml"/><Relationship Id="rId15" Type="http://schemas.openxmlformats.org/officeDocument/2006/relationships/queryTable" Target="../queryTables/queryTable282.xml"/><Relationship Id="rId23" Type="http://schemas.openxmlformats.org/officeDocument/2006/relationships/queryTable" Target="../queryTables/queryTable290.xml"/><Relationship Id="rId28" Type="http://schemas.openxmlformats.org/officeDocument/2006/relationships/queryTable" Target="../queryTables/queryTable295.xml"/><Relationship Id="rId36" Type="http://schemas.openxmlformats.org/officeDocument/2006/relationships/queryTable" Target="../queryTables/queryTable303.xml"/><Relationship Id="rId10" Type="http://schemas.openxmlformats.org/officeDocument/2006/relationships/queryTable" Target="../queryTables/queryTable277.xml"/><Relationship Id="rId19" Type="http://schemas.openxmlformats.org/officeDocument/2006/relationships/queryTable" Target="../queryTables/queryTable286.xml"/><Relationship Id="rId31" Type="http://schemas.openxmlformats.org/officeDocument/2006/relationships/queryTable" Target="../queryTables/queryTable298.xml"/><Relationship Id="rId4" Type="http://schemas.openxmlformats.org/officeDocument/2006/relationships/queryTable" Target="../queryTables/queryTable271.xml"/><Relationship Id="rId9" Type="http://schemas.openxmlformats.org/officeDocument/2006/relationships/queryTable" Target="../queryTables/queryTable276.xml"/><Relationship Id="rId14" Type="http://schemas.openxmlformats.org/officeDocument/2006/relationships/queryTable" Target="../queryTables/queryTable281.xml"/><Relationship Id="rId22" Type="http://schemas.openxmlformats.org/officeDocument/2006/relationships/queryTable" Target="../queryTables/queryTable289.xml"/><Relationship Id="rId27" Type="http://schemas.openxmlformats.org/officeDocument/2006/relationships/queryTable" Target="../queryTables/queryTable294.xml"/><Relationship Id="rId30" Type="http://schemas.openxmlformats.org/officeDocument/2006/relationships/queryTable" Target="../queryTables/queryTable297.xml"/><Relationship Id="rId35" Type="http://schemas.openxmlformats.org/officeDocument/2006/relationships/queryTable" Target="../queryTables/queryTable30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11.xml"/><Relationship Id="rId13" Type="http://schemas.openxmlformats.org/officeDocument/2006/relationships/queryTable" Target="../queryTables/queryTable316.xml"/><Relationship Id="rId18" Type="http://schemas.openxmlformats.org/officeDocument/2006/relationships/queryTable" Target="../queryTables/queryTable321.xml"/><Relationship Id="rId26" Type="http://schemas.openxmlformats.org/officeDocument/2006/relationships/queryTable" Target="../queryTables/queryTable329.xml"/><Relationship Id="rId3" Type="http://schemas.openxmlformats.org/officeDocument/2006/relationships/queryTable" Target="../queryTables/queryTable306.xml"/><Relationship Id="rId21" Type="http://schemas.openxmlformats.org/officeDocument/2006/relationships/queryTable" Target="../queryTables/queryTable324.xml"/><Relationship Id="rId7" Type="http://schemas.openxmlformats.org/officeDocument/2006/relationships/queryTable" Target="../queryTables/queryTable310.xml"/><Relationship Id="rId12" Type="http://schemas.openxmlformats.org/officeDocument/2006/relationships/queryTable" Target="../queryTables/queryTable315.xml"/><Relationship Id="rId17" Type="http://schemas.openxmlformats.org/officeDocument/2006/relationships/queryTable" Target="../queryTables/queryTable320.xml"/><Relationship Id="rId25" Type="http://schemas.openxmlformats.org/officeDocument/2006/relationships/queryTable" Target="../queryTables/queryTable328.xml"/><Relationship Id="rId33" Type="http://schemas.openxmlformats.org/officeDocument/2006/relationships/queryTable" Target="../queryTables/queryTable336.xml"/><Relationship Id="rId2" Type="http://schemas.openxmlformats.org/officeDocument/2006/relationships/queryTable" Target="../queryTables/queryTable305.xml"/><Relationship Id="rId16" Type="http://schemas.openxmlformats.org/officeDocument/2006/relationships/queryTable" Target="../queryTables/queryTable319.xml"/><Relationship Id="rId20" Type="http://schemas.openxmlformats.org/officeDocument/2006/relationships/queryTable" Target="../queryTables/queryTable323.xml"/><Relationship Id="rId29" Type="http://schemas.openxmlformats.org/officeDocument/2006/relationships/queryTable" Target="../queryTables/queryTable332.xml"/><Relationship Id="rId1" Type="http://schemas.openxmlformats.org/officeDocument/2006/relationships/printerSettings" Target="../printerSettings/printerSettings8.bin"/><Relationship Id="rId6" Type="http://schemas.openxmlformats.org/officeDocument/2006/relationships/queryTable" Target="../queryTables/queryTable309.xml"/><Relationship Id="rId11" Type="http://schemas.openxmlformats.org/officeDocument/2006/relationships/queryTable" Target="../queryTables/queryTable314.xml"/><Relationship Id="rId24" Type="http://schemas.openxmlformats.org/officeDocument/2006/relationships/queryTable" Target="../queryTables/queryTable327.xml"/><Relationship Id="rId32" Type="http://schemas.openxmlformats.org/officeDocument/2006/relationships/queryTable" Target="../queryTables/queryTable335.xml"/><Relationship Id="rId5" Type="http://schemas.openxmlformats.org/officeDocument/2006/relationships/queryTable" Target="../queryTables/queryTable308.xml"/><Relationship Id="rId15" Type="http://schemas.openxmlformats.org/officeDocument/2006/relationships/queryTable" Target="../queryTables/queryTable318.xml"/><Relationship Id="rId23" Type="http://schemas.openxmlformats.org/officeDocument/2006/relationships/queryTable" Target="../queryTables/queryTable326.xml"/><Relationship Id="rId28" Type="http://schemas.openxmlformats.org/officeDocument/2006/relationships/queryTable" Target="../queryTables/queryTable331.xml"/><Relationship Id="rId10" Type="http://schemas.openxmlformats.org/officeDocument/2006/relationships/queryTable" Target="../queryTables/queryTable313.xml"/><Relationship Id="rId19" Type="http://schemas.openxmlformats.org/officeDocument/2006/relationships/queryTable" Target="../queryTables/queryTable322.xml"/><Relationship Id="rId31" Type="http://schemas.openxmlformats.org/officeDocument/2006/relationships/queryTable" Target="../queryTables/queryTable334.xml"/><Relationship Id="rId4" Type="http://schemas.openxmlformats.org/officeDocument/2006/relationships/queryTable" Target="../queryTables/queryTable307.xml"/><Relationship Id="rId9" Type="http://schemas.openxmlformats.org/officeDocument/2006/relationships/queryTable" Target="../queryTables/queryTable312.xml"/><Relationship Id="rId14" Type="http://schemas.openxmlformats.org/officeDocument/2006/relationships/queryTable" Target="../queryTables/queryTable317.xml"/><Relationship Id="rId22" Type="http://schemas.openxmlformats.org/officeDocument/2006/relationships/queryTable" Target="../queryTables/queryTable325.xml"/><Relationship Id="rId27" Type="http://schemas.openxmlformats.org/officeDocument/2006/relationships/queryTable" Target="../queryTables/queryTable330.xml"/><Relationship Id="rId30" Type="http://schemas.openxmlformats.org/officeDocument/2006/relationships/queryTable" Target="../queryTables/queryTable33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44.xml"/><Relationship Id="rId13" Type="http://schemas.openxmlformats.org/officeDocument/2006/relationships/queryTable" Target="../queryTables/queryTable349.xml"/><Relationship Id="rId18" Type="http://schemas.openxmlformats.org/officeDocument/2006/relationships/queryTable" Target="../queryTables/queryTable354.xml"/><Relationship Id="rId26" Type="http://schemas.openxmlformats.org/officeDocument/2006/relationships/queryTable" Target="../queryTables/queryTable362.xml"/><Relationship Id="rId3" Type="http://schemas.openxmlformats.org/officeDocument/2006/relationships/queryTable" Target="../queryTables/queryTable339.xml"/><Relationship Id="rId21" Type="http://schemas.openxmlformats.org/officeDocument/2006/relationships/queryTable" Target="../queryTables/queryTable357.xml"/><Relationship Id="rId7" Type="http://schemas.openxmlformats.org/officeDocument/2006/relationships/queryTable" Target="../queryTables/queryTable343.xml"/><Relationship Id="rId12" Type="http://schemas.openxmlformats.org/officeDocument/2006/relationships/queryTable" Target="../queryTables/queryTable348.xml"/><Relationship Id="rId17" Type="http://schemas.openxmlformats.org/officeDocument/2006/relationships/queryTable" Target="../queryTables/queryTable353.xml"/><Relationship Id="rId25" Type="http://schemas.openxmlformats.org/officeDocument/2006/relationships/queryTable" Target="../queryTables/queryTable361.xml"/><Relationship Id="rId2" Type="http://schemas.openxmlformats.org/officeDocument/2006/relationships/queryTable" Target="../queryTables/queryTable338.xml"/><Relationship Id="rId16" Type="http://schemas.openxmlformats.org/officeDocument/2006/relationships/queryTable" Target="../queryTables/queryTable352.xml"/><Relationship Id="rId20" Type="http://schemas.openxmlformats.org/officeDocument/2006/relationships/queryTable" Target="../queryTables/queryTable356.xml"/><Relationship Id="rId29" Type="http://schemas.openxmlformats.org/officeDocument/2006/relationships/queryTable" Target="../queryTables/queryTable365.xml"/><Relationship Id="rId1" Type="http://schemas.openxmlformats.org/officeDocument/2006/relationships/queryTable" Target="../queryTables/queryTable337.xml"/><Relationship Id="rId6" Type="http://schemas.openxmlformats.org/officeDocument/2006/relationships/queryTable" Target="../queryTables/queryTable342.xml"/><Relationship Id="rId11" Type="http://schemas.openxmlformats.org/officeDocument/2006/relationships/queryTable" Target="../queryTables/queryTable347.xml"/><Relationship Id="rId24" Type="http://schemas.openxmlformats.org/officeDocument/2006/relationships/queryTable" Target="../queryTables/queryTable360.xml"/><Relationship Id="rId32" Type="http://schemas.openxmlformats.org/officeDocument/2006/relationships/queryTable" Target="../queryTables/queryTable368.xml"/><Relationship Id="rId5" Type="http://schemas.openxmlformats.org/officeDocument/2006/relationships/queryTable" Target="../queryTables/queryTable341.xml"/><Relationship Id="rId15" Type="http://schemas.openxmlformats.org/officeDocument/2006/relationships/queryTable" Target="../queryTables/queryTable351.xml"/><Relationship Id="rId23" Type="http://schemas.openxmlformats.org/officeDocument/2006/relationships/queryTable" Target="../queryTables/queryTable359.xml"/><Relationship Id="rId28" Type="http://schemas.openxmlformats.org/officeDocument/2006/relationships/queryTable" Target="../queryTables/queryTable364.xml"/><Relationship Id="rId10" Type="http://schemas.openxmlformats.org/officeDocument/2006/relationships/queryTable" Target="../queryTables/queryTable346.xml"/><Relationship Id="rId19" Type="http://schemas.openxmlformats.org/officeDocument/2006/relationships/queryTable" Target="../queryTables/queryTable355.xml"/><Relationship Id="rId31" Type="http://schemas.openxmlformats.org/officeDocument/2006/relationships/queryTable" Target="../queryTables/queryTable367.xml"/><Relationship Id="rId4" Type="http://schemas.openxmlformats.org/officeDocument/2006/relationships/queryTable" Target="../queryTables/queryTable340.xml"/><Relationship Id="rId9" Type="http://schemas.openxmlformats.org/officeDocument/2006/relationships/queryTable" Target="../queryTables/queryTable345.xml"/><Relationship Id="rId14" Type="http://schemas.openxmlformats.org/officeDocument/2006/relationships/queryTable" Target="../queryTables/queryTable350.xml"/><Relationship Id="rId22" Type="http://schemas.openxmlformats.org/officeDocument/2006/relationships/queryTable" Target="../queryTables/queryTable358.xml"/><Relationship Id="rId27" Type="http://schemas.openxmlformats.org/officeDocument/2006/relationships/queryTable" Target="../queryTables/queryTable363.xml"/><Relationship Id="rId30" Type="http://schemas.openxmlformats.org/officeDocument/2006/relationships/queryTable" Target="../queryTables/queryTable36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5"/>
  <sheetViews>
    <sheetView workbookViewId="0">
      <selection activeCell="A3" sqref="A3:J15"/>
    </sheetView>
  </sheetViews>
  <sheetFormatPr defaultRowHeight="15" x14ac:dyDescent="0.25"/>
  <cols>
    <col min="1" max="1" width="9.5703125" bestFit="1" customWidth="1"/>
    <col min="2" max="2" width="15.42578125" bestFit="1" customWidth="1"/>
    <col min="6" max="6" width="7.42578125" bestFit="1" customWidth="1"/>
    <col min="7" max="7" width="10.42578125" bestFit="1" customWidth="1"/>
  </cols>
  <sheetData>
    <row r="1" spans="1:10" ht="18" x14ac:dyDescent="0.3">
      <c r="A1" s="105" t="s">
        <v>11530</v>
      </c>
    </row>
    <row r="2" spans="1:10" ht="18.600000000000001" thickBot="1" x14ac:dyDescent="0.35">
      <c r="A2" s="105"/>
    </row>
    <row r="3" spans="1:10" ht="16.5" thickBot="1" x14ac:dyDescent="0.3">
      <c r="A3" s="106" t="s">
        <v>155</v>
      </c>
      <c r="B3" s="108" t="s">
        <v>11519</v>
      </c>
      <c r="C3" s="109"/>
      <c r="D3" s="110"/>
      <c r="E3" s="93"/>
      <c r="F3" s="111" t="s">
        <v>11520</v>
      </c>
      <c r="G3" s="112"/>
      <c r="H3" s="112"/>
      <c r="I3" s="112"/>
      <c r="J3" s="113"/>
    </row>
    <row r="4" spans="1:10" ht="16.5" thickTop="1" thickBot="1" x14ac:dyDescent="0.3">
      <c r="A4" s="107"/>
      <c r="B4" s="94" t="s">
        <v>11521</v>
      </c>
      <c r="C4" s="94" t="s">
        <v>11522</v>
      </c>
      <c r="D4" s="95" t="s">
        <v>11523</v>
      </c>
      <c r="E4" s="96" t="s">
        <v>11524</v>
      </c>
      <c r="F4" s="97" t="s">
        <v>11525</v>
      </c>
      <c r="G4" s="97" t="s">
        <v>11526</v>
      </c>
      <c r="H4" s="97" t="s">
        <v>11527</v>
      </c>
      <c r="I4" s="98" t="s">
        <v>11528</v>
      </c>
      <c r="J4" s="99" t="s">
        <v>11529</v>
      </c>
    </row>
    <row r="5" spans="1:10" thickBot="1" x14ac:dyDescent="0.35">
      <c r="A5" s="100">
        <v>42408</v>
      </c>
      <c r="B5" s="101">
        <v>0</v>
      </c>
      <c r="C5" s="101">
        <v>0</v>
      </c>
      <c r="D5" s="102">
        <v>0</v>
      </c>
      <c r="E5" s="103">
        <v>0</v>
      </c>
      <c r="F5" s="101">
        <v>8</v>
      </c>
      <c r="G5" s="101">
        <v>0</v>
      </c>
      <c r="H5" s="101">
        <v>27</v>
      </c>
      <c r="I5" s="101">
        <v>0</v>
      </c>
      <c r="J5" s="104">
        <f t="shared" ref="J5:J15" si="0">SUM(F5:I5)</f>
        <v>35</v>
      </c>
    </row>
    <row r="6" spans="1:10" thickBot="1" x14ac:dyDescent="0.35">
      <c r="A6" s="100">
        <v>42409</v>
      </c>
      <c r="B6" s="101">
        <v>0</v>
      </c>
      <c r="C6" s="101">
        <v>0</v>
      </c>
      <c r="D6" s="102">
        <v>0</v>
      </c>
      <c r="E6" s="103">
        <v>0</v>
      </c>
      <c r="F6" s="101">
        <v>8</v>
      </c>
      <c r="G6" s="101">
        <v>0</v>
      </c>
      <c r="H6" s="101">
        <v>27</v>
      </c>
      <c r="I6" s="101">
        <v>0</v>
      </c>
      <c r="J6" s="104">
        <f t="shared" si="0"/>
        <v>35</v>
      </c>
    </row>
    <row r="7" spans="1:10" thickBot="1" x14ac:dyDescent="0.35">
      <c r="A7" s="100">
        <v>42410</v>
      </c>
      <c r="B7" s="101">
        <v>0</v>
      </c>
      <c r="C7" s="101">
        <v>0</v>
      </c>
      <c r="D7" s="102">
        <v>0</v>
      </c>
      <c r="E7" s="103">
        <v>0</v>
      </c>
      <c r="F7" s="101">
        <v>8</v>
      </c>
      <c r="G7" s="101">
        <v>0</v>
      </c>
      <c r="H7" s="101">
        <v>24</v>
      </c>
      <c r="I7" s="101">
        <v>0</v>
      </c>
      <c r="J7" s="104">
        <f t="shared" si="0"/>
        <v>32</v>
      </c>
    </row>
    <row r="8" spans="1:10" thickBot="1" x14ac:dyDescent="0.35">
      <c r="A8" s="100">
        <v>42411</v>
      </c>
      <c r="B8" s="101">
        <v>0</v>
      </c>
      <c r="C8" s="101">
        <v>0</v>
      </c>
      <c r="D8" s="102">
        <v>0</v>
      </c>
      <c r="E8" s="103">
        <v>0</v>
      </c>
      <c r="F8" s="101">
        <v>8</v>
      </c>
      <c r="G8" s="101">
        <v>0</v>
      </c>
      <c r="H8" s="101">
        <v>17</v>
      </c>
      <c r="I8" s="101">
        <v>0</v>
      </c>
      <c r="J8" s="104">
        <f t="shared" si="0"/>
        <v>25</v>
      </c>
    </row>
    <row r="9" spans="1:10" thickBot="1" x14ac:dyDescent="0.35">
      <c r="A9" s="100">
        <v>42412</v>
      </c>
      <c r="B9" s="101">
        <v>0</v>
      </c>
      <c r="C9" s="101">
        <v>0</v>
      </c>
      <c r="D9" s="102">
        <v>0</v>
      </c>
      <c r="E9" s="103">
        <v>0</v>
      </c>
      <c r="F9" s="101">
        <v>8</v>
      </c>
      <c r="G9" s="101">
        <v>0</v>
      </c>
      <c r="H9" s="101">
        <v>17</v>
      </c>
      <c r="I9" s="101">
        <v>0</v>
      </c>
      <c r="J9" s="104">
        <f t="shared" si="0"/>
        <v>25</v>
      </c>
    </row>
    <row r="10" spans="1:10" thickBot="1" x14ac:dyDescent="0.35">
      <c r="A10" s="100">
        <v>42413</v>
      </c>
      <c r="B10" s="101">
        <v>0</v>
      </c>
      <c r="C10" s="101">
        <v>0</v>
      </c>
      <c r="D10" s="102">
        <v>0</v>
      </c>
      <c r="E10" s="103">
        <v>0</v>
      </c>
      <c r="F10" s="101">
        <v>6</v>
      </c>
      <c r="G10" s="101">
        <v>0</v>
      </c>
      <c r="H10" s="101">
        <v>9</v>
      </c>
      <c r="I10" s="101">
        <v>0</v>
      </c>
      <c r="J10" s="104">
        <f t="shared" si="0"/>
        <v>15</v>
      </c>
    </row>
    <row r="11" spans="1:10" thickBot="1" x14ac:dyDescent="0.35">
      <c r="A11" s="100">
        <v>42414</v>
      </c>
      <c r="B11" s="101">
        <v>0</v>
      </c>
      <c r="C11" s="101">
        <v>0</v>
      </c>
      <c r="D11" s="102">
        <v>0</v>
      </c>
      <c r="E11" s="103">
        <v>0</v>
      </c>
      <c r="F11" s="101">
        <v>6</v>
      </c>
      <c r="G11" s="101">
        <v>0</v>
      </c>
      <c r="H11" s="101">
        <v>9</v>
      </c>
      <c r="I11" s="101">
        <v>0</v>
      </c>
      <c r="J11" s="104">
        <f t="shared" si="0"/>
        <v>15</v>
      </c>
    </row>
    <row r="12" spans="1:10" thickBot="1" x14ac:dyDescent="0.35">
      <c r="A12" s="100">
        <v>42415</v>
      </c>
      <c r="B12" s="101">
        <v>0</v>
      </c>
      <c r="C12" s="101">
        <v>0</v>
      </c>
      <c r="D12" s="102">
        <v>0</v>
      </c>
      <c r="E12" s="103">
        <v>0</v>
      </c>
      <c r="F12" s="101">
        <v>6</v>
      </c>
      <c r="G12" s="101">
        <v>0</v>
      </c>
      <c r="H12" s="101">
        <v>9</v>
      </c>
      <c r="I12" s="101">
        <v>0</v>
      </c>
      <c r="J12" s="104">
        <f t="shared" si="0"/>
        <v>15</v>
      </c>
    </row>
    <row r="13" spans="1:10" thickBot="1" x14ac:dyDescent="0.35">
      <c r="A13" s="100">
        <v>42416</v>
      </c>
      <c r="B13" s="101">
        <v>0</v>
      </c>
      <c r="C13" s="101">
        <v>0</v>
      </c>
      <c r="D13" s="102">
        <v>0</v>
      </c>
      <c r="E13" s="103">
        <v>0</v>
      </c>
      <c r="F13" s="101">
        <v>6</v>
      </c>
      <c r="G13" s="101">
        <v>0</v>
      </c>
      <c r="H13" s="101">
        <v>9</v>
      </c>
      <c r="I13" s="101">
        <v>0</v>
      </c>
      <c r="J13" s="104">
        <f t="shared" si="0"/>
        <v>15</v>
      </c>
    </row>
    <row r="14" spans="1:10" thickBot="1" x14ac:dyDescent="0.35">
      <c r="A14" s="100">
        <v>42417</v>
      </c>
      <c r="B14" s="101">
        <v>0</v>
      </c>
      <c r="C14" s="101">
        <v>0</v>
      </c>
      <c r="D14" s="102">
        <v>0</v>
      </c>
      <c r="E14" s="103">
        <v>0</v>
      </c>
      <c r="F14" s="101">
        <v>6</v>
      </c>
      <c r="G14" s="101">
        <v>0</v>
      </c>
      <c r="H14" s="101">
        <v>9</v>
      </c>
      <c r="I14" s="101">
        <v>0</v>
      </c>
      <c r="J14" s="104">
        <f t="shared" si="0"/>
        <v>15</v>
      </c>
    </row>
    <row r="15" spans="1:10" thickBot="1" x14ac:dyDescent="0.35">
      <c r="A15" s="100">
        <v>42418</v>
      </c>
      <c r="B15" s="101">
        <v>0</v>
      </c>
      <c r="C15" s="101">
        <v>0</v>
      </c>
      <c r="D15" s="102">
        <v>0</v>
      </c>
      <c r="E15" s="103">
        <v>0</v>
      </c>
      <c r="F15" s="101">
        <v>6</v>
      </c>
      <c r="G15" s="101">
        <v>0</v>
      </c>
      <c r="H15" s="101">
        <v>9</v>
      </c>
      <c r="I15" s="101">
        <v>0</v>
      </c>
      <c r="J15" s="104">
        <f t="shared" si="0"/>
        <v>15</v>
      </c>
    </row>
  </sheetData>
  <sortState ref="A5:J15">
    <sortCondition ref="A5:A15"/>
  </sortState>
  <mergeCells count="3">
    <mergeCell ref="A3:A4"/>
    <mergeCell ref="B3:D3"/>
    <mergeCell ref="F3:J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H32"/>
  <sheetViews>
    <sheetView tabSelected="1" topLeftCell="B1" workbookViewId="0">
      <selection activeCell="D22" sqref="D22"/>
    </sheetView>
  </sheetViews>
  <sheetFormatPr defaultRowHeight="15" x14ac:dyDescent="0.25"/>
  <cols>
    <col min="1" max="1" width="6.140625" customWidth="1"/>
    <col min="2" max="2" width="16.42578125" customWidth="1"/>
    <col min="3" max="8" width="15.7109375" customWidth="1"/>
    <col min="9" max="11" width="14.5703125" customWidth="1"/>
    <col min="12" max="14" width="13.5703125" customWidth="1"/>
  </cols>
  <sheetData>
    <row r="5" spans="2:5" x14ac:dyDescent="0.25">
      <c r="C5" s="114" t="s">
        <v>11495</v>
      </c>
      <c r="D5" s="114"/>
      <c r="E5" s="114"/>
    </row>
    <row r="6" spans="2:5" s="12" customFormat="1" ht="30" x14ac:dyDescent="0.25">
      <c r="C6" s="74" t="s">
        <v>8441</v>
      </c>
      <c r="D6" s="78" t="s">
        <v>8443</v>
      </c>
      <c r="E6" s="74" t="s">
        <v>8444</v>
      </c>
    </row>
    <row r="7" spans="2:5" x14ac:dyDescent="0.25">
      <c r="B7" s="70" t="s">
        <v>4606</v>
      </c>
      <c r="C7" s="18">
        <f>'New UI'!A16</f>
        <v>127</v>
      </c>
      <c r="D7" s="18">
        <v>83</v>
      </c>
      <c r="E7" s="18">
        <f>C7-D7</f>
        <v>44</v>
      </c>
    </row>
    <row r="8" spans="2:5" x14ac:dyDescent="0.25">
      <c r="B8" s="70" t="s">
        <v>4608</v>
      </c>
      <c r="C8" s="18">
        <f>'New IL'!A10</f>
        <v>81</v>
      </c>
      <c r="D8" s="18">
        <v>48</v>
      </c>
      <c r="E8" s="18">
        <f t="shared" ref="E8:E10" si="0">C8-D8</f>
        <v>33</v>
      </c>
    </row>
    <row r="9" spans="2:5" x14ac:dyDescent="0.25">
      <c r="B9" s="70" t="s">
        <v>184</v>
      </c>
      <c r="C9" s="18">
        <f>'New BLL'!A11</f>
        <v>82</v>
      </c>
      <c r="D9" s="18">
        <v>19</v>
      </c>
      <c r="E9" s="18">
        <f t="shared" si="0"/>
        <v>63</v>
      </c>
    </row>
    <row r="10" spans="2:5" x14ac:dyDescent="0.25">
      <c r="B10" s="69" t="s">
        <v>0</v>
      </c>
      <c r="C10" s="70">
        <f>C7+C8+C9</f>
        <v>290</v>
      </c>
      <c r="D10" s="70">
        <f>D7+D8+D9</f>
        <v>150</v>
      </c>
      <c r="E10" s="18">
        <f t="shared" si="0"/>
        <v>140</v>
      </c>
    </row>
    <row r="12" spans="2:5" ht="14.45" x14ac:dyDescent="0.3">
      <c r="C12" s="114" t="s">
        <v>8483</v>
      </c>
      <c r="D12" s="114"/>
      <c r="E12" s="114"/>
    </row>
    <row r="13" spans="2:5" ht="28.9" x14ac:dyDescent="0.3">
      <c r="B13" s="12"/>
      <c r="C13" s="74" t="s">
        <v>8441</v>
      </c>
      <c r="D13" s="78" t="s">
        <v>8443</v>
      </c>
      <c r="E13" s="74" t="s">
        <v>8444</v>
      </c>
    </row>
    <row r="14" spans="2:5" ht="14.45" x14ac:dyDescent="0.3">
      <c r="B14" s="89" t="s">
        <v>8484</v>
      </c>
      <c r="C14" s="18">
        <v>0</v>
      </c>
      <c r="D14" s="18">
        <v>0</v>
      </c>
      <c r="E14" s="18">
        <f>C14-D14</f>
        <v>0</v>
      </c>
    </row>
    <row r="15" spans="2:5" ht="14.45" x14ac:dyDescent="0.3">
      <c r="B15" s="89" t="s">
        <v>4608</v>
      </c>
      <c r="C15" s="18">
        <f>'UNINIT IL'!A17</f>
        <v>978</v>
      </c>
      <c r="D15" s="18">
        <v>839</v>
      </c>
      <c r="E15" s="18">
        <f t="shared" ref="E15:E17" si="1">C15-D15</f>
        <v>139</v>
      </c>
    </row>
    <row r="16" spans="2:5" ht="14.45" x14ac:dyDescent="0.3">
      <c r="B16" s="89" t="s">
        <v>184</v>
      </c>
      <c r="C16" s="18">
        <f>'UNINIT BLL'!A16</f>
        <v>442</v>
      </c>
      <c r="D16" s="18">
        <v>316</v>
      </c>
      <c r="E16" s="18">
        <f t="shared" si="1"/>
        <v>126</v>
      </c>
    </row>
    <row r="17" spans="2:8" ht="14.45" x14ac:dyDescent="0.3">
      <c r="B17" s="69" t="s">
        <v>0</v>
      </c>
      <c r="C17" s="89">
        <f>C14+C15+C16</f>
        <v>1420</v>
      </c>
      <c r="D17" s="89">
        <f>D14+D15+D16</f>
        <v>1155</v>
      </c>
      <c r="E17" s="18">
        <f t="shared" si="1"/>
        <v>265</v>
      </c>
    </row>
    <row r="18" spans="2:8" ht="14.45" x14ac:dyDescent="0.3">
      <c r="B18" s="91" t="s">
        <v>8485</v>
      </c>
    </row>
    <row r="19" spans="2:8" ht="14.45" x14ac:dyDescent="0.3">
      <c r="B19" s="92"/>
    </row>
    <row r="20" spans="2:8" ht="14.45" x14ac:dyDescent="0.3">
      <c r="C20" s="114" t="s">
        <v>8442</v>
      </c>
      <c r="D20" s="115"/>
      <c r="E20" s="115"/>
      <c r="F20" s="115"/>
      <c r="G20" s="115"/>
      <c r="H20" s="115"/>
    </row>
    <row r="21" spans="2:8" s="12" customFormat="1" ht="28.9" x14ac:dyDescent="0.3">
      <c r="C21" s="74" t="s">
        <v>8492</v>
      </c>
      <c r="D21" s="74" t="s">
        <v>8445</v>
      </c>
      <c r="E21" s="74" t="s">
        <v>108</v>
      </c>
      <c r="F21" s="74" t="s">
        <v>8447</v>
      </c>
      <c r="G21" s="74" t="s">
        <v>8448</v>
      </c>
      <c r="H21" s="74" t="s">
        <v>8446</v>
      </c>
    </row>
    <row r="22" spans="2:8" ht="14.45" x14ac:dyDescent="0.3">
      <c r="B22" s="70" t="s">
        <v>4606</v>
      </c>
      <c r="C22" s="75">
        <v>2005</v>
      </c>
      <c r="D22" s="75">
        <f>'BKLG UI'!A18</f>
        <v>3872</v>
      </c>
      <c r="E22" s="75">
        <f>C22-D22</f>
        <v>-1867</v>
      </c>
      <c r="F22" s="76">
        <f>E22/C22</f>
        <v>-0.93117206982543643</v>
      </c>
      <c r="G22" s="76">
        <f>0.07-F22</f>
        <v>1.0011720698254365</v>
      </c>
      <c r="H22" s="76">
        <f>0.15-F22</f>
        <v>1.0811720698254363</v>
      </c>
    </row>
    <row r="23" spans="2:8" ht="14.45" x14ac:dyDescent="0.3">
      <c r="B23" s="70" t="s">
        <v>4608</v>
      </c>
      <c r="C23" s="75">
        <v>1931</v>
      </c>
      <c r="D23" s="75">
        <f>'BKLG IL'!A22</f>
        <v>5440</v>
      </c>
      <c r="E23" s="75">
        <f t="shared" ref="E23:E25" si="2">C23-D23</f>
        <v>-3509</v>
      </c>
      <c r="F23" s="76">
        <f t="shared" ref="F23:F25" si="3">E23/C23</f>
        <v>-1.8171931641636458</v>
      </c>
      <c r="G23" s="76">
        <f>0.07-F23</f>
        <v>1.8871931641636459</v>
      </c>
      <c r="H23" s="76">
        <f t="shared" ref="H23:H25" si="4">0.15-F23</f>
        <v>1.9671931641636458</v>
      </c>
    </row>
    <row r="24" spans="2:8" ht="14.45" x14ac:dyDescent="0.3">
      <c r="B24" s="70" t="s">
        <v>184</v>
      </c>
      <c r="C24" s="75">
        <v>495</v>
      </c>
      <c r="D24" s="75">
        <f>'BKLG BLL'!A21</f>
        <v>1262</v>
      </c>
      <c r="E24" s="75">
        <f t="shared" si="2"/>
        <v>-767</v>
      </c>
      <c r="F24" s="76">
        <f t="shared" si="3"/>
        <v>-1.5494949494949495</v>
      </c>
      <c r="G24" s="76">
        <f>0.07-F24</f>
        <v>1.6194949494949495</v>
      </c>
      <c r="H24" s="76">
        <f t="shared" si="4"/>
        <v>1.6994949494949494</v>
      </c>
    </row>
    <row r="25" spans="2:8" ht="14.45" x14ac:dyDescent="0.3">
      <c r="B25" s="69" t="s">
        <v>0</v>
      </c>
      <c r="C25" s="77">
        <f>C22+C23+C24</f>
        <v>4431</v>
      </c>
      <c r="D25" s="77">
        <f t="shared" ref="D25" si="5">D22+D23+D24</f>
        <v>10574</v>
      </c>
      <c r="E25" s="77">
        <f t="shared" si="2"/>
        <v>-6143</v>
      </c>
      <c r="F25" s="79">
        <f t="shared" si="3"/>
        <v>-1.3863687655156849</v>
      </c>
      <c r="G25" s="79">
        <f>0.07-F25</f>
        <v>1.4563687655156849</v>
      </c>
      <c r="H25" s="79">
        <f t="shared" si="4"/>
        <v>1.5363687655156848</v>
      </c>
    </row>
    <row r="27" spans="2:8" ht="14.45" x14ac:dyDescent="0.3">
      <c r="C27" s="114" t="s">
        <v>4607</v>
      </c>
      <c r="D27" s="115"/>
      <c r="E27" s="115"/>
      <c r="F27" s="115"/>
      <c r="G27" s="115"/>
      <c r="H27" s="115"/>
    </row>
    <row r="28" spans="2:8" ht="28.9" x14ac:dyDescent="0.3">
      <c r="B28" s="12"/>
      <c r="C28" s="74" t="s">
        <v>8492</v>
      </c>
      <c r="D28" s="74" t="s">
        <v>8445</v>
      </c>
      <c r="E28" s="74" t="s">
        <v>108</v>
      </c>
      <c r="F28" s="74" t="s">
        <v>8447</v>
      </c>
      <c r="G28" s="74" t="s">
        <v>8448</v>
      </c>
      <c r="H28" s="74" t="s">
        <v>8446</v>
      </c>
    </row>
    <row r="29" spans="2:8" ht="14.45" x14ac:dyDescent="0.3">
      <c r="B29" s="70" t="s">
        <v>4606</v>
      </c>
      <c r="C29" s="80">
        <v>1368</v>
      </c>
      <c r="D29" s="75">
        <f>'UI Leaks'!A18</f>
        <v>794</v>
      </c>
      <c r="E29" s="75">
        <f>C29-D29</f>
        <v>574</v>
      </c>
      <c r="F29" s="76">
        <f>E29/C29</f>
        <v>0.41959064327485379</v>
      </c>
      <c r="G29" s="76">
        <f>0.07-F29</f>
        <v>-0.34959064327485379</v>
      </c>
      <c r="H29" s="76">
        <f>0.15-F29</f>
        <v>-0.26959064327485383</v>
      </c>
    </row>
    <row r="30" spans="2:8" ht="14.45" x14ac:dyDescent="0.3">
      <c r="B30" s="70" t="s">
        <v>4608</v>
      </c>
      <c r="C30" s="80">
        <v>19</v>
      </c>
      <c r="D30" s="75">
        <f>'IL Leaks'!A17</f>
        <v>59</v>
      </c>
      <c r="E30" s="75">
        <f t="shared" ref="E30:E32" si="6">C30-D30</f>
        <v>-40</v>
      </c>
      <c r="F30" s="76">
        <f t="shared" ref="F30:F32" si="7">E30/C30</f>
        <v>-2.1052631578947367</v>
      </c>
      <c r="G30" s="76">
        <f>0.07-F30</f>
        <v>2.1752631578947366</v>
      </c>
      <c r="H30" s="76">
        <f t="shared" ref="H30:H32" si="8">0.15-F30</f>
        <v>2.2552631578947366</v>
      </c>
    </row>
    <row r="31" spans="2:8" ht="14.45" x14ac:dyDescent="0.3">
      <c r="B31" s="70" t="s">
        <v>184</v>
      </c>
      <c r="C31" s="80">
        <v>53</v>
      </c>
      <c r="D31" s="75">
        <f>'BLL Leaks'!A18</f>
        <v>42</v>
      </c>
      <c r="E31" s="75">
        <f t="shared" si="6"/>
        <v>11</v>
      </c>
      <c r="F31" s="76">
        <f t="shared" si="7"/>
        <v>0.20754716981132076</v>
      </c>
      <c r="G31" s="76">
        <f>0.07-F31</f>
        <v>-0.13754716981132076</v>
      </c>
      <c r="H31" s="76">
        <f t="shared" si="8"/>
        <v>-5.754716981132077E-2</v>
      </c>
    </row>
    <row r="32" spans="2:8" ht="14.45" x14ac:dyDescent="0.3">
      <c r="B32" s="69" t="s">
        <v>0</v>
      </c>
      <c r="C32" s="77">
        <v>1440</v>
      </c>
      <c r="D32" s="77">
        <f t="shared" ref="D32" si="9">D29+D30+D31</f>
        <v>895</v>
      </c>
      <c r="E32" s="77">
        <f t="shared" si="6"/>
        <v>545</v>
      </c>
      <c r="F32" s="79">
        <f t="shared" si="7"/>
        <v>0.37847222222222221</v>
      </c>
      <c r="G32" s="79">
        <f>0.07-F32</f>
        <v>-0.3084722222222222</v>
      </c>
      <c r="H32" s="79">
        <f t="shared" si="8"/>
        <v>-0.22847222222222222</v>
      </c>
    </row>
  </sheetData>
  <mergeCells count="4">
    <mergeCell ref="C27:H27"/>
    <mergeCell ref="C5:E5"/>
    <mergeCell ref="C20:H20"/>
    <mergeCell ref="C12:E12"/>
  </mergeCells>
  <conditionalFormatting sqref="E7:E10">
    <cfRule type="cellIs" dxfId="28" priority="71" operator="equal">
      <formula>0</formula>
    </cfRule>
    <cfRule type="cellIs" dxfId="27" priority="72" operator="lessThan">
      <formula>0</formula>
    </cfRule>
    <cfRule type="cellIs" dxfId="26" priority="73" operator="greaterThan">
      <formula>0</formula>
    </cfRule>
  </conditionalFormatting>
  <conditionalFormatting sqref="E7:E10">
    <cfRule type="cellIs" dxfId="25" priority="65" operator="equal">
      <formula>0</formula>
    </cfRule>
    <cfRule type="cellIs" dxfId="24" priority="66" operator="lessThan">
      <formula>0</formula>
    </cfRule>
    <cfRule type="cellIs" dxfId="23" priority="67" operator="greaterThan">
      <formula>0</formula>
    </cfRule>
  </conditionalFormatting>
  <conditionalFormatting sqref="G22:G25">
    <cfRule type="cellIs" dxfId="22" priority="41" operator="equal">
      <formula>0</formula>
    </cfRule>
    <cfRule type="cellIs" dxfId="21" priority="42" operator="lessThan">
      <formula>0</formula>
    </cfRule>
    <cfRule type="cellIs" dxfId="20" priority="43" operator="greaterThan">
      <formula>0</formula>
    </cfRule>
  </conditionalFormatting>
  <conditionalFormatting sqref="G29:G32">
    <cfRule type="cellIs" dxfId="19" priority="35" operator="equal">
      <formula>0</formula>
    </cfRule>
    <cfRule type="cellIs" dxfId="18" priority="36" operator="lessThan">
      <formula>0</formula>
    </cfRule>
    <cfRule type="cellIs" dxfId="17" priority="37" operator="greaterThan">
      <formula>0</formula>
    </cfRule>
  </conditionalFormatting>
  <conditionalFormatting sqref="H22:H25">
    <cfRule type="cellIs" dxfId="16" priority="30" operator="lessThan">
      <formula>0.15</formula>
    </cfRule>
    <cfRule type="cellIs" dxfId="15" priority="31" operator="greaterThan">
      <formula>0.15</formula>
    </cfRule>
  </conditionalFormatting>
  <conditionalFormatting sqref="H29:H32">
    <cfRule type="cellIs" dxfId="14" priority="26" operator="lessThan">
      <formula>0.15</formula>
    </cfRule>
    <cfRule type="cellIs" dxfId="13" priority="27" operator="greaterThan">
      <formula>0.15</formula>
    </cfRule>
  </conditionalFormatting>
  <conditionalFormatting sqref="C7:C10">
    <cfRule type="cellIs" dxfId="12" priority="25" operator="greaterThan">
      <formula>0</formula>
    </cfRule>
  </conditionalFormatting>
  <conditionalFormatting sqref="D10">
    <cfRule type="cellIs" dxfId="11" priority="24" operator="greaterThan">
      <formula>0</formula>
    </cfRule>
  </conditionalFormatting>
  <conditionalFormatting sqref="E14:E17">
    <cfRule type="cellIs" dxfId="10" priority="18" operator="equal">
      <formula>0</formula>
    </cfRule>
    <cfRule type="cellIs" dxfId="9" priority="19" operator="lessThan">
      <formula>0</formula>
    </cfRule>
    <cfRule type="cellIs" dxfId="8" priority="20" operator="greaterThan">
      <formula>0</formula>
    </cfRule>
  </conditionalFormatting>
  <conditionalFormatting sqref="E14:E17">
    <cfRule type="cellIs" dxfId="7" priority="15" operator="equal">
      <formula>0</formula>
    </cfRule>
    <cfRule type="cellIs" dxfId="6" priority="16" operator="lessThan">
      <formula>0</formula>
    </cfRule>
    <cfRule type="cellIs" dxfId="5" priority="17" operator="greaterThan">
      <formula>0</formula>
    </cfRule>
  </conditionalFormatting>
  <conditionalFormatting sqref="C14:C17">
    <cfRule type="cellIs" dxfId="4" priority="14" operator="greaterThan">
      <formula>0</formula>
    </cfRule>
  </conditionalFormatting>
  <conditionalFormatting sqref="D17">
    <cfRule type="cellIs" dxfId="3" priority="13" operator="greaterThan">
      <formula>0</formula>
    </cfRule>
  </conditionalFormatting>
  <conditionalFormatting sqref="D14">
    <cfRule type="cellIs" dxfId="2" priority="8" operator="greaterThan">
      <formula>0</formula>
    </cfRule>
  </conditionalFormatting>
  <conditionalFormatting sqref="D7:D9">
    <cfRule type="cellIs" dxfId="1" priority="3" operator="greaterThan">
      <formula>0</formula>
    </cfRule>
  </conditionalFormatting>
  <conditionalFormatting sqref="D15:D16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F40"/>
  <sheetViews>
    <sheetView topLeftCell="A22" workbookViewId="0">
      <selection activeCell="A22" sqref="A22"/>
    </sheetView>
  </sheetViews>
  <sheetFormatPr defaultRowHeight="15" x14ac:dyDescent="0.25"/>
  <cols>
    <col min="1" max="1" width="3.42578125" customWidth="1"/>
    <col min="2" max="2" width="17.140625" customWidth="1"/>
    <col min="3" max="4" width="6.7109375" style="2" customWidth="1"/>
    <col min="5" max="5" width="6.7109375" style="10" customWidth="1"/>
    <col min="6" max="7" width="6.7109375" customWidth="1"/>
    <col min="8" max="8" width="6.85546875" customWidth="1"/>
    <col min="9" max="23" width="6.7109375" customWidth="1"/>
    <col min="24" max="24" width="1.140625" customWidth="1"/>
    <col min="25" max="25" width="0.7109375" customWidth="1"/>
    <col min="26" max="26" width="0.5703125" customWidth="1"/>
    <col min="27" max="32" width="6.28515625" customWidth="1"/>
    <col min="33" max="45" width="7" customWidth="1"/>
  </cols>
  <sheetData>
    <row r="1" spans="2:2" x14ac:dyDescent="0.25">
      <c r="B1" s="3" t="s">
        <v>2523</v>
      </c>
    </row>
    <row r="3" spans="2:2" ht="10.5" customHeight="1" x14ac:dyDescent="0.25"/>
    <row r="4" spans="2:2" ht="54.75" customHeight="1" x14ac:dyDescent="0.25"/>
    <row r="9" spans="2:2" ht="49.5" customHeight="1" x14ac:dyDescent="0.25"/>
    <row r="10" spans="2:2" ht="21" customHeight="1" x14ac:dyDescent="0.3"/>
    <row r="15" spans="2:2" ht="38.25" customHeight="1" x14ac:dyDescent="0.3"/>
    <row r="16" spans="2:2" ht="9" customHeight="1" x14ac:dyDescent="0.3"/>
    <row r="17" spans="2:32" ht="57" customHeight="1" x14ac:dyDescent="0.3">
      <c r="B17" s="1" t="s">
        <v>3</v>
      </c>
      <c r="C17" s="4">
        <v>41644</v>
      </c>
      <c r="D17" s="4">
        <v>41658</v>
      </c>
      <c r="E17" s="4">
        <v>41672</v>
      </c>
      <c r="F17" s="4">
        <v>41686</v>
      </c>
      <c r="G17" s="4">
        <v>41693</v>
      </c>
      <c r="H17" s="4">
        <v>41700</v>
      </c>
      <c r="I17" s="4">
        <v>41707</v>
      </c>
      <c r="J17" s="4">
        <v>41721</v>
      </c>
      <c r="K17" s="4">
        <v>41742</v>
      </c>
      <c r="L17" s="4">
        <v>41755</v>
      </c>
      <c r="M17" s="4">
        <v>41763</v>
      </c>
      <c r="N17" s="4">
        <v>41770</v>
      </c>
      <c r="O17" s="4">
        <v>41777</v>
      </c>
      <c r="P17" s="4">
        <v>41792</v>
      </c>
      <c r="Q17" s="4">
        <v>41798</v>
      </c>
      <c r="R17" s="4">
        <v>41818</v>
      </c>
      <c r="S17" s="4">
        <v>41826</v>
      </c>
      <c r="T17" s="4">
        <v>41841</v>
      </c>
      <c r="U17" s="4">
        <v>41854</v>
      </c>
      <c r="V17" s="4">
        <v>41868</v>
      </c>
      <c r="W17" s="4">
        <v>41889</v>
      </c>
      <c r="X17" s="4">
        <v>41903</v>
      </c>
      <c r="Y17" s="4">
        <v>41924</v>
      </c>
      <c r="Z17" s="4">
        <v>41980</v>
      </c>
      <c r="AA17" s="65">
        <v>42008</v>
      </c>
      <c r="AB17" s="4">
        <v>42053</v>
      </c>
      <c r="AC17" s="4">
        <v>42090</v>
      </c>
      <c r="AD17" s="4">
        <v>42246</v>
      </c>
      <c r="AE17" s="4">
        <v>42267</v>
      </c>
      <c r="AF17" s="4">
        <v>42014</v>
      </c>
    </row>
    <row r="18" spans="2:32" ht="14.45" x14ac:dyDescent="0.3">
      <c r="B18" s="5" t="s">
        <v>2524</v>
      </c>
      <c r="C18" s="5">
        <v>3397</v>
      </c>
      <c r="D18" s="5">
        <v>3243</v>
      </c>
      <c r="E18" s="5">
        <v>3181</v>
      </c>
      <c r="F18" s="5">
        <v>3030</v>
      </c>
      <c r="G18" s="5">
        <v>2923</v>
      </c>
      <c r="H18" s="5">
        <v>2924</v>
      </c>
      <c r="I18" s="5">
        <v>2865</v>
      </c>
      <c r="J18" s="5">
        <v>2695</v>
      </c>
      <c r="K18" s="5">
        <v>2540</v>
      </c>
      <c r="L18" s="5">
        <v>2540</v>
      </c>
      <c r="M18" s="5">
        <v>2408</v>
      </c>
      <c r="N18" s="5">
        <v>2400</v>
      </c>
      <c r="O18" s="5">
        <v>2400</v>
      </c>
      <c r="P18" s="5">
        <v>2262</v>
      </c>
      <c r="Q18" s="5">
        <v>2281</v>
      </c>
      <c r="R18" s="5">
        <v>2281</v>
      </c>
      <c r="S18" s="5">
        <v>2290</v>
      </c>
      <c r="T18" s="5">
        <v>2290</v>
      </c>
      <c r="U18" s="5">
        <v>2276</v>
      </c>
      <c r="V18" s="5">
        <v>2283</v>
      </c>
      <c r="W18" s="5">
        <v>2288</v>
      </c>
      <c r="X18" s="5">
        <v>2244</v>
      </c>
      <c r="Y18" s="5">
        <v>2198</v>
      </c>
      <c r="Z18" s="5">
        <v>2024</v>
      </c>
      <c r="AA18" s="66">
        <v>2005</v>
      </c>
      <c r="AB18" s="5">
        <v>2082</v>
      </c>
      <c r="AC18" s="5">
        <v>1977</v>
      </c>
      <c r="AD18" s="5">
        <v>2035</v>
      </c>
      <c r="AE18" s="5">
        <v>2036</v>
      </c>
      <c r="AF18" s="5">
        <v>4063</v>
      </c>
    </row>
    <row r="19" spans="2:32" ht="14.45" x14ac:dyDescent="0.3">
      <c r="B19" s="6" t="s">
        <v>2527</v>
      </c>
      <c r="C19" s="8">
        <v>2887</v>
      </c>
      <c r="D19" s="8">
        <f t="shared" ref="D19:I19" si="0">C19</f>
        <v>2887</v>
      </c>
      <c r="E19" s="8">
        <f t="shared" si="0"/>
        <v>2887</v>
      </c>
      <c r="F19" s="8">
        <f t="shared" si="0"/>
        <v>2887</v>
      </c>
      <c r="G19" s="8">
        <f t="shared" si="0"/>
        <v>2887</v>
      </c>
      <c r="H19" s="8">
        <f t="shared" si="0"/>
        <v>2887</v>
      </c>
      <c r="I19" s="8">
        <f t="shared" si="0"/>
        <v>2887</v>
      </c>
      <c r="J19" s="8">
        <f t="shared" ref="J19:X19" si="1">I19</f>
        <v>2887</v>
      </c>
      <c r="K19" s="8">
        <f t="shared" si="1"/>
        <v>2887</v>
      </c>
      <c r="L19" s="8">
        <f t="shared" si="1"/>
        <v>2887</v>
      </c>
      <c r="M19" s="8">
        <f t="shared" si="1"/>
        <v>2887</v>
      </c>
      <c r="N19" s="8">
        <f t="shared" si="1"/>
        <v>2887</v>
      </c>
      <c r="O19" s="8">
        <f t="shared" si="1"/>
        <v>2887</v>
      </c>
      <c r="P19" s="8">
        <f t="shared" si="1"/>
        <v>2887</v>
      </c>
      <c r="Q19" s="8">
        <f t="shared" si="1"/>
        <v>2887</v>
      </c>
      <c r="R19" s="8">
        <f t="shared" si="1"/>
        <v>2887</v>
      </c>
      <c r="S19" s="8">
        <f t="shared" si="1"/>
        <v>2887</v>
      </c>
      <c r="T19" s="8">
        <f t="shared" si="1"/>
        <v>2887</v>
      </c>
      <c r="U19" s="8">
        <f t="shared" si="1"/>
        <v>2887</v>
      </c>
      <c r="V19" s="8">
        <f t="shared" si="1"/>
        <v>2887</v>
      </c>
      <c r="W19" s="8">
        <f t="shared" si="1"/>
        <v>2887</v>
      </c>
      <c r="X19" s="8">
        <f t="shared" si="1"/>
        <v>2887</v>
      </c>
      <c r="Y19" s="8">
        <f>X19</f>
        <v>2887</v>
      </c>
      <c r="Z19" s="8">
        <f>Y19</f>
        <v>2887</v>
      </c>
      <c r="AA19" s="67">
        <v>1704</v>
      </c>
      <c r="AB19" s="8">
        <f>AA19</f>
        <v>1704</v>
      </c>
      <c r="AC19" s="8">
        <f>AB19</f>
        <v>1704</v>
      </c>
      <c r="AD19" s="8">
        <f>AC19</f>
        <v>1704</v>
      </c>
      <c r="AE19" s="8">
        <f>AD19</f>
        <v>1704</v>
      </c>
      <c r="AF19" s="8">
        <f>AE19</f>
        <v>1704</v>
      </c>
    </row>
    <row r="20" spans="2:32" ht="14.45" x14ac:dyDescent="0.3">
      <c r="B20" s="5" t="s">
        <v>2541</v>
      </c>
      <c r="C20" s="5">
        <v>2862</v>
      </c>
      <c r="D20" s="5">
        <v>2910</v>
      </c>
      <c r="E20" s="5">
        <v>2732</v>
      </c>
      <c r="F20" s="5">
        <v>2573</v>
      </c>
      <c r="G20" s="5">
        <v>2576</v>
      </c>
      <c r="H20" s="5">
        <v>2581</v>
      </c>
      <c r="I20" s="5">
        <v>2481</v>
      </c>
      <c r="J20" s="5">
        <v>2395</v>
      </c>
      <c r="K20" s="5">
        <v>2342</v>
      </c>
      <c r="L20" s="5">
        <v>2342</v>
      </c>
      <c r="M20" s="5">
        <v>2337</v>
      </c>
      <c r="N20" s="5">
        <v>2340</v>
      </c>
      <c r="O20" s="5">
        <v>2340</v>
      </c>
      <c r="P20" s="5">
        <v>2111</v>
      </c>
      <c r="Q20" s="5">
        <v>2081</v>
      </c>
      <c r="R20" s="5">
        <v>2081</v>
      </c>
      <c r="S20" s="5">
        <v>2082</v>
      </c>
      <c r="T20" s="5">
        <v>2097</v>
      </c>
      <c r="U20" s="5">
        <v>1918</v>
      </c>
      <c r="V20" s="5">
        <v>1928</v>
      </c>
      <c r="W20" s="5">
        <v>1868</v>
      </c>
      <c r="X20" s="5">
        <v>1919</v>
      </c>
      <c r="Y20" s="5">
        <v>1922</v>
      </c>
      <c r="Z20" s="5">
        <v>1923</v>
      </c>
      <c r="AA20" s="66">
        <v>1931</v>
      </c>
      <c r="AB20" s="5">
        <v>1931</v>
      </c>
      <c r="AC20" s="5">
        <v>1937</v>
      </c>
      <c r="AD20" s="5">
        <v>1937</v>
      </c>
      <c r="AE20" s="5">
        <v>1934</v>
      </c>
      <c r="AF20" s="5">
        <v>5381</v>
      </c>
    </row>
    <row r="21" spans="2:32" ht="14.45" x14ac:dyDescent="0.3">
      <c r="B21" s="6" t="s">
        <v>2525</v>
      </c>
      <c r="C21" s="8">
        <v>2433</v>
      </c>
      <c r="D21" s="8">
        <f t="shared" ref="D21:I21" si="2">C21</f>
        <v>2433</v>
      </c>
      <c r="E21" s="8">
        <f t="shared" si="2"/>
        <v>2433</v>
      </c>
      <c r="F21" s="8">
        <f t="shared" si="2"/>
        <v>2433</v>
      </c>
      <c r="G21" s="8">
        <f t="shared" si="2"/>
        <v>2433</v>
      </c>
      <c r="H21" s="8">
        <f t="shared" si="2"/>
        <v>2433</v>
      </c>
      <c r="I21" s="8">
        <f t="shared" si="2"/>
        <v>2433</v>
      </c>
      <c r="J21" s="8">
        <f t="shared" ref="J21:AF21" si="3">I21</f>
        <v>2433</v>
      </c>
      <c r="K21" s="8">
        <f t="shared" si="3"/>
        <v>2433</v>
      </c>
      <c r="L21" s="8">
        <f t="shared" si="3"/>
        <v>2433</v>
      </c>
      <c r="M21" s="8">
        <f t="shared" si="3"/>
        <v>2433</v>
      </c>
      <c r="N21" s="8">
        <f t="shared" si="3"/>
        <v>2433</v>
      </c>
      <c r="O21" s="8">
        <f t="shared" si="3"/>
        <v>2433</v>
      </c>
      <c r="P21" s="8">
        <f t="shared" si="3"/>
        <v>2433</v>
      </c>
      <c r="Q21" s="8">
        <f t="shared" si="3"/>
        <v>2433</v>
      </c>
      <c r="R21" s="8">
        <f t="shared" si="3"/>
        <v>2433</v>
      </c>
      <c r="S21" s="8">
        <f t="shared" si="3"/>
        <v>2433</v>
      </c>
      <c r="T21" s="8">
        <f t="shared" si="3"/>
        <v>2433</v>
      </c>
      <c r="U21" s="8">
        <f t="shared" si="3"/>
        <v>2433</v>
      </c>
      <c r="V21" s="8">
        <f t="shared" si="3"/>
        <v>2433</v>
      </c>
      <c r="W21" s="8">
        <f t="shared" si="3"/>
        <v>2433</v>
      </c>
      <c r="X21" s="8">
        <f t="shared" si="3"/>
        <v>2433</v>
      </c>
      <c r="Y21" s="8">
        <f t="shared" si="3"/>
        <v>2433</v>
      </c>
      <c r="Z21" s="8">
        <f t="shared" si="3"/>
        <v>2433</v>
      </c>
      <c r="AA21" s="67">
        <v>1641</v>
      </c>
      <c r="AB21" s="8">
        <f t="shared" si="3"/>
        <v>1641</v>
      </c>
      <c r="AC21" s="8">
        <f t="shared" si="3"/>
        <v>1641</v>
      </c>
      <c r="AD21" s="8">
        <f t="shared" si="3"/>
        <v>1641</v>
      </c>
      <c r="AE21" s="8">
        <f t="shared" si="3"/>
        <v>1641</v>
      </c>
      <c r="AF21" s="8">
        <f t="shared" si="3"/>
        <v>1641</v>
      </c>
    </row>
    <row r="22" spans="2:32" ht="14.45" x14ac:dyDescent="0.3">
      <c r="B22" s="5" t="s">
        <v>2</v>
      </c>
      <c r="C22" s="5">
        <v>711</v>
      </c>
      <c r="D22" s="5">
        <v>632</v>
      </c>
      <c r="E22" s="5">
        <v>610</v>
      </c>
      <c r="F22" s="5">
        <v>673</v>
      </c>
      <c r="G22" s="5">
        <v>680</v>
      </c>
      <c r="H22" s="5">
        <v>681</v>
      </c>
      <c r="I22" s="5">
        <v>640</v>
      </c>
      <c r="J22" s="5">
        <v>499</v>
      </c>
      <c r="K22" s="5">
        <v>500</v>
      </c>
      <c r="L22" s="5">
        <v>500</v>
      </c>
      <c r="M22" s="5">
        <v>498</v>
      </c>
      <c r="N22" s="5">
        <v>499</v>
      </c>
      <c r="O22" s="5">
        <v>499</v>
      </c>
      <c r="P22" s="5">
        <v>504</v>
      </c>
      <c r="Q22" s="5">
        <v>506</v>
      </c>
      <c r="R22" s="5">
        <v>506</v>
      </c>
      <c r="S22" s="5">
        <v>506</v>
      </c>
      <c r="T22" s="5">
        <v>506</v>
      </c>
      <c r="U22" s="5">
        <v>500</v>
      </c>
      <c r="V22" s="5">
        <v>492</v>
      </c>
      <c r="W22" s="5">
        <v>493</v>
      </c>
      <c r="X22" s="5">
        <v>493</v>
      </c>
      <c r="Y22" s="5">
        <v>496</v>
      </c>
      <c r="Z22" s="5">
        <v>493</v>
      </c>
      <c r="AA22" s="66">
        <v>495</v>
      </c>
      <c r="AB22" s="5">
        <v>497</v>
      </c>
      <c r="AC22" s="5">
        <v>475</v>
      </c>
      <c r="AD22" s="5">
        <v>495</v>
      </c>
      <c r="AE22" s="5">
        <v>495</v>
      </c>
      <c r="AF22" s="5">
        <v>1265</v>
      </c>
    </row>
    <row r="23" spans="2:32" ht="14.45" x14ac:dyDescent="0.3">
      <c r="B23" s="6" t="s">
        <v>2526</v>
      </c>
      <c r="C23" s="8">
        <v>604</v>
      </c>
      <c r="D23" s="8">
        <f t="shared" ref="D23:I23" si="4">C23</f>
        <v>604</v>
      </c>
      <c r="E23" s="8">
        <f t="shared" si="4"/>
        <v>604</v>
      </c>
      <c r="F23" s="8">
        <f t="shared" si="4"/>
        <v>604</v>
      </c>
      <c r="G23" s="8">
        <f t="shared" si="4"/>
        <v>604</v>
      </c>
      <c r="H23" s="8">
        <f t="shared" si="4"/>
        <v>604</v>
      </c>
      <c r="I23" s="8">
        <f t="shared" si="4"/>
        <v>604</v>
      </c>
      <c r="J23" s="8">
        <f t="shared" ref="J23:AF23" si="5">I23</f>
        <v>604</v>
      </c>
      <c r="K23" s="8">
        <f t="shared" si="5"/>
        <v>604</v>
      </c>
      <c r="L23" s="8">
        <f t="shared" si="5"/>
        <v>604</v>
      </c>
      <c r="M23" s="8">
        <f t="shared" si="5"/>
        <v>604</v>
      </c>
      <c r="N23" s="8">
        <f t="shared" si="5"/>
        <v>604</v>
      </c>
      <c r="O23" s="8">
        <f t="shared" si="5"/>
        <v>604</v>
      </c>
      <c r="P23" s="8">
        <f t="shared" si="5"/>
        <v>604</v>
      </c>
      <c r="Q23" s="8">
        <f t="shared" si="5"/>
        <v>604</v>
      </c>
      <c r="R23" s="8">
        <f t="shared" si="5"/>
        <v>604</v>
      </c>
      <c r="S23" s="8">
        <f t="shared" si="5"/>
        <v>604</v>
      </c>
      <c r="T23" s="8">
        <f t="shared" si="5"/>
        <v>604</v>
      </c>
      <c r="U23" s="8">
        <f t="shared" si="5"/>
        <v>604</v>
      </c>
      <c r="V23" s="8">
        <f t="shared" si="5"/>
        <v>604</v>
      </c>
      <c r="W23" s="8">
        <f t="shared" si="5"/>
        <v>604</v>
      </c>
      <c r="X23" s="8">
        <f t="shared" si="5"/>
        <v>604</v>
      </c>
      <c r="Y23" s="8">
        <f t="shared" si="5"/>
        <v>604</v>
      </c>
      <c r="Z23" s="8">
        <f t="shared" si="5"/>
        <v>604</v>
      </c>
      <c r="AA23" s="67">
        <v>420</v>
      </c>
      <c r="AB23" s="8">
        <f t="shared" si="5"/>
        <v>420</v>
      </c>
      <c r="AC23" s="8">
        <f t="shared" si="5"/>
        <v>420</v>
      </c>
      <c r="AD23" s="8">
        <f t="shared" si="5"/>
        <v>420</v>
      </c>
      <c r="AE23" s="8">
        <f t="shared" si="5"/>
        <v>420</v>
      </c>
      <c r="AF23" s="8">
        <f t="shared" si="5"/>
        <v>420</v>
      </c>
    </row>
    <row r="24" spans="2:32" ht="14.45" x14ac:dyDescent="0.3">
      <c r="B24" s="6" t="s">
        <v>0</v>
      </c>
      <c r="C24" s="5">
        <f t="shared" ref="C24" si="6">C20+C22+C18</f>
        <v>6970</v>
      </c>
      <c r="D24" s="5">
        <f t="shared" ref="D24:E24" si="7">D20+D22+D18</f>
        <v>6785</v>
      </c>
      <c r="E24" s="5">
        <f t="shared" si="7"/>
        <v>6523</v>
      </c>
      <c r="F24" s="5">
        <f t="shared" ref="F24:G24" si="8">F20+F22+F18</f>
        <v>6276</v>
      </c>
      <c r="G24" s="5">
        <f t="shared" si="8"/>
        <v>6179</v>
      </c>
      <c r="H24" s="5">
        <f t="shared" ref="H24:I24" si="9">H20+H22+H18</f>
        <v>6186</v>
      </c>
      <c r="I24" s="5">
        <f t="shared" si="9"/>
        <v>5986</v>
      </c>
      <c r="J24" s="5">
        <f t="shared" ref="J24:K24" si="10">J20+J22+J18</f>
        <v>5589</v>
      </c>
      <c r="K24" s="5">
        <f t="shared" si="10"/>
        <v>5382</v>
      </c>
      <c r="L24" s="5">
        <f t="shared" ref="L24:M24" si="11">L20+L22+L18</f>
        <v>5382</v>
      </c>
      <c r="M24" s="5">
        <f t="shared" si="11"/>
        <v>5243</v>
      </c>
      <c r="N24" s="5">
        <f t="shared" ref="N24:O24" si="12">N20+N22+N18</f>
        <v>5239</v>
      </c>
      <c r="O24" s="5">
        <f t="shared" si="12"/>
        <v>5239</v>
      </c>
      <c r="P24" s="5">
        <f t="shared" ref="P24:Q24" si="13">P20+P22+P18</f>
        <v>4877</v>
      </c>
      <c r="Q24" s="5">
        <f t="shared" si="13"/>
        <v>4868</v>
      </c>
      <c r="R24" s="5">
        <f t="shared" ref="R24:S24" si="14">R20+R22+R18</f>
        <v>4868</v>
      </c>
      <c r="S24" s="5">
        <f t="shared" si="14"/>
        <v>4878</v>
      </c>
      <c r="T24" s="5">
        <f t="shared" ref="T24:U24" si="15">T20+T22+T18</f>
        <v>4893</v>
      </c>
      <c r="U24" s="5">
        <f t="shared" si="15"/>
        <v>4694</v>
      </c>
      <c r="V24" s="5">
        <f t="shared" ref="V24:W24" si="16">V20+V22+V18</f>
        <v>4703</v>
      </c>
      <c r="W24" s="5">
        <f t="shared" si="16"/>
        <v>4649</v>
      </c>
      <c r="X24" s="5">
        <f t="shared" ref="X24:Y24" si="17">X20+X22+X18</f>
        <v>4656</v>
      </c>
      <c r="Y24" s="5">
        <f t="shared" si="17"/>
        <v>4616</v>
      </c>
      <c r="Z24" s="5">
        <f t="shared" ref="Z24:AA24" si="18">Z20+Z22+Z18</f>
        <v>4440</v>
      </c>
      <c r="AA24" s="66">
        <f t="shared" si="18"/>
        <v>4431</v>
      </c>
      <c r="AB24" s="5">
        <f t="shared" ref="AB24:AC24" si="19">AB20+AB22+AB18</f>
        <v>4510</v>
      </c>
      <c r="AC24" s="5">
        <f t="shared" si="19"/>
        <v>4389</v>
      </c>
      <c r="AD24" s="5">
        <f t="shared" ref="AD24:AE24" si="20">AD20+AD22+AD18</f>
        <v>4467</v>
      </c>
      <c r="AE24" s="5">
        <f t="shared" si="20"/>
        <v>4465</v>
      </c>
      <c r="AF24" s="5">
        <f t="shared" ref="AF24" si="21">AF20+AF22+AF18</f>
        <v>10709</v>
      </c>
    </row>
    <row r="25" spans="2:32" ht="14.45" x14ac:dyDescent="0.3">
      <c r="B25" s="6" t="s">
        <v>8449</v>
      </c>
      <c r="C25" s="5">
        <v>0</v>
      </c>
      <c r="D25" s="5">
        <f t="shared" ref="D25:J25" si="22">D24-$C$24</f>
        <v>-185</v>
      </c>
      <c r="E25" s="5">
        <f t="shared" si="22"/>
        <v>-447</v>
      </c>
      <c r="F25" s="5">
        <f t="shared" si="22"/>
        <v>-694</v>
      </c>
      <c r="G25" s="5">
        <f t="shared" si="22"/>
        <v>-791</v>
      </c>
      <c r="H25" s="5">
        <f t="shared" si="22"/>
        <v>-784</v>
      </c>
      <c r="I25" s="5">
        <f t="shared" si="22"/>
        <v>-984</v>
      </c>
      <c r="J25" s="5">
        <f t="shared" si="22"/>
        <v>-1381</v>
      </c>
      <c r="K25" s="5">
        <f t="shared" ref="K25:L25" si="23">K24-$C$24</f>
        <v>-1588</v>
      </c>
      <c r="L25" s="5">
        <f t="shared" si="23"/>
        <v>-1588</v>
      </c>
      <c r="M25" s="5">
        <f t="shared" ref="M25:N25" si="24">M24-$C$24</f>
        <v>-1727</v>
      </c>
      <c r="N25" s="5">
        <f t="shared" si="24"/>
        <v>-1731</v>
      </c>
      <c r="O25" s="5">
        <f t="shared" ref="O25:P25" si="25">O24-$C$24</f>
        <v>-1731</v>
      </c>
      <c r="P25" s="5">
        <f t="shared" si="25"/>
        <v>-2093</v>
      </c>
      <c r="Q25" s="5">
        <f t="shared" ref="Q25:R25" si="26">Q24-$C$24</f>
        <v>-2102</v>
      </c>
      <c r="R25" s="5">
        <f t="shared" si="26"/>
        <v>-2102</v>
      </c>
      <c r="S25" s="5">
        <f t="shared" ref="S25:T25" si="27">S24-$C$24</f>
        <v>-2092</v>
      </c>
      <c r="T25" s="5">
        <f t="shared" si="27"/>
        <v>-2077</v>
      </c>
      <c r="U25" s="5">
        <f t="shared" ref="U25:V25" si="28">U24-$C$24</f>
        <v>-2276</v>
      </c>
      <c r="V25" s="5">
        <f t="shared" si="28"/>
        <v>-2267</v>
      </c>
      <c r="W25" s="5">
        <f t="shared" ref="W25:X25" si="29">W24-$C$24</f>
        <v>-2321</v>
      </c>
      <c r="X25" s="5">
        <f t="shared" si="29"/>
        <v>-2314</v>
      </c>
      <c r="Y25" s="5">
        <f t="shared" ref="Y25:Z25" si="30">Y24-$C$24</f>
        <v>-2354</v>
      </c>
      <c r="Z25" s="5">
        <f t="shared" si="30"/>
        <v>-2530</v>
      </c>
      <c r="AA25" s="66">
        <v>0</v>
      </c>
      <c r="AB25" s="5">
        <f>AB24-$AA$24</f>
        <v>79</v>
      </c>
      <c r="AC25" s="5">
        <f>AC24-$AA$24</f>
        <v>-42</v>
      </c>
      <c r="AD25" s="5">
        <f>AD24-$AA$24</f>
        <v>36</v>
      </c>
      <c r="AE25" s="5">
        <f>AE24-$AA$24</f>
        <v>34</v>
      </c>
      <c r="AF25" s="5">
        <f>AF24-$AA$24</f>
        <v>6278</v>
      </c>
    </row>
    <row r="26" spans="2:32" ht="14.45" x14ac:dyDescent="0.3">
      <c r="B26" s="6" t="s">
        <v>2528</v>
      </c>
      <c r="C26" s="7">
        <f t="shared" ref="C26:H26" si="31">(C24-$C$24)/$C$24</f>
        <v>0</v>
      </c>
      <c r="D26" s="7">
        <f t="shared" si="31"/>
        <v>-2.654232424677188E-2</v>
      </c>
      <c r="E26" s="7">
        <f t="shared" si="31"/>
        <v>-6.4131994261119082E-2</v>
      </c>
      <c r="F26" s="7">
        <f t="shared" si="31"/>
        <v>-9.9569583931133424E-2</v>
      </c>
      <c r="G26" s="7">
        <f t="shared" si="31"/>
        <v>-0.11348637015781922</v>
      </c>
      <c r="H26" s="7">
        <f t="shared" si="31"/>
        <v>-0.11248206599713056</v>
      </c>
      <c r="I26" s="7">
        <f t="shared" ref="I26:J26" si="32">(I24-$C$24)/$C$24</f>
        <v>-0.14117647058823529</v>
      </c>
      <c r="J26" s="7">
        <f t="shared" si="32"/>
        <v>-0.19813486370157818</v>
      </c>
      <c r="K26" s="7">
        <f t="shared" ref="K26:L26" si="33">(K24-$C$24)/$C$24</f>
        <v>-0.2278335724533716</v>
      </c>
      <c r="L26" s="7">
        <f t="shared" si="33"/>
        <v>-0.2278335724533716</v>
      </c>
      <c r="M26" s="7">
        <f t="shared" ref="M26:N26" si="34">(M24-$C$24)/$C$24</f>
        <v>-0.24777618364418938</v>
      </c>
      <c r="N26" s="7">
        <f t="shared" si="34"/>
        <v>-0.24835007173601148</v>
      </c>
      <c r="O26" s="7">
        <f t="shared" ref="O26:P26" si="35">(O24-$C$24)/$C$24</f>
        <v>-0.24835007173601148</v>
      </c>
      <c r="P26" s="7">
        <f t="shared" si="35"/>
        <v>-0.30028694404591105</v>
      </c>
      <c r="Q26" s="7">
        <f t="shared" ref="Q26:R26" si="36">(Q24-$C$24)/$C$24</f>
        <v>-0.30157819225251076</v>
      </c>
      <c r="R26" s="7">
        <f t="shared" si="36"/>
        <v>-0.30157819225251076</v>
      </c>
      <c r="S26" s="7">
        <f t="shared" ref="S26:T26" si="37">(S24-$C$24)/$C$24</f>
        <v>-0.30014347202295555</v>
      </c>
      <c r="T26" s="7">
        <f t="shared" si="37"/>
        <v>-0.29799139167862265</v>
      </c>
      <c r="U26" s="7">
        <f t="shared" ref="U26:V26" si="38">(U24-$C$24)/$C$24</f>
        <v>-0.32654232424677188</v>
      </c>
      <c r="V26" s="7">
        <f t="shared" si="38"/>
        <v>-0.32525107604017217</v>
      </c>
      <c r="W26" s="7">
        <f t="shared" ref="W26:X26" si="39">(W24-$C$24)/$C$24</f>
        <v>-0.33299856527977045</v>
      </c>
      <c r="X26" s="7">
        <f t="shared" si="39"/>
        <v>-0.33199426111908176</v>
      </c>
      <c r="Y26" s="7">
        <f t="shared" ref="Y26:Z26" si="40">(Y24-$C$24)/$C$24</f>
        <v>-0.3377331420373027</v>
      </c>
      <c r="Z26" s="7">
        <f t="shared" si="40"/>
        <v>-0.36298421807747488</v>
      </c>
      <c r="AA26" s="68">
        <f t="shared" ref="AA26:AF26" si="41">(AA24-$AA$24)/$AA$24</f>
        <v>0</v>
      </c>
      <c r="AB26" s="7">
        <f t="shared" si="41"/>
        <v>1.782893252087565E-2</v>
      </c>
      <c r="AC26" s="7">
        <f t="shared" si="41"/>
        <v>-9.4786729857819912E-3</v>
      </c>
      <c r="AD26" s="7">
        <f t="shared" si="41"/>
        <v>8.124576844955992E-3</v>
      </c>
      <c r="AE26" s="7">
        <f t="shared" si="41"/>
        <v>7.6732114646806586E-3</v>
      </c>
      <c r="AF26" s="7">
        <f t="shared" si="41"/>
        <v>1.41683592868427</v>
      </c>
    </row>
    <row r="27" spans="2:32" ht="9.75" customHeight="1" x14ac:dyDescent="0.3">
      <c r="B27" s="48"/>
    </row>
    <row r="28" spans="2:32" s="12" customFormat="1" ht="31.9" x14ac:dyDescent="0.3">
      <c r="B28" s="14" t="s">
        <v>5</v>
      </c>
      <c r="C28" s="11" t="s">
        <v>8493</v>
      </c>
      <c r="D28" s="11" t="s">
        <v>8494</v>
      </c>
      <c r="E28" s="11" t="s">
        <v>4</v>
      </c>
      <c r="F28" s="11" t="s">
        <v>108</v>
      </c>
      <c r="G28" s="11" t="s">
        <v>109</v>
      </c>
      <c r="H28" s="11" t="s">
        <v>192</v>
      </c>
    </row>
    <row r="29" spans="2:32" ht="14.45" x14ac:dyDescent="0.3">
      <c r="B29" s="32" t="s">
        <v>8427</v>
      </c>
      <c r="C29" s="13">
        <v>2005</v>
      </c>
      <c r="D29" s="13">
        <f>AA19</f>
        <v>1704</v>
      </c>
      <c r="E29" s="28">
        <v>2036</v>
      </c>
      <c r="F29" s="29">
        <f>C29-E29</f>
        <v>-31</v>
      </c>
      <c r="G29" s="29">
        <f>E29-D29</f>
        <v>332</v>
      </c>
      <c r="H29" s="43">
        <f>F29/C29</f>
        <v>-1.5461346633416459E-2</v>
      </c>
    </row>
    <row r="30" spans="2:32" ht="14.45" x14ac:dyDescent="0.3">
      <c r="B30" s="32" t="s">
        <v>1</v>
      </c>
      <c r="C30" s="13">
        <v>1931</v>
      </c>
      <c r="D30" s="13">
        <f>AA21</f>
        <v>1641</v>
      </c>
      <c r="E30" s="28">
        <v>1934</v>
      </c>
      <c r="F30" s="13">
        <f>C30-E30</f>
        <v>-3</v>
      </c>
      <c r="G30" s="13">
        <f>E30-D30</f>
        <v>293</v>
      </c>
      <c r="H30" s="49">
        <f>F30/C30</f>
        <v>-1.5535991714137752E-3</v>
      </c>
    </row>
    <row r="31" spans="2:32" ht="14.45" x14ac:dyDescent="0.3">
      <c r="B31" s="32" t="s">
        <v>2</v>
      </c>
      <c r="C31" s="13">
        <v>495</v>
      </c>
      <c r="D31" s="13">
        <f>AA23</f>
        <v>420</v>
      </c>
      <c r="E31" s="28">
        <v>495</v>
      </c>
      <c r="F31" s="29">
        <f>C31-E31</f>
        <v>0</v>
      </c>
      <c r="G31" s="29">
        <f>E31-D31</f>
        <v>75</v>
      </c>
      <c r="H31" s="43">
        <f>F31/C31</f>
        <v>0</v>
      </c>
    </row>
    <row r="32" spans="2:32" ht="14.45" x14ac:dyDescent="0.3">
      <c r="B32" s="64" t="s">
        <v>0</v>
      </c>
      <c r="C32" s="16">
        <f>C29+C30+C31</f>
        <v>4431</v>
      </c>
      <c r="D32" s="16">
        <f t="shared" ref="D32:E32" si="42">D29+D30+D31</f>
        <v>3765</v>
      </c>
      <c r="E32" s="16">
        <f t="shared" si="42"/>
        <v>4465</v>
      </c>
      <c r="F32" s="29">
        <f>F30+F31+F29</f>
        <v>-34</v>
      </c>
      <c r="G32" s="29">
        <f>G29+G30+G31</f>
        <v>700</v>
      </c>
      <c r="H32" s="43">
        <f>F32/C32</f>
        <v>-7.6732114646806586E-3</v>
      </c>
    </row>
    <row r="33" spans="2:2" ht="14.45" x14ac:dyDescent="0.3">
      <c r="B33" s="47"/>
    </row>
    <row r="35" spans="2:2" ht="14.45" x14ac:dyDescent="0.3">
      <c r="B35" t="s">
        <v>4609</v>
      </c>
    </row>
    <row r="36" spans="2:2" ht="14.45" x14ac:dyDescent="0.3">
      <c r="B36" t="s">
        <v>8491</v>
      </c>
    </row>
    <row r="37" spans="2:2" ht="14.45" x14ac:dyDescent="0.3">
      <c r="B37" t="s">
        <v>8488</v>
      </c>
    </row>
    <row r="38" spans="2:2" ht="14.45" x14ac:dyDescent="0.3">
      <c r="B38" t="s">
        <v>8487</v>
      </c>
    </row>
    <row r="39" spans="2:2" ht="14.45" x14ac:dyDescent="0.3">
      <c r="B39" t="s">
        <v>8489</v>
      </c>
    </row>
    <row r="40" spans="2:2" ht="14.45" x14ac:dyDescent="0.3">
      <c r="B40" t="s">
        <v>8490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G49"/>
  <sheetViews>
    <sheetView topLeftCell="M28" workbookViewId="0">
      <selection activeCell="B31" sqref="B31"/>
    </sheetView>
  </sheetViews>
  <sheetFormatPr defaultRowHeight="15" outlineLevelRow="1" outlineLevelCol="1" x14ac:dyDescent="0.25"/>
  <cols>
    <col min="1" max="1" width="3.42578125" customWidth="1"/>
    <col min="2" max="2" width="26.7109375" customWidth="1"/>
    <col min="3" max="4" width="11.85546875" style="2" customWidth="1"/>
    <col min="5" max="5" width="0.85546875" style="2" customWidth="1"/>
    <col min="6" max="24" width="0.85546875" style="2" customWidth="1" outlineLevel="1"/>
    <col min="25" max="70" width="0.85546875" customWidth="1" outlineLevel="1"/>
    <col min="71" max="75" width="0.85546875" customWidth="1"/>
    <col min="76" max="78" width="5.42578125" hidden="1" customWidth="1"/>
    <col min="79" max="80" width="1.140625" customWidth="1"/>
    <col min="81" max="81" width="1.28515625" customWidth="1"/>
    <col min="82" max="82" width="1.5703125" customWidth="1"/>
    <col min="83" max="83" width="1.140625" customWidth="1"/>
    <col min="84" max="84" width="0.140625" customWidth="1"/>
    <col min="85" max="85" width="1.140625" customWidth="1"/>
    <col min="86" max="86" width="2.42578125" customWidth="1"/>
    <col min="87" max="87" width="1.140625" customWidth="1"/>
    <col min="88" max="88" width="2.140625" customWidth="1"/>
    <col min="89" max="89" width="1.7109375" customWidth="1"/>
    <col min="90" max="90" width="1" customWidth="1"/>
    <col min="91" max="91" width="0.42578125" hidden="1" customWidth="1"/>
    <col min="92" max="92" width="0.7109375" customWidth="1"/>
    <col min="93" max="93" width="0.85546875" customWidth="1"/>
    <col min="94" max="94" width="0.5703125" customWidth="1"/>
    <col min="95" max="95" width="0.7109375" customWidth="1"/>
    <col min="96" max="96" width="0.5703125" customWidth="1"/>
    <col min="97" max="97" width="0.7109375" customWidth="1"/>
    <col min="98" max="98" width="1.28515625" customWidth="1"/>
    <col min="99" max="99" width="1" customWidth="1"/>
    <col min="100" max="100" width="1.28515625" customWidth="1"/>
    <col min="101" max="101" width="1.140625" customWidth="1"/>
    <col min="102" max="102" width="0.7109375" customWidth="1"/>
    <col min="103" max="103" width="0.140625" customWidth="1"/>
    <col min="104" max="105" width="5" bestFit="1" customWidth="1"/>
    <col min="106" max="107" width="6" bestFit="1" customWidth="1"/>
    <col min="108" max="108" width="5" customWidth="1"/>
    <col min="109" max="111" width="6" bestFit="1" customWidth="1"/>
  </cols>
  <sheetData>
    <row r="1" spans="2:2" ht="14.45" x14ac:dyDescent="0.3">
      <c r="B1" s="3" t="s">
        <v>688</v>
      </c>
    </row>
    <row r="3" spans="2:2" ht="10.5" customHeight="1" x14ac:dyDescent="0.25"/>
    <row r="4" spans="2:2" ht="54.75" customHeight="1" x14ac:dyDescent="0.25"/>
    <row r="9" spans="2:2" ht="49.5" customHeight="1" x14ac:dyDescent="0.3"/>
    <row r="10" spans="2:2" ht="21" customHeight="1" x14ac:dyDescent="0.25"/>
    <row r="15" spans="2:2" ht="38.25" customHeight="1" x14ac:dyDescent="0.25"/>
    <row r="16" spans="2:2" ht="9" customHeight="1" outlineLevel="1" x14ac:dyDescent="0.25"/>
    <row r="17" spans="2:111" ht="57" customHeight="1" outlineLevel="1" x14ac:dyDescent="0.25">
      <c r="B17" s="1" t="s">
        <v>3</v>
      </c>
      <c r="C17" s="4">
        <v>40923</v>
      </c>
      <c r="D17" s="4">
        <v>40930</v>
      </c>
      <c r="E17" s="4">
        <v>40937</v>
      </c>
      <c r="F17" s="4">
        <v>40944</v>
      </c>
      <c r="G17" s="4">
        <v>40951</v>
      </c>
      <c r="H17" s="4">
        <v>40958</v>
      </c>
      <c r="I17" s="4">
        <v>40965</v>
      </c>
      <c r="J17" s="4">
        <v>40972</v>
      </c>
      <c r="K17" s="4">
        <v>40980</v>
      </c>
      <c r="L17" s="4">
        <v>40995</v>
      </c>
      <c r="M17" s="4">
        <v>41008</v>
      </c>
      <c r="N17" s="4">
        <v>41016</v>
      </c>
      <c r="O17" s="4">
        <v>41022</v>
      </c>
      <c r="P17" s="4">
        <v>41029</v>
      </c>
      <c r="Q17" s="4">
        <v>41043</v>
      </c>
      <c r="R17" s="4">
        <v>41049</v>
      </c>
      <c r="S17" s="4">
        <v>41058</v>
      </c>
      <c r="T17" s="4">
        <v>41064</v>
      </c>
      <c r="U17" s="4">
        <v>41072</v>
      </c>
      <c r="V17" s="4">
        <v>41078</v>
      </c>
      <c r="W17" s="4">
        <v>41085</v>
      </c>
      <c r="X17" s="4">
        <v>41092</v>
      </c>
      <c r="Y17" s="4">
        <v>41099</v>
      </c>
      <c r="Z17" s="4">
        <v>41106</v>
      </c>
      <c r="AA17" s="4">
        <v>41113</v>
      </c>
      <c r="AB17" s="4">
        <v>41120</v>
      </c>
      <c r="AC17" s="4">
        <v>41127</v>
      </c>
      <c r="AD17" s="4">
        <v>41159</v>
      </c>
      <c r="AE17" s="4">
        <v>41170</v>
      </c>
      <c r="AF17" s="4">
        <v>41184</v>
      </c>
      <c r="AG17" s="4">
        <v>41190</v>
      </c>
      <c r="AH17" s="4">
        <v>41204</v>
      </c>
      <c r="AI17" s="4">
        <v>41215</v>
      </c>
      <c r="AJ17" s="4">
        <v>41227</v>
      </c>
      <c r="AK17" s="4">
        <v>41238</v>
      </c>
      <c r="AL17" s="4">
        <v>41252</v>
      </c>
      <c r="AM17" s="4">
        <v>41281</v>
      </c>
      <c r="AN17" s="4">
        <v>41288</v>
      </c>
      <c r="AO17" s="4">
        <v>41295</v>
      </c>
      <c r="AP17" s="4">
        <v>41308</v>
      </c>
      <c r="AQ17" s="4">
        <v>41315</v>
      </c>
      <c r="AR17" s="4">
        <v>41330</v>
      </c>
      <c r="AS17" s="4">
        <v>41337</v>
      </c>
      <c r="AT17" s="4">
        <v>41344</v>
      </c>
      <c r="AU17" s="4">
        <v>41351</v>
      </c>
      <c r="AV17" s="4">
        <v>41358</v>
      </c>
      <c r="AW17" s="4">
        <v>41364</v>
      </c>
      <c r="AX17" s="4">
        <v>41372</v>
      </c>
      <c r="AY17" s="4">
        <v>41379</v>
      </c>
      <c r="AZ17" s="4">
        <v>41385</v>
      </c>
      <c r="BA17" s="4">
        <v>41392</v>
      </c>
      <c r="BB17" s="4">
        <v>41400</v>
      </c>
      <c r="BC17" s="4">
        <v>41406</v>
      </c>
      <c r="BD17" s="4">
        <v>41413</v>
      </c>
      <c r="BE17" s="4">
        <v>41420</v>
      </c>
      <c r="BF17" s="4">
        <v>41427</v>
      </c>
      <c r="BG17" s="4">
        <v>41434</v>
      </c>
      <c r="BH17" s="4">
        <v>41441</v>
      </c>
      <c r="BI17" s="4">
        <v>41448</v>
      </c>
      <c r="BJ17" s="4">
        <v>41455</v>
      </c>
      <c r="BK17" s="4">
        <v>41462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</row>
    <row r="18" spans="2:111" outlineLevel="1" x14ac:dyDescent="0.25">
      <c r="B18" s="5" t="s">
        <v>689</v>
      </c>
      <c r="C18" s="5">
        <v>4042</v>
      </c>
      <c r="D18" s="5">
        <v>4037</v>
      </c>
      <c r="E18" s="5">
        <v>4041</v>
      </c>
      <c r="F18" s="5">
        <v>3963</v>
      </c>
      <c r="G18" s="5">
        <v>3966</v>
      </c>
      <c r="H18" s="5">
        <v>3881</v>
      </c>
      <c r="I18" s="5">
        <v>3880</v>
      </c>
      <c r="J18" s="5">
        <v>3880</v>
      </c>
      <c r="K18" s="5">
        <v>3883</v>
      </c>
      <c r="L18" s="5">
        <v>3928</v>
      </c>
      <c r="M18" s="5">
        <v>3913</v>
      </c>
      <c r="N18" s="5">
        <v>3831</v>
      </c>
      <c r="O18" s="5">
        <v>3831</v>
      </c>
      <c r="P18" s="5">
        <v>3789</v>
      </c>
      <c r="Q18" s="5">
        <v>3711</v>
      </c>
      <c r="R18" s="5">
        <v>3660</v>
      </c>
      <c r="S18" s="5">
        <v>3608</v>
      </c>
      <c r="T18" s="5">
        <v>3576</v>
      </c>
      <c r="U18" s="5">
        <v>3416</v>
      </c>
      <c r="V18" s="5">
        <v>3336</v>
      </c>
      <c r="W18" s="5">
        <v>3287</v>
      </c>
      <c r="X18" s="5">
        <v>3142</v>
      </c>
      <c r="Y18" s="5">
        <v>3147</v>
      </c>
      <c r="Z18" s="5">
        <v>3149</v>
      </c>
      <c r="AA18" s="5">
        <v>3148</v>
      </c>
      <c r="AB18" s="5">
        <v>3145</v>
      </c>
      <c r="AC18" s="5">
        <v>3145</v>
      </c>
      <c r="AD18" s="5">
        <v>2891</v>
      </c>
      <c r="AE18" s="5">
        <v>2852</v>
      </c>
      <c r="AF18" s="5">
        <v>2852</v>
      </c>
      <c r="AG18" s="5">
        <v>2747</v>
      </c>
      <c r="AH18" s="5">
        <v>2706</v>
      </c>
      <c r="AI18" s="5">
        <v>2687</v>
      </c>
      <c r="AJ18" s="5">
        <v>2685</v>
      </c>
      <c r="AK18" s="5">
        <v>5476</v>
      </c>
      <c r="AL18" s="5">
        <v>4084</v>
      </c>
      <c r="AM18" s="5">
        <v>4071</v>
      </c>
      <c r="AN18" s="5">
        <v>4068</v>
      </c>
      <c r="AO18" s="5">
        <v>4067</v>
      </c>
      <c r="AP18" s="5">
        <v>4082</v>
      </c>
      <c r="AQ18" s="5">
        <v>3961</v>
      </c>
      <c r="AR18" s="5">
        <v>4420</v>
      </c>
      <c r="AS18" s="5">
        <v>4547</v>
      </c>
      <c r="AT18" s="5">
        <v>3712</v>
      </c>
      <c r="AU18" s="5">
        <v>3543</v>
      </c>
      <c r="AV18" s="5">
        <v>3204</v>
      </c>
      <c r="AW18" s="5">
        <v>3148</v>
      </c>
      <c r="AX18" s="5">
        <v>3067</v>
      </c>
      <c r="AY18" s="5">
        <v>3060</v>
      </c>
      <c r="AZ18" s="5">
        <v>3015</v>
      </c>
      <c r="BA18" s="5">
        <v>3375</v>
      </c>
      <c r="BB18" s="5">
        <v>2728</v>
      </c>
      <c r="BC18" s="5">
        <v>2708</v>
      </c>
      <c r="BD18" s="5">
        <v>2708</v>
      </c>
      <c r="BE18" s="5">
        <v>2706</v>
      </c>
      <c r="BF18" s="5">
        <v>2726</v>
      </c>
      <c r="BG18" s="5">
        <v>2732</v>
      </c>
      <c r="BH18" s="5">
        <v>2731</v>
      </c>
      <c r="BI18" s="5">
        <v>2687</v>
      </c>
      <c r="BJ18" s="5">
        <v>2690</v>
      </c>
      <c r="BK18" s="5">
        <v>2694</v>
      </c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</row>
    <row r="19" spans="2:111" ht="14.45" outlineLevel="1" x14ac:dyDescent="0.3">
      <c r="B19" s="5" t="s">
        <v>690</v>
      </c>
      <c r="C19" s="5">
        <v>1700</v>
      </c>
      <c r="D19" s="5">
        <v>1700</v>
      </c>
      <c r="E19" s="5">
        <v>1700</v>
      </c>
      <c r="F19" s="5">
        <v>1700</v>
      </c>
      <c r="G19" s="5">
        <v>1700</v>
      </c>
      <c r="H19" s="5">
        <v>1700</v>
      </c>
      <c r="I19" s="5">
        <v>1700</v>
      </c>
      <c r="J19" s="5">
        <v>1700</v>
      </c>
      <c r="K19" s="5">
        <v>1700</v>
      </c>
      <c r="L19" s="5">
        <v>1700</v>
      </c>
      <c r="M19" s="5">
        <v>1700</v>
      </c>
      <c r="N19" s="5">
        <v>1700</v>
      </c>
      <c r="O19" s="5">
        <v>1682</v>
      </c>
      <c r="P19" s="5">
        <v>1666</v>
      </c>
      <c r="Q19" s="5">
        <v>1651</v>
      </c>
      <c r="R19" s="5">
        <v>1637</v>
      </c>
      <c r="S19" s="5">
        <v>1504</v>
      </c>
      <c r="T19" s="5">
        <v>1210</v>
      </c>
      <c r="U19" s="5">
        <v>1121</v>
      </c>
      <c r="V19" s="5">
        <v>1121</v>
      </c>
      <c r="W19" s="5">
        <v>1046</v>
      </c>
      <c r="X19" s="5">
        <v>955</v>
      </c>
      <c r="Y19" s="5">
        <v>947</v>
      </c>
      <c r="Z19" s="5">
        <v>944</v>
      </c>
      <c r="AA19" s="5">
        <v>942</v>
      </c>
      <c r="AB19" s="5">
        <v>924</v>
      </c>
      <c r="AC19" s="5">
        <v>926</v>
      </c>
      <c r="AD19" s="5">
        <v>926</v>
      </c>
      <c r="AE19" s="5">
        <v>926</v>
      </c>
      <c r="AF19" s="5">
        <v>822</v>
      </c>
      <c r="AG19" s="5">
        <v>815</v>
      </c>
      <c r="AH19" s="5">
        <v>783</v>
      </c>
      <c r="AI19" s="5">
        <v>804</v>
      </c>
      <c r="AJ19" s="5">
        <v>781</v>
      </c>
      <c r="AK19" s="5">
        <v>2674</v>
      </c>
      <c r="AL19" s="5">
        <v>1987</v>
      </c>
      <c r="AM19" s="5">
        <v>1809</v>
      </c>
      <c r="AN19" s="5">
        <v>1809</v>
      </c>
      <c r="AO19" s="5">
        <v>1809</v>
      </c>
      <c r="AP19" s="5">
        <v>1805</v>
      </c>
      <c r="AQ19" s="5">
        <v>1631</v>
      </c>
      <c r="AR19" s="5">
        <v>1631</v>
      </c>
      <c r="AS19" s="5">
        <v>1631</v>
      </c>
      <c r="AT19" s="5">
        <v>1562</v>
      </c>
      <c r="AU19" s="5">
        <v>1427</v>
      </c>
      <c r="AV19" s="5">
        <v>1429</v>
      </c>
      <c r="AW19" s="5">
        <v>1426</v>
      </c>
      <c r="AX19" s="5">
        <v>1430</v>
      </c>
      <c r="AY19" s="5">
        <v>1453</v>
      </c>
      <c r="AZ19" s="5">
        <v>1450</v>
      </c>
      <c r="BA19" s="5">
        <v>1450</v>
      </c>
      <c r="BB19" s="5">
        <v>1554</v>
      </c>
      <c r="BC19" s="5">
        <v>1441</v>
      </c>
      <c r="BD19" s="5">
        <v>1440</v>
      </c>
      <c r="BE19" s="5">
        <v>1388</v>
      </c>
      <c r="BF19" s="5">
        <v>1382</v>
      </c>
      <c r="BG19" s="5">
        <v>1336</v>
      </c>
      <c r="BH19" s="5">
        <v>1337</v>
      </c>
      <c r="BI19" s="5">
        <v>1339</v>
      </c>
      <c r="BJ19" s="5">
        <v>1336</v>
      </c>
      <c r="BK19" s="5">
        <v>1330</v>
      </c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</row>
    <row r="20" spans="2:111" ht="14.45" outlineLevel="1" x14ac:dyDescent="0.3">
      <c r="B20" s="6" t="s">
        <v>691</v>
      </c>
      <c r="C20" s="5">
        <f t="shared" ref="C20:BK20" si="0">C18+C19</f>
        <v>5742</v>
      </c>
      <c r="D20" s="5">
        <f t="shared" si="0"/>
        <v>5737</v>
      </c>
      <c r="E20" s="5">
        <f t="shared" si="0"/>
        <v>5741</v>
      </c>
      <c r="F20" s="5">
        <f t="shared" si="0"/>
        <v>5663</v>
      </c>
      <c r="G20" s="5">
        <f t="shared" si="0"/>
        <v>5666</v>
      </c>
      <c r="H20" s="5">
        <f t="shared" si="0"/>
        <v>5581</v>
      </c>
      <c r="I20" s="5">
        <f t="shared" si="0"/>
        <v>5580</v>
      </c>
      <c r="J20" s="5">
        <f t="shared" si="0"/>
        <v>5580</v>
      </c>
      <c r="K20" s="5">
        <f t="shared" si="0"/>
        <v>5583</v>
      </c>
      <c r="L20" s="5">
        <f t="shared" si="0"/>
        <v>5628</v>
      </c>
      <c r="M20" s="5">
        <f t="shared" si="0"/>
        <v>5613</v>
      </c>
      <c r="N20" s="5">
        <f t="shared" si="0"/>
        <v>5531</v>
      </c>
      <c r="O20" s="5">
        <f t="shared" si="0"/>
        <v>5513</v>
      </c>
      <c r="P20" s="5">
        <f t="shared" si="0"/>
        <v>5455</v>
      </c>
      <c r="Q20" s="5">
        <f t="shared" si="0"/>
        <v>5362</v>
      </c>
      <c r="R20" s="5">
        <f t="shared" si="0"/>
        <v>5297</v>
      </c>
      <c r="S20" s="5">
        <f t="shared" si="0"/>
        <v>5112</v>
      </c>
      <c r="T20" s="5">
        <f t="shared" si="0"/>
        <v>4786</v>
      </c>
      <c r="U20" s="5">
        <f t="shared" si="0"/>
        <v>4537</v>
      </c>
      <c r="V20" s="5">
        <f t="shared" si="0"/>
        <v>4457</v>
      </c>
      <c r="W20" s="5">
        <f t="shared" si="0"/>
        <v>4333</v>
      </c>
      <c r="X20" s="5">
        <f t="shared" si="0"/>
        <v>4097</v>
      </c>
      <c r="Y20" s="5">
        <f t="shared" si="0"/>
        <v>4094</v>
      </c>
      <c r="Z20" s="5">
        <f t="shared" si="0"/>
        <v>4093</v>
      </c>
      <c r="AA20" s="5">
        <f t="shared" si="0"/>
        <v>4090</v>
      </c>
      <c r="AB20" s="5">
        <f t="shared" si="0"/>
        <v>4069</v>
      </c>
      <c r="AC20" s="5">
        <f t="shared" si="0"/>
        <v>4071</v>
      </c>
      <c r="AD20" s="5">
        <f t="shared" si="0"/>
        <v>3817</v>
      </c>
      <c r="AE20" s="5">
        <f t="shared" si="0"/>
        <v>3778</v>
      </c>
      <c r="AF20" s="5">
        <f t="shared" si="0"/>
        <v>3674</v>
      </c>
      <c r="AG20" s="5">
        <f t="shared" si="0"/>
        <v>3562</v>
      </c>
      <c r="AH20" s="5">
        <f t="shared" si="0"/>
        <v>3489</v>
      </c>
      <c r="AI20" s="5">
        <f t="shared" si="0"/>
        <v>3491</v>
      </c>
      <c r="AJ20" s="5">
        <f t="shared" si="0"/>
        <v>3466</v>
      </c>
      <c r="AK20" s="5">
        <f t="shared" si="0"/>
        <v>8150</v>
      </c>
      <c r="AL20" s="5">
        <f t="shared" si="0"/>
        <v>6071</v>
      </c>
      <c r="AM20" s="5">
        <f t="shared" si="0"/>
        <v>5880</v>
      </c>
      <c r="AN20" s="5">
        <f t="shared" si="0"/>
        <v>5877</v>
      </c>
      <c r="AO20" s="5">
        <f t="shared" si="0"/>
        <v>5876</v>
      </c>
      <c r="AP20" s="5">
        <f t="shared" si="0"/>
        <v>5887</v>
      </c>
      <c r="AQ20" s="5">
        <f t="shared" si="0"/>
        <v>5592</v>
      </c>
      <c r="AR20" s="5">
        <f t="shared" si="0"/>
        <v>6051</v>
      </c>
      <c r="AS20" s="5">
        <f t="shared" si="0"/>
        <v>6178</v>
      </c>
      <c r="AT20" s="5">
        <f t="shared" si="0"/>
        <v>5274</v>
      </c>
      <c r="AU20" s="5">
        <f t="shared" si="0"/>
        <v>4970</v>
      </c>
      <c r="AV20" s="5">
        <f t="shared" si="0"/>
        <v>4633</v>
      </c>
      <c r="AW20" s="5">
        <f t="shared" si="0"/>
        <v>4574</v>
      </c>
      <c r="AX20" s="5">
        <f t="shared" si="0"/>
        <v>4497</v>
      </c>
      <c r="AY20" s="5">
        <f t="shared" si="0"/>
        <v>4513</v>
      </c>
      <c r="AZ20" s="5">
        <f t="shared" si="0"/>
        <v>4465</v>
      </c>
      <c r="BA20" s="5">
        <f t="shared" si="0"/>
        <v>4825</v>
      </c>
      <c r="BB20" s="5">
        <f t="shared" si="0"/>
        <v>4282</v>
      </c>
      <c r="BC20" s="5">
        <f t="shared" si="0"/>
        <v>4149</v>
      </c>
      <c r="BD20" s="5">
        <f t="shared" si="0"/>
        <v>4148</v>
      </c>
      <c r="BE20" s="5">
        <f t="shared" si="0"/>
        <v>4094</v>
      </c>
      <c r="BF20" s="5">
        <f t="shared" si="0"/>
        <v>4108</v>
      </c>
      <c r="BG20" s="5">
        <f t="shared" si="0"/>
        <v>4068</v>
      </c>
      <c r="BH20" s="5">
        <f t="shared" si="0"/>
        <v>4068</v>
      </c>
      <c r="BI20" s="5">
        <f t="shared" si="0"/>
        <v>4026</v>
      </c>
      <c r="BJ20" s="5">
        <f t="shared" si="0"/>
        <v>4026</v>
      </c>
      <c r="BK20" s="5">
        <f t="shared" si="0"/>
        <v>4024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</row>
    <row r="21" spans="2:111" ht="14.45" outlineLevel="1" x14ac:dyDescent="0.3">
      <c r="B21" s="6" t="s">
        <v>687</v>
      </c>
      <c r="C21" s="5">
        <v>0</v>
      </c>
      <c r="D21" s="5">
        <f>$C$20-D20</f>
        <v>5</v>
      </c>
      <c r="E21" s="5">
        <f t="shared" ref="E21:AJ21" si="1">$C$20-E20</f>
        <v>1</v>
      </c>
      <c r="F21" s="5">
        <f t="shared" si="1"/>
        <v>79</v>
      </c>
      <c r="G21" s="5">
        <f t="shared" si="1"/>
        <v>76</v>
      </c>
      <c r="H21" s="5">
        <f t="shared" si="1"/>
        <v>161</v>
      </c>
      <c r="I21" s="5">
        <f t="shared" si="1"/>
        <v>162</v>
      </c>
      <c r="J21" s="5">
        <f t="shared" si="1"/>
        <v>162</v>
      </c>
      <c r="K21" s="5">
        <f t="shared" si="1"/>
        <v>159</v>
      </c>
      <c r="L21" s="5">
        <f t="shared" si="1"/>
        <v>114</v>
      </c>
      <c r="M21" s="5">
        <f t="shared" si="1"/>
        <v>129</v>
      </c>
      <c r="N21" s="5">
        <f t="shared" si="1"/>
        <v>211</v>
      </c>
      <c r="O21" s="5">
        <f t="shared" si="1"/>
        <v>229</v>
      </c>
      <c r="P21" s="5">
        <f t="shared" si="1"/>
        <v>287</v>
      </c>
      <c r="Q21" s="5">
        <f t="shared" si="1"/>
        <v>380</v>
      </c>
      <c r="R21" s="5">
        <f t="shared" si="1"/>
        <v>445</v>
      </c>
      <c r="S21" s="5">
        <f t="shared" si="1"/>
        <v>630</v>
      </c>
      <c r="T21" s="5">
        <f t="shared" si="1"/>
        <v>956</v>
      </c>
      <c r="U21" s="5">
        <f t="shared" si="1"/>
        <v>1205</v>
      </c>
      <c r="V21" s="5">
        <f t="shared" si="1"/>
        <v>1285</v>
      </c>
      <c r="W21" s="5">
        <f t="shared" si="1"/>
        <v>1409</v>
      </c>
      <c r="X21" s="5">
        <f t="shared" si="1"/>
        <v>1645</v>
      </c>
      <c r="Y21" s="5">
        <f t="shared" si="1"/>
        <v>1648</v>
      </c>
      <c r="Z21" s="5">
        <f t="shared" si="1"/>
        <v>1649</v>
      </c>
      <c r="AA21" s="5">
        <f t="shared" si="1"/>
        <v>1652</v>
      </c>
      <c r="AB21" s="5">
        <f t="shared" si="1"/>
        <v>1673</v>
      </c>
      <c r="AC21" s="5">
        <f t="shared" si="1"/>
        <v>1671</v>
      </c>
      <c r="AD21" s="5">
        <f t="shared" si="1"/>
        <v>1925</v>
      </c>
      <c r="AE21" s="5">
        <f t="shared" si="1"/>
        <v>1964</v>
      </c>
      <c r="AF21" s="5">
        <f t="shared" si="1"/>
        <v>2068</v>
      </c>
      <c r="AG21" s="5">
        <f t="shared" si="1"/>
        <v>2180</v>
      </c>
      <c r="AH21" s="5">
        <f t="shared" si="1"/>
        <v>2253</v>
      </c>
      <c r="AI21" s="5">
        <f t="shared" si="1"/>
        <v>2251</v>
      </c>
      <c r="AJ21" s="5">
        <f t="shared" si="1"/>
        <v>2276</v>
      </c>
      <c r="AK21" s="5">
        <f t="shared" ref="AK21:BK21" si="2">($C$20+1893+2791)-AK20</f>
        <v>2276</v>
      </c>
      <c r="AL21" s="5">
        <f t="shared" si="2"/>
        <v>4355</v>
      </c>
      <c r="AM21" s="5">
        <f t="shared" si="2"/>
        <v>4546</v>
      </c>
      <c r="AN21" s="5">
        <f t="shared" si="2"/>
        <v>4549</v>
      </c>
      <c r="AO21" s="5">
        <f t="shared" si="2"/>
        <v>4550</v>
      </c>
      <c r="AP21" s="5">
        <f t="shared" si="2"/>
        <v>4539</v>
      </c>
      <c r="AQ21" s="5">
        <f t="shared" si="2"/>
        <v>4834</v>
      </c>
      <c r="AR21" s="5">
        <f t="shared" si="2"/>
        <v>4375</v>
      </c>
      <c r="AS21" s="5">
        <f t="shared" si="2"/>
        <v>4248</v>
      </c>
      <c r="AT21" s="5">
        <f t="shared" si="2"/>
        <v>5152</v>
      </c>
      <c r="AU21" s="5">
        <f t="shared" si="2"/>
        <v>5456</v>
      </c>
      <c r="AV21" s="5">
        <f t="shared" si="2"/>
        <v>5793</v>
      </c>
      <c r="AW21" s="5">
        <f t="shared" si="2"/>
        <v>5852</v>
      </c>
      <c r="AX21" s="5">
        <f t="shared" si="2"/>
        <v>5929</v>
      </c>
      <c r="AY21" s="5">
        <f t="shared" si="2"/>
        <v>5913</v>
      </c>
      <c r="AZ21" s="5">
        <f t="shared" si="2"/>
        <v>5961</v>
      </c>
      <c r="BA21" s="5">
        <f t="shared" si="2"/>
        <v>5601</v>
      </c>
      <c r="BB21" s="5">
        <f t="shared" si="2"/>
        <v>6144</v>
      </c>
      <c r="BC21" s="5">
        <f t="shared" si="2"/>
        <v>6277</v>
      </c>
      <c r="BD21" s="5">
        <f t="shared" si="2"/>
        <v>6278</v>
      </c>
      <c r="BE21" s="5">
        <f t="shared" si="2"/>
        <v>6332</v>
      </c>
      <c r="BF21" s="5">
        <f t="shared" si="2"/>
        <v>6318</v>
      </c>
      <c r="BG21" s="5">
        <f t="shared" si="2"/>
        <v>6358</v>
      </c>
      <c r="BH21" s="5">
        <f t="shared" si="2"/>
        <v>6358</v>
      </c>
      <c r="BI21" s="5">
        <f t="shared" si="2"/>
        <v>6400</v>
      </c>
      <c r="BJ21" s="5">
        <f t="shared" si="2"/>
        <v>6400</v>
      </c>
      <c r="BK21" s="5">
        <f t="shared" si="2"/>
        <v>6402</v>
      </c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</row>
    <row r="22" spans="2:111" ht="15" customHeight="1" x14ac:dyDescent="0.3">
      <c r="B22" s="47"/>
    </row>
    <row r="23" spans="2:111" ht="60" customHeight="1" x14ac:dyDescent="0.3">
      <c r="B23" s="1" t="s">
        <v>3</v>
      </c>
      <c r="C23" s="4">
        <v>40923</v>
      </c>
      <c r="D23" s="4">
        <v>40930</v>
      </c>
      <c r="E23" s="4">
        <v>40937</v>
      </c>
      <c r="F23" s="4">
        <v>40944</v>
      </c>
      <c r="G23" s="4">
        <v>40951</v>
      </c>
      <c r="H23" s="4">
        <v>40958</v>
      </c>
      <c r="I23" s="4">
        <v>40965</v>
      </c>
      <c r="J23" s="4">
        <v>40972</v>
      </c>
      <c r="K23" s="4">
        <v>40980</v>
      </c>
      <c r="L23" s="4">
        <v>40995</v>
      </c>
      <c r="M23" s="4">
        <v>41008</v>
      </c>
      <c r="N23" s="4">
        <v>41016</v>
      </c>
      <c r="O23" s="4">
        <v>41022</v>
      </c>
      <c r="P23" s="4">
        <v>41029</v>
      </c>
      <c r="Q23" s="4">
        <v>41043</v>
      </c>
      <c r="R23" s="4">
        <v>41049</v>
      </c>
      <c r="S23" s="4">
        <v>41058</v>
      </c>
      <c r="T23" s="4">
        <v>41064</v>
      </c>
      <c r="U23" s="4">
        <v>41072</v>
      </c>
      <c r="V23" s="4">
        <v>41078</v>
      </c>
      <c r="W23" s="4">
        <v>41085</v>
      </c>
      <c r="X23" s="4">
        <v>41092</v>
      </c>
      <c r="Y23" s="4">
        <v>41099</v>
      </c>
      <c r="Z23" s="4">
        <v>41106</v>
      </c>
      <c r="AA23" s="4">
        <v>41113</v>
      </c>
      <c r="AB23" s="4">
        <v>41120</v>
      </c>
      <c r="AC23" s="4">
        <v>41127</v>
      </c>
      <c r="AD23" s="4">
        <v>41159</v>
      </c>
      <c r="AE23" s="4">
        <v>41170</v>
      </c>
      <c r="AF23" s="4">
        <v>41184</v>
      </c>
      <c r="AG23" s="4">
        <v>41190</v>
      </c>
      <c r="AH23" s="4">
        <v>41204</v>
      </c>
      <c r="AI23" s="4">
        <v>41215</v>
      </c>
      <c r="AJ23" s="4">
        <v>41227</v>
      </c>
      <c r="AK23" s="4">
        <v>41238</v>
      </c>
      <c r="AL23" s="4">
        <v>41252</v>
      </c>
      <c r="AM23" s="4">
        <v>41281</v>
      </c>
      <c r="AN23" s="4">
        <v>41288</v>
      </c>
      <c r="AO23" s="4">
        <v>41295</v>
      </c>
      <c r="AP23" s="4">
        <v>41308</v>
      </c>
      <c r="AQ23" s="4">
        <v>41315</v>
      </c>
      <c r="AR23" s="4">
        <v>41330</v>
      </c>
      <c r="AS23" s="4">
        <v>41337</v>
      </c>
      <c r="AT23" s="4">
        <v>41344</v>
      </c>
      <c r="AU23" s="4">
        <v>41351</v>
      </c>
      <c r="AV23" s="4">
        <v>41358</v>
      </c>
      <c r="AW23" s="4">
        <v>41364</v>
      </c>
      <c r="AX23" s="4">
        <v>41372</v>
      </c>
      <c r="AY23" s="4">
        <v>41379</v>
      </c>
      <c r="AZ23" s="4">
        <v>41385</v>
      </c>
      <c r="BA23" s="4">
        <v>41392</v>
      </c>
      <c r="BB23" s="4">
        <v>41400</v>
      </c>
      <c r="BC23" s="4">
        <v>41406</v>
      </c>
      <c r="BD23" s="4">
        <v>41413</v>
      </c>
      <c r="BE23" s="4">
        <v>41420</v>
      </c>
      <c r="BF23" s="4">
        <v>41427</v>
      </c>
      <c r="BG23" s="4">
        <v>41434</v>
      </c>
      <c r="BH23" s="4">
        <v>41441</v>
      </c>
      <c r="BI23" s="4">
        <v>41448</v>
      </c>
      <c r="BJ23" s="4">
        <v>41455</v>
      </c>
      <c r="BK23" s="4">
        <v>41462</v>
      </c>
      <c r="BL23" s="4">
        <v>41469</v>
      </c>
      <c r="BM23" s="4">
        <v>41483</v>
      </c>
      <c r="BN23" s="4">
        <v>41490</v>
      </c>
      <c r="BO23" s="4">
        <v>41497</v>
      </c>
      <c r="BP23" s="4">
        <v>41514</v>
      </c>
      <c r="BQ23" s="4">
        <v>41533</v>
      </c>
      <c r="BR23" s="4">
        <v>41542</v>
      </c>
      <c r="BS23" s="4">
        <v>41560</v>
      </c>
      <c r="BT23" s="4">
        <v>41567</v>
      </c>
      <c r="BU23" s="4">
        <v>41574</v>
      </c>
      <c r="BV23" s="4">
        <v>41581</v>
      </c>
      <c r="BW23" s="4">
        <v>41588</v>
      </c>
      <c r="BX23" s="4">
        <v>41595</v>
      </c>
      <c r="BY23" s="4">
        <v>41602</v>
      </c>
      <c r="BZ23" s="4">
        <v>41609</v>
      </c>
      <c r="CA23" s="4">
        <v>41617</v>
      </c>
      <c r="CB23" s="4">
        <v>41623</v>
      </c>
      <c r="CC23" s="4">
        <v>41630</v>
      </c>
      <c r="CD23" s="4">
        <v>41637</v>
      </c>
      <c r="CE23" s="4">
        <v>41640</v>
      </c>
      <c r="CF23" s="4">
        <v>41658</v>
      </c>
      <c r="CG23" s="4">
        <v>41672</v>
      </c>
      <c r="CH23" s="4">
        <v>41686</v>
      </c>
      <c r="CI23" s="4">
        <v>41693</v>
      </c>
      <c r="CJ23" s="4">
        <v>41700</v>
      </c>
      <c r="CK23" s="4">
        <v>41707</v>
      </c>
      <c r="CL23" s="4">
        <v>41721</v>
      </c>
      <c r="CM23" s="4">
        <v>41742</v>
      </c>
      <c r="CN23" s="4">
        <v>41755</v>
      </c>
      <c r="CO23" s="4">
        <v>41763</v>
      </c>
      <c r="CP23" s="4">
        <v>41770</v>
      </c>
      <c r="CQ23" s="4">
        <v>41777</v>
      </c>
      <c r="CR23" s="4">
        <v>41792</v>
      </c>
      <c r="CS23" s="4">
        <v>41798</v>
      </c>
      <c r="CT23" s="4">
        <v>41818</v>
      </c>
      <c r="CU23" s="4">
        <v>41826</v>
      </c>
      <c r="CV23" s="4">
        <v>41841</v>
      </c>
      <c r="CW23" s="4">
        <v>41854</v>
      </c>
      <c r="CX23" s="4">
        <v>41868</v>
      </c>
      <c r="CY23" s="4">
        <v>41889</v>
      </c>
      <c r="CZ23" s="4">
        <v>41903</v>
      </c>
      <c r="DA23" s="4">
        <v>41924</v>
      </c>
      <c r="DB23" s="4">
        <v>41980</v>
      </c>
      <c r="DC23" s="4">
        <v>42008</v>
      </c>
      <c r="DD23" s="4">
        <v>42053</v>
      </c>
      <c r="DE23" s="4">
        <v>42090</v>
      </c>
      <c r="DF23" s="4">
        <v>42246</v>
      </c>
      <c r="DG23" s="4">
        <v>42267</v>
      </c>
    </row>
    <row r="24" spans="2:111" ht="14.45" x14ac:dyDescent="0.3">
      <c r="B24" s="5" t="s">
        <v>2529</v>
      </c>
      <c r="C24" s="5">
        <f t="shared" ref="C24:W24" si="3">4524-$D$47</f>
        <v>4325</v>
      </c>
      <c r="D24" s="5">
        <f t="shared" si="3"/>
        <v>4325</v>
      </c>
      <c r="E24" s="5">
        <f t="shared" si="3"/>
        <v>4325</v>
      </c>
      <c r="F24" s="5">
        <f t="shared" si="3"/>
        <v>4325</v>
      </c>
      <c r="G24" s="5">
        <f t="shared" si="3"/>
        <v>4325</v>
      </c>
      <c r="H24" s="5">
        <f t="shared" si="3"/>
        <v>4325</v>
      </c>
      <c r="I24" s="5">
        <f t="shared" si="3"/>
        <v>4325</v>
      </c>
      <c r="J24" s="5">
        <f t="shared" si="3"/>
        <v>4325</v>
      </c>
      <c r="K24" s="5">
        <f t="shared" si="3"/>
        <v>4325</v>
      </c>
      <c r="L24" s="5">
        <f t="shared" si="3"/>
        <v>4325</v>
      </c>
      <c r="M24" s="5">
        <f t="shared" si="3"/>
        <v>4325</v>
      </c>
      <c r="N24" s="5">
        <f t="shared" si="3"/>
        <v>4325</v>
      </c>
      <c r="O24" s="5">
        <f t="shared" si="3"/>
        <v>4325</v>
      </c>
      <c r="P24" s="5">
        <f t="shared" si="3"/>
        <v>4325</v>
      </c>
      <c r="Q24" s="5">
        <f t="shared" si="3"/>
        <v>4325</v>
      </c>
      <c r="R24" s="5">
        <f t="shared" si="3"/>
        <v>4325</v>
      </c>
      <c r="S24" s="5">
        <f t="shared" si="3"/>
        <v>4325</v>
      </c>
      <c r="T24" s="5">
        <f t="shared" si="3"/>
        <v>4325</v>
      </c>
      <c r="U24" s="5">
        <f t="shared" si="3"/>
        <v>4325</v>
      </c>
      <c r="V24" s="5">
        <f t="shared" si="3"/>
        <v>4325</v>
      </c>
      <c r="W24" s="5">
        <f t="shared" si="3"/>
        <v>4325</v>
      </c>
      <c r="X24" s="5">
        <f t="shared" ref="X24:AZ24" si="4">4524-$D$47</f>
        <v>4325</v>
      </c>
      <c r="Y24" s="5">
        <f t="shared" si="4"/>
        <v>4325</v>
      </c>
      <c r="Z24" s="5">
        <f t="shared" si="4"/>
        <v>4325</v>
      </c>
      <c r="AA24" s="5">
        <f t="shared" si="4"/>
        <v>4325</v>
      </c>
      <c r="AB24" s="5">
        <f t="shared" si="4"/>
        <v>4325</v>
      </c>
      <c r="AC24" s="5">
        <f t="shared" si="4"/>
        <v>4325</v>
      </c>
      <c r="AD24" s="5">
        <f t="shared" si="4"/>
        <v>4325</v>
      </c>
      <c r="AE24" s="5">
        <f t="shared" si="4"/>
        <v>4325</v>
      </c>
      <c r="AF24" s="5">
        <f t="shared" si="4"/>
        <v>4325</v>
      </c>
      <c r="AG24" s="5">
        <f t="shared" si="4"/>
        <v>4325</v>
      </c>
      <c r="AH24" s="5">
        <f t="shared" si="4"/>
        <v>4325</v>
      </c>
      <c r="AI24" s="5">
        <f t="shared" si="4"/>
        <v>4325</v>
      </c>
      <c r="AJ24" s="5">
        <f t="shared" si="4"/>
        <v>4325</v>
      </c>
      <c r="AK24" s="5">
        <f t="shared" si="4"/>
        <v>4325</v>
      </c>
      <c r="AL24" s="5">
        <f t="shared" si="4"/>
        <v>4325</v>
      </c>
      <c r="AM24" s="5">
        <f t="shared" si="4"/>
        <v>4325</v>
      </c>
      <c r="AN24" s="5">
        <f t="shared" si="4"/>
        <v>4325</v>
      </c>
      <c r="AO24" s="5">
        <f t="shared" si="4"/>
        <v>4325</v>
      </c>
      <c r="AP24" s="5">
        <f t="shared" si="4"/>
        <v>4325</v>
      </c>
      <c r="AQ24" s="5">
        <f t="shared" si="4"/>
        <v>4325</v>
      </c>
      <c r="AR24" s="5">
        <f t="shared" si="4"/>
        <v>4325</v>
      </c>
      <c r="AS24" s="5">
        <f t="shared" si="4"/>
        <v>4325</v>
      </c>
      <c r="AT24" s="5">
        <f t="shared" si="4"/>
        <v>4325</v>
      </c>
      <c r="AU24" s="5">
        <f t="shared" si="4"/>
        <v>4325</v>
      </c>
      <c r="AV24" s="5">
        <f t="shared" si="4"/>
        <v>4325</v>
      </c>
      <c r="AW24" s="5">
        <f t="shared" si="4"/>
        <v>4325</v>
      </c>
      <c r="AX24" s="5">
        <f t="shared" si="4"/>
        <v>4325</v>
      </c>
      <c r="AY24" s="5">
        <f t="shared" si="4"/>
        <v>4325</v>
      </c>
      <c r="AZ24" s="5">
        <f t="shared" si="4"/>
        <v>4325</v>
      </c>
      <c r="BA24" s="5">
        <f>4563-$D$47</f>
        <v>4364</v>
      </c>
      <c r="BB24" s="5">
        <f>4565-$D$47</f>
        <v>4366</v>
      </c>
      <c r="BC24" s="5">
        <f>4564-$D$47</f>
        <v>4365</v>
      </c>
      <c r="BD24" s="5">
        <f>4577-$D$47</f>
        <v>4378</v>
      </c>
      <c r="BE24" s="5">
        <f>4577-$D47</f>
        <v>4378</v>
      </c>
      <c r="BF24" s="5">
        <f>4488-$D$47</f>
        <v>4289</v>
      </c>
      <c r="BG24" s="5">
        <f>4485-$D$47</f>
        <v>4286</v>
      </c>
      <c r="BH24" s="5">
        <f>4430-$D$47</f>
        <v>4231</v>
      </c>
      <c r="BI24" s="5">
        <f>4429-$D$47</f>
        <v>4230</v>
      </c>
      <c r="BJ24" s="5">
        <f>4418-$D$47</f>
        <v>4219</v>
      </c>
      <c r="BK24" s="5">
        <f>4419-$D47</f>
        <v>4220</v>
      </c>
      <c r="BL24" s="5">
        <f>4422-$D$47</f>
        <v>4223</v>
      </c>
      <c r="BM24" s="5">
        <f>4352-$D$47</f>
        <v>4153</v>
      </c>
      <c r="BN24" s="5">
        <f>4320-$D$47</f>
        <v>4121</v>
      </c>
      <c r="BO24" s="5">
        <f>4324-$D$47</f>
        <v>4125</v>
      </c>
      <c r="BP24" s="5">
        <f>4320-$D$47</f>
        <v>4121</v>
      </c>
      <c r="BQ24" s="5">
        <f>4256-$D$47</f>
        <v>4057</v>
      </c>
      <c r="BR24" s="5">
        <f>3989-$D$47</f>
        <v>3790</v>
      </c>
      <c r="BS24" s="5">
        <f>3999-$D$47</f>
        <v>3800</v>
      </c>
      <c r="BT24" s="5">
        <f>4000-$D$47</f>
        <v>3801</v>
      </c>
      <c r="BU24" s="5">
        <f>3888-$D$47</f>
        <v>3689</v>
      </c>
      <c r="BV24" s="5">
        <f>3886-$D$47</f>
        <v>3687</v>
      </c>
      <c r="BW24" s="5">
        <f>3783-$D$47</f>
        <v>3584</v>
      </c>
      <c r="BX24" s="5">
        <f>3793-$D$47</f>
        <v>3594</v>
      </c>
      <c r="BY24" s="5">
        <f>3793-$D$47</f>
        <v>3594</v>
      </c>
      <c r="BZ24" s="5">
        <v>3595</v>
      </c>
      <c r="CA24" s="5">
        <v>3596</v>
      </c>
      <c r="CB24" s="5">
        <v>3551</v>
      </c>
      <c r="CC24" s="5">
        <v>3397</v>
      </c>
      <c r="CD24" s="5">
        <v>3397</v>
      </c>
      <c r="CE24" s="5">
        <v>3397</v>
      </c>
      <c r="CF24" s="5">
        <v>3243</v>
      </c>
      <c r="CG24" s="5">
        <v>3181</v>
      </c>
      <c r="CH24" s="5">
        <v>3030</v>
      </c>
      <c r="CI24" s="5">
        <v>2923</v>
      </c>
      <c r="CJ24" s="5">
        <v>2924</v>
      </c>
      <c r="CK24" s="5">
        <v>2865</v>
      </c>
      <c r="CL24" s="5">
        <v>2695</v>
      </c>
      <c r="CM24" s="5">
        <v>2540</v>
      </c>
      <c r="CN24" s="5">
        <v>2417</v>
      </c>
      <c r="CO24" s="5">
        <v>2408</v>
      </c>
      <c r="CP24" s="5">
        <v>2400</v>
      </c>
      <c r="CQ24" s="5">
        <v>2395</v>
      </c>
      <c r="CR24" s="5">
        <v>2262</v>
      </c>
      <c r="CS24" s="5">
        <v>2281</v>
      </c>
      <c r="CT24" s="5">
        <v>2281</v>
      </c>
      <c r="CU24" s="5">
        <v>2290</v>
      </c>
      <c r="CV24" s="5">
        <v>2290</v>
      </c>
      <c r="CW24" s="5">
        <v>2276</v>
      </c>
      <c r="CX24" s="5">
        <v>2283</v>
      </c>
      <c r="CY24" s="5">
        <v>2288</v>
      </c>
      <c r="CZ24" s="5">
        <v>2244</v>
      </c>
      <c r="DA24" s="5">
        <v>2198</v>
      </c>
      <c r="DB24" s="5">
        <v>2024</v>
      </c>
      <c r="DC24" s="5">
        <v>2005</v>
      </c>
      <c r="DD24" s="5">
        <v>2082</v>
      </c>
      <c r="DE24" s="5">
        <v>1977</v>
      </c>
      <c r="DF24" s="5">
        <v>1977</v>
      </c>
      <c r="DG24" s="5">
        <v>2036</v>
      </c>
    </row>
    <row r="25" spans="2:111" ht="14.45" x14ac:dyDescent="0.3">
      <c r="B25" s="5" t="s">
        <v>689</v>
      </c>
      <c r="C25" s="5">
        <f>C18+$D$44+D49</f>
        <v>7101</v>
      </c>
      <c r="D25" s="5">
        <f>D18+$D$44+D49</f>
        <v>7096</v>
      </c>
      <c r="E25" s="5">
        <f>E18+$D$44+D49</f>
        <v>7100</v>
      </c>
      <c r="F25" s="5">
        <f>F18+$D$44+D49</f>
        <v>7022</v>
      </c>
      <c r="G25" s="5">
        <f>G18+$D$44+D49</f>
        <v>7025</v>
      </c>
      <c r="H25" s="5">
        <f>H18+$D$44+D49</f>
        <v>6940</v>
      </c>
      <c r="I25" s="5">
        <f t="shared" ref="I25" si="5">I18+$D$44</f>
        <v>6671</v>
      </c>
      <c r="J25" s="5">
        <f>J18+$D$44+D49</f>
        <v>6939</v>
      </c>
      <c r="K25" s="5">
        <f>K18+$D$44+D49</f>
        <v>6942</v>
      </c>
      <c r="L25" s="5">
        <f>L18+$D$44+D49</f>
        <v>6987</v>
      </c>
      <c r="M25" s="5">
        <f>M18+$D$44+D49</f>
        <v>6972</v>
      </c>
      <c r="N25" s="5">
        <f>N18+$D$44+D49</f>
        <v>6890</v>
      </c>
      <c r="O25" s="5">
        <f>O18+$D$44+D49</f>
        <v>6890</v>
      </c>
      <c r="P25" s="5">
        <f>P18+$D$44+D49</f>
        <v>6848</v>
      </c>
      <c r="Q25" s="5">
        <f>Q18+$D$44+D49</f>
        <v>6770</v>
      </c>
      <c r="R25" s="5">
        <f>R18+$D$44+D49</f>
        <v>6719</v>
      </c>
      <c r="S25" s="5">
        <f>S18+$D$44+D49</f>
        <v>6667</v>
      </c>
      <c r="T25" s="5">
        <f>T18+$D$44+D49</f>
        <v>6635</v>
      </c>
      <c r="U25" s="5">
        <f>U18+$D$44+D49</f>
        <v>6475</v>
      </c>
      <c r="V25" s="5">
        <f>V18+$D$44+D49</f>
        <v>6395</v>
      </c>
      <c r="W25" s="5">
        <f>W18+$D$44+D49</f>
        <v>6346</v>
      </c>
      <c r="X25" s="5">
        <f>X18+$D$44+D49</f>
        <v>6201</v>
      </c>
      <c r="Y25" s="5">
        <f>Y18+$D$44+D49</f>
        <v>6206</v>
      </c>
      <c r="Z25" s="5">
        <f>Z18+$D$44+D49</f>
        <v>6208</v>
      </c>
      <c r="AA25" s="5">
        <f>AA18+$D$44+D49</f>
        <v>6207</v>
      </c>
      <c r="AB25" s="5">
        <f>AB18+$D$44+D49</f>
        <v>6204</v>
      </c>
      <c r="AC25" s="5">
        <f>AC18+$D$44+D49</f>
        <v>6204</v>
      </c>
      <c r="AD25" s="5">
        <f>AD18+$D$44+D49</f>
        <v>5950</v>
      </c>
      <c r="AE25" s="5">
        <f>AE18+$D$44+D49</f>
        <v>5911</v>
      </c>
      <c r="AF25" s="5">
        <f>AF18+$D$44+D49</f>
        <v>5911</v>
      </c>
      <c r="AG25" s="5">
        <f>AG18+$D$44+D49</f>
        <v>5806</v>
      </c>
      <c r="AH25" s="5">
        <f>AH18+$D$44+D49</f>
        <v>5765</v>
      </c>
      <c r="AI25" s="5">
        <f>AI18+$D$44+D49</f>
        <v>5746</v>
      </c>
      <c r="AJ25" s="5">
        <f>AJ18+$D$44+D49</f>
        <v>5744</v>
      </c>
      <c r="AK25" s="5">
        <f>5476+D49</f>
        <v>5744</v>
      </c>
      <c r="AL25" s="5">
        <f>4084+D49</f>
        <v>4352</v>
      </c>
      <c r="AM25" s="5">
        <f>4071+D49</f>
        <v>4339</v>
      </c>
      <c r="AN25" s="5">
        <f>4068+D49</f>
        <v>4336</v>
      </c>
      <c r="AO25" s="5">
        <f>4067+D49</f>
        <v>4335</v>
      </c>
      <c r="AP25" s="5">
        <f>4082+D49</f>
        <v>4350</v>
      </c>
      <c r="AQ25" s="5">
        <f>3961+D49</f>
        <v>4229</v>
      </c>
      <c r="AR25" s="5">
        <f>4420+D49</f>
        <v>4688</v>
      </c>
      <c r="AS25" s="5">
        <f>4547+D49</f>
        <v>4815</v>
      </c>
      <c r="AT25" s="5">
        <f>3712+D49</f>
        <v>3980</v>
      </c>
      <c r="AU25" s="5">
        <f>3543+D49</f>
        <v>3811</v>
      </c>
      <c r="AV25" s="5">
        <f>3204+D49</f>
        <v>3472</v>
      </c>
      <c r="AW25" s="5">
        <f>3148+D49</f>
        <v>3416</v>
      </c>
      <c r="AX25" s="5">
        <f>3067+D49</f>
        <v>3335</v>
      </c>
      <c r="AY25" s="5">
        <f>3060+D49</f>
        <v>3328</v>
      </c>
      <c r="AZ25" s="5">
        <f>3015+D49</f>
        <v>3283</v>
      </c>
      <c r="BA25" s="5">
        <f>3375+D49</f>
        <v>3643</v>
      </c>
      <c r="BB25" s="5">
        <f>2728+D49</f>
        <v>2996</v>
      </c>
      <c r="BC25" s="5">
        <f>2708+D49</f>
        <v>2976</v>
      </c>
      <c r="BD25" s="5">
        <f>2708+D49</f>
        <v>2976</v>
      </c>
      <c r="BE25" s="5">
        <f>2706+D49</f>
        <v>2974</v>
      </c>
      <c r="BF25" s="5">
        <f>2726+D49</f>
        <v>2994</v>
      </c>
      <c r="BG25" s="5">
        <f>2732+D49</f>
        <v>3000</v>
      </c>
      <c r="BH25" s="5">
        <f>2731+D49</f>
        <v>2999</v>
      </c>
      <c r="BI25" s="5">
        <f>2687+D49</f>
        <v>2955</v>
      </c>
      <c r="BJ25" s="5">
        <f>2690+D49</f>
        <v>2958</v>
      </c>
      <c r="BK25" s="5">
        <f>2694+D49</f>
        <v>2962</v>
      </c>
      <c r="BL25" s="5">
        <f>2692+D49</f>
        <v>2960</v>
      </c>
      <c r="BM25" s="5">
        <f>2693+D49</f>
        <v>2961</v>
      </c>
      <c r="BN25" s="5">
        <f>2692+D49</f>
        <v>2960</v>
      </c>
      <c r="BO25" s="5">
        <f>2697+D49</f>
        <v>2965</v>
      </c>
      <c r="BP25" s="5">
        <f>2746+D49</f>
        <v>3014</v>
      </c>
      <c r="BQ25" s="5">
        <f>2754+D49</f>
        <v>3022</v>
      </c>
      <c r="BR25" s="5">
        <f>2732+D49</f>
        <v>3000</v>
      </c>
      <c r="BS25" s="5">
        <f>2733+D49</f>
        <v>3001</v>
      </c>
      <c r="BT25" s="5">
        <f>2740+D49</f>
        <v>3008</v>
      </c>
      <c r="BU25" s="5">
        <f>2634+D49</f>
        <v>2902</v>
      </c>
      <c r="BV25" s="5">
        <f>2634+D49</f>
        <v>2902</v>
      </c>
      <c r="BW25" s="5">
        <f>2634+D49</f>
        <v>2902</v>
      </c>
      <c r="BX25" s="5">
        <f>2634+D49</f>
        <v>2902</v>
      </c>
      <c r="BY25" s="5">
        <f>2634+D49</f>
        <v>2902</v>
      </c>
      <c r="BZ25" s="5">
        <v>2899</v>
      </c>
      <c r="CA25" s="5">
        <v>2897</v>
      </c>
      <c r="CB25" s="5">
        <v>2901</v>
      </c>
      <c r="CC25" s="5">
        <v>2879</v>
      </c>
      <c r="CD25" s="5">
        <v>2879</v>
      </c>
      <c r="CE25" s="5">
        <v>2862</v>
      </c>
      <c r="CF25" s="5">
        <v>2910</v>
      </c>
      <c r="CG25" s="5">
        <v>2732</v>
      </c>
      <c r="CH25" s="5">
        <v>2573</v>
      </c>
      <c r="CI25" s="5">
        <v>2576</v>
      </c>
      <c r="CJ25" s="5">
        <v>2581</v>
      </c>
      <c r="CK25" s="5">
        <v>2481</v>
      </c>
      <c r="CL25" s="5">
        <v>2395</v>
      </c>
      <c r="CM25" s="5">
        <v>2342</v>
      </c>
      <c r="CN25" s="5">
        <v>2338</v>
      </c>
      <c r="CO25" s="5">
        <v>2337</v>
      </c>
      <c r="CP25" s="5">
        <v>2340</v>
      </c>
      <c r="CQ25" s="5">
        <v>2337</v>
      </c>
      <c r="CR25" s="5">
        <v>2111</v>
      </c>
      <c r="CS25" s="5">
        <v>2081</v>
      </c>
      <c r="CT25" s="5">
        <v>2081</v>
      </c>
      <c r="CU25" s="5">
        <v>2082</v>
      </c>
      <c r="CV25" s="5">
        <v>2097</v>
      </c>
      <c r="CW25" s="5">
        <v>1918</v>
      </c>
      <c r="CX25" s="5">
        <v>1928</v>
      </c>
      <c r="CY25" s="5">
        <v>1868</v>
      </c>
      <c r="CZ25" s="5">
        <v>1919</v>
      </c>
      <c r="DA25" s="5">
        <v>1922</v>
      </c>
      <c r="DB25" s="5">
        <v>1923</v>
      </c>
      <c r="DC25" s="5">
        <v>1931</v>
      </c>
      <c r="DD25" s="5">
        <v>1931</v>
      </c>
      <c r="DE25" s="5">
        <v>1937</v>
      </c>
      <c r="DF25" s="5">
        <v>1937</v>
      </c>
      <c r="DG25" s="5">
        <v>1934</v>
      </c>
    </row>
    <row r="26" spans="2:111" ht="14.45" x14ac:dyDescent="0.3">
      <c r="B26" s="5" t="s">
        <v>690</v>
      </c>
      <c r="C26" s="5">
        <f t="shared" ref="C26:AJ26" si="6">C19+$D$45-$D$48</f>
        <v>3044</v>
      </c>
      <c r="D26" s="5">
        <f t="shared" si="6"/>
        <v>3044</v>
      </c>
      <c r="E26" s="5">
        <f t="shared" si="6"/>
        <v>3044</v>
      </c>
      <c r="F26" s="5">
        <f t="shared" si="6"/>
        <v>3044</v>
      </c>
      <c r="G26" s="5">
        <f t="shared" si="6"/>
        <v>3044</v>
      </c>
      <c r="H26" s="5">
        <f t="shared" si="6"/>
        <v>3044</v>
      </c>
      <c r="I26" s="5">
        <f t="shared" si="6"/>
        <v>3044</v>
      </c>
      <c r="J26" s="5">
        <f t="shared" si="6"/>
        <v>3044</v>
      </c>
      <c r="K26" s="5">
        <f t="shared" si="6"/>
        <v>3044</v>
      </c>
      <c r="L26" s="5">
        <f t="shared" si="6"/>
        <v>3044</v>
      </c>
      <c r="M26" s="5">
        <f t="shared" si="6"/>
        <v>3044</v>
      </c>
      <c r="N26" s="5">
        <f t="shared" si="6"/>
        <v>3044</v>
      </c>
      <c r="O26" s="5">
        <f t="shared" si="6"/>
        <v>3026</v>
      </c>
      <c r="P26" s="5">
        <f t="shared" si="6"/>
        <v>3010</v>
      </c>
      <c r="Q26" s="5">
        <f t="shared" si="6"/>
        <v>2995</v>
      </c>
      <c r="R26" s="5">
        <f t="shared" si="6"/>
        <v>2981</v>
      </c>
      <c r="S26" s="5">
        <f t="shared" si="6"/>
        <v>2848</v>
      </c>
      <c r="T26" s="5">
        <f t="shared" si="6"/>
        <v>2554</v>
      </c>
      <c r="U26" s="5">
        <f t="shared" si="6"/>
        <v>2465</v>
      </c>
      <c r="V26" s="5">
        <f t="shared" si="6"/>
        <v>2465</v>
      </c>
      <c r="W26" s="5">
        <f t="shared" si="6"/>
        <v>2390</v>
      </c>
      <c r="X26" s="5">
        <f t="shared" si="6"/>
        <v>2299</v>
      </c>
      <c r="Y26" s="5">
        <f t="shared" si="6"/>
        <v>2291</v>
      </c>
      <c r="Z26" s="5">
        <f t="shared" si="6"/>
        <v>2288</v>
      </c>
      <c r="AA26" s="5">
        <f t="shared" si="6"/>
        <v>2286</v>
      </c>
      <c r="AB26" s="5">
        <f t="shared" si="6"/>
        <v>2268</v>
      </c>
      <c r="AC26" s="5">
        <f t="shared" si="6"/>
        <v>2270</v>
      </c>
      <c r="AD26" s="5">
        <f t="shared" si="6"/>
        <v>2270</v>
      </c>
      <c r="AE26" s="5">
        <f t="shared" si="6"/>
        <v>2270</v>
      </c>
      <c r="AF26" s="5">
        <f t="shared" si="6"/>
        <v>2166</v>
      </c>
      <c r="AG26" s="5">
        <f t="shared" si="6"/>
        <v>2159</v>
      </c>
      <c r="AH26" s="5">
        <f t="shared" si="6"/>
        <v>2127</v>
      </c>
      <c r="AI26" s="5">
        <f t="shared" si="6"/>
        <v>2148</v>
      </c>
      <c r="AJ26" s="5">
        <f t="shared" si="6"/>
        <v>2125</v>
      </c>
      <c r="AK26" s="5">
        <f>2674-$D$48</f>
        <v>2125</v>
      </c>
      <c r="AL26" s="5">
        <f>1987-$D$48</f>
        <v>1438</v>
      </c>
      <c r="AM26" s="5">
        <f>1809-$D$48</f>
        <v>1260</v>
      </c>
      <c r="AN26" s="5">
        <f>1809-$D$48</f>
        <v>1260</v>
      </c>
      <c r="AO26" s="5">
        <f>1809-$D$48</f>
        <v>1260</v>
      </c>
      <c r="AP26" s="5">
        <f>1805-$D$48</f>
        <v>1256</v>
      </c>
      <c r="AQ26" s="5">
        <f>1631-$D$48</f>
        <v>1082</v>
      </c>
      <c r="AR26" s="5">
        <f>1631-$D$48</f>
        <v>1082</v>
      </c>
      <c r="AS26" s="5">
        <f>1631-$D$48</f>
        <v>1082</v>
      </c>
      <c r="AT26" s="5">
        <f>1562-$D$48</f>
        <v>1013</v>
      </c>
      <c r="AU26" s="5">
        <f>1427-$D$48</f>
        <v>878</v>
      </c>
      <c r="AV26" s="5">
        <f>1429-$D$48</f>
        <v>880</v>
      </c>
      <c r="AW26" s="5">
        <f>1426-$D$48</f>
        <v>877</v>
      </c>
      <c r="AX26" s="5">
        <f>1430-$D$48</f>
        <v>881</v>
      </c>
      <c r="AY26" s="5">
        <f>1453-$D$48</f>
        <v>904</v>
      </c>
      <c r="AZ26" s="5">
        <f>1450-$D$48</f>
        <v>901</v>
      </c>
      <c r="BA26" s="5">
        <f>1450-$D$48</f>
        <v>901</v>
      </c>
      <c r="BB26" s="5">
        <f>1554-$D$48</f>
        <v>1005</v>
      </c>
      <c r="BC26" s="5">
        <f>1441-$D$48</f>
        <v>892</v>
      </c>
      <c r="BD26" s="5">
        <f>1440-$D$48</f>
        <v>891</v>
      </c>
      <c r="BE26" s="5">
        <f>1388-$D$48</f>
        <v>839</v>
      </c>
      <c r="BF26" s="5">
        <f>1382-$D$48</f>
        <v>833</v>
      </c>
      <c r="BG26" s="5">
        <f>1336-$D$48</f>
        <v>787</v>
      </c>
      <c r="BH26" s="5">
        <f>1337-$D$48</f>
        <v>788</v>
      </c>
      <c r="BI26" s="5">
        <f>1339-$D$48</f>
        <v>790</v>
      </c>
      <c r="BJ26" s="5">
        <f>1336-$D$48</f>
        <v>787</v>
      </c>
      <c r="BK26" s="5">
        <f>1330-$D$48</f>
        <v>781</v>
      </c>
      <c r="BL26" s="5">
        <f>1331-$D$48</f>
        <v>782</v>
      </c>
      <c r="BM26" s="5">
        <f>1324-$D$48</f>
        <v>775</v>
      </c>
      <c r="BN26" s="5">
        <f>1243-$D$48</f>
        <v>694</v>
      </c>
      <c r="BO26" s="5">
        <f>1249-$D$48</f>
        <v>700</v>
      </c>
      <c r="BP26" s="5">
        <f>1258-$D$48</f>
        <v>709</v>
      </c>
      <c r="BQ26" s="5">
        <f>1268-$D$48</f>
        <v>719</v>
      </c>
      <c r="BR26" s="5">
        <f>1262-$D$48</f>
        <v>713</v>
      </c>
      <c r="BS26" s="5">
        <f>1265-$D$48</f>
        <v>716</v>
      </c>
      <c r="BT26" s="5">
        <f>1277-$D$48</f>
        <v>728</v>
      </c>
      <c r="BU26" s="5">
        <f>1288-$D$48</f>
        <v>739</v>
      </c>
      <c r="BV26" s="5">
        <f>1287-$D$48</f>
        <v>738</v>
      </c>
      <c r="BW26" s="5">
        <f>1292-$D$48</f>
        <v>743</v>
      </c>
      <c r="BX26" s="5">
        <f>1253-$D$48</f>
        <v>704</v>
      </c>
      <c r="BY26" s="5">
        <f>1253-$D$48</f>
        <v>704</v>
      </c>
      <c r="BZ26" s="5">
        <v>700</v>
      </c>
      <c r="CA26" s="5">
        <v>728</v>
      </c>
      <c r="CB26" s="5">
        <v>732</v>
      </c>
      <c r="CC26" s="5">
        <v>732</v>
      </c>
      <c r="CD26" s="5">
        <v>723</v>
      </c>
      <c r="CE26" s="5">
        <v>711</v>
      </c>
      <c r="CF26" s="5">
        <v>632</v>
      </c>
      <c r="CG26" s="5">
        <v>610</v>
      </c>
      <c r="CH26" s="5">
        <v>673</v>
      </c>
      <c r="CI26" s="5">
        <v>680</v>
      </c>
      <c r="CJ26" s="5">
        <v>681</v>
      </c>
      <c r="CK26" s="5">
        <v>640</v>
      </c>
      <c r="CL26" s="5">
        <v>499</v>
      </c>
      <c r="CM26" s="5">
        <v>500</v>
      </c>
      <c r="CN26" s="5">
        <v>500</v>
      </c>
      <c r="CO26" s="5">
        <v>498</v>
      </c>
      <c r="CP26" s="5">
        <v>499</v>
      </c>
      <c r="CQ26" s="5">
        <v>500</v>
      </c>
      <c r="CR26" s="5">
        <v>504</v>
      </c>
      <c r="CS26" s="5">
        <v>506</v>
      </c>
      <c r="CT26" s="5">
        <v>506</v>
      </c>
      <c r="CU26" s="5">
        <v>506</v>
      </c>
      <c r="CV26" s="5">
        <v>506</v>
      </c>
      <c r="CW26" s="5">
        <v>500</v>
      </c>
      <c r="CX26" s="5">
        <v>492</v>
      </c>
      <c r="CY26" s="5">
        <v>493</v>
      </c>
      <c r="CZ26" s="5">
        <v>493</v>
      </c>
      <c r="DA26" s="5">
        <v>496</v>
      </c>
      <c r="DB26" s="5">
        <v>493</v>
      </c>
      <c r="DC26" s="5">
        <v>495</v>
      </c>
      <c r="DD26" s="5">
        <v>497</v>
      </c>
      <c r="DE26" s="5">
        <v>475</v>
      </c>
      <c r="DF26" s="5">
        <v>475</v>
      </c>
      <c r="DG26" s="5">
        <v>495</v>
      </c>
    </row>
    <row r="27" spans="2:111" ht="14.45" x14ac:dyDescent="0.3">
      <c r="B27" s="6" t="s">
        <v>691</v>
      </c>
      <c r="C27" s="5">
        <f t="shared" ref="C27:AH27" si="7">C25+C26+C24</f>
        <v>14470</v>
      </c>
      <c r="D27" s="5">
        <f t="shared" si="7"/>
        <v>14465</v>
      </c>
      <c r="E27" s="5">
        <f t="shared" si="7"/>
        <v>14469</v>
      </c>
      <c r="F27" s="5">
        <f t="shared" si="7"/>
        <v>14391</v>
      </c>
      <c r="G27" s="5">
        <f t="shared" si="7"/>
        <v>14394</v>
      </c>
      <c r="H27" s="5">
        <f t="shared" si="7"/>
        <v>14309</v>
      </c>
      <c r="I27" s="5">
        <f t="shared" si="7"/>
        <v>14040</v>
      </c>
      <c r="J27" s="5">
        <f t="shared" si="7"/>
        <v>14308</v>
      </c>
      <c r="K27" s="5">
        <f t="shared" si="7"/>
        <v>14311</v>
      </c>
      <c r="L27" s="5">
        <f t="shared" si="7"/>
        <v>14356</v>
      </c>
      <c r="M27" s="5">
        <f t="shared" si="7"/>
        <v>14341</v>
      </c>
      <c r="N27" s="5">
        <f t="shared" si="7"/>
        <v>14259</v>
      </c>
      <c r="O27" s="5">
        <f t="shared" si="7"/>
        <v>14241</v>
      </c>
      <c r="P27" s="5">
        <f t="shared" si="7"/>
        <v>14183</v>
      </c>
      <c r="Q27" s="5">
        <f t="shared" si="7"/>
        <v>14090</v>
      </c>
      <c r="R27" s="5">
        <f t="shared" si="7"/>
        <v>14025</v>
      </c>
      <c r="S27" s="5">
        <f t="shared" si="7"/>
        <v>13840</v>
      </c>
      <c r="T27" s="5">
        <f t="shared" si="7"/>
        <v>13514</v>
      </c>
      <c r="U27" s="5">
        <f t="shared" si="7"/>
        <v>13265</v>
      </c>
      <c r="V27" s="5">
        <f t="shared" si="7"/>
        <v>13185</v>
      </c>
      <c r="W27" s="5">
        <f t="shared" si="7"/>
        <v>13061</v>
      </c>
      <c r="X27" s="5">
        <f t="shared" si="7"/>
        <v>12825</v>
      </c>
      <c r="Y27" s="5">
        <f t="shared" si="7"/>
        <v>12822</v>
      </c>
      <c r="Z27" s="5">
        <f t="shared" si="7"/>
        <v>12821</v>
      </c>
      <c r="AA27" s="5">
        <f t="shared" si="7"/>
        <v>12818</v>
      </c>
      <c r="AB27" s="5">
        <f t="shared" si="7"/>
        <v>12797</v>
      </c>
      <c r="AC27" s="5">
        <f t="shared" si="7"/>
        <v>12799</v>
      </c>
      <c r="AD27" s="5">
        <f t="shared" si="7"/>
        <v>12545</v>
      </c>
      <c r="AE27" s="5">
        <f t="shared" si="7"/>
        <v>12506</v>
      </c>
      <c r="AF27" s="5">
        <f t="shared" si="7"/>
        <v>12402</v>
      </c>
      <c r="AG27" s="5">
        <f t="shared" si="7"/>
        <v>12290</v>
      </c>
      <c r="AH27" s="5">
        <f t="shared" si="7"/>
        <v>12217</v>
      </c>
      <c r="AI27" s="5">
        <f t="shared" ref="AI27:BM27" si="8">AI25+AI26+AI24</f>
        <v>12219</v>
      </c>
      <c r="AJ27" s="5">
        <f t="shared" si="8"/>
        <v>12194</v>
      </c>
      <c r="AK27" s="5">
        <f t="shared" si="8"/>
        <v>12194</v>
      </c>
      <c r="AL27" s="5">
        <f t="shared" si="8"/>
        <v>10115</v>
      </c>
      <c r="AM27" s="5">
        <f t="shared" si="8"/>
        <v>9924</v>
      </c>
      <c r="AN27" s="5">
        <f t="shared" si="8"/>
        <v>9921</v>
      </c>
      <c r="AO27" s="5">
        <f t="shared" si="8"/>
        <v>9920</v>
      </c>
      <c r="AP27" s="5">
        <f t="shared" si="8"/>
        <v>9931</v>
      </c>
      <c r="AQ27" s="5">
        <f t="shared" si="8"/>
        <v>9636</v>
      </c>
      <c r="AR27" s="5">
        <f t="shared" si="8"/>
        <v>10095</v>
      </c>
      <c r="AS27" s="5">
        <f t="shared" si="8"/>
        <v>10222</v>
      </c>
      <c r="AT27" s="5">
        <f t="shared" si="8"/>
        <v>9318</v>
      </c>
      <c r="AU27" s="5">
        <f t="shared" si="8"/>
        <v>9014</v>
      </c>
      <c r="AV27" s="5">
        <f t="shared" si="8"/>
        <v>8677</v>
      </c>
      <c r="AW27" s="5">
        <f t="shared" si="8"/>
        <v>8618</v>
      </c>
      <c r="AX27" s="5">
        <f t="shared" si="8"/>
        <v>8541</v>
      </c>
      <c r="AY27" s="5">
        <f t="shared" si="8"/>
        <v>8557</v>
      </c>
      <c r="AZ27" s="5">
        <f t="shared" si="8"/>
        <v>8509</v>
      </c>
      <c r="BA27" s="5">
        <f t="shared" si="8"/>
        <v>8908</v>
      </c>
      <c r="BB27" s="5">
        <f t="shared" si="8"/>
        <v>8367</v>
      </c>
      <c r="BC27" s="5">
        <f t="shared" si="8"/>
        <v>8233</v>
      </c>
      <c r="BD27" s="5">
        <f t="shared" si="8"/>
        <v>8245</v>
      </c>
      <c r="BE27" s="5">
        <f t="shared" si="8"/>
        <v>8191</v>
      </c>
      <c r="BF27" s="5">
        <f t="shared" si="8"/>
        <v>8116</v>
      </c>
      <c r="BG27" s="5">
        <f t="shared" si="8"/>
        <v>8073</v>
      </c>
      <c r="BH27" s="5">
        <f t="shared" si="8"/>
        <v>8018</v>
      </c>
      <c r="BI27" s="5">
        <f t="shared" si="8"/>
        <v>7975</v>
      </c>
      <c r="BJ27" s="5">
        <f t="shared" si="8"/>
        <v>7964</v>
      </c>
      <c r="BK27" s="5">
        <f t="shared" si="8"/>
        <v>7963</v>
      </c>
      <c r="BL27" s="5">
        <f t="shared" si="8"/>
        <v>7965</v>
      </c>
      <c r="BM27" s="5">
        <f t="shared" si="8"/>
        <v>7889</v>
      </c>
      <c r="BN27" s="5">
        <f t="shared" ref="BN27:BO27" si="9">BN25+BN26+BN24</f>
        <v>7775</v>
      </c>
      <c r="BO27" s="5">
        <f t="shared" si="9"/>
        <v>7790</v>
      </c>
      <c r="BP27" s="5">
        <f t="shared" ref="BP27:BQ27" si="10">BP25+BP26+BP24</f>
        <v>7844</v>
      </c>
      <c r="BQ27" s="5">
        <f t="shared" si="10"/>
        <v>7798</v>
      </c>
      <c r="BR27" s="5">
        <f t="shared" ref="BR27:BS27" si="11">BR25+BR26+BR24</f>
        <v>7503</v>
      </c>
      <c r="BS27" s="5">
        <f t="shared" si="11"/>
        <v>7517</v>
      </c>
      <c r="BT27" s="5">
        <f t="shared" ref="BT27:BU27" si="12">BT25+BT26+BT24</f>
        <v>7537</v>
      </c>
      <c r="BU27" s="5">
        <f t="shared" si="12"/>
        <v>7330</v>
      </c>
      <c r="BV27" s="5">
        <f t="shared" ref="BV27:BW27" si="13">BV25+BV26+BV24</f>
        <v>7327</v>
      </c>
      <c r="BW27" s="5">
        <f t="shared" si="13"/>
        <v>7229</v>
      </c>
      <c r="BX27" s="5">
        <f t="shared" ref="BX27:BY27" si="14">BX25+BX26+BX24</f>
        <v>7200</v>
      </c>
      <c r="BY27" s="5">
        <f t="shared" si="14"/>
        <v>7200</v>
      </c>
      <c r="BZ27" s="5">
        <f t="shared" ref="BZ27:CA27" si="15">BZ25+BZ26+BZ24</f>
        <v>7194</v>
      </c>
      <c r="CA27" s="5">
        <f t="shared" si="15"/>
        <v>7221</v>
      </c>
      <c r="CB27" s="5">
        <f t="shared" ref="CB27" si="16">CB25+CB26+CB24</f>
        <v>7184</v>
      </c>
      <c r="CC27" s="5">
        <f t="shared" ref="CC27" si="17">CC25+CC26+CC24</f>
        <v>7008</v>
      </c>
      <c r="CD27" s="5">
        <f t="shared" ref="CD27:CE27" si="18">CD25+CD26+CD24</f>
        <v>6999</v>
      </c>
      <c r="CE27" s="5">
        <f t="shared" si="18"/>
        <v>6970</v>
      </c>
      <c r="CF27" s="5">
        <f t="shared" ref="CF27:CG27" si="19">CF25+CF26+CF24</f>
        <v>6785</v>
      </c>
      <c r="CG27" s="5">
        <f t="shared" si="19"/>
        <v>6523</v>
      </c>
      <c r="CH27" s="5">
        <f t="shared" ref="CH27:CI27" si="20">CH25+CH26+CH24</f>
        <v>6276</v>
      </c>
      <c r="CI27" s="5">
        <f t="shared" si="20"/>
        <v>6179</v>
      </c>
      <c r="CJ27" s="5">
        <f t="shared" ref="CJ27:CK27" si="21">CJ25+CJ26+CJ24</f>
        <v>6186</v>
      </c>
      <c r="CK27" s="5">
        <f t="shared" si="21"/>
        <v>5986</v>
      </c>
      <c r="CL27" s="5">
        <f t="shared" ref="CL27:CM27" si="22">CL25+CL26+CL24</f>
        <v>5589</v>
      </c>
      <c r="CM27" s="5">
        <f t="shared" si="22"/>
        <v>5382</v>
      </c>
      <c r="CN27" s="5">
        <f t="shared" ref="CN27:CO27" si="23">CN25+CN26+CN24</f>
        <v>5255</v>
      </c>
      <c r="CO27" s="5">
        <f t="shared" si="23"/>
        <v>5243</v>
      </c>
      <c r="CP27" s="5">
        <f t="shared" ref="CP27:CQ27" si="24">CP25+CP26+CP24</f>
        <v>5239</v>
      </c>
      <c r="CQ27" s="5">
        <f t="shared" si="24"/>
        <v>5232</v>
      </c>
      <c r="CR27" s="5">
        <f t="shared" ref="CR27:CS27" si="25">CR25+CR26+CR24</f>
        <v>4877</v>
      </c>
      <c r="CS27" s="5">
        <f t="shared" si="25"/>
        <v>4868</v>
      </c>
      <c r="CT27" s="5">
        <f t="shared" ref="CT27:CU27" si="26">CT25+CT26+CT24</f>
        <v>4868</v>
      </c>
      <c r="CU27" s="5">
        <f t="shared" si="26"/>
        <v>4878</v>
      </c>
      <c r="CV27" s="5">
        <f t="shared" ref="CV27:CW27" si="27">CV25+CV26+CV24</f>
        <v>4893</v>
      </c>
      <c r="CW27" s="5">
        <f t="shared" si="27"/>
        <v>4694</v>
      </c>
      <c r="CX27" s="5">
        <f t="shared" ref="CX27:CY27" si="28">CX25+CX26+CX24</f>
        <v>4703</v>
      </c>
      <c r="CY27" s="5">
        <f t="shared" si="28"/>
        <v>4649</v>
      </c>
      <c r="CZ27" s="5">
        <f t="shared" ref="CZ27:DA27" si="29">CZ25+CZ26+CZ24</f>
        <v>4656</v>
      </c>
      <c r="DA27" s="5">
        <f t="shared" si="29"/>
        <v>4616</v>
      </c>
      <c r="DB27" s="5">
        <f t="shared" ref="DB27:DC27" si="30">DB25+DB26+DB24</f>
        <v>4440</v>
      </c>
      <c r="DC27" s="5">
        <f t="shared" si="30"/>
        <v>4431</v>
      </c>
      <c r="DD27" s="5">
        <f t="shared" ref="DD27:DE27" si="31">DD25+DD26+DD24</f>
        <v>4510</v>
      </c>
      <c r="DE27" s="5">
        <f t="shared" si="31"/>
        <v>4389</v>
      </c>
      <c r="DF27" s="5">
        <f t="shared" ref="DF27:DG27" si="32">DF25+DF26+DF24</f>
        <v>4389</v>
      </c>
      <c r="DG27" s="5">
        <f t="shared" si="32"/>
        <v>4465</v>
      </c>
    </row>
    <row r="28" spans="2:111" ht="14.45" x14ac:dyDescent="0.3">
      <c r="B28" s="6" t="s">
        <v>687</v>
      </c>
      <c r="C28" s="5">
        <v>0</v>
      </c>
      <c r="D28" s="5">
        <f>$C$27-D27</f>
        <v>5</v>
      </c>
      <c r="E28" s="5">
        <f>$C$27-E27</f>
        <v>1</v>
      </c>
      <c r="F28" s="5">
        <f t="shared" ref="F28" si="33">$C$27-F27</f>
        <v>79</v>
      </c>
      <c r="G28" s="5">
        <f t="shared" ref="G28" si="34">$C$27-G27</f>
        <v>76</v>
      </c>
      <c r="H28" s="5">
        <f t="shared" ref="H28" si="35">$C$27-H27</f>
        <v>161</v>
      </c>
      <c r="I28" s="5">
        <f t="shared" ref="I28" si="36">$C$27-I27</f>
        <v>430</v>
      </c>
      <c r="J28" s="5">
        <f t="shared" ref="J28" si="37">$C$27-J27</f>
        <v>162</v>
      </c>
      <c r="K28" s="5">
        <f t="shared" ref="K28" si="38">$C$27-K27</f>
        <v>159</v>
      </c>
      <c r="L28" s="5">
        <f t="shared" ref="L28" si="39">$C$27-L27</f>
        <v>114</v>
      </c>
      <c r="M28" s="5">
        <f t="shared" ref="M28" si="40">$C$27-M27</f>
        <v>129</v>
      </c>
      <c r="N28" s="5">
        <f t="shared" ref="N28" si="41">$C$27-N27</f>
        <v>211</v>
      </c>
      <c r="O28" s="5">
        <f t="shared" ref="O28" si="42">$C$27-O27</f>
        <v>229</v>
      </c>
      <c r="P28" s="5">
        <f t="shared" ref="P28" si="43">$C$27-P27</f>
        <v>287</v>
      </c>
      <c r="Q28" s="5">
        <f t="shared" ref="Q28" si="44">$C$27-Q27</f>
        <v>380</v>
      </c>
      <c r="R28" s="5">
        <f t="shared" ref="R28" si="45">$C$27-R27</f>
        <v>445</v>
      </c>
      <c r="S28" s="5">
        <f t="shared" ref="S28" si="46">$C$27-S27</f>
        <v>630</v>
      </c>
      <c r="T28" s="5">
        <f t="shared" ref="T28" si="47">$C$27-T27</f>
        <v>956</v>
      </c>
      <c r="U28" s="5">
        <f t="shared" ref="U28" si="48">$C$27-U27</f>
        <v>1205</v>
      </c>
      <c r="V28" s="5">
        <f t="shared" ref="V28" si="49">$C$27-V27</f>
        <v>1285</v>
      </c>
      <c r="W28" s="5">
        <f t="shared" ref="W28" si="50">$C$27-W27</f>
        <v>1409</v>
      </c>
      <c r="X28" s="5">
        <f t="shared" ref="X28" si="51">$C$27-X27</f>
        <v>1645</v>
      </c>
      <c r="Y28" s="5">
        <f t="shared" ref="Y28" si="52">$C$27-Y27</f>
        <v>1648</v>
      </c>
      <c r="Z28" s="5">
        <f t="shared" ref="Z28" si="53">$C$27-Z27</f>
        <v>1649</v>
      </c>
      <c r="AA28" s="5">
        <f t="shared" ref="AA28" si="54">$C$27-AA27</f>
        <v>1652</v>
      </c>
      <c r="AB28" s="5">
        <f t="shared" ref="AB28" si="55">$C$27-AB27</f>
        <v>1673</v>
      </c>
      <c r="AC28" s="5">
        <f t="shared" ref="AC28" si="56">$C$27-AC27</f>
        <v>1671</v>
      </c>
      <c r="AD28" s="5">
        <f t="shared" ref="AD28" si="57">$C$27-AD27</f>
        <v>1925</v>
      </c>
      <c r="AE28" s="5">
        <f t="shared" ref="AE28" si="58">$C$27-AE27</f>
        <v>1964</v>
      </c>
      <c r="AF28" s="5">
        <f t="shared" ref="AF28" si="59">$C$27-AF27</f>
        <v>2068</v>
      </c>
      <c r="AG28" s="5">
        <f t="shared" ref="AG28" si="60">$C$27-AG27</f>
        <v>2180</v>
      </c>
      <c r="AH28" s="5">
        <f t="shared" ref="AH28" si="61">$C$27-AH27</f>
        <v>2253</v>
      </c>
      <c r="AI28" s="5">
        <f t="shared" ref="AI28" si="62">$C$27-AI27</f>
        <v>2251</v>
      </c>
      <c r="AJ28" s="5">
        <f t="shared" ref="AJ28:BL28" si="63">$C$27-AJ27</f>
        <v>2276</v>
      </c>
      <c r="AK28" s="5">
        <f t="shared" si="63"/>
        <v>2276</v>
      </c>
      <c r="AL28" s="5">
        <f t="shared" si="63"/>
        <v>4355</v>
      </c>
      <c r="AM28" s="5">
        <f t="shared" si="63"/>
        <v>4546</v>
      </c>
      <c r="AN28" s="5">
        <f t="shared" si="63"/>
        <v>4549</v>
      </c>
      <c r="AO28" s="5">
        <f t="shared" si="63"/>
        <v>4550</v>
      </c>
      <c r="AP28" s="5">
        <f t="shared" si="63"/>
        <v>4539</v>
      </c>
      <c r="AQ28" s="5">
        <f t="shared" si="63"/>
        <v>4834</v>
      </c>
      <c r="AR28" s="5">
        <f t="shared" si="63"/>
        <v>4375</v>
      </c>
      <c r="AS28" s="5">
        <f t="shared" si="63"/>
        <v>4248</v>
      </c>
      <c r="AT28" s="5">
        <f t="shared" si="63"/>
        <v>5152</v>
      </c>
      <c r="AU28" s="5">
        <f t="shared" si="63"/>
        <v>5456</v>
      </c>
      <c r="AV28" s="5">
        <f t="shared" si="63"/>
        <v>5793</v>
      </c>
      <c r="AW28" s="5">
        <f t="shared" si="63"/>
        <v>5852</v>
      </c>
      <c r="AX28" s="5">
        <f t="shared" si="63"/>
        <v>5929</v>
      </c>
      <c r="AY28" s="5">
        <f t="shared" si="63"/>
        <v>5913</v>
      </c>
      <c r="AZ28" s="5">
        <f t="shared" si="63"/>
        <v>5961</v>
      </c>
      <c r="BA28" s="5">
        <f t="shared" si="63"/>
        <v>5562</v>
      </c>
      <c r="BB28" s="5">
        <f t="shared" si="63"/>
        <v>6103</v>
      </c>
      <c r="BC28" s="5">
        <f t="shared" si="63"/>
        <v>6237</v>
      </c>
      <c r="BD28" s="5">
        <f t="shared" si="63"/>
        <v>6225</v>
      </c>
      <c r="BE28" s="5">
        <f t="shared" si="63"/>
        <v>6279</v>
      </c>
      <c r="BF28" s="5">
        <f t="shared" si="63"/>
        <v>6354</v>
      </c>
      <c r="BG28" s="5">
        <f t="shared" si="63"/>
        <v>6397</v>
      </c>
      <c r="BH28" s="5">
        <f t="shared" si="63"/>
        <v>6452</v>
      </c>
      <c r="BI28" s="5">
        <f t="shared" si="63"/>
        <v>6495</v>
      </c>
      <c r="BJ28" s="5">
        <f t="shared" si="63"/>
        <v>6506</v>
      </c>
      <c r="BK28" s="5">
        <f t="shared" si="63"/>
        <v>6507</v>
      </c>
      <c r="BL28" s="5">
        <f t="shared" si="63"/>
        <v>6505</v>
      </c>
      <c r="BM28" s="5">
        <f t="shared" ref="BM28:BN28" si="64">$C$27-BM27</f>
        <v>6581</v>
      </c>
      <c r="BN28" s="5">
        <f t="shared" si="64"/>
        <v>6695</v>
      </c>
      <c r="BO28" s="5">
        <f t="shared" ref="BO28:BP28" si="65">$C$27-BO27</f>
        <v>6680</v>
      </c>
      <c r="BP28" s="5">
        <f t="shared" si="65"/>
        <v>6626</v>
      </c>
      <c r="BQ28" s="5">
        <f t="shared" ref="BQ28" si="66">$C$27-BQ27</f>
        <v>6672</v>
      </c>
      <c r="BR28" s="5">
        <f t="shared" ref="BR28:BS28" si="67">$C$27-BR27</f>
        <v>6967</v>
      </c>
      <c r="BS28" s="5">
        <f t="shared" si="67"/>
        <v>6953</v>
      </c>
      <c r="BT28" s="5">
        <f t="shared" ref="BT28:BU28" si="68">$C$27-BT27</f>
        <v>6933</v>
      </c>
      <c r="BU28" s="5">
        <f t="shared" si="68"/>
        <v>7140</v>
      </c>
      <c r="BV28" s="5">
        <f t="shared" ref="BV28:BW28" si="69">$C$27-BV27</f>
        <v>7143</v>
      </c>
      <c r="BW28" s="5">
        <f t="shared" si="69"/>
        <v>7241</v>
      </c>
      <c r="BX28" s="5">
        <f t="shared" ref="BX28:BY28" si="70">$C$27-BX27</f>
        <v>7270</v>
      </c>
      <c r="BY28" s="5">
        <f t="shared" si="70"/>
        <v>7270</v>
      </c>
      <c r="BZ28" s="5">
        <f t="shared" ref="BZ28:CA28" si="71">$C$27-BZ27</f>
        <v>7276</v>
      </c>
      <c r="CA28" s="5">
        <f t="shared" si="71"/>
        <v>7249</v>
      </c>
      <c r="CB28" s="5">
        <f t="shared" ref="CB28" si="72">$C$27-CB27</f>
        <v>7286</v>
      </c>
      <c r="CC28" s="5">
        <f t="shared" ref="CC28" si="73">$C$27-CC27</f>
        <v>7462</v>
      </c>
      <c r="CD28" s="5">
        <f t="shared" ref="CD28:CE28" si="74">$C$27-CD27</f>
        <v>7471</v>
      </c>
      <c r="CE28" s="5">
        <f t="shared" si="74"/>
        <v>7500</v>
      </c>
      <c r="CF28" s="5">
        <f t="shared" ref="CF28:CG28" si="75">$C$27-CF27</f>
        <v>7685</v>
      </c>
      <c r="CG28" s="5">
        <f t="shared" si="75"/>
        <v>7947</v>
      </c>
      <c r="CH28" s="5">
        <f t="shared" ref="CH28:CI28" si="76">$C$27-CH27</f>
        <v>8194</v>
      </c>
      <c r="CI28" s="5">
        <f t="shared" si="76"/>
        <v>8291</v>
      </c>
      <c r="CJ28" s="5">
        <f t="shared" ref="CJ28:CK28" si="77">$C$27-CJ27</f>
        <v>8284</v>
      </c>
      <c r="CK28" s="5">
        <f t="shared" si="77"/>
        <v>8484</v>
      </c>
      <c r="CL28" s="5">
        <f t="shared" ref="CL28:CM28" si="78">$C$27-CL27</f>
        <v>8881</v>
      </c>
      <c r="CM28" s="5">
        <f t="shared" si="78"/>
        <v>9088</v>
      </c>
      <c r="CN28" s="5">
        <f t="shared" ref="CN28:CO28" si="79">$C$27-CN27</f>
        <v>9215</v>
      </c>
      <c r="CO28" s="5">
        <f t="shared" si="79"/>
        <v>9227</v>
      </c>
      <c r="CP28" s="5">
        <f t="shared" ref="CP28:CQ28" si="80">$C$27-CP27</f>
        <v>9231</v>
      </c>
      <c r="CQ28" s="5">
        <f t="shared" si="80"/>
        <v>9238</v>
      </c>
      <c r="CR28" s="5">
        <f t="shared" ref="CR28:CS28" si="81">$C$27-CR27</f>
        <v>9593</v>
      </c>
      <c r="CS28" s="5">
        <f t="shared" si="81"/>
        <v>9602</v>
      </c>
      <c r="CT28" s="5">
        <f t="shared" ref="CT28:CU28" si="82">$C$27-CT27</f>
        <v>9602</v>
      </c>
      <c r="CU28" s="5">
        <f t="shared" si="82"/>
        <v>9592</v>
      </c>
      <c r="CV28" s="5">
        <f t="shared" ref="CV28:CW28" si="83">$C$27-CV27</f>
        <v>9577</v>
      </c>
      <c r="CW28" s="5">
        <f t="shared" si="83"/>
        <v>9776</v>
      </c>
      <c r="CX28" s="5">
        <f t="shared" ref="CX28:CY28" si="84">$C$27-CX27</f>
        <v>9767</v>
      </c>
      <c r="CY28" s="5">
        <f t="shared" si="84"/>
        <v>9821</v>
      </c>
      <c r="CZ28" s="5">
        <f t="shared" ref="CZ28:DA28" si="85">$C$27-CZ27</f>
        <v>9814</v>
      </c>
      <c r="DA28" s="5">
        <f t="shared" si="85"/>
        <v>9854</v>
      </c>
      <c r="DB28" s="5">
        <f t="shared" ref="DB28:DC28" si="86">$C$27-DB27</f>
        <v>10030</v>
      </c>
      <c r="DC28" s="5">
        <f t="shared" si="86"/>
        <v>10039</v>
      </c>
      <c r="DD28" s="5">
        <f t="shared" ref="DD28:DE28" si="87">$C$27-DD27</f>
        <v>9960</v>
      </c>
      <c r="DE28" s="5">
        <f t="shared" si="87"/>
        <v>10081</v>
      </c>
      <c r="DF28" s="5">
        <f t="shared" ref="DF28:DG28" si="88">$C$27-DF27</f>
        <v>10081</v>
      </c>
      <c r="DG28" s="5">
        <f t="shared" si="88"/>
        <v>10005</v>
      </c>
    </row>
    <row r="29" spans="2:111" ht="9.75" customHeight="1" x14ac:dyDescent="0.3"/>
    <row r="30" spans="2:111" ht="9.6" customHeight="1" x14ac:dyDescent="0.3">
      <c r="BZ30">
        <f t="shared" ref="BZ30:DA30" si="89">BZ28-AM28</f>
        <v>2730</v>
      </c>
      <c r="CA30">
        <f t="shared" si="89"/>
        <v>2700</v>
      </c>
      <c r="CB30">
        <f t="shared" si="89"/>
        <v>2736</v>
      </c>
      <c r="CC30">
        <f t="shared" si="89"/>
        <v>2923</v>
      </c>
      <c r="CD30">
        <f t="shared" si="89"/>
        <v>2637</v>
      </c>
      <c r="CE30">
        <f t="shared" si="89"/>
        <v>3125</v>
      </c>
      <c r="CF30">
        <f t="shared" si="89"/>
        <v>3437</v>
      </c>
      <c r="CG30">
        <f t="shared" si="89"/>
        <v>2795</v>
      </c>
      <c r="CH30">
        <f t="shared" si="89"/>
        <v>2738</v>
      </c>
      <c r="CI30">
        <f t="shared" si="89"/>
        <v>2498</v>
      </c>
      <c r="CJ30">
        <f t="shared" si="89"/>
        <v>2432</v>
      </c>
      <c r="CK30">
        <f t="shared" si="89"/>
        <v>2555</v>
      </c>
      <c r="CL30">
        <f t="shared" si="89"/>
        <v>2968</v>
      </c>
      <c r="CM30">
        <f t="shared" si="89"/>
        <v>3127</v>
      </c>
      <c r="CN30">
        <f t="shared" si="89"/>
        <v>3653</v>
      </c>
      <c r="CO30">
        <f t="shared" si="89"/>
        <v>3124</v>
      </c>
      <c r="CP30">
        <f t="shared" si="89"/>
        <v>2994</v>
      </c>
      <c r="CQ30">
        <f t="shared" si="89"/>
        <v>3013</v>
      </c>
      <c r="CR30">
        <f t="shared" si="89"/>
        <v>3314</v>
      </c>
      <c r="CS30">
        <f t="shared" si="89"/>
        <v>3248</v>
      </c>
      <c r="CT30">
        <f t="shared" si="89"/>
        <v>3205</v>
      </c>
      <c r="CU30">
        <f t="shared" si="89"/>
        <v>3140</v>
      </c>
      <c r="CV30">
        <f t="shared" si="89"/>
        <v>3082</v>
      </c>
      <c r="CW30">
        <f t="shared" si="89"/>
        <v>3270</v>
      </c>
      <c r="CX30">
        <f t="shared" si="89"/>
        <v>3260</v>
      </c>
      <c r="CY30">
        <f t="shared" si="89"/>
        <v>3316</v>
      </c>
      <c r="CZ30">
        <f t="shared" si="89"/>
        <v>3233</v>
      </c>
      <c r="DA30">
        <f t="shared" si="89"/>
        <v>3159</v>
      </c>
    </row>
    <row r="31" spans="2:111" ht="62.25" customHeight="1" x14ac:dyDescent="0.3">
      <c r="B31" s="1" t="s">
        <v>8451</v>
      </c>
      <c r="C31" s="84" t="s">
        <v>8429</v>
      </c>
      <c r="D31" s="74" t="s">
        <v>2540</v>
      </c>
    </row>
    <row r="32" spans="2:111" ht="14.45" x14ac:dyDescent="0.3">
      <c r="B32" s="5" t="s">
        <v>8428</v>
      </c>
      <c r="C32" s="5">
        <v>2036</v>
      </c>
      <c r="D32" s="56">
        <f>C24-C32</f>
        <v>2289</v>
      </c>
    </row>
    <row r="33" spans="2:4" ht="14.45" x14ac:dyDescent="0.3">
      <c r="B33" s="5" t="s">
        <v>8452</v>
      </c>
      <c r="C33" s="5">
        <v>1934</v>
      </c>
      <c r="D33" s="56">
        <f>C25-C33</f>
        <v>5167</v>
      </c>
    </row>
    <row r="34" spans="2:4" ht="14.45" x14ac:dyDescent="0.3">
      <c r="B34" s="5" t="s">
        <v>8450</v>
      </c>
      <c r="C34" s="5">
        <v>495</v>
      </c>
      <c r="D34" s="56">
        <f>C26-C34</f>
        <v>2549</v>
      </c>
    </row>
    <row r="35" spans="2:4" ht="14.45" x14ac:dyDescent="0.3">
      <c r="B35" s="83" t="s">
        <v>2572</v>
      </c>
      <c r="C35" s="73">
        <f t="shared" ref="C35" si="90">C33+C34+C32</f>
        <v>4465</v>
      </c>
      <c r="D35" s="73">
        <f>D33+D34+D32</f>
        <v>10005</v>
      </c>
    </row>
    <row r="36" spans="2:4" ht="14.45" x14ac:dyDescent="0.3">
      <c r="B36" s="55"/>
    </row>
    <row r="37" spans="2:4" ht="14.45" x14ac:dyDescent="0.3">
      <c r="B37" s="47" t="s">
        <v>2515</v>
      </c>
    </row>
    <row r="38" spans="2:4" ht="14.45" x14ac:dyDescent="0.3">
      <c r="B38" s="48" t="s">
        <v>2522</v>
      </c>
    </row>
    <row r="39" spans="2:4" ht="14.45" x14ac:dyDescent="0.3">
      <c r="B39" s="48" t="s">
        <v>2518</v>
      </c>
    </row>
    <row r="40" spans="2:4" ht="14.45" x14ac:dyDescent="0.3">
      <c r="B40" s="47" t="s">
        <v>2517</v>
      </c>
    </row>
    <row r="41" spans="2:4" ht="14.45" x14ac:dyDescent="0.3">
      <c r="B41" s="2" t="s">
        <v>2520</v>
      </c>
    </row>
    <row r="42" spans="2:4" ht="14.45" x14ac:dyDescent="0.3">
      <c r="B42" s="2" t="s">
        <v>2519</v>
      </c>
    </row>
    <row r="43" spans="2:4" ht="14.45" x14ac:dyDescent="0.3">
      <c r="B43" s="15" t="s">
        <v>2521</v>
      </c>
    </row>
    <row r="44" spans="2:4" ht="14.45" x14ac:dyDescent="0.3">
      <c r="B44" s="15" t="s">
        <v>2530</v>
      </c>
      <c r="D44" s="2">
        <f>AK18-AJ18</f>
        <v>2791</v>
      </c>
    </row>
    <row r="45" spans="2:4" ht="14.45" x14ac:dyDescent="0.3">
      <c r="B45" s="15" t="s">
        <v>2531</v>
      </c>
      <c r="D45" s="2">
        <f>AK19-AJ19</f>
        <v>1893</v>
      </c>
    </row>
    <row r="46" spans="2:4" ht="14.45" x14ac:dyDescent="0.3">
      <c r="B46" s="15" t="s">
        <v>2532</v>
      </c>
    </row>
    <row r="47" spans="2:4" ht="14.45" x14ac:dyDescent="0.3">
      <c r="B47" s="15" t="s">
        <v>8302</v>
      </c>
      <c r="D47" s="2">
        <f>(3787-3594)+6</f>
        <v>199</v>
      </c>
    </row>
    <row r="48" spans="2:4" ht="14.45" x14ac:dyDescent="0.3">
      <c r="B48" s="15" t="s">
        <v>8303</v>
      </c>
      <c r="D48" s="2">
        <f>(1230-704)+23</f>
        <v>549</v>
      </c>
    </row>
    <row r="49" spans="2:4" ht="14.45" x14ac:dyDescent="0.3">
      <c r="B49" s="15" t="s">
        <v>8304</v>
      </c>
      <c r="D49" s="2">
        <f>2902-2634</f>
        <v>268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E27"/>
  <sheetViews>
    <sheetView topLeftCell="D1" workbookViewId="0">
      <selection activeCell="E16" sqref="E16"/>
    </sheetView>
  </sheetViews>
  <sheetFormatPr defaultRowHeight="15" x14ac:dyDescent="0.25"/>
  <cols>
    <col min="1" max="1" width="3.42578125" customWidth="1"/>
    <col min="2" max="2" width="26.7109375" customWidth="1"/>
    <col min="3" max="3" width="7.7109375" customWidth="1"/>
    <col min="4" max="4" width="7.28515625" customWidth="1"/>
    <col min="5" max="5" width="8.28515625" customWidth="1"/>
    <col min="6" max="6" width="7.7109375" customWidth="1"/>
    <col min="7" max="7" width="3.7109375" customWidth="1"/>
    <col min="8" max="8" width="2.7109375" customWidth="1"/>
    <col min="9" max="9" width="7.7109375" hidden="1" customWidth="1"/>
    <col min="10" max="10" width="1.5703125" customWidth="1"/>
    <col min="11" max="11" width="2.7109375" customWidth="1"/>
    <col min="12" max="12" width="1.7109375" customWidth="1"/>
    <col min="13" max="13" width="1.5703125" customWidth="1"/>
    <col min="14" max="14" width="2.42578125" customWidth="1"/>
    <col min="15" max="15" width="0.7109375" customWidth="1"/>
    <col min="16" max="31" width="5" bestFit="1" customWidth="1"/>
  </cols>
  <sheetData>
    <row r="1" spans="2:31" x14ac:dyDescent="0.25">
      <c r="B1" s="3" t="s">
        <v>8434</v>
      </c>
    </row>
    <row r="2" spans="2:31" ht="15" customHeight="1" x14ac:dyDescent="0.25">
      <c r="B2" s="47"/>
    </row>
    <row r="3" spans="2:31" ht="60" customHeight="1" x14ac:dyDescent="0.3">
      <c r="B3" s="1" t="s">
        <v>8439</v>
      </c>
      <c r="C3" s="65">
        <v>41640</v>
      </c>
      <c r="D3" s="4">
        <v>41658</v>
      </c>
      <c r="E3" s="4">
        <v>41672</v>
      </c>
      <c r="F3" s="4">
        <v>41686</v>
      </c>
      <c r="G3" s="4">
        <v>41693</v>
      </c>
      <c r="H3" s="4">
        <v>41700</v>
      </c>
      <c r="I3" s="4">
        <v>41707</v>
      </c>
      <c r="J3" s="4">
        <v>41721</v>
      </c>
      <c r="K3" s="4">
        <v>41742</v>
      </c>
      <c r="L3" s="4">
        <v>41755</v>
      </c>
      <c r="M3" s="4">
        <v>41763</v>
      </c>
      <c r="N3" s="4">
        <v>41770</v>
      </c>
      <c r="O3" s="4">
        <v>41777</v>
      </c>
      <c r="P3" s="4">
        <v>41792</v>
      </c>
      <c r="Q3" s="4">
        <v>41798</v>
      </c>
      <c r="R3" s="4">
        <v>41818</v>
      </c>
      <c r="S3" s="4">
        <v>41826</v>
      </c>
      <c r="T3" s="4">
        <v>41841</v>
      </c>
      <c r="U3" s="4">
        <v>41854</v>
      </c>
      <c r="V3" s="4">
        <v>41868</v>
      </c>
      <c r="W3" s="4">
        <v>41889</v>
      </c>
      <c r="X3" s="4">
        <v>41903</v>
      </c>
      <c r="Y3" s="4">
        <v>41924</v>
      </c>
      <c r="Z3" s="4">
        <v>41980</v>
      </c>
      <c r="AA3" s="65">
        <v>42008</v>
      </c>
      <c r="AB3" s="4">
        <v>42053</v>
      </c>
      <c r="AC3" s="4">
        <v>42090</v>
      </c>
      <c r="AD3" s="4">
        <v>42246</v>
      </c>
      <c r="AE3" s="4">
        <v>42267</v>
      </c>
    </row>
    <row r="4" spans="2:31" x14ac:dyDescent="0.25">
      <c r="B4" s="5" t="s">
        <v>8435</v>
      </c>
      <c r="C4" s="66">
        <v>1853</v>
      </c>
      <c r="D4" s="5">
        <v>1812</v>
      </c>
      <c r="E4" s="5">
        <v>1812</v>
      </c>
      <c r="F4" s="5">
        <v>1805</v>
      </c>
      <c r="G4" s="5">
        <v>1808</v>
      </c>
      <c r="H4" s="5">
        <v>1808</v>
      </c>
      <c r="I4" s="5">
        <v>1772</v>
      </c>
      <c r="J4" s="5">
        <v>1701</v>
      </c>
      <c r="K4" s="5">
        <v>1606</v>
      </c>
      <c r="L4" s="5">
        <v>1565</v>
      </c>
      <c r="M4" s="5">
        <v>1556</v>
      </c>
      <c r="N4" s="5">
        <v>1546</v>
      </c>
      <c r="O4" s="5">
        <v>1541</v>
      </c>
      <c r="P4" s="5">
        <v>1472</v>
      </c>
      <c r="Q4" s="5">
        <v>1491</v>
      </c>
      <c r="R4" s="5">
        <v>1491</v>
      </c>
      <c r="S4" s="5">
        <v>1496</v>
      </c>
      <c r="T4" s="5">
        <v>1496</v>
      </c>
      <c r="U4" s="5">
        <v>1497</v>
      </c>
      <c r="V4" s="5">
        <v>1506</v>
      </c>
      <c r="W4" s="5">
        <v>1505</v>
      </c>
      <c r="X4" s="5">
        <v>1491</v>
      </c>
      <c r="Y4" s="5">
        <v>1468</v>
      </c>
      <c r="Z4" s="5">
        <v>1388</v>
      </c>
      <c r="AA4" s="66">
        <v>1368</v>
      </c>
      <c r="AB4" s="5">
        <v>1453</v>
      </c>
      <c r="AC4" s="5">
        <v>1354</v>
      </c>
      <c r="AD4" s="5">
        <v>1397</v>
      </c>
      <c r="AE4" s="5">
        <v>1396</v>
      </c>
    </row>
    <row r="5" spans="2:31" x14ac:dyDescent="0.25">
      <c r="B5" s="5" t="s">
        <v>185</v>
      </c>
      <c r="C5" s="66">
        <v>57</v>
      </c>
      <c r="D5" s="5">
        <v>57</v>
      </c>
      <c r="E5" s="5">
        <v>28</v>
      </c>
      <c r="F5" s="5">
        <v>23</v>
      </c>
      <c r="G5" s="5">
        <v>23</v>
      </c>
      <c r="H5" s="5">
        <v>23</v>
      </c>
      <c r="I5" s="5">
        <v>23</v>
      </c>
      <c r="J5" s="5">
        <v>11</v>
      </c>
      <c r="K5" s="5">
        <v>11</v>
      </c>
      <c r="L5" s="5">
        <v>11</v>
      </c>
      <c r="M5" s="5">
        <v>11</v>
      </c>
      <c r="N5" s="5">
        <v>11</v>
      </c>
      <c r="O5" s="5">
        <v>11</v>
      </c>
      <c r="P5" s="5">
        <v>12</v>
      </c>
      <c r="Q5" s="5">
        <v>12</v>
      </c>
      <c r="R5" s="5">
        <v>12</v>
      </c>
      <c r="S5" s="5">
        <v>12</v>
      </c>
      <c r="T5" s="5">
        <v>12</v>
      </c>
      <c r="U5" s="5">
        <v>12</v>
      </c>
      <c r="V5" s="5">
        <v>12</v>
      </c>
      <c r="W5" s="5">
        <v>12</v>
      </c>
      <c r="X5" s="5">
        <v>12</v>
      </c>
      <c r="Y5" s="5">
        <v>15</v>
      </c>
      <c r="Z5" s="5">
        <v>14</v>
      </c>
      <c r="AA5" s="66">
        <v>19</v>
      </c>
      <c r="AB5" s="5">
        <v>14</v>
      </c>
      <c r="AC5" s="5">
        <v>12</v>
      </c>
      <c r="AD5" s="5">
        <v>14</v>
      </c>
      <c r="AE5" s="5">
        <v>14</v>
      </c>
    </row>
    <row r="6" spans="2:31" x14ac:dyDescent="0.25">
      <c r="B6" s="5" t="s">
        <v>184</v>
      </c>
      <c r="C6" s="66">
        <v>17</v>
      </c>
      <c r="D6" s="5">
        <v>16</v>
      </c>
      <c r="E6" s="5">
        <v>16</v>
      </c>
      <c r="F6" s="5">
        <v>74</v>
      </c>
      <c r="G6" s="5">
        <v>74</v>
      </c>
      <c r="H6" s="5">
        <v>74</v>
      </c>
      <c r="I6" s="5">
        <v>71</v>
      </c>
      <c r="J6" s="5">
        <v>51</v>
      </c>
      <c r="K6" s="5">
        <v>51</v>
      </c>
      <c r="L6" s="5">
        <v>51</v>
      </c>
      <c r="M6" s="5">
        <v>51</v>
      </c>
      <c r="N6" s="5">
        <v>51</v>
      </c>
      <c r="O6" s="5">
        <v>51</v>
      </c>
      <c r="P6" s="5">
        <v>50</v>
      </c>
      <c r="Q6" s="5">
        <v>50</v>
      </c>
      <c r="R6" s="5">
        <v>50</v>
      </c>
      <c r="S6" s="5">
        <v>50</v>
      </c>
      <c r="T6" s="5">
        <v>51</v>
      </c>
      <c r="U6" s="5">
        <v>51</v>
      </c>
      <c r="V6" s="5">
        <v>51</v>
      </c>
      <c r="W6" s="5">
        <v>51</v>
      </c>
      <c r="X6" s="5">
        <v>51</v>
      </c>
      <c r="Y6" s="5">
        <v>51</v>
      </c>
      <c r="Z6" s="5">
        <v>53</v>
      </c>
      <c r="AA6" s="66">
        <v>53</v>
      </c>
      <c r="AB6" s="5">
        <v>50</v>
      </c>
      <c r="AC6" s="5">
        <v>45</v>
      </c>
      <c r="AD6" s="5">
        <v>46</v>
      </c>
      <c r="AE6" s="5">
        <v>46</v>
      </c>
    </row>
    <row r="7" spans="2:31" x14ac:dyDescent="0.25">
      <c r="B7" s="6" t="s">
        <v>8436</v>
      </c>
      <c r="C7" s="66">
        <f t="shared" ref="C7:I7" si="0">C6+C5+C4</f>
        <v>1927</v>
      </c>
      <c r="D7" s="5">
        <f t="shared" si="0"/>
        <v>1885</v>
      </c>
      <c r="E7" s="5">
        <f t="shared" si="0"/>
        <v>1856</v>
      </c>
      <c r="F7" s="5">
        <f t="shared" si="0"/>
        <v>1902</v>
      </c>
      <c r="G7" s="5">
        <f t="shared" si="0"/>
        <v>1905</v>
      </c>
      <c r="H7" s="5">
        <f t="shared" si="0"/>
        <v>1905</v>
      </c>
      <c r="I7" s="5">
        <f t="shared" si="0"/>
        <v>1866</v>
      </c>
      <c r="J7" s="5">
        <f t="shared" ref="J7:K7" si="1">J6+J5+J4</f>
        <v>1763</v>
      </c>
      <c r="K7" s="5">
        <f t="shared" si="1"/>
        <v>1668</v>
      </c>
      <c r="L7" s="5">
        <f t="shared" ref="L7" si="2">L6+L5+L4</f>
        <v>1627</v>
      </c>
      <c r="M7" s="5">
        <f t="shared" ref="M7" si="3">M6+M5+M4</f>
        <v>1618</v>
      </c>
      <c r="N7" s="5">
        <f t="shared" ref="N7:O7" si="4">N6+N5+N4</f>
        <v>1608</v>
      </c>
      <c r="O7" s="5">
        <f t="shared" si="4"/>
        <v>1603</v>
      </c>
      <c r="P7" s="5">
        <f t="shared" ref="P7:Q7" si="5">P6+P5+P4</f>
        <v>1534</v>
      </c>
      <c r="Q7" s="5">
        <f t="shared" si="5"/>
        <v>1553</v>
      </c>
      <c r="R7" s="5">
        <f t="shared" ref="R7:S7" si="6">R6+R5+R4</f>
        <v>1553</v>
      </c>
      <c r="S7" s="5">
        <f t="shared" si="6"/>
        <v>1558</v>
      </c>
      <c r="T7" s="5">
        <f t="shared" ref="T7:U7" si="7">T6+T5+T4</f>
        <v>1559</v>
      </c>
      <c r="U7" s="5">
        <f t="shared" si="7"/>
        <v>1560</v>
      </c>
      <c r="V7" s="5">
        <f t="shared" ref="V7:W7" si="8">V6+V5+V4</f>
        <v>1569</v>
      </c>
      <c r="W7" s="5">
        <f t="shared" si="8"/>
        <v>1568</v>
      </c>
      <c r="X7" s="5">
        <f t="shared" ref="X7:Y7" si="9">X6+X5+X4</f>
        <v>1554</v>
      </c>
      <c r="Y7" s="5">
        <f t="shared" si="9"/>
        <v>1534</v>
      </c>
      <c r="Z7" s="5">
        <f t="shared" ref="Z7:AA7" si="10">Z6+Z5+Z4</f>
        <v>1455</v>
      </c>
      <c r="AA7" s="66">
        <f t="shared" si="10"/>
        <v>1440</v>
      </c>
      <c r="AB7" s="5">
        <f t="shared" ref="AB7:AC7" si="11">AB6+AB5+AB4</f>
        <v>1517</v>
      </c>
      <c r="AC7" s="5">
        <f t="shared" si="11"/>
        <v>1411</v>
      </c>
      <c r="AD7" s="5">
        <f t="shared" ref="AD7:AE7" si="12">AD6+AD5+AD4</f>
        <v>1457</v>
      </c>
      <c r="AE7" s="5">
        <f t="shared" si="12"/>
        <v>1456</v>
      </c>
    </row>
    <row r="8" spans="2:31" x14ac:dyDescent="0.25">
      <c r="B8" s="6" t="s">
        <v>8496</v>
      </c>
      <c r="C8" s="66">
        <v>0</v>
      </c>
      <c r="D8" s="5">
        <f t="shared" ref="D8:J8" si="13">$C$7-D7</f>
        <v>42</v>
      </c>
      <c r="E8" s="5">
        <f t="shared" si="13"/>
        <v>71</v>
      </c>
      <c r="F8" s="5">
        <f t="shared" si="13"/>
        <v>25</v>
      </c>
      <c r="G8" s="5">
        <f t="shared" si="13"/>
        <v>22</v>
      </c>
      <c r="H8" s="5">
        <f t="shared" si="13"/>
        <v>22</v>
      </c>
      <c r="I8" s="5">
        <f t="shared" si="13"/>
        <v>61</v>
      </c>
      <c r="J8" s="5">
        <f t="shared" si="13"/>
        <v>164</v>
      </c>
      <c r="K8" s="5">
        <f t="shared" ref="K8:L8" si="14">$C$7-K7</f>
        <v>259</v>
      </c>
      <c r="L8" s="5">
        <f t="shared" si="14"/>
        <v>300</v>
      </c>
      <c r="M8" s="5">
        <f t="shared" ref="M8" si="15">$C$7-M7</f>
        <v>309</v>
      </c>
      <c r="N8" s="5">
        <f t="shared" ref="N8:O8" si="16">$C$7-N7</f>
        <v>319</v>
      </c>
      <c r="O8" s="5">
        <f t="shared" si="16"/>
        <v>324</v>
      </c>
      <c r="P8" s="5">
        <f t="shared" ref="P8:Q8" si="17">$C$7-P7</f>
        <v>393</v>
      </c>
      <c r="Q8" s="5">
        <f t="shared" si="17"/>
        <v>374</v>
      </c>
      <c r="R8" s="5">
        <f t="shared" ref="R8:S8" si="18">$C$7-R7</f>
        <v>374</v>
      </c>
      <c r="S8" s="5">
        <f t="shared" si="18"/>
        <v>369</v>
      </c>
      <c r="T8" s="5">
        <f t="shared" ref="T8:U8" si="19">$C$7-T7</f>
        <v>368</v>
      </c>
      <c r="U8" s="5">
        <f t="shared" si="19"/>
        <v>367</v>
      </c>
      <c r="V8" s="5">
        <f t="shared" ref="V8:W8" si="20">$C$7-V7</f>
        <v>358</v>
      </c>
      <c r="W8" s="5">
        <f t="shared" si="20"/>
        <v>359</v>
      </c>
      <c r="X8" s="5">
        <f t="shared" ref="X8:Y8" si="21">$C$7-X7</f>
        <v>373</v>
      </c>
      <c r="Y8" s="5">
        <f t="shared" si="21"/>
        <v>393</v>
      </c>
      <c r="Z8" s="5">
        <f t="shared" ref="Z8" si="22">$C$7-Z7</f>
        <v>472</v>
      </c>
      <c r="AA8" s="66">
        <v>0</v>
      </c>
      <c r="AB8" s="5">
        <f>$AA$7-AB7</f>
        <v>-77</v>
      </c>
      <c r="AC8" s="5">
        <f>$AA$7-AC7</f>
        <v>29</v>
      </c>
      <c r="AD8" s="5">
        <f>$AA$7-AD7</f>
        <v>-17</v>
      </c>
      <c r="AE8" s="5">
        <f>$AA$7-AE7</f>
        <v>-16</v>
      </c>
    </row>
    <row r="9" spans="2:31" x14ac:dyDescent="0.25">
      <c r="B9" s="55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</row>
    <row r="10" spans="2:31" ht="9.75" customHeight="1" x14ac:dyDescent="0.3"/>
    <row r="11" spans="2:31" ht="62.25" customHeight="1" x14ac:dyDescent="0.3">
      <c r="B11" s="5" t="s">
        <v>8439</v>
      </c>
      <c r="C11" s="81">
        <v>42005</v>
      </c>
      <c r="D11" s="4">
        <v>42267</v>
      </c>
      <c r="E11" s="90" t="s">
        <v>8495</v>
      </c>
      <c r="F11" s="90" t="s">
        <v>8457</v>
      </c>
    </row>
    <row r="12" spans="2:31" ht="14.45" x14ac:dyDescent="0.3">
      <c r="B12" s="5" t="s">
        <v>8435</v>
      </c>
      <c r="C12" s="82">
        <v>1368</v>
      </c>
      <c r="D12" s="5">
        <v>1396</v>
      </c>
      <c r="E12" s="17">
        <f>C12-D12</f>
        <v>-28</v>
      </c>
      <c r="F12" s="72">
        <f>E12/C12</f>
        <v>-2.046783625730994E-2</v>
      </c>
    </row>
    <row r="13" spans="2:31" s="2" customFormat="1" ht="14.45" x14ac:dyDescent="0.3">
      <c r="B13" s="5" t="s">
        <v>185</v>
      </c>
      <c r="C13" s="82">
        <v>19</v>
      </c>
      <c r="D13" s="5">
        <v>14</v>
      </c>
      <c r="E13" s="17">
        <f>C13-D13</f>
        <v>5</v>
      </c>
      <c r="F13" s="72">
        <f>E13/C13</f>
        <v>0.26315789473684209</v>
      </c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</row>
    <row r="14" spans="2:31" s="2" customFormat="1" ht="14.45" x14ac:dyDescent="0.3">
      <c r="B14" s="5" t="s">
        <v>184</v>
      </c>
      <c r="C14" s="82">
        <v>53</v>
      </c>
      <c r="D14" s="5">
        <v>46</v>
      </c>
      <c r="E14" s="17">
        <f t="shared" ref="E14:E15" si="23">C14-D14</f>
        <v>7</v>
      </c>
      <c r="F14" s="72">
        <f t="shared" ref="F14:F15" si="24">E14/C14</f>
        <v>0.13207547169811321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</row>
    <row r="15" spans="2:31" s="2" customFormat="1" ht="14.45" x14ac:dyDescent="0.3">
      <c r="B15" s="6" t="s">
        <v>0</v>
      </c>
      <c r="C15" s="56">
        <f>C14+C13+C12</f>
        <v>1440</v>
      </c>
      <c r="D15" s="5">
        <f>D13+D14+D12</f>
        <v>1456</v>
      </c>
      <c r="E15" s="17">
        <f t="shared" si="23"/>
        <v>-16</v>
      </c>
      <c r="F15" s="72">
        <f t="shared" si="24"/>
        <v>-1.1111111111111112E-2</v>
      </c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</row>
    <row r="16" spans="2:31" s="2" customFormat="1" ht="14.45" x14ac:dyDescent="0.3">
      <c r="B16" s="55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2:2" s="21" customFormat="1" ht="14.45" x14ac:dyDescent="0.3">
      <c r="B17" s="55" t="s">
        <v>8440</v>
      </c>
    </row>
    <row r="18" spans="2:2" s="21" customFormat="1" ht="14.45" x14ac:dyDescent="0.3">
      <c r="B18" s="21" t="s">
        <v>8438</v>
      </c>
    </row>
    <row r="19" spans="2:2" s="21" customFormat="1" ht="14.45" x14ac:dyDescent="0.3">
      <c r="B19" s="55" t="s">
        <v>8437</v>
      </c>
    </row>
    <row r="20" spans="2:2" s="21" customFormat="1" ht="14.45" x14ac:dyDescent="0.3"/>
    <row r="21" spans="2:2" s="21" customFormat="1" ht="14.45" x14ac:dyDescent="0.3"/>
    <row r="22" spans="2:2" s="21" customFormat="1" ht="14.45" x14ac:dyDescent="0.3"/>
    <row r="23" spans="2:2" s="21" customFormat="1" ht="14.45" x14ac:dyDescent="0.3"/>
    <row r="24" spans="2:2" s="21" customFormat="1" ht="14.45" x14ac:dyDescent="0.3"/>
    <row r="25" spans="2:2" s="21" customFormat="1" ht="14.45" x14ac:dyDescent="0.3"/>
    <row r="26" spans="2:2" s="21" customFormat="1" ht="14.45" x14ac:dyDescent="0.3"/>
    <row r="27" spans="2:2" s="21" customFormat="1" ht="14.45" x14ac:dyDescent="0.3"/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1290"/>
  <sheetViews>
    <sheetView workbookViewId="0">
      <pane ySplit="5190" topLeftCell="A1267" activePane="bottomLeft"/>
      <selection activeCell="E13" sqref="E13"/>
      <selection pane="bottomLeft" activeCell="A22" sqref="A22:C1290"/>
    </sheetView>
  </sheetViews>
  <sheetFormatPr defaultRowHeight="15" x14ac:dyDescent="0.25"/>
  <cols>
    <col min="1" max="1" width="5" bestFit="1" customWidth="1"/>
    <col min="2" max="2" width="108.5703125" customWidth="1"/>
    <col min="3" max="3" width="8" bestFit="1" customWidth="1"/>
  </cols>
  <sheetData>
    <row r="1" spans="1:3" ht="18.75" x14ac:dyDescent="0.3">
      <c r="A1" s="23" t="s">
        <v>14</v>
      </c>
    </row>
    <row r="2" spans="1:3" ht="18.75" x14ac:dyDescent="0.3">
      <c r="A2" s="23" t="s">
        <v>8482</v>
      </c>
    </row>
    <row r="3" spans="1:3" ht="18.75" x14ac:dyDescent="0.3">
      <c r="A3" s="22" t="s">
        <v>9564</v>
      </c>
    </row>
    <row r="4" spans="1:3" ht="6" customHeight="1" x14ac:dyDescent="0.3">
      <c r="A4" s="52"/>
      <c r="B4" s="51"/>
    </row>
    <row r="5" spans="1:3" x14ac:dyDescent="0.25">
      <c r="A5" s="18">
        <f>COUNTIF($B$22:$B1049, "*il/framework/il/common*")</f>
        <v>81</v>
      </c>
      <c r="B5" s="45" t="s">
        <v>8464</v>
      </c>
      <c r="C5" t="s">
        <v>8459</v>
      </c>
    </row>
    <row r="6" spans="1:3" x14ac:dyDescent="0.25">
      <c r="A6" s="18">
        <f>COUNTIF($B$22:$B1054, "*il/content/traffic/*")</f>
        <v>395</v>
      </c>
      <c r="B6" s="45" t="s">
        <v>8461</v>
      </c>
      <c r="C6" t="s">
        <v>8459</v>
      </c>
    </row>
    <row r="7" spans="1:3" x14ac:dyDescent="0.25">
      <c r="A7" s="18">
        <f>COUNTIF($B$22:$B1047, "*il/content/routing/*")</f>
        <v>239</v>
      </c>
      <c r="B7" s="45" t="s">
        <v>8467</v>
      </c>
      <c r="C7" t="s">
        <v>8459</v>
      </c>
    </row>
    <row r="8" spans="1:3" x14ac:dyDescent="0.25">
      <c r="A8" s="18">
        <f>COUNTIF($B$22:$B1053, "*il/content/access/*")</f>
        <v>125</v>
      </c>
      <c r="B8" s="45" t="s">
        <v>8468</v>
      </c>
      <c r="C8" t="s">
        <v>8459</v>
      </c>
    </row>
    <row r="9" spans="1:3" x14ac:dyDescent="0.25">
      <c r="A9" s="18">
        <f>COUNTIF($B$22:$B1051, "*_il/common/lib*")</f>
        <v>93</v>
      </c>
      <c r="B9" s="45" t="s">
        <v>8465</v>
      </c>
      <c r="C9" t="s">
        <v>8459</v>
      </c>
    </row>
    <row r="10" spans="1:3" x14ac:dyDescent="0.25">
      <c r="A10" s="18">
        <f>COUNTIF($B$22:$B1054, "*il/framework/common*")</f>
        <v>36</v>
      </c>
      <c r="B10" s="45" t="s">
        <v>8463</v>
      </c>
      <c r="C10" t="s">
        <v>8459</v>
      </c>
    </row>
    <row r="11" spans="1:3" x14ac:dyDescent="0.25">
      <c r="A11" s="18">
        <f>COUNTIF($B$22:$B1055, "*il/content/storage/*")</f>
        <v>6</v>
      </c>
      <c r="B11" s="45" t="s">
        <v>8462</v>
      </c>
      <c r="C11" t="s">
        <v>8459</v>
      </c>
    </row>
    <row r="12" spans="1:3" x14ac:dyDescent="0.25">
      <c r="A12" s="18">
        <f>COUNTIF($B$22:$B1051, "*il/content/cts/*")</f>
        <v>1</v>
      </c>
      <c r="B12" s="45" t="s">
        <v>8469</v>
      </c>
      <c r="C12" t="s">
        <v>8459</v>
      </c>
    </row>
    <row r="13" spans="1:3" x14ac:dyDescent="0.25">
      <c r="A13" s="18">
        <f>COUNTIF($B$22:$B1057, "*il/framework/il/freebsd*")</f>
        <v>0</v>
      </c>
      <c r="B13" s="45" t="s">
        <v>8466</v>
      </c>
      <c r="C13" t="s">
        <v>8459</v>
      </c>
    </row>
    <row r="14" spans="1:3" x14ac:dyDescent="0.25">
      <c r="A14" s="18">
        <f>COUNTIF($B$22:$B1056, "*il/common/tools*")</f>
        <v>1</v>
      </c>
      <c r="B14" s="45" t="s">
        <v>8460</v>
      </c>
      <c r="C14" t="s">
        <v>8459</v>
      </c>
    </row>
    <row r="15" spans="1:3" x14ac:dyDescent="0.25">
      <c r="A15" s="18">
        <f>COUNTIF($B$22:$B1063, "*content/v4v6transition/*")</f>
        <v>1</v>
      </c>
      <c r="B15" s="45" t="s">
        <v>8458</v>
      </c>
    </row>
    <row r="16" spans="1:3" ht="3.75" customHeight="1" x14ac:dyDescent="0.25">
      <c r="A16" s="53"/>
      <c r="B16" s="54"/>
    </row>
    <row r="17" spans="1:3" x14ac:dyDescent="0.25">
      <c r="A17" s="89">
        <f>SUM(A4:A16)</f>
        <v>978</v>
      </c>
      <c r="B17" s="46" t="s">
        <v>2607</v>
      </c>
    </row>
    <row r="18" spans="1:3" x14ac:dyDescent="0.25">
      <c r="A18" s="2">
        <f>COUNTA($A22:$A1054)</f>
        <v>1033</v>
      </c>
      <c r="B18" s="60" t="s">
        <v>5041</v>
      </c>
    </row>
    <row r="19" spans="1:3" x14ac:dyDescent="0.25">
      <c r="A19" s="2"/>
      <c r="B19" s="60"/>
    </row>
    <row r="20" spans="1:3" x14ac:dyDescent="0.25">
      <c r="A20" s="2"/>
      <c r="B20" s="60"/>
    </row>
    <row r="21" spans="1:3" x14ac:dyDescent="0.25">
      <c r="A21" s="89" t="s">
        <v>110</v>
      </c>
      <c r="B21" s="44" t="s">
        <v>111</v>
      </c>
      <c r="C21" s="2"/>
    </row>
    <row r="22" spans="1:3" x14ac:dyDescent="0.25">
      <c r="A22">
        <v>7197</v>
      </c>
      <c r="B22" t="s">
        <v>10751</v>
      </c>
      <c r="C22" t="s">
        <v>5043</v>
      </c>
    </row>
    <row r="23" spans="1:3" x14ac:dyDescent="0.25">
      <c r="A23">
        <v>9805</v>
      </c>
      <c r="B23" t="s">
        <v>9036</v>
      </c>
      <c r="C23" t="s">
        <v>5043</v>
      </c>
    </row>
    <row r="24" spans="1:3" x14ac:dyDescent="0.25">
      <c r="A24">
        <v>7582</v>
      </c>
      <c r="B24" t="s">
        <v>10753</v>
      </c>
      <c r="C24" t="s">
        <v>5043</v>
      </c>
    </row>
    <row r="25" spans="1:3" x14ac:dyDescent="0.25">
      <c r="A25">
        <v>6894</v>
      </c>
      <c r="B25" t="s">
        <v>10755</v>
      </c>
      <c r="C25" t="s">
        <v>5043</v>
      </c>
    </row>
    <row r="26" spans="1:3" x14ac:dyDescent="0.25">
      <c r="A26">
        <v>11282</v>
      </c>
      <c r="B26" t="s">
        <v>10756</v>
      </c>
      <c r="C26" t="s">
        <v>5043</v>
      </c>
    </row>
    <row r="27" spans="1:3" x14ac:dyDescent="0.25">
      <c r="A27">
        <v>8181</v>
      </c>
      <c r="B27" t="s">
        <v>10756</v>
      </c>
      <c r="C27" t="s">
        <v>5043</v>
      </c>
    </row>
    <row r="28" spans="1:3" ht="14.45" x14ac:dyDescent="0.3">
      <c r="A28">
        <v>10252</v>
      </c>
      <c r="B28" t="s">
        <v>10758</v>
      </c>
      <c r="C28" t="s">
        <v>5043</v>
      </c>
    </row>
    <row r="29" spans="1:3" ht="14.45" x14ac:dyDescent="0.3">
      <c r="A29">
        <v>10846</v>
      </c>
      <c r="B29" t="s">
        <v>10758</v>
      </c>
      <c r="C29" t="s">
        <v>5043</v>
      </c>
    </row>
    <row r="30" spans="1:3" ht="14.45" x14ac:dyDescent="0.3">
      <c r="A30">
        <v>11745</v>
      </c>
      <c r="B30" t="s">
        <v>10758</v>
      </c>
      <c r="C30" t="s">
        <v>5043</v>
      </c>
    </row>
    <row r="31" spans="1:3" ht="14.45" x14ac:dyDescent="0.3">
      <c r="A31">
        <v>6828</v>
      </c>
      <c r="B31" t="s">
        <v>10758</v>
      </c>
      <c r="C31" t="s">
        <v>5043</v>
      </c>
    </row>
    <row r="32" spans="1:3" ht="14.45" x14ac:dyDescent="0.3">
      <c r="A32">
        <v>7065</v>
      </c>
      <c r="B32" t="s">
        <v>10758</v>
      </c>
      <c r="C32" t="s">
        <v>5043</v>
      </c>
    </row>
    <row r="33" spans="1:3" ht="14.45" x14ac:dyDescent="0.3">
      <c r="A33">
        <v>7227</v>
      </c>
      <c r="B33" t="s">
        <v>10758</v>
      </c>
      <c r="C33" t="s">
        <v>5043</v>
      </c>
    </row>
    <row r="34" spans="1:3" ht="14.45" x14ac:dyDescent="0.3">
      <c r="A34">
        <v>8601</v>
      </c>
      <c r="B34" t="s">
        <v>10758</v>
      </c>
      <c r="C34" t="s">
        <v>5043</v>
      </c>
    </row>
    <row r="35" spans="1:3" ht="14.45" x14ac:dyDescent="0.3">
      <c r="A35">
        <v>11154</v>
      </c>
      <c r="B35" t="s">
        <v>10761</v>
      </c>
      <c r="C35" t="s">
        <v>5043</v>
      </c>
    </row>
    <row r="36" spans="1:3" ht="14.45" x14ac:dyDescent="0.3">
      <c r="A36">
        <v>7224</v>
      </c>
      <c r="B36" t="s">
        <v>10761</v>
      </c>
      <c r="C36" t="s">
        <v>5043</v>
      </c>
    </row>
    <row r="37" spans="1:3" ht="14.45" x14ac:dyDescent="0.3">
      <c r="A37">
        <v>8442</v>
      </c>
      <c r="B37" t="s">
        <v>10761</v>
      </c>
      <c r="C37" t="s">
        <v>5043</v>
      </c>
    </row>
    <row r="38" spans="1:3" ht="14.45" x14ac:dyDescent="0.3">
      <c r="A38">
        <v>10489</v>
      </c>
      <c r="B38" t="s">
        <v>10762</v>
      </c>
      <c r="C38" t="s">
        <v>5043</v>
      </c>
    </row>
    <row r="39" spans="1:3" ht="14.45" x14ac:dyDescent="0.3">
      <c r="A39">
        <v>8449</v>
      </c>
      <c r="B39" t="s">
        <v>10764</v>
      </c>
      <c r="C39" t="s">
        <v>5043</v>
      </c>
    </row>
    <row r="40" spans="1:3" ht="14.45" x14ac:dyDescent="0.3">
      <c r="A40">
        <v>7519</v>
      </c>
      <c r="B40" t="s">
        <v>9037</v>
      </c>
      <c r="C40" t="s">
        <v>5043</v>
      </c>
    </row>
    <row r="41" spans="1:3" ht="14.45" x14ac:dyDescent="0.3">
      <c r="A41">
        <v>9090</v>
      </c>
      <c r="B41" t="s">
        <v>9037</v>
      </c>
      <c r="C41" t="s">
        <v>5043</v>
      </c>
    </row>
    <row r="42" spans="1:3" ht="14.45" x14ac:dyDescent="0.3">
      <c r="A42">
        <v>10964</v>
      </c>
      <c r="B42" t="s">
        <v>10769</v>
      </c>
      <c r="C42" t="s">
        <v>5043</v>
      </c>
    </row>
    <row r="43" spans="1:3" ht="14.45" x14ac:dyDescent="0.3">
      <c r="A43">
        <v>10686</v>
      </c>
      <c r="B43" t="s">
        <v>10772</v>
      </c>
      <c r="C43" t="s">
        <v>5043</v>
      </c>
    </row>
    <row r="44" spans="1:3" ht="14.45" x14ac:dyDescent="0.3">
      <c r="A44">
        <v>9294</v>
      </c>
      <c r="B44" t="s">
        <v>10774</v>
      </c>
      <c r="C44" t="s">
        <v>5043</v>
      </c>
    </row>
    <row r="45" spans="1:3" ht="14.45" x14ac:dyDescent="0.3">
      <c r="A45">
        <v>7526</v>
      </c>
      <c r="B45" t="s">
        <v>10775</v>
      </c>
      <c r="C45" t="s">
        <v>5043</v>
      </c>
    </row>
    <row r="46" spans="1:3" x14ac:dyDescent="0.25">
      <c r="A46">
        <v>7628</v>
      </c>
      <c r="B46" t="s">
        <v>10775</v>
      </c>
      <c r="C46" t="s">
        <v>5043</v>
      </c>
    </row>
    <row r="47" spans="1:3" x14ac:dyDescent="0.25">
      <c r="A47">
        <v>8133</v>
      </c>
      <c r="B47" t="s">
        <v>10779</v>
      </c>
      <c r="C47" t="s">
        <v>5043</v>
      </c>
    </row>
    <row r="48" spans="1:3" x14ac:dyDescent="0.25">
      <c r="A48">
        <v>9229</v>
      </c>
      <c r="B48" t="s">
        <v>10779</v>
      </c>
      <c r="C48" t="s">
        <v>5043</v>
      </c>
    </row>
    <row r="49" spans="1:3" x14ac:dyDescent="0.25">
      <c r="A49">
        <v>7882</v>
      </c>
      <c r="B49" t="s">
        <v>10780</v>
      </c>
      <c r="C49" t="s">
        <v>5043</v>
      </c>
    </row>
    <row r="50" spans="1:3" x14ac:dyDescent="0.25">
      <c r="A50">
        <v>9070</v>
      </c>
      <c r="B50" t="s">
        <v>10781</v>
      </c>
      <c r="C50" t="s">
        <v>5043</v>
      </c>
    </row>
    <row r="51" spans="1:3" x14ac:dyDescent="0.25">
      <c r="A51">
        <v>11190</v>
      </c>
      <c r="B51" t="s">
        <v>10785</v>
      </c>
      <c r="C51" t="s">
        <v>5043</v>
      </c>
    </row>
    <row r="52" spans="1:3" x14ac:dyDescent="0.25">
      <c r="A52">
        <v>7256</v>
      </c>
      <c r="B52" t="s">
        <v>10785</v>
      </c>
      <c r="C52" t="s">
        <v>5043</v>
      </c>
    </row>
    <row r="53" spans="1:3" x14ac:dyDescent="0.25">
      <c r="A53">
        <v>7800</v>
      </c>
      <c r="B53" t="s">
        <v>10785</v>
      </c>
      <c r="C53" t="s">
        <v>5043</v>
      </c>
    </row>
    <row r="54" spans="1:3" x14ac:dyDescent="0.25">
      <c r="A54">
        <v>7879</v>
      </c>
      <c r="B54" t="s">
        <v>10785</v>
      </c>
      <c r="C54" t="s">
        <v>5043</v>
      </c>
    </row>
    <row r="55" spans="1:3" x14ac:dyDescent="0.25">
      <c r="A55">
        <v>8966</v>
      </c>
      <c r="B55" t="s">
        <v>10785</v>
      </c>
      <c r="C55" t="s">
        <v>5043</v>
      </c>
    </row>
    <row r="56" spans="1:3" x14ac:dyDescent="0.25">
      <c r="A56">
        <v>9111</v>
      </c>
      <c r="B56" t="s">
        <v>10785</v>
      </c>
      <c r="C56" t="s">
        <v>5043</v>
      </c>
    </row>
    <row r="57" spans="1:3" x14ac:dyDescent="0.25">
      <c r="A57">
        <v>7177</v>
      </c>
      <c r="B57" t="s">
        <v>10786</v>
      </c>
      <c r="C57" t="s">
        <v>5043</v>
      </c>
    </row>
    <row r="58" spans="1:3" x14ac:dyDescent="0.25">
      <c r="A58">
        <v>9931</v>
      </c>
      <c r="B58" t="s">
        <v>10786</v>
      </c>
      <c r="C58" t="s">
        <v>5043</v>
      </c>
    </row>
    <row r="59" spans="1:3" x14ac:dyDescent="0.25">
      <c r="A59">
        <v>10793</v>
      </c>
      <c r="B59" t="s">
        <v>10787</v>
      </c>
      <c r="C59" t="s">
        <v>5043</v>
      </c>
    </row>
    <row r="60" spans="1:3" x14ac:dyDescent="0.25">
      <c r="A60">
        <v>11116</v>
      </c>
      <c r="B60" t="s">
        <v>10787</v>
      </c>
      <c r="C60" t="s">
        <v>5043</v>
      </c>
    </row>
    <row r="61" spans="1:3" x14ac:dyDescent="0.25">
      <c r="A61">
        <v>11470</v>
      </c>
      <c r="B61" t="s">
        <v>10787</v>
      </c>
      <c r="C61" t="s">
        <v>5043</v>
      </c>
    </row>
    <row r="62" spans="1:3" x14ac:dyDescent="0.25">
      <c r="A62">
        <v>11669</v>
      </c>
      <c r="B62" t="s">
        <v>10787</v>
      </c>
      <c r="C62" t="s">
        <v>5043</v>
      </c>
    </row>
    <row r="63" spans="1:3" x14ac:dyDescent="0.25">
      <c r="A63">
        <v>11708</v>
      </c>
      <c r="B63" t="s">
        <v>10787</v>
      </c>
      <c r="C63" t="s">
        <v>5043</v>
      </c>
    </row>
    <row r="64" spans="1:3" x14ac:dyDescent="0.25">
      <c r="A64">
        <v>11938</v>
      </c>
      <c r="B64" t="s">
        <v>10787</v>
      </c>
      <c r="C64" t="s">
        <v>5043</v>
      </c>
    </row>
    <row r="65" spans="1:3" x14ac:dyDescent="0.25">
      <c r="A65">
        <v>7215</v>
      </c>
      <c r="B65" t="s">
        <v>10787</v>
      </c>
      <c r="C65" t="s">
        <v>5043</v>
      </c>
    </row>
    <row r="66" spans="1:3" x14ac:dyDescent="0.25">
      <c r="A66">
        <v>7321</v>
      </c>
      <c r="B66" t="s">
        <v>10787</v>
      </c>
      <c r="C66" t="s">
        <v>5043</v>
      </c>
    </row>
    <row r="67" spans="1:3" x14ac:dyDescent="0.25">
      <c r="A67">
        <v>8549</v>
      </c>
      <c r="B67" t="s">
        <v>10787</v>
      </c>
      <c r="C67" t="s">
        <v>5043</v>
      </c>
    </row>
    <row r="68" spans="1:3" x14ac:dyDescent="0.25">
      <c r="A68">
        <v>9192</v>
      </c>
      <c r="B68" t="s">
        <v>10787</v>
      </c>
      <c r="C68" t="s">
        <v>5043</v>
      </c>
    </row>
    <row r="69" spans="1:3" x14ac:dyDescent="0.25">
      <c r="A69">
        <v>9254</v>
      </c>
      <c r="B69" t="s">
        <v>10787</v>
      </c>
      <c r="C69" t="s">
        <v>5043</v>
      </c>
    </row>
    <row r="70" spans="1:3" x14ac:dyDescent="0.25">
      <c r="A70">
        <v>9398</v>
      </c>
      <c r="B70" t="s">
        <v>10787</v>
      </c>
      <c r="C70" t="s">
        <v>5043</v>
      </c>
    </row>
    <row r="71" spans="1:3" x14ac:dyDescent="0.25">
      <c r="A71">
        <v>9806</v>
      </c>
      <c r="B71" t="s">
        <v>10787</v>
      </c>
      <c r="C71" t="s">
        <v>5043</v>
      </c>
    </row>
    <row r="72" spans="1:3" x14ac:dyDescent="0.25">
      <c r="A72">
        <v>9971</v>
      </c>
      <c r="B72" t="s">
        <v>10787</v>
      </c>
      <c r="C72" t="s">
        <v>5043</v>
      </c>
    </row>
    <row r="73" spans="1:3" x14ac:dyDescent="0.25">
      <c r="A73">
        <v>10092</v>
      </c>
      <c r="B73" t="s">
        <v>10788</v>
      </c>
      <c r="C73" t="s">
        <v>5043</v>
      </c>
    </row>
    <row r="74" spans="1:3" x14ac:dyDescent="0.25">
      <c r="A74">
        <v>10108</v>
      </c>
      <c r="B74" t="s">
        <v>10788</v>
      </c>
      <c r="C74" t="s">
        <v>5043</v>
      </c>
    </row>
    <row r="75" spans="1:3" x14ac:dyDescent="0.25">
      <c r="A75">
        <v>8891</v>
      </c>
      <c r="B75" t="s">
        <v>10788</v>
      </c>
      <c r="C75" t="s">
        <v>5043</v>
      </c>
    </row>
    <row r="76" spans="1:3" x14ac:dyDescent="0.25">
      <c r="A76">
        <v>9826</v>
      </c>
      <c r="B76" t="s">
        <v>10788</v>
      </c>
      <c r="C76" t="s">
        <v>5043</v>
      </c>
    </row>
    <row r="77" spans="1:3" x14ac:dyDescent="0.25">
      <c r="A77">
        <v>11028</v>
      </c>
      <c r="B77" t="s">
        <v>10792</v>
      </c>
      <c r="C77" t="s">
        <v>5043</v>
      </c>
    </row>
    <row r="78" spans="1:3" x14ac:dyDescent="0.25">
      <c r="A78">
        <v>7071</v>
      </c>
      <c r="B78" t="s">
        <v>10797</v>
      </c>
      <c r="C78" t="s">
        <v>5043</v>
      </c>
    </row>
    <row r="79" spans="1:3" x14ac:dyDescent="0.25">
      <c r="A79">
        <v>11058</v>
      </c>
      <c r="B79" t="s">
        <v>10798</v>
      </c>
      <c r="C79" t="s">
        <v>5043</v>
      </c>
    </row>
    <row r="80" spans="1:3" x14ac:dyDescent="0.25">
      <c r="A80">
        <v>8730</v>
      </c>
      <c r="B80" t="s">
        <v>10798</v>
      </c>
      <c r="C80" t="s">
        <v>5043</v>
      </c>
    </row>
    <row r="81" spans="1:3" x14ac:dyDescent="0.25">
      <c r="A81">
        <v>6805</v>
      </c>
      <c r="B81" t="s">
        <v>10801</v>
      </c>
      <c r="C81" t="s">
        <v>5043</v>
      </c>
    </row>
    <row r="82" spans="1:3" x14ac:dyDescent="0.25">
      <c r="A82">
        <v>7207</v>
      </c>
      <c r="B82" t="s">
        <v>10801</v>
      </c>
      <c r="C82" t="s">
        <v>5043</v>
      </c>
    </row>
    <row r="83" spans="1:3" x14ac:dyDescent="0.25">
      <c r="A83">
        <v>10066</v>
      </c>
      <c r="B83" t="s">
        <v>9038</v>
      </c>
      <c r="C83" t="s">
        <v>5043</v>
      </c>
    </row>
    <row r="84" spans="1:3" x14ac:dyDescent="0.25">
      <c r="A84">
        <v>10155</v>
      </c>
      <c r="B84" t="s">
        <v>9038</v>
      </c>
      <c r="C84" t="s">
        <v>5043</v>
      </c>
    </row>
    <row r="85" spans="1:3" x14ac:dyDescent="0.25">
      <c r="A85">
        <v>10246</v>
      </c>
      <c r="B85" t="s">
        <v>9038</v>
      </c>
      <c r="C85" t="s">
        <v>5043</v>
      </c>
    </row>
    <row r="86" spans="1:3" x14ac:dyDescent="0.25">
      <c r="A86">
        <v>10338</v>
      </c>
      <c r="B86" t="s">
        <v>9038</v>
      </c>
      <c r="C86" t="s">
        <v>5043</v>
      </c>
    </row>
    <row r="87" spans="1:3" x14ac:dyDescent="0.25">
      <c r="A87">
        <v>10362</v>
      </c>
      <c r="B87" t="s">
        <v>9038</v>
      </c>
      <c r="C87" t="s">
        <v>5043</v>
      </c>
    </row>
    <row r="88" spans="1:3" x14ac:dyDescent="0.25">
      <c r="A88">
        <v>10554</v>
      </c>
      <c r="B88" t="s">
        <v>9038</v>
      </c>
      <c r="C88" t="s">
        <v>5043</v>
      </c>
    </row>
    <row r="89" spans="1:3" x14ac:dyDescent="0.25">
      <c r="A89">
        <v>10944</v>
      </c>
      <c r="B89" t="s">
        <v>9038</v>
      </c>
      <c r="C89" t="s">
        <v>5043</v>
      </c>
    </row>
    <row r="90" spans="1:3" x14ac:dyDescent="0.25">
      <c r="A90">
        <v>11019</v>
      </c>
      <c r="B90" t="s">
        <v>9038</v>
      </c>
      <c r="C90" t="s">
        <v>5043</v>
      </c>
    </row>
    <row r="91" spans="1:3" x14ac:dyDescent="0.25">
      <c r="A91">
        <v>11140</v>
      </c>
      <c r="B91" t="s">
        <v>9038</v>
      </c>
      <c r="C91" t="s">
        <v>5043</v>
      </c>
    </row>
    <row r="92" spans="1:3" x14ac:dyDescent="0.25">
      <c r="A92">
        <v>11342</v>
      </c>
      <c r="B92" t="s">
        <v>9038</v>
      </c>
      <c r="C92" t="s">
        <v>5043</v>
      </c>
    </row>
    <row r="93" spans="1:3" x14ac:dyDescent="0.25">
      <c r="A93">
        <v>11407</v>
      </c>
      <c r="B93" t="s">
        <v>9038</v>
      </c>
      <c r="C93" t="s">
        <v>5043</v>
      </c>
    </row>
    <row r="94" spans="1:3" x14ac:dyDescent="0.25">
      <c r="A94">
        <v>11618</v>
      </c>
      <c r="B94" t="s">
        <v>9038</v>
      </c>
      <c r="C94" t="s">
        <v>5043</v>
      </c>
    </row>
    <row r="95" spans="1:3" x14ac:dyDescent="0.25">
      <c r="A95">
        <v>11777</v>
      </c>
      <c r="B95" t="s">
        <v>9038</v>
      </c>
      <c r="C95" t="s">
        <v>5043</v>
      </c>
    </row>
    <row r="96" spans="1:3" x14ac:dyDescent="0.25">
      <c r="A96">
        <v>11791</v>
      </c>
      <c r="B96" t="s">
        <v>9038</v>
      </c>
      <c r="C96" t="s">
        <v>5043</v>
      </c>
    </row>
    <row r="97" spans="1:3" x14ac:dyDescent="0.25">
      <c r="A97">
        <v>12002</v>
      </c>
      <c r="B97" t="s">
        <v>9038</v>
      </c>
      <c r="C97" t="s">
        <v>5043</v>
      </c>
    </row>
    <row r="98" spans="1:3" x14ac:dyDescent="0.25">
      <c r="A98">
        <v>6726</v>
      </c>
      <c r="B98" t="s">
        <v>9038</v>
      </c>
      <c r="C98" t="s">
        <v>5043</v>
      </c>
    </row>
    <row r="99" spans="1:3" x14ac:dyDescent="0.25">
      <c r="A99">
        <v>7668</v>
      </c>
      <c r="B99" t="s">
        <v>9038</v>
      </c>
      <c r="C99" t="s">
        <v>5043</v>
      </c>
    </row>
    <row r="100" spans="1:3" x14ac:dyDescent="0.25">
      <c r="A100">
        <v>7915</v>
      </c>
      <c r="B100" t="s">
        <v>9038</v>
      </c>
      <c r="C100" t="s">
        <v>5043</v>
      </c>
    </row>
    <row r="101" spans="1:3" x14ac:dyDescent="0.25">
      <c r="A101">
        <v>8475</v>
      </c>
      <c r="B101" t="s">
        <v>9038</v>
      </c>
      <c r="C101" t="s">
        <v>5043</v>
      </c>
    </row>
    <row r="102" spans="1:3" x14ac:dyDescent="0.25">
      <c r="A102">
        <v>8506</v>
      </c>
      <c r="B102" t="s">
        <v>9038</v>
      </c>
      <c r="C102" t="s">
        <v>5043</v>
      </c>
    </row>
    <row r="103" spans="1:3" x14ac:dyDescent="0.25">
      <c r="A103">
        <v>8611</v>
      </c>
      <c r="B103" t="s">
        <v>9038</v>
      </c>
      <c r="C103" t="s">
        <v>5043</v>
      </c>
    </row>
    <row r="104" spans="1:3" x14ac:dyDescent="0.25">
      <c r="A104">
        <v>8694</v>
      </c>
      <c r="B104" t="s">
        <v>9038</v>
      </c>
      <c r="C104" t="s">
        <v>5043</v>
      </c>
    </row>
    <row r="105" spans="1:3" x14ac:dyDescent="0.25">
      <c r="A105">
        <v>8851</v>
      </c>
      <c r="B105" t="s">
        <v>9038</v>
      </c>
      <c r="C105" t="s">
        <v>5043</v>
      </c>
    </row>
    <row r="106" spans="1:3" x14ac:dyDescent="0.25">
      <c r="A106">
        <v>8881</v>
      </c>
      <c r="B106" t="s">
        <v>9038</v>
      </c>
      <c r="C106" t="s">
        <v>5043</v>
      </c>
    </row>
    <row r="107" spans="1:3" x14ac:dyDescent="0.25">
      <c r="A107">
        <v>8952</v>
      </c>
      <c r="B107" t="s">
        <v>9038</v>
      </c>
      <c r="C107" t="s">
        <v>5043</v>
      </c>
    </row>
    <row r="108" spans="1:3" x14ac:dyDescent="0.25">
      <c r="A108">
        <v>9085</v>
      </c>
      <c r="B108" t="s">
        <v>9038</v>
      </c>
      <c r="C108" t="s">
        <v>5043</v>
      </c>
    </row>
    <row r="109" spans="1:3" x14ac:dyDescent="0.25">
      <c r="A109">
        <v>9204</v>
      </c>
      <c r="B109" t="s">
        <v>9038</v>
      </c>
      <c r="C109" t="s">
        <v>5043</v>
      </c>
    </row>
    <row r="110" spans="1:3" x14ac:dyDescent="0.25">
      <c r="A110">
        <v>9368</v>
      </c>
      <c r="B110" t="s">
        <v>9038</v>
      </c>
      <c r="C110" t="s">
        <v>5043</v>
      </c>
    </row>
    <row r="111" spans="1:3" x14ac:dyDescent="0.25">
      <c r="A111">
        <v>9609</v>
      </c>
      <c r="B111" t="s">
        <v>9038</v>
      </c>
      <c r="C111" t="s">
        <v>5043</v>
      </c>
    </row>
    <row r="112" spans="1:3" x14ac:dyDescent="0.25">
      <c r="A112">
        <v>9649</v>
      </c>
      <c r="B112" t="s">
        <v>9038</v>
      </c>
      <c r="C112" t="s">
        <v>5043</v>
      </c>
    </row>
    <row r="113" spans="1:3" x14ac:dyDescent="0.25">
      <c r="A113">
        <v>9778</v>
      </c>
      <c r="B113" t="s">
        <v>9038</v>
      </c>
      <c r="C113" t="s">
        <v>5043</v>
      </c>
    </row>
    <row r="114" spans="1:3" x14ac:dyDescent="0.25">
      <c r="A114">
        <v>9907</v>
      </c>
      <c r="B114" t="s">
        <v>9038</v>
      </c>
      <c r="C114" t="s">
        <v>5043</v>
      </c>
    </row>
    <row r="115" spans="1:3" x14ac:dyDescent="0.25">
      <c r="A115">
        <v>9522</v>
      </c>
      <c r="B115" t="s">
        <v>9040</v>
      </c>
      <c r="C115" t="s">
        <v>5043</v>
      </c>
    </row>
    <row r="116" spans="1:3" x14ac:dyDescent="0.25">
      <c r="A116">
        <v>10121</v>
      </c>
      <c r="B116" t="s">
        <v>9041</v>
      </c>
      <c r="C116" t="s">
        <v>5043</v>
      </c>
    </row>
    <row r="117" spans="1:3" x14ac:dyDescent="0.25">
      <c r="A117">
        <v>11807</v>
      </c>
      <c r="B117" t="s">
        <v>9041</v>
      </c>
      <c r="C117" t="s">
        <v>5043</v>
      </c>
    </row>
    <row r="118" spans="1:3" x14ac:dyDescent="0.25">
      <c r="A118">
        <v>11368</v>
      </c>
      <c r="B118" t="s">
        <v>9042</v>
      </c>
      <c r="C118" t="s">
        <v>5043</v>
      </c>
    </row>
    <row r="119" spans="1:3" x14ac:dyDescent="0.25">
      <c r="A119">
        <v>6762</v>
      </c>
      <c r="B119" t="s">
        <v>9042</v>
      </c>
      <c r="C119" t="s">
        <v>5043</v>
      </c>
    </row>
    <row r="120" spans="1:3" x14ac:dyDescent="0.25">
      <c r="A120">
        <v>6878</v>
      </c>
      <c r="B120" t="s">
        <v>9042</v>
      </c>
      <c r="C120" t="s">
        <v>5043</v>
      </c>
    </row>
    <row r="121" spans="1:3" x14ac:dyDescent="0.25">
      <c r="A121">
        <v>7997</v>
      </c>
      <c r="B121" t="s">
        <v>9042</v>
      </c>
      <c r="C121" t="s">
        <v>5043</v>
      </c>
    </row>
    <row r="122" spans="1:3" x14ac:dyDescent="0.25">
      <c r="A122">
        <v>8201</v>
      </c>
      <c r="B122" t="s">
        <v>9042</v>
      </c>
      <c r="C122" t="s">
        <v>5043</v>
      </c>
    </row>
    <row r="123" spans="1:3" x14ac:dyDescent="0.25">
      <c r="A123">
        <v>8514</v>
      </c>
      <c r="B123" t="s">
        <v>9042</v>
      </c>
      <c r="C123" t="s">
        <v>5043</v>
      </c>
    </row>
    <row r="124" spans="1:3" x14ac:dyDescent="0.25">
      <c r="A124">
        <v>8793</v>
      </c>
      <c r="B124" t="s">
        <v>9042</v>
      </c>
      <c r="C124" t="s">
        <v>5043</v>
      </c>
    </row>
    <row r="125" spans="1:3" x14ac:dyDescent="0.25">
      <c r="A125">
        <v>9052</v>
      </c>
      <c r="B125" t="s">
        <v>9042</v>
      </c>
      <c r="C125" t="s">
        <v>5043</v>
      </c>
    </row>
    <row r="126" spans="1:3" x14ac:dyDescent="0.25">
      <c r="A126">
        <v>9209</v>
      </c>
      <c r="B126" t="s">
        <v>9042</v>
      </c>
      <c r="C126" t="s">
        <v>5043</v>
      </c>
    </row>
    <row r="127" spans="1:3" x14ac:dyDescent="0.25">
      <c r="A127">
        <v>9517</v>
      </c>
      <c r="B127" t="s">
        <v>9042</v>
      </c>
      <c r="C127" t="s">
        <v>5043</v>
      </c>
    </row>
    <row r="128" spans="1:3" x14ac:dyDescent="0.25">
      <c r="A128">
        <v>11286</v>
      </c>
      <c r="B128" t="s">
        <v>9043</v>
      </c>
      <c r="C128" t="s">
        <v>5043</v>
      </c>
    </row>
    <row r="129" spans="1:3" x14ac:dyDescent="0.25">
      <c r="A129">
        <v>6963</v>
      </c>
      <c r="B129" t="s">
        <v>9043</v>
      </c>
      <c r="C129" t="s">
        <v>5043</v>
      </c>
    </row>
    <row r="130" spans="1:3" x14ac:dyDescent="0.25">
      <c r="A130">
        <v>7640</v>
      </c>
      <c r="B130" t="s">
        <v>9043</v>
      </c>
      <c r="C130" t="s">
        <v>5043</v>
      </c>
    </row>
    <row r="131" spans="1:3" x14ac:dyDescent="0.25">
      <c r="A131">
        <v>9602</v>
      </c>
      <c r="B131" t="s">
        <v>9043</v>
      </c>
      <c r="C131" t="s">
        <v>5043</v>
      </c>
    </row>
    <row r="132" spans="1:3" x14ac:dyDescent="0.25">
      <c r="A132">
        <v>9711</v>
      </c>
      <c r="B132" t="s">
        <v>9043</v>
      </c>
      <c r="C132" t="s">
        <v>5043</v>
      </c>
    </row>
    <row r="133" spans="1:3" x14ac:dyDescent="0.25">
      <c r="A133">
        <v>9957</v>
      </c>
      <c r="B133" t="s">
        <v>9043</v>
      </c>
      <c r="C133" t="s">
        <v>5043</v>
      </c>
    </row>
    <row r="134" spans="1:3" x14ac:dyDescent="0.25">
      <c r="A134">
        <v>7442</v>
      </c>
      <c r="B134" t="s">
        <v>9044</v>
      </c>
      <c r="C134" t="s">
        <v>5043</v>
      </c>
    </row>
    <row r="135" spans="1:3" x14ac:dyDescent="0.25">
      <c r="A135">
        <v>9856</v>
      </c>
      <c r="B135" t="s">
        <v>9045</v>
      </c>
      <c r="C135" t="s">
        <v>5043</v>
      </c>
    </row>
    <row r="136" spans="1:3" x14ac:dyDescent="0.25">
      <c r="A136">
        <v>7465</v>
      </c>
      <c r="B136" t="s">
        <v>9046</v>
      </c>
      <c r="C136" t="s">
        <v>5043</v>
      </c>
    </row>
    <row r="137" spans="1:3" x14ac:dyDescent="0.25">
      <c r="A137">
        <v>7627</v>
      </c>
      <c r="B137" t="s">
        <v>9046</v>
      </c>
      <c r="C137" t="s">
        <v>5043</v>
      </c>
    </row>
    <row r="138" spans="1:3" x14ac:dyDescent="0.25">
      <c r="A138">
        <v>7665</v>
      </c>
      <c r="B138" t="s">
        <v>9046</v>
      </c>
      <c r="C138" t="s">
        <v>5043</v>
      </c>
    </row>
    <row r="139" spans="1:3" x14ac:dyDescent="0.25">
      <c r="A139">
        <v>8352</v>
      </c>
      <c r="B139" t="s">
        <v>9046</v>
      </c>
      <c r="C139" t="s">
        <v>5043</v>
      </c>
    </row>
    <row r="140" spans="1:3" x14ac:dyDescent="0.25">
      <c r="A140">
        <v>7824</v>
      </c>
      <c r="B140" t="s">
        <v>10808</v>
      </c>
      <c r="C140" t="s">
        <v>5043</v>
      </c>
    </row>
    <row r="141" spans="1:3" x14ac:dyDescent="0.25">
      <c r="A141">
        <v>11515</v>
      </c>
      <c r="B141" t="s">
        <v>9048</v>
      </c>
      <c r="C141" t="s">
        <v>5043</v>
      </c>
    </row>
    <row r="142" spans="1:3" x14ac:dyDescent="0.25">
      <c r="A142">
        <v>7253</v>
      </c>
      <c r="B142" t="s">
        <v>9048</v>
      </c>
      <c r="C142" t="s">
        <v>5043</v>
      </c>
    </row>
    <row r="143" spans="1:3" x14ac:dyDescent="0.25">
      <c r="A143">
        <v>7831</v>
      </c>
      <c r="B143" t="s">
        <v>9048</v>
      </c>
      <c r="C143" t="s">
        <v>5043</v>
      </c>
    </row>
    <row r="144" spans="1:3" x14ac:dyDescent="0.25">
      <c r="A144">
        <v>8599</v>
      </c>
      <c r="B144" t="s">
        <v>9048</v>
      </c>
      <c r="C144" t="s">
        <v>5043</v>
      </c>
    </row>
    <row r="145" spans="1:3" x14ac:dyDescent="0.25">
      <c r="A145">
        <v>7101</v>
      </c>
      <c r="B145" t="s">
        <v>10815</v>
      </c>
      <c r="C145" t="s">
        <v>5043</v>
      </c>
    </row>
    <row r="146" spans="1:3" x14ac:dyDescent="0.25">
      <c r="A146">
        <v>8131</v>
      </c>
      <c r="B146" t="s">
        <v>10815</v>
      </c>
      <c r="C146" t="s">
        <v>5043</v>
      </c>
    </row>
    <row r="147" spans="1:3" x14ac:dyDescent="0.25">
      <c r="A147">
        <v>8743</v>
      </c>
      <c r="B147" t="s">
        <v>10815</v>
      </c>
      <c r="C147" t="s">
        <v>5043</v>
      </c>
    </row>
    <row r="148" spans="1:3" x14ac:dyDescent="0.25">
      <c r="A148">
        <v>10256</v>
      </c>
      <c r="B148" t="s">
        <v>10816</v>
      </c>
      <c r="C148" t="s">
        <v>5043</v>
      </c>
    </row>
    <row r="149" spans="1:3" x14ac:dyDescent="0.25">
      <c r="A149">
        <v>10300</v>
      </c>
      <c r="B149" t="s">
        <v>10816</v>
      </c>
      <c r="C149" t="s">
        <v>5043</v>
      </c>
    </row>
    <row r="150" spans="1:3" x14ac:dyDescent="0.25">
      <c r="A150">
        <v>10883</v>
      </c>
      <c r="B150" t="s">
        <v>10816</v>
      </c>
      <c r="C150" t="s">
        <v>5043</v>
      </c>
    </row>
    <row r="151" spans="1:3" x14ac:dyDescent="0.25">
      <c r="A151">
        <v>10950</v>
      </c>
      <c r="B151" t="s">
        <v>10816</v>
      </c>
      <c r="C151" t="s">
        <v>5043</v>
      </c>
    </row>
    <row r="152" spans="1:3" x14ac:dyDescent="0.25">
      <c r="A152">
        <v>10998</v>
      </c>
      <c r="B152" t="s">
        <v>10816</v>
      </c>
      <c r="C152" t="s">
        <v>5043</v>
      </c>
    </row>
    <row r="153" spans="1:3" x14ac:dyDescent="0.25">
      <c r="A153">
        <v>11794</v>
      </c>
      <c r="B153" t="s">
        <v>10816</v>
      </c>
      <c r="C153" t="s">
        <v>5043</v>
      </c>
    </row>
    <row r="154" spans="1:3" x14ac:dyDescent="0.25">
      <c r="A154">
        <v>11974</v>
      </c>
      <c r="B154" t="s">
        <v>10816</v>
      </c>
      <c r="C154" t="s">
        <v>5043</v>
      </c>
    </row>
    <row r="155" spans="1:3" x14ac:dyDescent="0.25">
      <c r="A155">
        <v>6800</v>
      </c>
      <c r="B155" t="s">
        <v>10816</v>
      </c>
      <c r="C155" t="s">
        <v>5043</v>
      </c>
    </row>
    <row r="156" spans="1:3" x14ac:dyDescent="0.25">
      <c r="A156">
        <v>7123</v>
      </c>
      <c r="B156" t="s">
        <v>10816</v>
      </c>
      <c r="C156" t="s">
        <v>5043</v>
      </c>
    </row>
    <row r="157" spans="1:3" x14ac:dyDescent="0.25">
      <c r="A157">
        <v>7155</v>
      </c>
      <c r="B157" t="s">
        <v>10816</v>
      </c>
      <c r="C157" t="s">
        <v>5043</v>
      </c>
    </row>
    <row r="158" spans="1:3" x14ac:dyDescent="0.25">
      <c r="A158">
        <v>7261</v>
      </c>
      <c r="B158" t="s">
        <v>10816</v>
      </c>
      <c r="C158" t="s">
        <v>5043</v>
      </c>
    </row>
    <row r="159" spans="1:3" x14ac:dyDescent="0.25">
      <c r="A159">
        <v>7789</v>
      </c>
      <c r="B159" t="s">
        <v>10816</v>
      </c>
      <c r="C159" t="s">
        <v>5043</v>
      </c>
    </row>
    <row r="160" spans="1:3" x14ac:dyDescent="0.25">
      <c r="A160">
        <v>8887</v>
      </c>
      <c r="B160" t="s">
        <v>10816</v>
      </c>
      <c r="C160" t="s">
        <v>5043</v>
      </c>
    </row>
    <row r="161" spans="1:3" x14ac:dyDescent="0.25">
      <c r="A161">
        <v>8923</v>
      </c>
      <c r="B161" t="s">
        <v>10816</v>
      </c>
      <c r="C161" t="s">
        <v>5043</v>
      </c>
    </row>
    <row r="162" spans="1:3" x14ac:dyDescent="0.25">
      <c r="A162">
        <v>8924</v>
      </c>
      <c r="B162" t="s">
        <v>10816</v>
      </c>
      <c r="C162" t="s">
        <v>5043</v>
      </c>
    </row>
    <row r="163" spans="1:3" x14ac:dyDescent="0.25">
      <c r="A163">
        <v>9173</v>
      </c>
      <c r="B163" t="s">
        <v>10816</v>
      </c>
      <c r="C163" t="s">
        <v>5043</v>
      </c>
    </row>
    <row r="164" spans="1:3" x14ac:dyDescent="0.25">
      <c r="A164">
        <v>9460</v>
      </c>
      <c r="B164" t="s">
        <v>10816</v>
      </c>
      <c r="C164" t="s">
        <v>5043</v>
      </c>
    </row>
    <row r="165" spans="1:3" x14ac:dyDescent="0.25">
      <c r="A165">
        <v>10954</v>
      </c>
      <c r="B165" t="s">
        <v>9050</v>
      </c>
      <c r="C165" t="s">
        <v>5043</v>
      </c>
    </row>
    <row r="166" spans="1:3" x14ac:dyDescent="0.25">
      <c r="A166">
        <v>7695</v>
      </c>
      <c r="B166" t="s">
        <v>10818</v>
      </c>
      <c r="C166" t="s">
        <v>5043</v>
      </c>
    </row>
    <row r="167" spans="1:3" x14ac:dyDescent="0.25">
      <c r="A167">
        <v>7718</v>
      </c>
      <c r="B167" t="s">
        <v>10818</v>
      </c>
      <c r="C167" t="s">
        <v>5043</v>
      </c>
    </row>
    <row r="168" spans="1:3" x14ac:dyDescent="0.25">
      <c r="A168">
        <v>8158</v>
      </c>
      <c r="B168" t="s">
        <v>10818</v>
      </c>
      <c r="C168" t="s">
        <v>5043</v>
      </c>
    </row>
    <row r="169" spans="1:3" x14ac:dyDescent="0.25">
      <c r="A169">
        <v>8389</v>
      </c>
      <c r="B169" t="s">
        <v>10818</v>
      </c>
      <c r="C169" t="s">
        <v>5043</v>
      </c>
    </row>
    <row r="170" spans="1:3" x14ac:dyDescent="0.25">
      <c r="A170">
        <v>10168</v>
      </c>
      <c r="B170" t="s">
        <v>9054</v>
      </c>
      <c r="C170" t="s">
        <v>5043</v>
      </c>
    </row>
    <row r="171" spans="1:3" x14ac:dyDescent="0.25">
      <c r="A171">
        <v>11217</v>
      </c>
      <c r="B171" t="s">
        <v>9054</v>
      </c>
      <c r="C171" t="s">
        <v>5043</v>
      </c>
    </row>
    <row r="172" spans="1:3" x14ac:dyDescent="0.25">
      <c r="A172">
        <v>11393</v>
      </c>
      <c r="B172" t="s">
        <v>9054</v>
      </c>
      <c r="C172" t="s">
        <v>5043</v>
      </c>
    </row>
    <row r="173" spans="1:3" x14ac:dyDescent="0.25">
      <c r="A173">
        <v>11951</v>
      </c>
      <c r="B173" t="s">
        <v>9054</v>
      </c>
      <c r="C173" t="s">
        <v>5043</v>
      </c>
    </row>
    <row r="174" spans="1:3" x14ac:dyDescent="0.25">
      <c r="A174">
        <v>7099</v>
      </c>
      <c r="B174" t="s">
        <v>9054</v>
      </c>
      <c r="C174" t="s">
        <v>5043</v>
      </c>
    </row>
    <row r="175" spans="1:3" x14ac:dyDescent="0.25">
      <c r="A175">
        <v>10196</v>
      </c>
      <c r="B175" t="s">
        <v>9056</v>
      </c>
      <c r="C175" t="s">
        <v>5043</v>
      </c>
    </row>
    <row r="176" spans="1:3" x14ac:dyDescent="0.25">
      <c r="A176">
        <v>6872</v>
      </c>
      <c r="B176" t="s">
        <v>9056</v>
      </c>
      <c r="C176" t="s">
        <v>5043</v>
      </c>
    </row>
    <row r="177" spans="1:3" x14ac:dyDescent="0.25">
      <c r="A177">
        <v>7689</v>
      </c>
      <c r="B177" t="s">
        <v>9056</v>
      </c>
      <c r="C177" t="s">
        <v>5043</v>
      </c>
    </row>
    <row r="178" spans="1:3" x14ac:dyDescent="0.25">
      <c r="A178">
        <v>9829</v>
      </c>
      <c r="B178" t="s">
        <v>9056</v>
      </c>
      <c r="C178" t="s">
        <v>5043</v>
      </c>
    </row>
    <row r="179" spans="1:3" x14ac:dyDescent="0.25">
      <c r="A179">
        <v>9925</v>
      </c>
      <c r="B179" t="s">
        <v>9057</v>
      </c>
      <c r="C179" t="s">
        <v>5043</v>
      </c>
    </row>
    <row r="180" spans="1:3" x14ac:dyDescent="0.25">
      <c r="A180">
        <v>11072</v>
      </c>
      <c r="B180" t="s">
        <v>9058</v>
      </c>
      <c r="C180" t="s">
        <v>5043</v>
      </c>
    </row>
    <row r="181" spans="1:3" x14ac:dyDescent="0.25">
      <c r="A181">
        <v>7679</v>
      </c>
      <c r="B181" t="s">
        <v>9058</v>
      </c>
      <c r="C181" t="s">
        <v>5043</v>
      </c>
    </row>
    <row r="182" spans="1:3" x14ac:dyDescent="0.25">
      <c r="A182">
        <v>6905</v>
      </c>
      <c r="B182" t="s">
        <v>9059</v>
      </c>
      <c r="C182" t="s">
        <v>5043</v>
      </c>
    </row>
    <row r="183" spans="1:3" x14ac:dyDescent="0.25">
      <c r="A183">
        <v>7365</v>
      </c>
      <c r="B183" t="s">
        <v>9059</v>
      </c>
      <c r="C183" t="s">
        <v>5043</v>
      </c>
    </row>
    <row r="184" spans="1:3" x14ac:dyDescent="0.25">
      <c r="A184">
        <v>6788</v>
      </c>
      <c r="B184" t="s">
        <v>10824</v>
      </c>
      <c r="C184" t="s">
        <v>5043</v>
      </c>
    </row>
    <row r="185" spans="1:3" x14ac:dyDescent="0.25">
      <c r="A185">
        <v>7968</v>
      </c>
      <c r="B185" t="s">
        <v>10824</v>
      </c>
      <c r="C185" t="s">
        <v>5043</v>
      </c>
    </row>
    <row r="186" spans="1:3" x14ac:dyDescent="0.25">
      <c r="A186">
        <v>9009</v>
      </c>
      <c r="B186" t="s">
        <v>10824</v>
      </c>
      <c r="C186" t="s">
        <v>5043</v>
      </c>
    </row>
    <row r="187" spans="1:3" x14ac:dyDescent="0.25">
      <c r="A187">
        <v>9841</v>
      </c>
      <c r="B187" t="s">
        <v>10824</v>
      </c>
      <c r="C187" t="s">
        <v>5043</v>
      </c>
    </row>
    <row r="188" spans="1:3" x14ac:dyDescent="0.25">
      <c r="A188">
        <v>11888</v>
      </c>
      <c r="B188" t="s">
        <v>10826</v>
      </c>
      <c r="C188" t="s">
        <v>5043</v>
      </c>
    </row>
    <row r="189" spans="1:3" x14ac:dyDescent="0.25">
      <c r="A189">
        <v>6707</v>
      </c>
      <c r="B189" t="s">
        <v>10826</v>
      </c>
      <c r="C189" t="s">
        <v>5043</v>
      </c>
    </row>
    <row r="190" spans="1:3" x14ac:dyDescent="0.25">
      <c r="A190">
        <v>7546</v>
      </c>
      <c r="B190" t="s">
        <v>10826</v>
      </c>
      <c r="C190" t="s">
        <v>5043</v>
      </c>
    </row>
    <row r="191" spans="1:3" x14ac:dyDescent="0.25">
      <c r="A191">
        <v>8723</v>
      </c>
      <c r="B191" t="s">
        <v>10826</v>
      </c>
      <c r="C191" t="s">
        <v>5043</v>
      </c>
    </row>
    <row r="192" spans="1:3" x14ac:dyDescent="0.25">
      <c r="A192">
        <v>12341</v>
      </c>
      <c r="B192" t="s">
        <v>9060</v>
      </c>
      <c r="C192" t="s">
        <v>5043</v>
      </c>
    </row>
    <row r="193" spans="1:3" x14ac:dyDescent="0.25">
      <c r="A193">
        <v>12402</v>
      </c>
      <c r="B193" t="s">
        <v>9060</v>
      </c>
      <c r="C193" t="s">
        <v>5043</v>
      </c>
    </row>
    <row r="194" spans="1:3" x14ac:dyDescent="0.25">
      <c r="A194">
        <v>251596</v>
      </c>
      <c r="B194" t="s">
        <v>9060</v>
      </c>
      <c r="C194" t="s">
        <v>5043</v>
      </c>
    </row>
    <row r="195" spans="1:3" x14ac:dyDescent="0.25">
      <c r="A195">
        <v>251597</v>
      </c>
      <c r="B195" t="s">
        <v>9060</v>
      </c>
      <c r="C195" t="s">
        <v>5043</v>
      </c>
    </row>
    <row r="196" spans="1:3" x14ac:dyDescent="0.25">
      <c r="A196">
        <v>10017</v>
      </c>
      <c r="B196" t="s">
        <v>10833</v>
      </c>
      <c r="C196" t="s">
        <v>5043</v>
      </c>
    </row>
    <row r="197" spans="1:3" x14ac:dyDescent="0.25">
      <c r="A197">
        <v>10773</v>
      </c>
      <c r="B197" t="s">
        <v>10833</v>
      </c>
      <c r="C197" t="s">
        <v>5043</v>
      </c>
    </row>
    <row r="198" spans="1:3" x14ac:dyDescent="0.25">
      <c r="A198">
        <v>11423</v>
      </c>
      <c r="B198" t="s">
        <v>10833</v>
      </c>
      <c r="C198" t="s">
        <v>5043</v>
      </c>
    </row>
    <row r="199" spans="1:3" x14ac:dyDescent="0.25">
      <c r="A199">
        <v>11525</v>
      </c>
      <c r="B199" t="s">
        <v>10833</v>
      </c>
      <c r="C199" t="s">
        <v>5043</v>
      </c>
    </row>
    <row r="200" spans="1:3" x14ac:dyDescent="0.25">
      <c r="A200">
        <v>11648</v>
      </c>
      <c r="B200" t="s">
        <v>10833</v>
      </c>
      <c r="C200" t="s">
        <v>5043</v>
      </c>
    </row>
    <row r="201" spans="1:3" x14ac:dyDescent="0.25">
      <c r="A201">
        <v>11998</v>
      </c>
      <c r="B201" t="s">
        <v>10833</v>
      </c>
      <c r="C201" t="s">
        <v>5043</v>
      </c>
    </row>
    <row r="202" spans="1:3" x14ac:dyDescent="0.25">
      <c r="A202">
        <v>7004</v>
      </c>
      <c r="B202" t="s">
        <v>10833</v>
      </c>
      <c r="C202" t="s">
        <v>5043</v>
      </c>
    </row>
    <row r="203" spans="1:3" x14ac:dyDescent="0.25">
      <c r="A203">
        <v>7317</v>
      </c>
      <c r="B203" t="s">
        <v>10833</v>
      </c>
      <c r="C203" t="s">
        <v>5043</v>
      </c>
    </row>
    <row r="204" spans="1:3" x14ac:dyDescent="0.25">
      <c r="A204">
        <v>7711</v>
      </c>
      <c r="B204" t="s">
        <v>10833</v>
      </c>
      <c r="C204" t="s">
        <v>5043</v>
      </c>
    </row>
    <row r="205" spans="1:3" x14ac:dyDescent="0.25">
      <c r="A205">
        <v>7768</v>
      </c>
      <c r="B205" t="s">
        <v>10833</v>
      </c>
      <c r="C205" t="s">
        <v>5043</v>
      </c>
    </row>
    <row r="206" spans="1:3" x14ac:dyDescent="0.25">
      <c r="A206">
        <v>7944</v>
      </c>
      <c r="B206" t="s">
        <v>10833</v>
      </c>
      <c r="C206" t="s">
        <v>5043</v>
      </c>
    </row>
    <row r="207" spans="1:3" x14ac:dyDescent="0.25">
      <c r="A207">
        <v>8724</v>
      </c>
      <c r="B207" t="s">
        <v>10833</v>
      </c>
      <c r="C207" t="s">
        <v>5043</v>
      </c>
    </row>
    <row r="208" spans="1:3" x14ac:dyDescent="0.25">
      <c r="A208">
        <v>9069</v>
      </c>
      <c r="B208" t="s">
        <v>10833</v>
      </c>
      <c r="C208" t="s">
        <v>5043</v>
      </c>
    </row>
    <row r="209" spans="1:3" x14ac:dyDescent="0.25">
      <c r="A209">
        <v>9147</v>
      </c>
      <c r="B209" t="s">
        <v>10833</v>
      </c>
      <c r="C209" t="s">
        <v>5043</v>
      </c>
    </row>
    <row r="210" spans="1:3" x14ac:dyDescent="0.25">
      <c r="A210">
        <v>9606</v>
      </c>
      <c r="B210" t="s">
        <v>10833</v>
      </c>
      <c r="C210" t="s">
        <v>5043</v>
      </c>
    </row>
    <row r="211" spans="1:3" x14ac:dyDescent="0.25">
      <c r="A211">
        <v>9988</v>
      </c>
      <c r="B211" t="s">
        <v>10833</v>
      </c>
      <c r="C211" t="s">
        <v>5043</v>
      </c>
    </row>
    <row r="212" spans="1:3" x14ac:dyDescent="0.25">
      <c r="A212">
        <v>7083</v>
      </c>
      <c r="B212" t="s">
        <v>10834</v>
      </c>
      <c r="C212" t="s">
        <v>5043</v>
      </c>
    </row>
    <row r="213" spans="1:3" x14ac:dyDescent="0.25">
      <c r="A213">
        <v>9403</v>
      </c>
      <c r="B213" t="s">
        <v>10834</v>
      </c>
      <c r="C213" t="s">
        <v>5043</v>
      </c>
    </row>
    <row r="214" spans="1:3" x14ac:dyDescent="0.25">
      <c r="A214">
        <v>9776</v>
      </c>
      <c r="B214" t="s">
        <v>10834</v>
      </c>
      <c r="C214" t="s">
        <v>5043</v>
      </c>
    </row>
    <row r="215" spans="1:3" x14ac:dyDescent="0.25">
      <c r="A215">
        <v>11881</v>
      </c>
      <c r="B215" t="s">
        <v>10836</v>
      </c>
      <c r="C215" t="s">
        <v>5043</v>
      </c>
    </row>
    <row r="216" spans="1:3" x14ac:dyDescent="0.25">
      <c r="A216">
        <v>8328</v>
      </c>
      <c r="B216" t="s">
        <v>10836</v>
      </c>
      <c r="C216" t="s">
        <v>5043</v>
      </c>
    </row>
    <row r="217" spans="1:3" x14ac:dyDescent="0.25">
      <c r="A217">
        <v>8353</v>
      </c>
      <c r="B217" t="s">
        <v>10836</v>
      </c>
      <c r="C217" t="s">
        <v>5043</v>
      </c>
    </row>
    <row r="218" spans="1:3" x14ac:dyDescent="0.25">
      <c r="A218">
        <v>9298</v>
      </c>
      <c r="B218" t="s">
        <v>10836</v>
      </c>
      <c r="C218" t="s">
        <v>5043</v>
      </c>
    </row>
    <row r="219" spans="1:3" x14ac:dyDescent="0.25">
      <c r="A219">
        <v>10263</v>
      </c>
      <c r="B219" t="s">
        <v>10838</v>
      </c>
      <c r="C219" t="s">
        <v>5043</v>
      </c>
    </row>
    <row r="220" spans="1:3" x14ac:dyDescent="0.25">
      <c r="A220">
        <v>8277</v>
      </c>
      <c r="B220" t="s">
        <v>9063</v>
      </c>
      <c r="C220" t="s">
        <v>5043</v>
      </c>
    </row>
    <row r="221" spans="1:3" x14ac:dyDescent="0.25">
      <c r="A221">
        <v>7685</v>
      </c>
      <c r="B221" t="s">
        <v>10840</v>
      </c>
      <c r="C221" t="s">
        <v>5043</v>
      </c>
    </row>
    <row r="222" spans="1:3" x14ac:dyDescent="0.25">
      <c r="A222">
        <v>8046</v>
      </c>
      <c r="B222" t="s">
        <v>10840</v>
      </c>
      <c r="C222" t="s">
        <v>5043</v>
      </c>
    </row>
    <row r="223" spans="1:3" x14ac:dyDescent="0.25">
      <c r="A223">
        <v>8267</v>
      </c>
      <c r="B223" t="s">
        <v>10840</v>
      </c>
      <c r="C223" t="s">
        <v>5043</v>
      </c>
    </row>
    <row r="224" spans="1:3" x14ac:dyDescent="0.25">
      <c r="A224">
        <v>10127</v>
      </c>
      <c r="B224" t="s">
        <v>10841</v>
      </c>
      <c r="C224" t="s">
        <v>5043</v>
      </c>
    </row>
    <row r="225" spans="1:3" x14ac:dyDescent="0.25">
      <c r="A225">
        <v>10594</v>
      </c>
      <c r="B225" t="s">
        <v>10841</v>
      </c>
      <c r="C225" t="s">
        <v>5043</v>
      </c>
    </row>
    <row r="226" spans="1:3" x14ac:dyDescent="0.25">
      <c r="A226">
        <v>10967</v>
      </c>
      <c r="B226" t="s">
        <v>10841</v>
      </c>
      <c r="C226" t="s">
        <v>5043</v>
      </c>
    </row>
    <row r="227" spans="1:3" x14ac:dyDescent="0.25">
      <c r="A227">
        <v>11152</v>
      </c>
      <c r="B227" t="s">
        <v>10841</v>
      </c>
      <c r="C227" t="s">
        <v>5043</v>
      </c>
    </row>
    <row r="228" spans="1:3" x14ac:dyDescent="0.25">
      <c r="A228">
        <v>11155</v>
      </c>
      <c r="B228" t="s">
        <v>10841</v>
      </c>
      <c r="C228" t="s">
        <v>5043</v>
      </c>
    </row>
    <row r="229" spans="1:3" x14ac:dyDescent="0.25">
      <c r="A229">
        <v>11677</v>
      </c>
      <c r="B229" t="s">
        <v>10841</v>
      </c>
      <c r="C229" t="s">
        <v>5043</v>
      </c>
    </row>
    <row r="230" spans="1:3" x14ac:dyDescent="0.25">
      <c r="A230">
        <v>11865</v>
      </c>
      <c r="B230" t="s">
        <v>10841</v>
      </c>
      <c r="C230" t="s">
        <v>5043</v>
      </c>
    </row>
    <row r="231" spans="1:3" x14ac:dyDescent="0.25">
      <c r="A231">
        <v>6687</v>
      </c>
      <c r="B231" t="s">
        <v>10841</v>
      </c>
      <c r="C231" t="s">
        <v>5043</v>
      </c>
    </row>
    <row r="232" spans="1:3" x14ac:dyDescent="0.25">
      <c r="A232">
        <v>8299</v>
      </c>
      <c r="B232" t="s">
        <v>10841</v>
      </c>
      <c r="C232" t="s">
        <v>5043</v>
      </c>
    </row>
    <row r="233" spans="1:3" x14ac:dyDescent="0.25">
      <c r="A233">
        <v>8423</v>
      </c>
      <c r="B233" t="s">
        <v>10841</v>
      </c>
      <c r="C233" t="s">
        <v>5043</v>
      </c>
    </row>
    <row r="234" spans="1:3" x14ac:dyDescent="0.25">
      <c r="A234">
        <v>8610</v>
      </c>
      <c r="B234" t="s">
        <v>10841</v>
      </c>
      <c r="C234" t="s">
        <v>5043</v>
      </c>
    </row>
    <row r="235" spans="1:3" x14ac:dyDescent="0.25">
      <c r="A235">
        <v>9396</v>
      </c>
      <c r="B235" t="s">
        <v>10841</v>
      </c>
      <c r="C235" t="s">
        <v>5043</v>
      </c>
    </row>
    <row r="236" spans="1:3" x14ac:dyDescent="0.25">
      <c r="A236">
        <v>9458</v>
      </c>
      <c r="B236" t="s">
        <v>10841</v>
      </c>
      <c r="C236" t="s">
        <v>5043</v>
      </c>
    </row>
    <row r="237" spans="1:3" x14ac:dyDescent="0.25">
      <c r="A237">
        <v>9548</v>
      </c>
      <c r="B237" t="s">
        <v>10841</v>
      </c>
      <c r="C237" t="s">
        <v>5043</v>
      </c>
    </row>
    <row r="238" spans="1:3" x14ac:dyDescent="0.25">
      <c r="A238">
        <v>9918</v>
      </c>
      <c r="B238" t="s">
        <v>10841</v>
      </c>
      <c r="C238" t="s">
        <v>5043</v>
      </c>
    </row>
    <row r="239" spans="1:3" x14ac:dyDescent="0.25">
      <c r="A239">
        <v>9921</v>
      </c>
      <c r="B239" t="s">
        <v>10841</v>
      </c>
      <c r="C239" t="s">
        <v>5043</v>
      </c>
    </row>
    <row r="240" spans="1:3" x14ac:dyDescent="0.25">
      <c r="A240">
        <v>9999</v>
      </c>
      <c r="B240" t="s">
        <v>10841</v>
      </c>
      <c r="C240" t="s">
        <v>5043</v>
      </c>
    </row>
    <row r="241" spans="1:3" x14ac:dyDescent="0.25">
      <c r="A241">
        <v>10437</v>
      </c>
      <c r="B241" t="s">
        <v>9066</v>
      </c>
      <c r="C241" t="s">
        <v>5043</v>
      </c>
    </row>
    <row r="242" spans="1:3" x14ac:dyDescent="0.25">
      <c r="A242">
        <v>12334</v>
      </c>
      <c r="B242" t="s">
        <v>10845</v>
      </c>
      <c r="C242" t="s">
        <v>5043</v>
      </c>
    </row>
    <row r="243" spans="1:3" x14ac:dyDescent="0.25">
      <c r="A243">
        <v>8413</v>
      </c>
      <c r="B243" t="s">
        <v>10845</v>
      </c>
      <c r="C243" t="s">
        <v>5043</v>
      </c>
    </row>
    <row r="244" spans="1:3" x14ac:dyDescent="0.25">
      <c r="A244">
        <v>10205</v>
      </c>
      <c r="B244" t="s">
        <v>10846</v>
      </c>
      <c r="C244" t="s">
        <v>5043</v>
      </c>
    </row>
    <row r="245" spans="1:3" x14ac:dyDescent="0.25">
      <c r="A245">
        <v>10946</v>
      </c>
      <c r="B245" t="s">
        <v>10846</v>
      </c>
      <c r="C245" t="s">
        <v>5043</v>
      </c>
    </row>
    <row r="246" spans="1:3" x14ac:dyDescent="0.25">
      <c r="A246">
        <v>11680</v>
      </c>
      <c r="B246" t="s">
        <v>10846</v>
      </c>
      <c r="C246" t="s">
        <v>5043</v>
      </c>
    </row>
    <row r="247" spans="1:3" x14ac:dyDescent="0.25">
      <c r="A247">
        <v>6795</v>
      </c>
      <c r="B247" t="s">
        <v>10846</v>
      </c>
      <c r="C247" t="s">
        <v>5043</v>
      </c>
    </row>
    <row r="248" spans="1:3" x14ac:dyDescent="0.25">
      <c r="A248">
        <v>7162</v>
      </c>
      <c r="B248" t="s">
        <v>10846</v>
      </c>
      <c r="C248" t="s">
        <v>5043</v>
      </c>
    </row>
    <row r="249" spans="1:3" x14ac:dyDescent="0.25">
      <c r="A249">
        <v>7540</v>
      </c>
      <c r="B249" t="s">
        <v>10846</v>
      </c>
      <c r="C249" t="s">
        <v>5043</v>
      </c>
    </row>
    <row r="250" spans="1:3" x14ac:dyDescent="0.25">
      <c r="A250">
        <v>7658</v>
      </c>
      <c r="B250" t="s">
        <v>10846</v>
      </c>
      <c r="C250" t="s">
        <v>5043</v>
      </c>
    </row>
    <row r="251" spans="1:3" x14ac:dyDescent="0.25">
      <c r="A251">
        <v>8024</v>
      </c>
      <c r="B251" t="s">
        <v>10846</v>
      </c>
      <c r="C251" t="s">
        <v>5043</v>
      </c>
    </row>
    <row r="252" spans="1:3" x14ac:dyDescent="0.25">
      <c r="A252">
        <v>8410</v>
      </c>
      <c r="B252" t="s">
        <v>10846</v>
      </c>
      <c r="C252" t="s">
        <v>5043</v>
      </c>
    </row>
    <row r="253" spans="1:3" x14ac:dyDescent="0.25">
      <c r="A253">
        <v>8675</v>
      </c>
      <c r="B253" t="s">
        <v>10846</v>
      </c>
      <c r="C253" t="s">
        <v>5043</v>
      </c>
    </row>
    <row r="254" spans="1:3" x14ac:dyDescent="0.25">
      <c r="A254">
        <v>8871</v>
      </c>
      <c r="B254" t="s">
        <v>10846</v>
      </c>
      <c r="C254" t="s">
        <v>5043</v>
      </c>
    </row>
    <row r="255" spans="1:3" x14ac:dyDescent="0.25">
      <c r="A255">
        <v>9335</v>
      </c>
      <c r="B255" t="s">
        <v>10846</v>
      </c>
      <c r="C255" t="s">
        <v>5043</v>
      </c>
    </row>
    <row r="256" spans="1:3" x14ac:dyDescent="0.25">
      <c r="A256">
        <v>11409</v>
      </c>
      <c r="B256" t="s">
        <v>10847</v>
      </c>
      <c r="C256" t="s">
        <v>5043</v>
      </c>
    </row>
    <row r="257" spans="1:3" x14ac:dyDescent="0.25">
      <c r="A257">
        <v>7450</v>
      </c>
      <c r="B257" t="s">
        <v>10848</v>
      </c>
      <c r="C257" t="s">
        <v>5043</v>
      </c>
    </row>
    <row r="258" spans="1:3" x14ac:dyDescent="0.25">
      <c r="A258">
        <v>7520</v>
      </c>
      <c r="B258" t="s">
        <v>10848</v>
      </c>
      <c r="C258" t="s">
        <v>5043</v>
      </c>
    </row>
    <row r="259" spans="1:3" x14ac:dyDescent="0.25">
      <c r="A259">
        <v>7680</v>
      </c>
      <c r="B259" t="s">
        <v>10850</v>
      </c>
      <c r="C259" t="s">
        <v>5043</v>
      </c>
    </row>
    <row r="260" spans="1:3" x14ac:dyDescent="0.25">
      <c r="A260">
        <v>10100</v>
      </c>
      <c r="B260" t="s">
        <v>10851</v>
      </c>
      <c r="C260" t="s">
        <v>5043</v>
      </c>
    </row>
    <row r="261" spans="1:3" x14ac:dyDescent="0.25">
      <c r="A261">
        <v>11743</v>
      </c>
      <c r="B261" t="s">
        <v>10851</v>
      </c>
      <c r="C261" t="s">
        <v>5043</v>
      </c>
    </row>
    <row r="262" spans="1:3" x14ac:dyDescent="0.25">
      <c r="A262">
        <v>7725</v>
      </c>
      <c r="B262" t="s">
        <v>10851</v>
      </c>
      <c r="C262" t="s">
        <v>5043</v>
      </c>
    </row>
    <row r="263" spans="1:3" x14ac:dyDescent="0.25">
      <c r="A263">
        <v>9981</v>
      </c>
      <c r="B263" t="s">
        <v>10851</v>
      </c>
      <c r="C263" t="s">
        <v>5043</v>
      </c>
    </row>
    <row r="264" spans="1:3" x14ac:dyDescent="0.25">
      <c r="A264">
        <v>10285</v>
      </c>
      <c r="B264" t="s">
        <v>10852</v>
      </c>
      <c r="C264" t="s">
        <v>5043</v>
      </c>
    </row>
    <row r="265" spans="1:3" x14ac:dyDescent="0.25">
      <c r="A265">
        <v>10746</v>
      </c>
      <c r="B265" t="s">
        <v>10852</v>
      </c>
      <c r="C265" t="s">
        <v>5043</v>
      </c>
    </row>
    <row r="266" spans="1:3" x14ac:dyDescent="0.25">
      <c r="A266">
        <v>11267</v>
      </c>
      <c r="B266" t="s">
        <v>10852</v>
      </c>
      <c r="C266" t="s">
        <v>5043</v>
      </c>
    </row>
    <row r="267" spans="1:3" x14ac:dyDescent="0.25">
      <c r="A267">
        <v>11340</v>
      </c>
      <c r="B267" t="s">
        <v>10852</v>
      </c>
      <c r="C267" t="s">
        <v>5043</v>
      </c>
    </row>
    <row r="268" spans="1:3" x14ac:dyDescent="0.25">
      <c r="A268">
        <v>7039</v>
      </c>
      <c r="B268" t="s">
        <v>10852</v>
      </c>
      <c r="C268" t="s">
        <v>5043</v>
      </c>
    </row>
    <row r="269" spans="1:3" x14ac:dyDescent="0.25">
      <c r="A269">
        <v>7805</v>
      </c>
      <c r="B269" t="s">
        <v>10852</v>
      </c>
      <c r="C269" t="s">
        <v>5043</v>
      </c>
    </row>
    <row r="270" spans="1:3" x14ac:dyDescent="0.25">
      <c r="A270">
        <v>8057</v>
      </c>
      <c r="B270" t="s">
        <v>10852</v>
      </c>
      <c r="C270" t="s">
        <v>5043</v>
      </c>
    </row>
    <row r="271" spans="1:3" x14ac:dyDescent="0.25">
      <c r="A271">
        <v>8135</v>
      </c>
      <c r="B271" t="s">
        <v>10852</v>
      </c>
      <c r="C271" t="s">
        <v>5043</v>
      </c>
    </row>
    <row r="272" spans="1:3" x14ac:dyDescent="0.25">
      <c r="A272">
        <v>8576</v>
      </c>
      <c r="B272" t="s">
        <v>10852</v>
      </c>
      <c r="C272" t="s">
        <v>5043</v>
      </c>
    </row>
    <row r="273" spans="1:3" x14ac:dyDescent="0.25">
      <c r="A273">
        <v>9108</v>
      </c>
      <c r="B273" t="s">
        <v>10852</v>
      </c>
      <c r="C273" t="s">
        <v>5043</v>
      </c>
    </row>
    <row r="274" spans="1:3" x14ac:dyDescent="0.25">
      <c r="A274">
        <v>9128</v>
      </c>
      <c r="B274" t="s">
        <v>10852</v>
      </c>
      <c r="C274" t="s">
        <v>5043</v>
      </c>
    </row>
    <row r="275" spans="1:3" x14ac:dyDescent="0.25">
      <c r="A275">
        <v>9725</v>
      </c>
      <c r="B275" t="s">
        <v>10852</v>
      </c>
      <c r="C275" t="s">
        <v>5043</v>
      </c>
    </row>
    <row r="276" spans="1:3" x14ac:dyDescent="0.25">
      <c r="A276">
        <v>10315</v>
      </c>
      <c r="B276" t="s">
        <v>10853</v>
      </c>
      <c r="C276" t="s">
        <v>5043</v>
      </c>
    </row>
    <row r="277" spans="1:3" x14ac:dyDescent="0.25">
      <c r="A277">
        <v>10530</v>
      </c>
      <c r="B277" t="s">
        <v>10853</v>
      </c>
      <c r="C277" t="s">
        <v>5043</v>
      </c>
    </row>
    <row r="278" spans="1:3" x14ac:dyDescent="0.25">
      <c r="A278">
        <v>10616</v>
      </c>
      <c r="B278" t="s">
        <v>10853</v>
      </c>
      <c r="C278" t="s">
        <v>5043</v>
      </c>
    </row>
    <row r="279" spans="1:3" x14ac:dyDescent="0.25">
      <c r="A279">
        <v>11101</v>
      </c>
      <c r="B279" t="s">
        <v>10853</v>
      </c>
      <c r="C279" t="s">
        <v>5043</v>
      </c>
    </row>
    <row r="280" spans="1:3" x14ac:dyDescent="0.25">
      <c r="A280">
        <v>11964</v>
      </c>
      <c r="B280" t="s">
        <v>10853</v>
      </c>
      <c r="C280" t="s">
        <v>5043</v>
      </c>
    </row>
    <row r="281" spans="1:3" x14ac:dyDescent="0.25">
      <c r="A281">
        <v>7243</v>
      </c>
      <c r="B281" t="s">
        <v>10853</v>
      </c>
      <c r="C281" t="s">
        <v>5043</v>
      </c>
    </row>
    <row r="282" spans="1:3" x14ac:dyDescent="0.25">
      <c r="A282">
        <v>8075</v>
      </c>
      <c r="B282" t="s">
        <v>10853</v>
      </c>
      <c r="C282" t="s">
        <v>5043</v>
      </c>
    </row>
    <row r="283" spans="1:3" x14ac:dyDescent="0.25">
      <c r="A283">
        <v>8639</v>
      </c>
      <c r="B283" t="s">
        <v>10853</v>
      </c>
      <c r="C283" t="s">
        <v>5043</v>
      </c>
    </row>
    <row r="284" spans="1:3" x14ac:dyDescent="0.25">
      <c r="A284">
        <v>8627</v>
      </c>
      <c r="B284" t="s">
        <v>10854</v>
      </c>
      <c r="C284" t="s">
        <v>5043</v>
      </c>
    </row>
    <row r="285" spans="1:3" x14ac:dyDescent="0.25">
      <c r="A285">
        <v>10760</v>
      </c>
      <c r="B285" t="s">
        <v>10857</v>
      </c>
      <c r="C285" t="s">
        <v>5043</v>
      </c>
    </row>
    <row r="286" spans="1:3" x14ac:dyDescent="0.25">
      <c r="A286">
        <v>7474</v>
      </c>
      <c r="B286" t="s">
        <v>10857</v>
      </c>
      <c r="C286" t="s">
        <v>5043</v>
      </c>
    </row>
    <row r="287" spans="1:3" x14ac:dyDescent="0.25">
      <c r="A287">
        <v>10564</v>
      </c>
      <c r="B287" t="s">
        <v>10861</v>
      </c>
      <c r="C287" t="s">
        <v>5043</v>
      </c>
    </row>
    <row r="288" spans="1:3" x14ac:dyDescent="0.25">
      <c r="A288">
        <v>11386</v>
      </c>
      <c r="B288" t="s">
        <v>10861</v>
      </c>
      <c r="C288" t="s">
        <v>5043</v>
      </c>
    </row>
    <row r="289" spans="1:3" x14ac:dyDescent="0.25">
      <c r="A289">
        <v>7946</v>
      </c>
      <c r="B289" t="s">
        <v>10861</v>
      </c>
      <c r="C289" t="s">
        <v>5043</v>
      </c>
    </row>
    <row r="290" spans="1:3" x14ac:dyDescent="0.25">
      <c r="A290">
        <v>12156</v>
      </c>
      <c r="B290" t="s">
        <v>10862</v>
      </c>
      <c r="C290" t="s">
        <v>5043</v>
      </c>
    </row>
    <row r="291" spans="1:3" x14ac:dyDescent="0.25">
      <c r="A291">
        <v>251439</v>
      </c>
      <c r="B291" t="s">
        <v>11578</v>
      </c>
      <c r="C291" t="s">
        <v>5043</v>
      </c>
    </row>
    <row r="292" spans="1:3" x14ac:dyDescent="0.25">
      <c r="A292">
        <v>251440</v>
      </c>
      <c r="B292" t="s">
        <v>11578</v>
      </c>
      <c r="C292" t="s">
        <v>5043</v>
      </c>
    </row>
    <row r="293" spans="1:3" x14ac:dyDescent="0.25">
      <c r="A293">
        <v>251442</v>
      </c>
      <c r="B293" t="s">
        <v>11578</v>
      </c>
      <c r="C293" t="s">
        <v>5043</v>
      </c>
    </row>
    <row r="294" spans="1:3" x14ac:dyDescent="0.25">
      <c r="A294">
        <v>251443</v>
      </c>
      <c r="B294" t="s">
        <v>11578</v>
      </c>
      <c r="C294" t="s">
        <v>5043</v>
      </c>
    </row>
    <row r="295" spans="1:3" x14ac:dyDescent="0.25">
      <c r="A295">
        <v>251451</v>
      </c>
      <c r="B295" t="s">
        <v>11578</v>
      </c>
      <c r="C295" t="s">
        <v>5043</v>
      </c>
    </row>
    <row r="296" spans="1:3" x14ac:dyDescent="0.25">
      <c r="A296">
        <v>251594</v>
      </c>
      <c r="B296" t="s">
        <v>11578</v>
      </c>
      <c r="C296" t="s">
        <v>5043</v>
      </c>
    </row>
    <row r="297" spans="1:3" x14ac:dyDescent="0.25">
      <c r="A297">
        <v>251595</v>
      </c>
      <c r="B297" t="s">
        <v>11578</v>
      </c>
      <c r="C297" t="s">
        <v>5043</v>
      </c>
    </row>
    <row r="298" spans="1:3" x14ac:dyDescent="0.25">
      <c r="A298">
        <v>11866</v>
      </c>
      <c r="B298" t="s">
        <v>10879</v>
      </c>
      <c r="C298" t="s">
        <v>5043</v>
      </c>
    </row>
    <row r="299" spans="1:3" x14ac:dyDescent="0.25">
      <c r="A299">
        <v>8572</v>
      </c>
      <c r="B299" t="s">
        <v>10879</v>
      </c>
      <c r="C299" t="s">
        <v>5043</v>
      </c>
    </row>
    <row r="300" spans="1:3" x14ac:dyDescent="0.25">
      <c r="A300">
        <v>8870</v>
      </c>
      <c r="B300" t="s">
        <v>10879</v>
      </c>
      <c r="C300" t="s">
        <v>5043</v>
      </c>
    </row>
    <row r="301" spans="1:3" x14ac:dyDescent="0.25">
      <c r="A301">
        <v>8886</v>
      </c>
      <c r="B301" t="s">
        <v>10886</v>
      </c>
      <c r="C301" t="s">
        <v>5043</v>
      </c>
    </row>
    <row r="302" spans="1:3" x14ac:dyDescent="0.25">
      <c r="A302">
        <v>8393</v>
      </c>
      <c r="B302" t="s">
        <v>10888</v>
      </c>
      <c r="C302" t="s">
        <v>5043</v>
      </c>
    </row>
    <row r="303" spans="1:3" x14ac:dyDescent="0.25">
      <c r="A303">
        <v>10284</v>
      </c>
      <c r="B303" t="s">
        <v>9067</v>
      </c>
      <c r="C303" t="s">
        <v>5043</v>
      </c>
    </row>
    <row r="304" spans="1:3" x14ac:dyDescent="0.25">
      <c r="A304">
        <v>10462</v>
      </c>
      <c r="B304" t="s">
        <v>9067</v>
      </c>
      <c r="C304" t="s">
        <v>5043</v>
      </c>
    </row>
    <row r="305" spans="1:3" x14ac:dyDescent="0.25">
      <c r="A305">
        <v>12495</v>
      </c>
      <c r="B305" t="s">
        <v>11579</v>
      </c>
      <c r="C305" t="s">
        <v>5043</v>
      </c>
    </row>
    <row r="306" spans="1:3" x14ac:dyDescent="0.25">
      <c r="A306">
        <v>7524</v>
      </c>
      <c r="B306" t="s">
        <v>10898</v>
      </c>
      <c r="C306" t="s">
        <v>5043</v>
      </c>
    </row>
    <row r="307" spans="1:3" x14ac:dyDescent="0.25">
      <c r="A307">
        <v>8400</v>
      </c>
      <c r="B307" t="s">
        <v>9069</v>
      </c>
      <c r="C307" t="s">
        <v>5043</v>
      </c>
    </row>
    <row r="308" spans="1:3" x14ac:dyDescent="0.25">
      <c r="A308">
        <v>11556</v>
      </c>
      <c r="B308" t="s">
        <v>10913</v>
      </c>
      <c r="C308" t="s">
        <v>5043</v>
      </c>
    </row>
    <row r="309" spans="1:3" x14ac:dyDescent="0.25">
      <c r="A309">
        <v>9874</v>
      </c>
      <c r="B309" t="s">
        <v>10913</v>
      </c>
      <c r="C309" t="s">
        <v>5043</v>
      </c>
    </row>
    <row r="310" spans="1:3" x14ac:dyDescent="0.25">
      <c r="A310">
        <v>10687</v>
      </c>
      <c r="B310" t="s">
        <v>9070</v>
      </c>
      <c r="C310" t="s">
        <v>5043</v>
      </c>
    </row>
    <row r="311" spans="1:3" x14ac:dyDescent="0.25">
      <c r="A311">
        <v>10364</v>
      </c>
      <c r="B311" t="s">
        <v>9071</v>
      </c>
      <c r="C311" t="s">
        <v>5043</v>
      </c>
    </row>
    <row r="312" spans="1:3" x14ac:dyDescent="0.25">
      <c r="A312">
        <v>11068</v>
      </c>
      <c r="B312" t="s">
        <v>9071</v>
      </c>
      <c r="C312" t="s">
        <v>5043</v>
      </c>
    </row>
    <row r="313" spans="1:3" x14ac:dyDescent="0.25">
      <c r="A313">
        <v>11472</v>
      </c>
      <c r="B313" t="s">
        <v>9071</v>
      </c>
      <c r="C313" t="s">
        <v>5043</v>
      </c>
    </row>
    <row r="314" spans="1:3" x14ac:dyDescent="0.25">
      <c r="A314">
        <v>11518</v>
      </c>
      <c r="B314" t="s">
        <v>9071</v>
      </c>
      <c r="C314" t="s">
        <v>5043</v>
      </c>
    </row>
    <row r="315" spans="1:3" x14ac:dyDescent="0.25">
      <c r="A315">
        <v>11701</v>
      </c>
      <c r="B315" t="s">
        <v>9071</v>
      </c>
      <c r="C315" t="s">
        <v>5043</v>
      </c>
    </row>
    <row r="316" spans="1:3" x14ac:dyDescent="0.25">
      <c r="A316">
        <v>6753</v>
      </c>
      <c r="B316" t="s">
        <v>9071</v>
      </c>
      <c r="C316" t="s">
        <v>5043</v>
      </c>
    </row>
    <row r="317" spans="1:3" x14ac:dyDescent="0.25">
      <c r="A317">
        <v>6940</v>
      </c>
      <c r="B317" t="s">
        <v>9071</v>
      </c>
      <c r="C317" t="s">
        <v>5043</v>
      </c>
    </row>
    <row r="318" spans="1:3" x14ac:dyDescent="0.25">
      <c r="A318">
        <v>7072</v>
      </c>
      <c r="B318" t="s">
        <v>9071</v>
      </c>
      <c r="C318" t="s">
        <v>5043</v>
      </c>
    </row>
    <row r="319" spans="1:3" x14ac:dyDescent="0.25">
      <c r="A319">
        <v>7501</v>
      </c>
      <c r="B319" t="s">
        <v>9071</v>
      </c>
      <c r="C319" t="s">
        <v>5043</v>
      </c>
    </row>
    <row r="320" spans="1:3" x14ac:dyDescent="0.25">
      <c r="A320">
        <v>7606</v>
      </c>
      <c r="B320" t="s">
        <v>9071</v>
      </c>
      <c r="C320" t="s">
        <v>5043</v>
      </c>
    </row>
    <row r="321" spans="1:3" x14ac:dyDescent="0.25">
      <c r="A321">
        <v>7677</v>
      </c>
      <c r="B321" t="s">
        <v>9071</v>
      </c>
      <c r="C321" t="s">
        <v>5043</v>
      </c>
    </row>
    <row r="322" spans="1:3" x14ac:dyDescent="0.25">
      <c r="A322">
        <v>8316</v>
      </c>
      <c r="B322" t="s">
        <v>9071</v>
      </c>
      <c r="C322" t="s">
        <v>5043</v>
      </c>
    </row>
    <row r="323" spans="1:3" x14ac:dyDescent="0.25">
      <c r="A323">
        <v>8435</v>
      </c>
      <c r="B323" t="s">
        <v>9071</v>
      </c>
      <c r="C323" t="s">
        <v>5043</v>
      </c>
    </row>
    <row r="324" spans="1:3" x14ac:dyDescent="0.25">
      <c r="A324">
        <v>8533</v>
      </c>
      <c r="B324" t="s">
        <v>9071</v>
      </c>
      <c r="C324" t="s">
        <v>5043</v>
      </c>
    </row>
    <row r="325" spans="1:3" x14ac:dyDescent="0.25">
      <c r="A325">
        <v>8722</v>
      </c>
      <c r="B325" t="s">
        <v>9071</v>
      </c>
      <c r="C325" t="s">
        <v>5043</v>
      </c>
    </row>
    <row r="326" spans="1:3" x14ac:dyDescent="0.25">
      <c r="A326">
        <v>8810</v>
      </c>
      <c r="B326" t="s">
        <v>9071</v>
      </c>
      <c r="C326" t="s">
        <v>5043</v>
      </c>
    </row>
    <row r="327" spans="1:3" x14ac:dyDescent="0.25">
      <c r="A327">
        <v>8863</v>
      </c>
      <c r="B327" t="s">
        <v>9071</v>
      </c>
      <c r="C327" t="s">
        <v>5043</v>
      </c>
    </row>
    <row r="328" spans="1:3" x14ac:dyDescent="0.25">
      <c r="A328">
        <v>9286</v>
      </c>
      <c r="B328" t="s">
        <v>9071</v>
      </c>
      <c r="C328" t="s">
        <v>5043</v>
      </c>
    </row>
    <row r="329" spans="1:3" x14ac:dyDescent="0.25">
      <c r="A329">
        <v>9457</v>
      </c>
      <c r="B329" t="s">
        <v>9071</v>
      </c>
      <c r="C329" t="s">
        <v>5043</v>
      </c>
    </row>
    <row r="330" spans="1:3" x14ac:dyDescent="0.25">
      <c r="A330">
        <v>9610</v>
      </c>
      <c r="B330" t="s">
        <v>9071</v>
      </c>
      <c r="C330" t="s">
        <v>5043</v>
      </c>
    </row>
    <row r="331" spans="1:3" x14ac:dyDescent="0.25">
      <c r="A331">
        <v>9639</v>
      </c>
      <c r="B331" t="s">
        <v>9071</v>
      </c>
      <c r="C331" t="s">
        <v>5043</v>
      </c>
    </row>
    <row r="332" spans="1:3" x14ac:dyDescent="0.25">
      <c r="A332">
        <v>9659</v>
      </c>
      <c r="B332" t="s">
        <v>9071</v>
      </c>
      <c r="C332" t="s">
        <v>5043</v>
      </c>
    </row>
    <row r="333" spans="1:3" x14ac:dyDescent="0.25">
      <c r="A333">
        <v>9875</v>
      </c>
      <c r="B333" t="s">
        <v>9071</v>
      </c>
      <c r="C333" t="s">
        <v>5043</v>
      </c>
    </row>
    <row r="334" spans="1:3" x14ac:dyDescent="0.25">
      <c r="A334">
        <v>10534</v>
      </c>
      <c r="B334" t="s">
        <v>9072</v>
      </c>
      <c r="C334" t="s">
        <v>5043</v>
      </c>
    </row>
    <row r="335" spans="1:3" x14ac:dyDescent="0.25">
      <c r="A335">
        <v>10945</v>
      </c>
      <c r="B335" t="s">
        <v>9072</v>
      </c>
      <c r="C335" t="s">
        <v>5043</v>
      </c>
    </row>
    <row r="336" spans="1:3" x14ac:dyDescent="0.25">
      <c r="A336">
        <v>11015</v>
      </c>
      <c r="B336" t="s">
        <v>9072</v>
      </c>
      <c r="C336" t="s">
        <v>5043</v>
      </c>
    </row>
    <row r="337" spans="1:3" x14ac:dyDescent="0.25">
      <c r="A337">
        <v>11272</v>
      </c>
      <c r="B337" t="s">
        <v>9072</v>
      </c>
      <c r="C337" t="s">
        <v>5043</v>
      </c>
    </row>
    <row r="338" spans="1:3" x14ac:dyDescent="0.25">
      <c r="A338">
        <v>11300</v>
      </c>
      <c r="B338" t="s">
        <v>9072</v>
      </c>
      <c r="C338" t="s">
        <v>5043</v>
      </c>
    </row>
    <row r="339" spans="1:3" x14ac:dyDescent="0.25">
      <c r="A339">
        <v>11426</v>
      </c>
      <c r="B339" t="s">
        <v>9072</v>
      </c>
      <c r="C339" t="s">
        <v>5043</v>
      </c>
    </row>
    <row r="340" spans="1:3" x14ac:dyDescent="0.25">
      <c r="A340">
        <v>7160</v>
      </c>
      <c r="B340" t="s">
        <v>9072</v>
      </c>
      <c r="C340" t="s">
        <v>5043</v>
      </c>
    </row>
    <row r="341" spans="1:3" x14ac:dyDescent="0.25">
      <c r="A341">
        <v>7616</v>
      </c>
      <c r="B341" t="s">
        <v>9072</v>
      </c>
      <c r="C341" t="s">
        <v>5043</v>
      </c>
    </row>
    <row r="342" spans="1:3" x14ac:dyDescent="0.25">
      <c r="A342">
        <v>8406</v>
      </c>
      <c r="B342" t="s">
        <v>9072</v>
      </c>
      <c r="C342" t="s">
        <v>5043</v>
      </c>
    </row>
    <row r="343" spans="1:3" x14ac:dyDescent="0.25">
      <c r="A343">
        <v>8659</v>
      </c>
      <c r="B343" t="s">
        <v>9072</v>
      </c>
      <c r="C343" t="s">
        <v>5043</v>
      </c>
    </row>
    <row r="344" spans="1:3" x14ac:dyDescent="0.25">
      <c r="A344">
        <v>8775</v>
      </c>
      <c r="B344" t="s">
        <v>9072</v>
      </c>
      <c r="C344" t="s">
        <v>5043</v>
      </c>
    </row>
    <row r="345" spans="1:3" x14ac:dyDescent="0.25">
      <c r="A345">
        <v>8789</v>
      </c>
      <c r="B345" t="s">
        <v>9072</v>
      </c>
      <c r="C345" t="s">
        <v>5043</v>
      </c>
    </row>
    <row r="346" spans="1:3" x14ac:dyDescent="0.25">
      <c r="A346">
        <v>8797</v>
      </c>
      <c r="B346" t="s">
        <v>9072</v>
      </c>
      <c r="C346" t="s">
        <v>5043</v>
      </c>
    </row>
    <row r="347" spans="1:3" x14ac:dyDescent="0.25">
      <c r="A347">
        <v>9164</v>
      </c>
      <c r="B347" t="s">
        <v>9072</v>
      </c>
      <c r="C347" t="s">
        <v>5043</v>
      </c>
    </row>
    <row r="348" spans="1:3" x14ac:dyDescent="0.25">
      <c r="A348">
        <v>9243</v>
      </c>
      <c r="B348" t="s">
        <v>9072</v>
      </c>
      <c r="C348" t="s">
        <v>5043</v>
      </c>
    </row>
    <row r="349" spans="1:3" x14ac:dyDescent="0.25">
      <c r="A349">
        <v>8739</v>
      </c>
      <c r="B349" t="s">
        <v>10917</v>
      </c>
      <c r="C349" t="s">
        <v>5043</v>
      </c>
    </row>
    <row r="350" spans="1:3" x14ac:dyDescent="0.25">
      <c r="A350">
        <v>7454</v>
      </c>
      <c r="B350" t="s">
        <v>10922</v>
      </c>
      <c r="C350" t="s">
        <v>5043</v>
      </c>
    </row>
    <row r="351" spans="1:3" x14ac:dyDescent="0.25">
      <c r="A351">
        <v>10203</v>
      </c>
      <c r="B351" t="s">
        <v>10927</v>
      </c>
      <c r="C351" t="s">
        <v>5043</v>
      </c>
    </row>
    <row r="352" spans="1:3" x14ac:dyDescent="0.25">
      <c r="A352">
        <v>9767</v>
      </c>
      <c r="B352" t="s">
        <v>10927</v>
      </c>
      <c r="C352" t="s">
        <v>5043</v>
      </c>
    </row>
    <row r="353" spans="1:3" x14ac:dyDescent="0.25">
      <c r="A353">
        <v>8669</v>
      </c>
      <c r="B353" t="s">
        <v>9078</v>
      </c>
      <c r="C353" t="s">
        <v>5043</v>
      </c>
    </row>
    <row r="354" spans="1:3" x14ac:dyDescent="0.25">
      <c r="A354">
        <v>11036</v>
      </c>
      <c r="B354" t="s">
        <v>9081</v>
      </c>
      <c r="C354" t="s">
        <v>5043</v>
      </c>
    </row>
    <row r="355" spans="1:3" x14ac:dyDescent="0.25">
      <c r="A355">
        <v>11177</v>
      </c>
      <c r="B355" t="s">
        <v>9081</v>
      </c>
      <c r="C355" t="s">
        <v>5043</v>
      </c>
    </row>
    <row r="356" spans="1:3" x14ac:dyDescent="0.25">
      <c r="A356">
        <v>8247</v>
      </c>
      <c r="B356" t="s">
        <v>9081</v>
      </c>
      <c r="C356" t="s">
        <v>5043</v>
      </c>
    </row>
    <row r="357" spans="1:3" x14ac:dyDescent="0.25">
      <c r="A357">
        <v>10383</v>
      </c>
      <c r="B357" t="s">
        <v>9083</v>
      </c>
      <c r="C357" t="s">
        <v>5043</v>
      </c>
    </row>
    <row r="358" spans="1:3" x14ac:dyDescent="0.25">
      <c r="A358">
        <v>9914</v>
      </c>
      <c r="B358" t="s">
        <v>9083</v>
      </c>
      <c r="C358" t="s">
        <v>5043</v>
      </c>
    </row>
    <row r="359" spans="1:3" x14ac:dyDescent="0.25">
      <c r="A359">
        <v>8866</v>
      </c>
      <c r="B359" t="s">
        <v>9084</v>
      </c>
      <c r="C359" t="s">
        <v>5043</v>
      </c>
    </row>
    <row r="360" spans="1:3" x14ac:dyDescent="0.25">
      <c r="A360">
        <v>9644</v>
      </c>
      <c r="B360" t="s">
        <v>9084</v>
      </c>
      <c r="C360" t="s">
        <v>5043</v>
      </c>
    </row>
    <row r="361" spans="1:3" x14ac:dyDescent="0.25">
      <c r="A361">
        <v>7204</v>
      </c>
      <c r="B361" t="s">
        <v>10939</v>
      </c>
      <c r="C361" t="s">
        <v>5043</v>
      </c>
    </row>
    <row r="362" spans="1:3" x14ac:dyDescent="0.25">
      <c r="A362">
        <v>10120</v>
      </c>
      <c r="B362" t="s">
        <v>9098</v>
      </c>
      <c r="C362" t="s">
        <v>5043</v>
      </c>
    </row>
    <row r="363" spans="1:3" x14ac:dyDescent="0.25">
      <c r="A363">
        <v>10234</v>
      </c>
      <c r="B363" t="s">
        <v>9098</v>
      </c>
      <c r="C363" t="s">
        <v>5043</v>
      </c>
    </row>
    <row r="364" spans="1:3" x14ac:dyDescent="0.25">
      <c r="A364">
        <v>10705</v>
      </c>
      <c r="B364" t="s">
        <v>9098</v>
      </c>
      <c r="C364" t="s">
        <v>5043</v>
      </c>
    </row>
    <row r="365" spans="1:3" x14ac:dyDescent="0.25">
      <c r="A365">
        <v>10974</v>
      </c>
      <c r="B365" t="s">
        <v>9098</v>
      </c>
      <c r="C365" t="s">
        <v>5043</v>
      </c>
    </row>
    <row r="366" spans="1:3" x14ac:dyDescent="0.25">
      <c r="A366">
        <v>11500</v>
      </c>
      <c r="B366" t="s">
        <v>9098</v>
      </c>
      <c r="C366" t="s">
        <v>5043</v>
      </c>
    </row>
    <row r="367" spans="1:3" x14ac:dyDescent="0.25">
      <c r="A367">
        <v>11514</v>
      </c>
      <c r="B367" t="s">
        <v>9098</v>
      </c>
      <c r="C367" t="s">
        <v>5043</v>
      </c>
    </row>
    <row r="368" spans="1:3" x14ac:dyDescent="0.25">
      <c r="A368">
        <v>6785</v>
      </c>
      <c r="B368" t="s">
        <v>9098</v>
      </c>
      <c r="C368" t="s">
        <v>5043</v>
      </c>
    </row>
    <row r="369" spans="1:3" x14ac:dyDescent="0.25">
      <c r="A369">
        <v>6816</v>
      </c>
      <c r="B369" t="s">
        <v>9098</v>
      </c>
      <c r="C369" t="s">
        <v>5043</v>
      </c>
    </row>
    <row r="370" spans="1:3" x14ac:dyDescent="0.25">
      <c r="A370">
        <v>7500</v>
      </c>
      <c r="B370" t="s">
        <v>9098</v>
      </c>
      <c r="C370" t="s">
        <v>5043</v>
      </c>
    </row>
    <row r="371" spans="1:3" x14ac:dyDescent="0.25">
      <c r="A371">
        <v>7766</v>
      </c>
      <c r="B371" t="s">
        <v>9098</v>
      </c>
      <c r="C371" t="s">
        <v>5043</v>
      </c>
    </row>
    <row r="372" spans="1:3" x14ac:dyDescent="0.25">
      <c r="A372">
        <v>9527</v>
      </c>
      <c r="B372" t="s">
        <v>9098</v>
      </c>
      <c r="C372" t="s">
        <v>5043</v>
      </c>
    </row>
    <row r="373" spans="1:3" x14ac:dyDescent="0.25">
      <c r="A373">
        <v>9572</v>
      </c>
      <c r="B373" t="s">
        <v>9098</v>
      </c>
      <c r="C373" t="s">
        <v>5043</v>
      </c>
    </row>
    <row r="374" spans="1:3" x14ac:dyDescent="0.25">
      <c r="A374">
        <v>9629</v>
      </c>
      <c r="B374" t="s">
        <v>9098</v>
      </c>
      <c r="C374" t="s">
        <v>5043</v>
      </c>
    </row>
    <row r="375" spans="1:3" x14ac:dyDescent="0.25">
      <c r="A375">
        <v>9740</v>
      </c>
      <c r="B375" t="s">
        <v>9098</v>
      </c>
      <c r="C375" t="s">
        <v>5043</v>
      </c>
    </row>
    <row r="376" spans="1:3" x14ac:dyDescent="0.25">
      <c r="A376">
        <v>9499</v>
      </c>
      <c r="B376" t="s">
        <v>10965</v>
      </c>
      <c r="C376" t="s">
        <v>5043</v>
      </c>
    </row>
    <row r="377" spans="1:3" x14ac:dyDescent="0.25">
      <c r="A377">
        <v>7518</v>
      </c>
      <c r="B377" t="s">
        <v>10966</v>
      </c>
      <c r="C377" t="s">
        <v>5043</v>
      </c>
    </row>
    <row r="378" spans="1:3" x14ac:dyDescent="0.25">
      <c r="A378">
        <v>9859</v>
      </c>
      <c r="B378" t="s">
        <v>10967</v>
      </c>
      <c r="C378" t="s">
        <v>5043</v>
      </c>
    </row>
    <row r="379" spans="1:3" x14ac:dyDescent="0.25">
      <c r="A379">
        <v>7210</v>
      </c>
      <c r="B379" t="s">
        <v>10968</v>
      </c>
      <c r="C379" t="s">
        <v>5043</v>
      </c>
    </row>
    <row r="380" spans="1:3" x14ac:dyDescent="0.25">
      <c r="A380">
        <v>8817</v>
      </c>
      <c r="B380" t="s">
        <v>10968</v>
      </c>
      <c r="C380" t="s">
        <v>5043</v>
      </c>
    </row>
    <row r="381" spans="1:3" x14ac:dyDescent="0.25">
      <c r="A381">
        <v>7427</v>
      </c>
      <c r="B381" t="s">
        <v>10969</v>
      </c>
      <c r="C381" t="s">
        <v>5043</v>
      </c>
    </row>
    <row r="382" spans="1:3" x14ac:dyDescent="0.25">
      <c r="A382">
        <v>8561</v>
      </c>
      <c r="B382" t="s">
        <v>10970</v>
      </c>
      <c r="C382" t="s">
        <v>5043</v>
      </c>
    </row>
    <row r="383" spans="1:3" x14ac:dyDescent="0.25">
      <c r="A383">
        <v>10988</v>
      </c>
      <c r="B383" t="s">
        <v>10989</v>
      </c>
      <c r="C383" t="s">
        <v>5043</v>
      </c>
    </row>
    <row r="384" spans="1:3" x14ac:dyDescent="0.25">
      <c r="A384">
        <v>10768</v>
      </c>
      <c r="B384" t="s">
        <v>10990</v>
      </c>
      <c r="C384" t="s">
        <v>5043</v>
      </c>
    </row>
    <row r="385" spans="1:3" x14ac:dyDescent="0.25">
      <c r="A385">
        <v>7249</v>
      </c>
      <c r="B385" t="s">
        <v>10992</v>
      </c>
      <c r="C385" t="s">
        <v>5043</v>
      </c>
    </row>
    <row r="386" spans="1:3" x14ac:dyDescent="0.25">
      <c r="A386">
        <v>7046</v>
      </c>
      <c r="B386" t="s">
        <v>10994</v>
      </c>
      <c r="C386" t="s">
        <v>5043</v>
      </c>
    </row>
    <row r="387" spans="1:3" x14ac:dyDescent="0.25">
      <c r="A387">
        <v>7271</v>
      </c>
      <c r="B387" t="s">
        <v>10994</v>
      </c>
      <c r="C387" t="s">
        <v>5043</v>
      </c>
    </row>
    <row r="388" spans="1:3" x14ac:dyDescent="0.25">
      <c r="A388">
        <v>7449</v>
      </c>
      <c r="B388" t="s">
        <v>10994</v>
      </c>
      <c r="C388" t="s">
        <v>5043</v>
      </c>
    </row>
    <row r="389" spans="1:3" x14ac:dyDescent="0.25">
      <c r="A389">
        <v>7737</v>
      </c>
      <c r="B389" t="s">
        <v>10994</v>
      </c>
      <c r="C389" t="s">
        <v>5043</v>
      </c>
    </row>
    <row r="390" spans="1:3" x14ac:dyDescent="0.25">
      <c r="A390">
        <v>10342</v>
      </c>
      <c r="B390" t="s">
        <v>10995</v>
      </c>
      <c r="C390" t="s">
        <v>5043</v>
      </c>
    </row>
    <row r="391" spans="1:3" x14ac:dyDescent="0.25">
      <c r="A391">
        <v>10586</v>
      </c>
      <c r="B391" t="s">
        <v>10995</v>
      </c>
      <c r="C391" t="s">
        <v>5043</v>
      </c>
    </row>
    <row r="392" spans="1:3" x14ac:dyDescent="0.25">
      <c r="A392">
        <v>9726</v>
      </c>
      <c r="B392" t="s">
        <v>10995</v>
      </c>
      <c r="C392" t="s">
        <v>5043</v>
      </c>
    </row>
    <row r="393" spans="1:3" x14ac:dyDescent="0.25">
      <c r="A393">
        <v>12067</v>
      </c>
      <c r="B393" t="s">
        <v>11000</v>
      </c>
      <c r="C393" t="s">
        <v>5043</v>
      </c>
    </row>
    <row r="394" spans="1:3" x14ac:dyDescent="0.25">
      <c r="A394">
        <v>10146</v>
      </c>
      <c r="B394" t="s">
        <v>11003</v>
      </c>
      <c r="C394" t="s">
        <v>5043</v>
      </c>
    </row>
    <row r="395" spans="1:3" x14ac:dyDescent="0.25">
      <c r="A395">
        <v>11157</v>
      </c>
      <c r="B395" t="s">
        <v>11003</v>
      </c>
      <c r="C395" t="s">
        <v>5043</v>
      </c>
    </row>
    <row r="396" spans="1:3" x14ac:dyDescent="0.25">
      <c r="A396">
        <v>11265</v>
      </c>
      <c r="B396" t="s">
        <v>11003</v>
      </c>
      <c r="C396" t="s">
        <v>5043</v>
      </c>
    </row>
    <row r="397" spans="1:3" x14ac:dyDescent="0.25">
      <c r="A397">
        <v>11533</v>
      </c>
      <c r="B397" t="s">
        <v>11003</v>
      </c>
      <c r="C397" t="s">
        <v>5043</v>
      </c>
    </row>
    <row r="398" spans="1:3" x14ac:dyDescent="0.25">
      <c r="A398">
        <v>11729</v>
      </c>
      <c r="B398" t="s">
        <v>11003</v>
      </c>
      <c r="C398" t="s">
        <v>5043</v>
      </c>
    </row>
    <row r="399" spans="1:3" x14ac:dyDescent="0.25">
      <c r="A399">
        <v>11815</v>
      </c>
      <c r="B399" t="s">
        <v>11003</v>
      </c>
      <c r="C399" t="s">
        <v>5043</v>
      </c>
    </row>
    <row r="400" spans="1:3" x14ac:dyDescent="0.25">
      <c r="A400">
        <v>7497</v>
      </c>
      <c r="B400" t="s">
        <v>11003</v>
      </c>
      <c r="C400" t="s">
        <v>5043</v>
      </c>
    </row>
    <row r="401" spans="1:3" x14ac:dyDescent="0.25">
      <c r="A401">
        <v>8971</v>
      </c>
      <c r="B401" t="s">
        <v>11003</v>
      </c>
      <c r="C401" t="s">
        <v>5043</v>
      </c>
    </row>
    <row r="402" spans="1:3" x14ac:dyDescent="0.25">
      <c r="A402">
        <v>9562</v>
      </c>
      <c r="B402" t="s">
        <v>11003</v>
      </c>
      <c r="C402" t="s">
        <v>5043</v>
      </c>
    </row>
    <row r="403" spans="1:3" x14ac:dyDescent="0.25">
      <c r="A403">
        <v>10416</v>
      </c>
      <c r="B403" t="s">
        <v>11006</v>
      </c>
      <c r="C403" t="s">
        <v>5043</v>
      </c>
    </row>
    <row r="404" spans="1:3" x14ac:dyDescent="0.25">
      <c r="A404">
        <v>11075</v>
      </c>
      <c r="B404" t="s">
        <v>11007</v>
      </c>
      <c r="C404" t="s">
        <v>5043</v>
      </c>
    </row>
    <row r="405" spans="1:3" x14ac:dyDescent="0.25">
      <c r="A405">
        <v>7357</v>
      </c>
      <c r="B405" t="s">
        <v>9134</v>
      </c>
      <c r="C405" t="s">
        <v>5043</v>
      </c>
    </row>
    <row r="406" spans="1:3" x14ac:dyDescent="0.25">
      <c r="A406">
        <v>6971</v>
      </c>
      <c r="B406" t="s">
        <v>11010</v>
      </c>
      <c r="C406" t="s">
        <v>5043</v>
      </c>
    </row>
    <row r="407" spans="1:3" x14ac:dyDescent="0.25">
      <c r="A407">
        <v>9803</v>
      </c>
      <c r="B407" t="s">
        <v>11010</v>
      </c>
      <c r="C407" t="s">
        <v>5043</v>
      </c>
    </row>
    <row r="408" spans="1:3" x14ac:dyDescent="0.25">
      <c r="A408">
        <v>10186</v>
      </c>
      <c r="B408" t="s">
        <v>11013</v>
      </c>
      <c r="C408" t="s">
        <v>5043</v>
      </c>
    </row>
    <row r="409" spans="1:3" x14ac:dyDescent="0.25">
      <c r="A409">
        <v>7280</v>
      </c>
      <c r="B409" t="s">
        <v>11013</v>
      </c>
      <c r="C409" t="s">
        <v>5043</v>
      </c>
    </row>
    <row r="410" spans="1:3" x14ac:dyDescent="0.25">
      <c r="A410">
        <v>7354</v>
      </c>
      <c r="B410" t="s">
        <v>11014</v>
      </c>
      <c r="C410" t="s">
        <v>5043</v>
      </c>
    </row>
    <row r="411" spans="1:3" x14ac:dyDescent="0.25">
      <c r="A411">
        <v>11468</v>
      </c>
      <c r="B411" t="s">
        <v>11015</v>
      </c>
      <c r="C411" t="s">
        <v>5043</v>
      </c>
    </row>
    <row r="412" spans="1:3" x14ac:dyDescent="0.25">
      <c r="A412">
        <v>9835</v>
      </c>
      <c r="B412" t="s">
        <v>11015</v>
      </c>
      <c r="C412" t="s">
        <v>5043</v>
      </c>
    </row>
    <row r="413" spans="1:3" x14ac:dyDescent="0.25">
      <c r="A413">
        <v>7528</v>
      </c>
      <c r="B413" t="s">
        <v>11016</v>
      </c>
      <c r="C413" t="s">
        <v>5043</v>
      </c>
    </row>
    <row r="414" spans="1:3" x14ac:dyDescent="0.25">
      <c r="A414">
        <v>10258</v>
      </c>
      <c r="B414" t="s">
        <v>9154</v>
      </c>
      <c r="C414" t="s">
        <v>5043</v>
      </c>
    </row>
    <row r="415" spans="1:3" x14ac:dyDescent="0.25">
      <c r="A415">
        <v>8143</v>
      </c>
      <c r="B415" t="s">
        <v>9154</v>
      </c>
      <c r="C415" t="s">
        <v>5043</v>
      </c>
    </row>
    <row r="416" spans="1:3" x14ac:dyDescent="0.25">
      <c r="A416">
        <v>9595</v>
      </c>
      <c r="B416" t="s">
        <v>9154</v>
      </c>
      <c r="C416" t="s">
        <v>5043</v>
      </c>
    </row>
    <row r="417" spans="1:3" x14ac:dyDescent="0.25">
      <c r="A417">
        <v>9426</v>
      </c>
      <c r="B417" t="s">
        <v>9175</v>
      </c>
      <c r="C417" t="s">
        <v>5043</v>
      </c>
    </row>
    <row r="418" spans="1:3" x14ac:dyDescent="0.25">
      <c r="A418">
        <v>6883</v>
      </c>
      <c r="B418" t="s">
        <v>9176</v>
      </c>
      <c r="C418" t="s">
        <v>5043</v>
      </c>
    </row>
    <row r="419" spans="1:3" x14ac:dyDescent="0.25">
      <c r="A419">
        <v>10255</v>
      </c>
      <c r="B419" t="s">
        <v>9178</v>
      </c>
      <c r="C419" t="s">
        <v>5043</v>
      </c>
    </row>
    <row r="420" spans="1:3" x14ac:dyDescent="0.25">
      <c r="A420">
        <v>11649</v>
      </c>
      <c r="B420" t="s">
        <v>9178</v>
      </c>
      <c r="C420" t="s">
        <v>5043</v>
      </c>
    </row>
    <row r="421" spans="1:3" x14ac:dyDescent="0.25">
      <c r="A421">
        <v>11981</v>
      </c>
      <c r="B421" t="s">
        <v>9178</v>
      </c>
      <c r="C421" t="s">
        <v>5043</v>
      </c>
    </row>
    <row r="422" spans="1:3" x14ac:dyDescent="0.25">
      <c r="A422">
        <v>12108</v>
      </c>
      <c r="B422" t="s">
        <v>9178</v>
      </c>
      <c r="C422" t="s">
        <v>5043</v>
      </c>
    </row>
    <row r="423" spans="1:3" x14ac:dyDescent="0.25">
      <c r="A423">
        <v>6677</v>
      </c>
      <c r="B423" t="s">
        <v>9178</v>
      </c>
      <c r="C423" t="s">
        <v>5043</v>
      </c>
    </row>
    <row r="424" spans="1:3" x14ac:dyDescent="0.25">
      <c r="A424">
        <v>7025</v>
      </c>
      <c r="B424" t="s">
        <v>9178</v>
      </c>
      <c r="C424" t="s">
        <v>5043</v>
      </c>
    </row>
    <row r="425" spans="1:3" x14ac:dyDescent="0.25">
      <c r="A425">
        <v>7085</v>
      </c>
      <c r="B425" t="s">
        <v>9178</v>
      </c>
      <c r="C425" t="s">
        <v>5043</v>
      </c>
    </row>
    <row r="426" spans="1:3" x14ac:dyDescent="0.25">
      <c r="A426">
        <v>7089</v>
      </c>
      <c r="B426" t="s">
        <v>9178</v>
      </c>
      <c r="C426" t="s">
        <v>5043</v>
      </c>
    </row>
    <row r="427" spans="1:3" x14ac:dyDescent="0.25">
      <c r="A427">
        <v>7100</v>
      </c>
      <c r="B427" t="s">
        <v>9178</v>
      </c>
      <c r="C427" t="s">
        <v>5043</v>
      </c>
    </row>
    <row r="428" spans="1:3" x14ac:dyDescent="0.25">
      <c r="A428">
        <v>8323</v>
      </c>
      <c r="B428" t="s">
        <v>9178</v>
      </c>
      <c r="C428" t="s">
        <v>5043</v>
      </c>
    </row>
    <row r="429" spans="1:3" x14ac:dyDescent="0.25">
      <c r="A429">
        <v>9104</v>
      </c>
      <c r="B429" t="s">
        <v>9178</v>
      </c>
      <c r="C429" t="s">
        <v>5043</v>
      </c>
    </row>
    <row r="430" spans="1:3" x14ac:dyDescent="0.25">
      <c r="A430">
        <v>9119</v>
      </c>
      <c r="B430" t="s">
        <v>9178</v>
      </c>
      <c r="C430" t="s">
        <v>5043</v>
      </c>
    </row>
    <row r="431" spans="1:3" x14ac:dyDescent="0.25">
      <c r="A431">
        <v>9174</v>
      </c>
      <c r="B431" t="s">
        <v>9178</v>
      </c>
      <c r="C431" t="s">
        <v>5043</v>
      </c>
    </row>
    <row r="432" spans="1:3" x14ac:dyDescent="0.25">
      <c r="A432">
        <v>9197</v>
      </c>
      <c r="B432" t="s">
        <v>9178</v>
      </c>
      <c r="C432" t="s">
        <v>5043</v>
      </c>
    </row>
    <row r="433" spans="1:3" x14ac:dyDescent="0.25">
      <c r="A433">
        <v>10386</v>
      </c>
      <c r="B433" t="s">
        <v>9202</v>
      </c>
      <c r="C433" t="s">
        <v>5043</v>
      </c>
    </row>
    <row r="434" spans="1:3" x14ac:dyDescent="0.25">
      <c r="A434">
        <v>10422</v>
      </c>
      <c r="B434" t="s">
        <v>9202</v>
      </c>
      <c r="C434" t="s">
        <v>5043</v>
      </c>
    </row>
    <row r="435" spans="1:3" x14ac:dyDescent="0.25">
      <c r="A435">
        <v>10799</v>
      </c>
      <c r="B435" t="s">
        <v>9202</v>
      </c>
      <c r="C435" t="s">
        <v>5043</v>
      </c>
    </row>
    <row r="436" spans="1:3" x14ac:dyDescent="0.25">
      <c r="A436">
        <v>11115</v>
      </c>
      <c r="B436" t="s">
        <v>9202</v>
      </c>
      <c r="C436" t="s">
        <v>5043</v>
      </c>
    </row>
    <row r="437" spans="1:3" x14ac:dyDescent="0.25">
      <c r="A437">
        <v>11931</v>
      </c>
      <c r="B437" t="s">
        <v>9202</v>
      </c>
      <c r="C437" t="s">
        <v>5043</v>
      </c>
    </row>
    <row r="438" spans="1:3" x14ac:dyDescent="0.25">
      <c r="A438">
        <v>6688</v>
      </c>
      <c r="B438" t="s">
        <v>9202</v>
      </c>
      <c r="C438" t="s">
        <v>5043</v>
      </c>
    </row>
    <row r="439" spans="1:3" x14ac:dyDescent="0.25">
      <c r="A439">
        <v>6693</v>
      </c>
      <c r="B439" t="s">
        <v>9202</v>
      </c>
      <c r="C439" t="s">
        <v>5043</v>
      </c>
    </row>
    <row r="440" spans="1:3" x14ac:dyDescent="0.25">
      <c r="A440">
        <v>6819</v>
      </c>
      <c r="B440" t="s">
        <v>9202</v>
      </c>
      <c r="C440" t="s">
        <v>5043</v>
      </c>
    </row>
    <row r="441" spans="1:3" x14ac:dyDescent="0.25">
      <c r="A441">
        <v>7295</v>
      </c>
      <c r="B441" t="s">
        <v>9202</v>
      </c>
      <c r="C441" t="s">
        <v>5043</v>
      </c>
    </row>
    <row r="442" spans="1:3" x14ac:dyDescent="0.25">
      <c r="A442">
        <v>8403</v>
      </c>
      <c r="B442" t="s">
        <v>9202</v>
      </c>
      <c r="C442" t="s">
        <v>5043</v>
      </c>
    </row>
    <row r="443" spans="1:3" x14ac:dyDescent="0.25">
      <c r="A443">
        <v>8457</v>
      </c>
      <c r="B443" t="s">
        <v>9202</v>
      </c>
      <c r="C443" t="s">
        <v>5043</v>
      </c>
    </row>
    <row r="444" spans="1:3" x14ac:dyDescent="0.25">
      <c r="A444">
        <v>8941</v>
      </c>
      <c r="B444" t="s">
        <v>9202</v>
      </c>
      <c r="C444" t="s">
        <v>5043</v>
      </c>
    </row>
    <row r="445" spans="1:3" x14ac:dyDescent="0.25">
      <c r="A445">
        <v>9360</v>
      </c>
      <c r="B445" t="s">
        <v>9202</v>
      </c>
      <c r="C445" t="s">
        <v>5043</v>
      </c>
    </row>
    <row r="446" spans="1:3" x14ac:dyDescent="0.25">
      <c r="A446">
        <v>9831</v>
      </c>
      <c r="B446" t="s">
        <v>9202</v>
      </c>
      <c r="C446" t="s">
        <v>5043</v>
      </c>
    </row>
    <row r="447" spans="1:3" x14ac:dyDescent="0.25">
      <c r="A447">
        <v>10276</v>
      </c>
      <c r="B447" t="s">
        <v>9211</v>
      </c>
      <c r="C447" t="s">
        <v>5043</v>
      </c>
    </row>
    <row r="448" spans="1:3" x14ac:dyDescent="0.25">
      <c r="A448">
        <v>10046</v>
      </c>
      <c r="B448" t="s">
        <v>9212</v>
      </c>
      <c r="C448" t="s">
        <v>5043</v>
      </c>
    </row>
    <row r="449" spans="1:3" x14ac:dyDescent="0.25">
      <c r="A449">
        <v>10287</v>
      </c>
      <c r="B449" t="s">
        <v>9212</v>
      </c>
      <c r="C449" t="s">
        <v>5043</v>
      </c>
    </row>
    <row r="450" spans="1:3" x14ac:dyDescent="0.25">
      <c r="A450">
        <v>10647</v>
      </c>
      <c r="B450" t="s">
        <v>9212</v>
      </c>
      <c r="C450" t="s">
        <v>5043</v>
      </c>
    </row>
    <row r="451" spans="1:3" x14ac:dyDescent="0.25">
      <c r="A451">
        <v>10702</v>
      </c>
      <c r="B451" t="s">
        <v>9212</v>
      </c>
      <c r="C451" t="s">
        <v>5043</v>
      </c>
    </row>
    <row r="452" spans="1:3" x14ac:dyDescent="0.25">
      <c r="A452">
        <v>10713</v>
      </c>
      <c r="B452" t="s">
        <v>9212</v>
      </c>
      <c r="C452" t="s">
        <v>5043</v>
      </c>
    </row>
    <row r="453" spans="1:3" x14ac:dyDescent="0.25">
      <c r="A453">
        <v>10871</v>
      </c>
      <c r="B453" t="s">
        <v>9212</v>
      </c>
      <c r="C453" t="s">
        <v>5043</v>
      </c>
    </row>
    <row r="454" spans="1:3" x14ac:dyDescent="0.25">
      <c r="A454">
        <v>11197</v>
      </c>
      <c r="B454" t="s">
        <v>9212</v>
      </c>
      <c r="C454" t="s">
        <v>5043</v>
      </c>
    </row>
    <row r="455" spans="1:3" x14ac:dyDescent="0.25">
      <c r="A455">
        <v>11220</v>
      </c>
      <c r="B455" t="s">
        <v>9212</v>
      </c>
      <c r="C455" t="s">
        <v>5043</v>
      </c>
    </row>
    <row r="456" spans="1:3" x14ac:dyDescent="0.25">
      <c r="A456">
        <v>11631</v>
      </c>
      <c r="B456" t="s">
        <v>9212</v>
      </c>
      <c r="C456" t="s">
        <v>5043</v>
      </c>
    </row>
    <row r="457" spans="1:3" x14ac:dyDescent="0.25">
      <c r="A457">
        <v>11732</v>
      </c>
      <c r="B457" t="s">
        <v>9212</v>
      </c>
      <c r="C457" t="s">
        <v>5043</v>
      </c>
    </row>
    <row r="458" spans="1:3" x14ac:dyDescent="0.25">
      <c r="A458">
        <v>12094</v>
      </c>
      <c r="B458" t="s">
        <v>9212</v>
      </c>
      <c r="C458" t="s">
        <v>5043</v>
      </c>
    </row>
    <row r="459" spans="1:3" x14ac:dyDescent="0.25">
      <c r="A459">
        <v>6748</v>
      </c>
      <c r="B459" t="s">
        <v>9212</v>
      </c>
      <c r="C459" t="s">
        <v>5043</v>
      </c>
    </row>
    <row r="460" spans="1:3" x14ac:dyDescent="0.25">
      <c r="A460">
        <v>7132</v>
      </c>
      <c r="B460" t="s">
        <v>9212</v>
      </c>
      <c r="C460" t="s">
        <v>5043</v>
      </c>
    </row>
    <row r="461" spans="1:3" x14ac:dyDescent="0.25">
      <c r="A461">
        <v>7601</v>
      </c>
      <c r="B461" t="s">
        <v>9212</v>
      </c>
      <c r="C461" t="s">
        <v>5043</v>
      </c>
    </row>
    <row r="462" spans="1:3" x14ac:dyDescent="0.25">
      <c r="A462">
        <v>7611</v>
      </c>
      <c r="B462" t="s">
        <v>9212</v>
      </c>
      <c r="C462" t="s">
        <v>5043</v>
      </c>
    </row>
    <row r="463" spans="1:3" x14ac:dyDescent="0.25">
      <c r="A463">
        <v>7753</v>
      </c>
      <c r="B463" t="s">
        <v>9212</v>
      </c>
      <c r="C463" t="s">
        <v>5043</v>
      </c>
    </row>
    <row r="464" spans="1:3" x14ac:dyDescent="0.25">
      <c r="A464">
        <v>7981</v>
      </c>
      <c r="B464" t="s">
        <v>9212</v>
      </c>
      <c r="C464" t="s">
        <v>5043</v>
      </c>
    </row>
    <row r="465" spans="1:3" x14ac:dyDescent="0.25">
      <c r="A465">
        <v>8450</v>
      </c>
      <c r="B465" t="s">
        <v>9212</v>
      </c>
      <c r="C465" t="s">
        <v>5043</v>
      </c>
    </row>
    <row r="466" spans="1:3" x14ac:dyDescent="0.25">
      <c r="A466">
        <v>8618</v>
      </c>
      <c r="B466" t="s">
        <v>9212</v>
      </c>
      <c r="C466" t="s">
        <v>5043</v>
      </c>
    </row>
    <row r="467" spans="1:3" x14ac:dyDescent="0.25">
      <c r="A467">
        <v>8719</v>
      </c>
      <c r="B467" t="s">
        <v>9212</v>
      </c>
      <c r="C467" t="s">
        <v>5043</v>
      </c>
    </row>
    <row r="468" spans="1:3" x14ac:dyDescent="0.25">
      <c r="A468">
        <v>8939</v>
      </c>
      <c r="B468" t="s">
        <v>9212</v>
      </c>
      <c r="C468" t="s">
        <v>5043</v>
      </c>
    </row>
    <row r="469" spans="1:3" x14ac:dyDescent="0.25">
      <c r="A469">
        <v>9647</v>
      </c>
      <c r="B469" t="s">
        <v>9212</v>
      </c>
      <c r="C469" t="s">
        <v>5043</v>
      </c>
    </row>
    <row r="470" spans="1:3" x14ac:dyDescent="0.25">
      <c r="A470">
        <v>251549</v>
      </c>
      <c r="B470" t="s">
        <v>11583</v>
      </c>
      <c r="C470" t="s">
        <v>5043</v>
      </c>
    </row>
    <row r="471" spans="1:3" x14ac:dyDescent="0.25">
      <c r="A471">
        <v>251553</v>
      </c>
      <c r="B471" t="s">
        <v>11583</v>
      </c>
      <c r="C471" t="s">
        <v>5043</v>
      </c>
    </row>
    <row r="472" spans="1:3" x14ac:dyDescent="0.25">
      <c r="A472">
        <v>251557</v>
      </c>
      <c r="B472" t="s">
        <v>11583</v>
      </c>
      <c r="C472" t="s">
        <v>5043</v>
      </c>
    </row>
    <row r="473" spans="1:3" x14ac:dyDescent="0.25">
      <c r="A473">
        <v>251561</v>
      </c>
      <c r="B473" t="s">
        <v>11583</v>
      </c>
      <c r="C473" t="s">
        <v>5043</v>
      </c>
    </row>
    <row r="474" spans="1:3" x14ac:dyDescent="0.25">
      <c r="A474">
        <v>251569</v>
      </c>
      <c r="B474" t="s">
        <v>11583</v>
      </c>
      <c r="C474" t="s">
        <v>5043</v>
      </c>
    </row>
    <row r="475" spans="1:3" x14ac:dyDescent="0.25">
      <c r="A475">
        <v>9162</v>
      </c>
      <c r="B475" t="s">
        <v>11025</v>
      </c>
      <c r="C475" t="s">
        <v>5043</v>
      </c>
    </row>
    <row r="476" spans="1:3" x14ac:dyDescent="0.25">
      <c r="A476">
        <v>9187</v>
      </c>
      <c r="B476" t="s">
        <v>11025</v>
      </c>
      <c r="C476" t="s">
        <v>5043</v>
      </c>
    </row>
    <row r="477" spans="1:3" x14ac:dyDescent="0.25">
      <c r="A477">
        <v>9234</v>
      </c>
      <c r="B477" t="s">
        <v>11025</v>
      </c>
      <c r="C477" t="s">
        <v>5043</v>
      </c>
    </row>
    <row r="478" spans="1:3" x14ac:dyDescent="0.25">
      <c r="A478">
        <v>10197</v>
      </c>
      <c r="B478" t="s">
        <v>9246</v>
      </c>
      <c r="C478" t="s">
        <v>5043</v>
      </c>
    </row>
    <row r="479" spans="1:3" x14ac:dyDescent="0.25">
      <c r="A479">
        <v>10726</v>
      </c>
      <c r="B479" t="s">
        <v>9246</v>
      </c>
      <c r="C479" t="s">
        <v>5043</v>
      </c>
    </row>
    <row r="480" spans="1:3" x14ac:dyDescent="0.25">
      <c r="A480">
        <v>10753</v>
      </c>
      <c r="B480" t="s">
        <v>9246</v>
      </c>
      <c r="C480" t="s">
        <v>5043</v>
      </c>
    </row>
    <row r="481" spans="1:3" x14ac:dyDescent="0.25">
      <c r="A481">
        <v>10865</v>
      </c>
      <c r="B481" t="s">
        <v>9246</v>
      </c>
      <c r="C481" t="s">
        <v>5043</v>
      </c>
    </row>
    <row r="482" spans="1:3" x14ac:dyDescent="0.25">
      <c r="A482">
        <v>10961</v>
      </c>
      <c r="B482" t="s">
        <v>9246</v>
      </c>
      <c r="C482" t="s">
        <v>5043</v>
      </c>
    </row>
    <row r="483" spans="1:3" x14ac:dyDescent="0.25">
      <c r="A483">
        <v>10992</v>
      </c>
      <c r="B483" t="s">
        <v>9246</v>
      </c>
      <c r="C483" t="s">
        <v>5043</v>
      </c>
    </row>
    <row r="484" spans="1:3" x14ac:dyDescent="0.25">
      <c r="A484">
        <v>11122</v>
      </c>
      <c r="B484" t="s">
        <v>9246</v>
      </c>
      <c r="C484" t="s">
        <v>5043</v>
      </c>
    </row>
    <row r="485" spans="1:3" x14ac:dyDescent="0.25">
      <c r="A485">
        <v>11277</v>
      </c>
      <c r="B485" t="s">
        <v>9246</v>
      </c>
      <c r="C485" t="s">
        <v>5043</v>
      </c>
    </row>
    <row r="486" spans="1:3" x14ac:dyDescent="0.25">
      <c r="A486">
        <v>11352</v>
      </c>
      <c r="B486" t="s">
        <v>9246</v>
      </c>
      <c r="C486" t="s">
        <v>5043</v>
      </c>
    </row>
    <row r="487" spans="1:3" x14ac:dyDescent="0.25">
      <c r="A487">
        <v>11361</v>
      </c>
      <c r="B487" t="s">
        <v>9246</v>
      </c>
      <c r="C487" t="s">
        <v>5043</v>
      </c>
    </row>
    <row r="488" spans="1:3" x14ac:dyDescent="0.25">
      <c r="A488">
        <v>11842</v>
      </c>
      <c r="B488" t="s">
        <v>9246</v>
      </c>
      <c r="C488" t="s">
        <v>5043</v>
      </c>
    </row>
    <row r="489" spans="1:3" x14ac:dyDescent="0.25">
      <c r="A489">
        <v>11946</v>
      </c>
      <c r="B489" t="s">
        <v>9246</v>
      </c>
      <c r="C489" t="s">
        <v>5043</v>
      </c>
    </row>
    <row r="490" spans="1:3" x14ac:dyDescent="0.25">
      <c r="A490">
        <v>6761</v>
      </c>
      <c r="B490" t="s">
        <v>9246</v>
      </c>
      <c r="C490" t="s">
        <v>5043</v>
      </c>
    </row>
    <row r="491" spans="1:3" x14ac:dyDescent="0.25">
      <c r="A491">
        <v>6843</v>
      </c>
      <c r="B491" t="s">
        <v>9246</v>
      </c>
      <c r="C491" t="s">
        <v>5043</v>
      </c>
    </row>
    <row r="492" spans="1:3" x14ac:dyDescent="0.25">
      <c r="A492">
        <v>7230</v>
      </c>
      <c r="B492" t="s">
        <v>9246</v>
      </c>
      <c r="C492" t="s">
        <v>5043</v>
      </c>
    </row>
    <row r="493" spans="1:3" x14ac:dyDescent="0.25">
      <c r="A493">
        <v>7444</v>
      </c>
      <c r="B493" t="s">
        <v>9246</v>
      </c>
      <c r="C493" t="s">
        <v>5043</v>
      </c>
    </row>
    <row r="494" spans="1:3" x14ac:dyDescent="0.25">
      <c r="A494">
        <v>7877</v>
      </c>
      <c r="B494" t="s">
        <v>9246</v>
      </c>
      <c r="C494" t="s">
        <v>5043</v>
      </c>
    </row>
    <row r="495" spans="1:3" x14ac:dyDescent="0.25">
      <c r="A495">
        <v>8458</v>
      </c>
      <c r="B495" t="s">
        <v>9246</v>
      </c>
      <c r="C495" t="s">
        <v>5043</v>
      </c>
    </row>
    <row r="496" spans="1:3" x14ac:dyDescent="0.25">
      <c r="A496">
        <v>8821</v>
      </c>
      <c r="B496" t="s">
        <v>9246</v>
      </c>
      <c r="C496" t="s">
        <v>5043</v>
      </c>
    </row>
    <row r="497" spans="1:3" x14ac:dyDescent="0.25">
      <c r="A497">
        <v>9143</v>
      </c>
      <c r="B497" t="s">
        <v>9246</v>
      </c>
      <c r="C497" t="s">
        <v>5043</v>
      </c>
    </row>
    <row r="498" spans="1:3" x14ac:dyDescent="0.25">
      <c r="A498">
        <v>9178</v>
      </c>
      <c r="B498" t="s">
        <v>9246</v>
      </c>
      <c r="C498" t="s">
        <v>5043</v>
      </c>
    </row>
    <row r="499" spans="1:3" x14ac:dyDescent="0.25">
      <c r="A499">
        <v>9239</v>
      </c>
      <c r="B499" t="s">
        <v>9246</v>
      </c>
      <c r="C499" t="s">
        <v>5043</v>
      </c>
    </row>
    <row r="500" spans="1:3" x14ac:dyDescent="0.25">
      <c r="A500">
        <v>9274</v>
      </c>
      <c r="B500" t="s">
        <v>9246</v>
      </c>
      <c r="C500" t="s">
        <v>5043</v>
      </c>
    </row>
    <row r="501" spans="1:3" x14ac:dyDescent="0.25">
      <c r="A501">
        <v>9440</v>
      </c>
      <c r="B501" t="s">
        <v>9246</v>
      </c>
      <c r="C501" t="s">
        <v>5043</v>
      </c>
    </row>
    <row r="502" spans="1:3" x14ac:dyDescent="0.25">
      <c r="A502">
        <v>9470</v>
      </c>
      <c r="B502" t="s">
        <v>9246</v>
      </c>
      <c r="C502" t="s">
        <v>5043</v>
      </c>
    </row>
    <row r="503" spans="1:3" x14ac:dyDescent="0.25">
      <c r="A503">
        <v>9989</v>
      </c>
      <c r="B503" t="s">
        <v>9246</v>
      </c>
      <c r="C503" t="s">
        <v>5043</v>
      </c>
    </row>
    <row r="504" spans="1:3" x14ac:dyDescent="0.25">
      <c r="A504">
        <v>10290</v>
      </c>
      <c r="B504" t="s">
        <v>9249</v>
      </c>
      <c r="C504" t="s">
        <v>5043</v>
      </c>
    </row>
    <row r="505" spans="1:3" x14ac:dyDescent="0.25">
      <c r="A505">
        <v>10874</v>
      </c>
      <c r="B505" t="s">
        <v>9249</v>
      </c>
      <c r="C505" t="s">
        <v>5043</v>
      </c>
    </row>
    <row r="506" spans="1:3" x14ac:dyDescent="0.25">
      <c r="A506">
        <v>11336</v>
      </c>
      <c r="B506" t="s">
        <v>9249</v>
      </c>
      <c r="C506" t="s">
        <v>5043</v>
      </c>
    </row>
    <row r="507" spans="1:3" x14ac:dyDescent="0.25">
      <c r="A507">
        <v>11356</v>
      </c>
      <c r="B507" t="s">
        <v>9249</v>
      </c>
      <c r="C507" t="s">
        <v>5043</v>
      </c>
    </row>
    <row r="508" spans="1:3" x14ac:dyDescent="0.25">
      <c r="A508">
        <v>11713</v>
      </c>
      <c r="B508" t="s">
        <v>9249</v>
      </c>
      <c r="C508" t="s">
        <v>5043</v>
      </c>
    </row>
    <row r="509" spans="1:3" x14ac:dyDescent="0.25">
      <c r="A509">
        <v>11716</v>
      </c>
      <c r="B509" t="s">
        <v>9249</v>
      </c>
      <c r="C509" t="s">
        <v>5043</v>
      </c>
    </row>
    <row r="510" spans="1:3" x14ac:dyDescent="0.25">
      <c r="A510">
        <v>11784</v>
      </c>
      <c r="B510" t="s">
        <v>9249</v>
      </c>
      <c r="C510" t="s">
        <v>5043</v>
      </c>
    </row>
    <row r="511" spans="1:3" x14ac:dyDescent="0.25">
      <c r="A511">
        <v>12091</v>
      </c>
      <c r="B511" t="s">
        <v>9249</v>
      </c>
      <c r="C511" t="s">
        <v>5043</v>
      </c>
    </row>
    <row r="512" spans="1:3" x14ac:dyDescent="0.25">
      <c r="A512">
        <v>6719</v>
      </c>
      <c r="B512" t="s">
        <v>9249</v>
      </c>
      <c r="C512" t="s">
        <v>5043</v>
      </c>
    </row>
    <row r="513" spans="1:3" x14ac:dyDescent="0.25">
      <c r="A513">
        <v>6739</v>
      </c>
      <c r="B513" t="s">
        <v>9249</v>
      </c>
      <c r="C513" t="s">
        <v>5043</v>
      </c>
    </row>
    <row r="514" spans="1:3" x14ac:dyDescent="0.25">
      <c r="A514">
        <v>7302</v>
      </c>
      <c r="B514" t="s">
        <v>9249</v>
      </c>
      <c r="C514" t="s">
        <v>5043</v>
      </c>
    </row>
    <row r="515" spans="1:3" x14ac:dyDescent="0.25">
      <c r="A515">
        <v>7407</v>
      </c>
      <c r="B515" t="s">
        <v>9249</v>
      </c>
      <c r="C515" t="s">
        <v>5043</v>
      </c>
    </row>
    <row r="516" spans="1:3" x14ac:dyDescent="0.25">
      <c r="A516">
        <v>7995</v>
      </c>
      <c r="B516" t="s">
        <v>9249</v>
      </c>
      <c r="C516" t="s">
        <v>5043</v>
      </c>
    </row>
    <row r="517" spans="1:3" x14ac:dyDescent="0.25">
      <c r="A517">
        <v>8093</v>
      </c>
      <c r="B517" t="s">
        <v>9249</v>
      </c>
      <c r="C517" t="s">
        <v>5043</v>
      </c>
    </row>
    <row r="518" spans="1:3" x14ac:dyDescent="0.25">
      <c r="A518">
        <v>8257</v>
      </c>
      <c r="B518" t="s">
        <v>9249</v>
      </c>
      <c r="C518" t="s">
        <v>5043</v>
      </c>
    </row>
    <row r="519" spans="1:3" x14ac:dyDescent="0.25">
      <c r="A519">
        <v>8427</v>
      </c>
      <c r="B519" t="s">
        <v>9249</v>
      </c>
      <c r="C519" t="s">
        <v>5043</v>
      </c>
    </row>
    <row r="520" spans="1:3" x14ac:dyDescent="0.25">
      <c r="A520">
        <v>8485</v>
      </c>
      <c r="B520" t="s">
        <v>9249</v>
      </c>
      <c r="C520" t="s">
        <v>5043</v>
      </c>
    </row>
    <row r="521" spans="1:3" x14ac:dyDescent="0.25">
      <c r="A521">
        <v>8672</v>
      </c>
      <c r="B521" t="s">
        <v>9249</v>
      </c>
      <c r="C521" t="s">
        <v>5043</v>
      </c>
    </row>
    <row r="522" spans="1:3" x14ac:dyDescent="0.25">
      <c r="A522">
        <v>8677</v>
      </c>
      <c r="B522" t="s">
        <v>9249</v>
      </c>
      <c r="C522" t="s">
        <v>5043</v>
      </c>
    </row>
    <row r="523" spans="1:3" x14ac:dyDescent="0.25">
      <c r="A523">
        <v>9065</v>
      </c>
      <c r="B523" t="s">
        <v>9249</v>
      </c>
      <c r="C523" t="s">
        <v>5043</v>
      </c>
    </row>
    <row r="524" spans="1:3" x14ac:dyDescent="0.25">
      <c r="A524">
        <v>9135</v>
      </c>
      <c r="B524" t="s">
        <v>9249</v>
      </c>
      <c r="C524" t="s">
        <v>5043</v>
      </c>
    </row>
    <row r="525" spans="1:3" x14ac:dyDescent="0.25">
      <c r="A525">
        <v>9285</v>
      </c>
      <c r="B525" t="s">
        <v>9249</v>
      </c>
      <c r="C525" t="s">
        <v>5043</v>
      </c>
    </row>
    <row r="526" spans="1:3" x14ac:dyDescent="0.25">
      <c r="A526">
        <v>10158</v>
      </c>
      <c r="B526" t="s">
        <v>11035</v>
      </c>
      <c r="C526" t="s">
        <v>5043</v>
      </c>
    </row>
    <row r="527" spans="1:3" x14ac:dyDescent="0.25">
      <c r="A527">
        <v>11922</v>
      </c>
      <c r="B527" t="s">
        <v>11035</v>
      </c>
      <c r="C527" t="s">
        <v>5043</v>
      </c>
    </row>
    <row r="528" spans="1:3" x14ac:dyDescent="0.25">
      <c r="A528">
        <v>8422</v>
      </c>
      <c r="B528" t="s">
        <v>11035</v>
      </c>
      <c r="C528" t="s">
        <v>5043</v>
      </c>
    </row>
    <row r="529" spans="1:3" x14ac:dyDescent="0.25">
      <c r="A529">
        <v>7963</v>
      </c>
      <c r="B529" t="s">
        <v>9250</v>
      </c>
      <c r="C529" t="s">
        <v>5043</v>
      </c>
    </row>
    <row r="530" spans="1:3" x14ac:dyDescent="0.25">
      <c r="A530">
        <v>10331</v>
      </c>
      <c r="B530" t="s">
        <v>11038</v>
      </c>
      <c r="C530" t="s">
        <v>5043</v>
      </c>
    </row>
    <row r="531" spans="1:3" x14ac:dyDescent="0.25">
      <c r="A531">
        <v>11126</v>
      </c>
      <c r="B531" t="s">
        <v>11038</v>
      </c>
      <c r="C531" t="s">
        <v>5043</v>
      </c>
    </row>
    <row r="532" spans="1:3" x14ac:dyDescent="0.25">
      <c r="A532">
        <v>8190</v>
      </c>
      <c r="B532" t="s">
        <v>9256</v>
      </c>
      <c r="C532" t="s">
        <v>5043</v>
      </c>
    </row>
    <row r="533" spans="1:3" x14ac:dyDescent="0.25">
      <c r="A533">
        <v>8885</v>
      </c>
      <c r="B533" t="s">
        <v>9256</v>
      </c>
      <c r="C533" t="s">
        <v>5043</v>
      </c>
    </row>
    <row r="534" spans="1:3" x14ac:dyDescent="0.25">
      <c r="A534">
        <v>12042</v>
      </c>
      <c r="B534" t="s">
        <v>9257</v>
      </c>
      <c r="C534" t="s">
        <v>5043</v>
      </c>
    </row>
    <row r="535" spans="1:3" x14ac:dyDescent="0.25">
      <c r="A535">
        <v>8007</v>
      </c>
      <c r="B535" t="s">
        <v>9257</v>
      </c>
      <c r="C535" t="s">
        <v>5043</v>
      </c>
    </row>
    <row r="536" spans="1:3" x14ac:dyDescent="0.25">
      <c r="A536">
        <v>11590</v>
      </c>
      <c r="B536" t="s">
        <v>11073</v>
      </c>
      <c r="C536" t="s">
        <v>5043</v>
      </c>
    </row>
    <row r="537" spans="1:3" x14ac:dyDescent="0.25">
      <c r="A537">
        <v>11812</v>
      </c>
      <c r="B537" t="s">
        <v>11073</v>
      </c>
      <c r="C537" t="s">
        <v>5043</v>
      </c>
    </row>
    <row r="538" spans="1:3" x14ac:dyDescent="0.25">
      <c r="A538">
        <v>12047</v>
      </c>
      <c r="B538" t="s">
        <v>11073</v>
      </c>
      <c r="C538" t="s">
        <v>5043</v>
      </c>
    </row>
    <row r="539" spans="1:3" x14ac:dyDescent="0.25">
      <c r="A539">
        <v>10079</v>
      </c>
      <c r="B539" t="s">
        <v>9260</v>
      </c>
      <c r="C539" t="s">
        <v>5043</v>
      </c>
    </row>
    <row r="540" spans="1:3" x14ac:dyDescent="0.25">
      <c r="A540">
        <v>11898</v>
      </c>
      <c r="B540" t="s">
        <v>9260</v>
      </c>
      <c r="C540" t="s">
        <v>5043</v>
      </c>
    </row>
    <row r="541" spans="1:3" x14ac:dyDescent="0.25">
      <c r="A541">
        <v>6987</v>
      </c>
      <c r="B541" t="s">
        <v>9261</v>
      </c>
      <c r="C541" t="s">
        <v>5043</v>
      </c>
    </row>
    <row r="542" spans="1:3" x14ac:dyDescent="0.25">
      <c r="A542">
        <v>7993</v>
      </c>
      <c r="B542" t="s">
        <v>11075</v>
      </c>
      <c r="C542" t="s">
        <v>5043</v>
      </c>
    </row>
    <row r="543" spans="1:3" x14ac:dyDescent="0.25">
      <c r="A543">
        <v>8015</v>
      </c>
      <c r="B543" t="s">
        <v>11075</v>
      </c>
      <c r="C543" t="s">
        <v>5043</v>
      </c>
    </row>
    <row r="544" spans="1:3" x14ac:dyDescent="0.25">
      <c r="A544">
        <v>8132</v>
      </c>
      <c r="B544" t="s">
        <v>11075</v>
      </c>
      <c r="C544" t="s">
        <v>5043</v>
      </c>
    </row>
    <row r="545" spans="1:3" x14ac:dyDescent="0.25">
      <c r="A545">
        <v>9066</v>
      </c>
      <c r="B545" t="s">
        <v>11075</v>
      </c>
      <c r="C545" t="s">
        <v>5043</v>
      </c>
    </row>
    <row r="546" spans="1:3" x14ac:dyDescent="0.25">
      <c r="A546">
        <v>10062</v>
      </c>
      <c r="B546" t="s">
        <v>9262</v>
      </c>
      <c r="C546" t="s">
        <v>5043</v>
      </c>
    </row>
    <row r="547" spans="1:3" x14ac:dyDescent="0.25">
      <c r="A547">
        <v>10839</v>
      </c>
      <c r="B547" t="s">
        <v>9262</v>
      </c>
      <c r="C547" t="s">
        <v>5043</v>
      </c>
    </row>
    <row r="548" spans="1:3" x14ac:dyDescent="0.25">
      <c r="A548">
        <v>11165</v>
      </c>
      <c r="B548" t="s">
        <v>9262</v>
      </c>
      <c r="C548" t="s">
        <v>5043</v>
      </c>
    </row>
    <row r="549" spans="1:3" x14ac:dyDescent="0.25">
      <c r="A549">
        <v>11207</v>
      </c>
      <c r="B549" t="s">
        <v>9262</v>
      </c>
      <c r="C549" t="s">
        <v>5043</v>
      </c>
    </row>
    <row r="550" spans="1:3" x14ac:dyDescent="0.25">
      <c r="A550">
        <v>11443</v>
      </c>
      <c r="B550" t="s">
        <v>9262</v>
      </c>
      <c r="C550" t="s">
        <v>5043</v>
      </c>
    </row>
    <row r="551" spans="1:3" x14ac:dyDescent="0.25">
      <c r="A551">
        <v>11854</v>
      </c>
      <c r="B551" t="s">
        <v>9262</v>
      </c>
      <c r="C551" t="s">
        <v>5043</v>
      </c>
    </row>
    <row r="552" spans="1:3" x14ac:dyDescent="0.25">
      <c r="A552">
        <v>12299</v>
      </c>
      <c r="B552" t="s">
        <v>9262</v>
      </c>
      <c r="C552" t="s">
        <v>5043</v>
      </c>
    </row>
    <row r="553" spans="1:3" x14ac:dyDescent="0.25">
      <c r="A553">
        <v>12301</v>
      </c>
      <c r="B553" t="s">
        <v>9262</v>
      </c>
      <c r="C553" t="s">
        <v>5043</v>
      </c>
    </row>
    <row r="554" spans="1:3" x14ac:dyDescent="0.25">
      <c r="A554">
        <v>7225</v>
      </c>
      <c r="B554" t="s">
        <v>9262</v>
      </c>
      <c r="C554" t="s">
        <v>5043</v>
      </c>
    </row>
    <row r="555" spans="1:3" x14ac:dyDescent="0.25">
      <c r="A555">
        <v>7289</v>
      </c>
      <c r="B555" t="s">
        <v>9262</v>
      </c>
      <c r="C555" t="s">
        <v>5043</v>
      </c>
    </row>
    <row r="556" spans="1:3" x14ac:dyDescent="0.25">
      <c r="A556">
        <v>8543</v>
      </c>
      <c r="B556" t="s">
        <v>9262</v>
      </c>
      <c r="C556" t="s">
        <v>5043</v>
      </c>
    </row>
    <row r="557" spans="1:3" x14ac:dyDescent="0.25">
      <c r="A557">
        <v>8753</v>
      </c>
      <c r="B557" t="s">
        <v>9262</v>
      </c>
      <c r="C557" t="s">
        <v>5043</v>
      </c>
    </row>
    <row r="558" spans="1:3" x14ac:dyDescent="0.25">
      <c r="A558">
        <v>9287</v>
      </c>
      <c r="B558" t="s">
        <v>9262</v>
      </c>
      <c r="C558" t="s">
        <v>5043</v>
      </c>
    </row>
    <row r="559" spans="1:3" x14ac:dyDescent="0.25">
      <c r="A559">
        <v>9412</v>
      </c>
      <c r="B559" t="s">
        <v>9262</v>
      </c>
      <c r="C559" t="s">
        <v>5043</v>
      </c>
    </row>
    <row r="560" spans="1:3" x14ac:dyDescent="0.25">
      <c r="A560">
        <v>9845</v>
      </c>
      <c r="B560" t="s">
        <v>9262</v>
      </c>
      <c r="C560" t="s">
        <v>5043</v>
      </c>
    </row>
    <row r="561" spans="1:3" x14ac:dyDescent="0.25">
      <c r="A561">
        <v>9884</v>
      </c>
      <c r="B561" t="s">
        <v>9262</v>
      </c>
      <c r="C561" t="s">
        <v>5043</v>
      </c>
    </row>
    <row r="562" spans="1:3" x14ac:dyDescent="0.25">
      <c r="A562">
        <v>7777</v>
      </c>
      <c r="B562" t="s">
        <v>9263</v>
      </c>
      <c r="C562" t="s">
        <v>5043</v>
      </c>
    </row>
    <row r="563" spans="1:3" x14ac:dyDescent="0.25">
      <c r="A563">
        <v>11054</v>
      </c>
      <c r="B563" t="s">
        <v>9264</v>
      </c>
      <c r="C563" t="s">
        <v>5043</v>
      </c>
    </row>
    <row r="564" spans="1:3" x14ac:dyDescent="0.25">
      <c r="A564">
        <v>9437</v>
      </c>
      <c r="B564" t="s">
        <v>9264</v>
      </c>
      <c r="C564" t="s">
        <v>5043</v>
      </c>
    </row>
    <row r="565" spans="1:3" x14ac:dyDescent="0.25">
      <c r="A565">
        <v>9888</v>
      </c>
      <c r="B565" t="s">
        <v>9264</v>
      </c>
      <c r="C565" t="s">
        <v>5043</v>
      </c>
    </row>
    <row r="566" spans="1:3" x14ac:dyDescent="0.25">
      <c r="A566">
        <v>9958</v>
      </c>
      <c r="B566" t="s">
        <v>9264</v>
      </c>
      <c r="C566" t="s">
        <v>5043</v>
      </c>
    </row>
    <row r="567" spans="1:3" x14ac:dyDescent="0.25">
      <c r="A567">
        <v>9759</v>
      </c>
      <c r="B567" t="s">
        <v>9265</v>
      </c>
      <c r="C567" t="s">
        <v>5043</v>
      </c>
    </row>
    <row r="568" spans="1:3" x14ac:dyDescent="0.25">
      <c r="A568">
        <v>11027</v>
      </c>
      <c r="B568" t="s">
        <v>9266</v>
      </c>
      <c r="C568" t="s">
        <v>5043</v>
      </c>
    </row>
    <row r="569" spans="1:3" x14ac:dyDescent="0.25">
      <c r="A569">
        <v>11091</v>
      </c>
      <c r="B569" t="s">
        <v>9266</v>
      </c>
      <c r="C569" t="s">
        <v>5043</v>
      </c>
    </row>
    <row r="570" spans="1:3" x14ac:dyDescent="0.25">
      <c r="A570">
        <v>11398</v>
      </c>
      <c r="B570" t="s">
        <v>9266</v>
      </c>
      <c r="C570" t="s">
        <v>5043</v>
      </c>
    </row>
    <row r="571" spans="1:3" x14ac:dyDescent="0.25">
      <c r="A571">
        <v>7018</v>
      </c>
      <c r="B571" t="s">
        <v>9266</v>
      </c>
      <c r="C571" t="s">
        <v>5043</v>
      </c>
    </row>
    <row r="572" spans="1:3" x14ac:dyDescent="0.25">
      <c r="A572">
        <v>10528</v>
      </c>
      <c r="B572" t="s">
        <v>9267</v>
      </c>
      <c r="C572" t="s">
        <v>5043</v>
      </c>
    </row>
    <row r="573" spans="1:3" x14ac:dyDescent="0.25">
      <c r="A573">
        <v>11337</v>
      </c>
      <c r="B573" t="s">
        <v>9267</v>
      </c>
      <c r="C573" t="s">
        <v>5043</v>
      </c>
    </row>
    <row r="574" spans="1:3" x14ac:dyDescent="0.25">
      <c r="A574">
        <v>11526</v>
      </c>
      <c r="B574" t="s">
        <v>9267</v>
      </c>
      <c r="C574" t="s">
        <v>5043</v>
      </c>
    </row>
    <row r="575" spans="1:3" x14ac:dyDescent="0.25">
      <c r="A575">
        <v>8951</v>
      </c>
      <c r="B575" t="s">
        <v>9267</v>
      </c>
      <c r="C575" t="s">
        <v>5043</v>
      </c>
    </row>
    <row r="576" spans="1:3" x14ac:dyDescent="0.25">
      <c r="A576">
        <v>10225</v>
      </c>
      <c r="B576" t="s">
        <v>9268</v>
      </c>
      <c r="C576" t="s">
        <v>5043</v>
      </c>
    </row>
    <row r="577" spans="1:3" x14ac:dyDescent="0.25">
      <c r="A577">
        <v>10431</v>
      </c>
      <c r="B577" t="s">
        <v>9268</v>
      </c>
      <c r="C577" t="s">
        <v>5043</v>
      </c>
    </row>
    <row r="578" spans="1:3" x14ac:dyDescent="0.25">
      <c r="A578">
        <v>10653</v>
      </c>
      <c r="B578" t="s">
        <v>9268</v>
      </c>
      <c r="C578" t="s">
        <v>5043</v>
      </c>
    </row>
    <row r="579" spans="1:3" x14ac:dyDescent="0.25">
      <c r="A579">
        <v>10754</v>
      </c>
      <c r="B579" t="s">
        <v>9268</v>
      </c>
      <c r="C579" t="s">
        <v>5043</v>
      </c>
    </row>
    <row r="580" spans="1:3" x14ac:dyDescent="0.25">
      <c r="A580">
        <v>10786</v>
      </c>
      <c r="B580" t="s">
        <v>9268</v>
      </c>
      <c r="C580" t="s">
        <v>5043</v>
      </c>
    </row>
    <row r="581" spans="1:3" x14ac:dyDescent="0.25">
      <c r="A581">
        <v>10885</v>
      </c>
      <c r="B581" t="s">
        <v>9268</v>
      </c>
      <c r="C581" t="s">
        <v>5043</v>
      </c>
    </row>
    <row r="582" spans="1:3" x14ac:dyDescent="0.25">
      <c r="A582">
        <v>10902</v>
      </c>
      <c r="B582" t="s">
        <v>9268</v>
      </c>
      <c r="C582" t="s">
        <v>5043</v>
      </c>
    </row>
    <row r="583" spans="1:3" x14ac:dyDescent="0.25">
      <c r="A583">
        <v>10920</v>
      </c>
      <c r="B583" t="s">
        <v>9268</v>
      </c>
      <c r="C583" t="s">
        <v>5043</v>
      </c>
    </row>
    <row r="584" spans="1:3" x14ac:dyDescent="0.25">
      <c r="A584">
        <v>10963</v>
      </c>
      <c r="B584" t="s">
        <v>9268</v>
      </c>
      <c r="C584" t="s">
        <v>5043</v>
      </c>
    </row>
    <row r="585" spans="1:3" x14ac:dyDescent="0.25">
      <c r="A585">
        <v>10991</v>
      </c>
      <c r="B585" t="s">
        <v>9268</v>
      </c>
      <c r="C585" t="s">
        <v>5043</v>
      </c>
    </row>
    <row r="586" spans="1:3" x14ac:dyDescent="0.25">
      <c r="A586">
        <v>11175</v>
      </c>
      <c r="B586" t="s">
        <v>9268</v>
      </c>
      <c r="C586" t="s">
        <v>5043</v>
      </c>
    </row>
    <row r="587" spans="1:3" x14ac:dyDescent="0.25">
      <c r="A587">
        <v>11196</v>
      </c>
      <c r="B587" t="s">
        <v>9268</v>
      </c>
      <c r="C587" t="s">
        <v>5043</v>
      </c>
    </row>
    <row r="588" spans="1:3" x14ac:dyDescent="0.25">
      <c r="A588">
        <v>11250</v>
      </c>
      <c r="B588" t="s">
        <v>9268</v>
      </c>
      <c r="C588" t="s">
        <v>5043</v>
      </c>
    </row>
    <row r="589" spans="1:3" x14ac:dyDescent="0.25">
      <c r="A589">
        <v>11251</v>
      </c>
      <c r="B589" t="s">
        <v>9268</v>
      </c>
      <c r="C589" t="s">
        <v>5043</v>
      </c>
    </row>
    <row r="590" spans="1:3" x14ac:dyDescent="0.25">
      <c r="A590">
        <v>11270</v>
      </c>
      <c r="B590" t="s">
        <v>9268</v>
      </c>
      <c r="C590" t="s">
        <v>5043</v>
      </c>
    </row>
    <row r="591" spans="1:3" x14ac:dyDescent="0.25">
      <c r="A591">
        <v>11309</v>
      </c>
      <c r="B591" t="s">
        <v>9268</v>
      </c>
      <c r="C591" t="s">
        <v>5043</v>
      </c>
    </row>
    <row r="592" spans="1:3" x14ac:dyDescent="0.25">
      <c r="A592">
        <v>11383</v>
      </c>
      <c r="B592" t="s">
        <v>9268</v>
      </c>
      <c r="C592" t="s">
        <v>5043</v>
      </c>
    </row>
    <row r="593" spans="1:3" x14ac:dyDescent="0.25">
      <c r="A593">
        <v>11513</v>
      </c>
      <c r="B593" t="s">
        <v>9268</v>
      </c>
      <c r="C593" t="s">
        <v>5043</v>
      </c>
    </row>
    <row r="594" spans="1:3" x14ac:dyDescent="0.25">
      <c r="A594">
        <v>11521</v>
      </c>
      <c r="B594" t="s">
        <v>9268</v>
      </c>
      <c r="C594" t="s">
        <v>5043</v>
      </c>
    </row>
    <row r="595" spans="1:3" x14ac:dyDescent="0.25">
      <c r="A595">
        <v>11646</v>
      </c>
      <c r="B595" t="s">
        <v>9268</v>
      </c>
      <c r="C595" t="s">
        <v>5043</v>
      </c>
    </row>
    <row r="596" spans="1:3" x14ac:dyDescent="0.25">
      <c r="A596">
        <v>11797</v>
      </c>
      <c r="B596" t="s">
        <v>9268</v>
      </c>
      <c r="C596" t="s">
        <v>5043</v>
      </c>
    </row>
    <row r="597" spans="1:3" x14ac:dyDescent="0.25">
      <c r="A597">
        <v>11891</v>
      </c>
      <c r="B597" t="s">
        <v>9268</v>
      </c>
      <c r="C597" t="s">
        <v>5043</v>
      </c>
    </row>
    <row r="598" spans="1:3" x14ac:dyDescent="0.25">
      <c r="A598">
        <v>11916</v>
      </c>
      <c r="B598" t="s">
        <v>9268</v>
      </c>
      <c r="C598" t="s">
        <v>5043</v>
      </c>
    </row>
    <row r="599" spans="1:3" x14ac:dyDescent="0.25">
      <c r="A599">
        <v>11936</v>
      </c>
      <c r="B599" t="s">
        <v>9268</v>
      </c>
      <c r="C599" t="s">
        <v>5043</v>
      </c>
    </row>
    <row r="600" spans="1:3" x14ac:dyDescent="0.25">
      <c r="A600">
        <v>11952</v>
      </c>
      <c r="B600" t="s">
        <v>9268</v>
      </c>
      <c r="C600" t="s">
        <v>5043</v>
      </c>
    </row>
    <row r="601" spans="1:3" x14ac:dyDescent="0.25">
      <c r="A601">
        <v>6663</v>
      </c>
      <c r="B601" t="s">
        <v>9268</v>
      </c>
      <c r="C601" t="s">
        <v>5043</v>
      </c>
    </row>
    <row r="602" spans="1:3" x14ac:dyDescent="0.25">
      <c r="A602">
        <v>6796</v>
      </c>
      <c r="B602" t="s">
        <v>9268</v>
      </c>
      <c r="C602" t="s">
        <v>5043</v>
      </c>
    </row>
    <row r="603" spans="1:3" x14ac:dyDescent="0.25">
      <c r="A603">
        <v>6851</v>
      </c>
      <c r="B603" t="s">
        <v>9268</v>
      </c>
      <c r="C603" t="s">
        <v>5043</v>
      </c>
    </row>
    <row r="604" spans="1:3" x14ac:dyDescent="0.25">
      <c r="A604">
        <v>6926</v>
      </c>
      <c r="B604" t="s">
        <v>9268</v>
      </c>
      <c r="C604" t="s">
        <v>5043</v>
      </c>
    </row>
    <row r="605" spans="1:3" x14ac:dyDescent="0.25">
      <c r="A605">
        <v>6944</v>
      </c>
      <c r="B605" t="s">
        <v>9268</v>
      </c>
      <c r="C605" t="s">
        <v>5043</v>
      </c>
    </row>
    <row r="606" spans="1:3" x14ac:dyDescent="0.25">
      <c r="A606">
        <v>6947</v>
      </c>
      <c r="B606" t="s">
        <v>9268</v>
      </c>
      <c r="C606" t="s">
        <v>5043</v>
      </c>
    </row>
    <row r="607" spans="1:3" x14ac:dyDescent="0.25">
      <c r="A607">
        <v>6967</v>
      </c>
      <c r="B607" t="s">
        <v>9268</v>
      </c>
      <c r="C607" t="s">
        <v>5043</v>
      </c>
    </row>
    <row r="608" spans="1:3" x14ac:dyDescent="0.25">
      <c r="A608">
        <v>7059</v>
      </c>
      <c r="B608" t="s">
        <v>9268</v>
      </c>
      <c r="C608" t="s">
        <v>5043</v>
      </c>
    </row>
    <row r="609" spans="1:3" x14ac:dyDescent="0.25">
      <c r="A609">
        <v>7073</v>
      </c>
      <c r="B609" t="s">
        <v>9268</v>
      </c>
      <c r="C609" t="s">
        <v>5043</v>
      </c>
    </row>
    <row r="610" spans="1:3" x14ac:dyDescent="0.25">
      <c r="A610">
        <v>7095</v>
      </c>
      <c r="B610" t="s">
        <v>9268</v>
      </c>
      <c r="C610" t="s">
        <v>5043</v>
      </c>
    </row>
    <row r="611" spans="1:3" x14ac:dyDescent="0.25">
      <c r="A611">
        <v>7168</v>
      </c>
      <c r="B611" t="s">
        <v>9268</v>
      </c>
      <c r="C611" t="s">
        <v>5043</v>
      </c>
    </row>
    <row r="612" spans="1:3" x14ac:dyDescent="0.25">
      <c r="A612">
        <v>7175</v>
      </c>
      <c r="B612" t="s">
        <v>9268</v>
      </c>
      <c r="C612" t="s">
        <v>5043</v>
      </c>
    </row>
    <row r="613" spans="1:3" x14ac:dyDescent="0.25">
      <c r="A613">
        <v>7235</v>
      </c>
      <c r="B613" t="s">
        <v>9268</v>
      </c>
      <c r="C613" t="s">
        <v>5043</v>
      </c>
    </row>
    <row r="614" spans="1:3" x14ac:dyDescent="0.25">
      <c r="A614">
        <v>7387</v>
      </c>
      <c r="B614" t="s">
        <v>9268</v>
      </c>
      <c r="C614" t="s">
        <v>5043</v>
      </c>
    </row>
    <row r="615" spans="1:3" x14ac:dyDescent="0.25">
      <c r="A615">
        <v>7413</v>
      </c>
      <c r="B615" t="s">
        <v>9268</v>
      </c>
      <c r="C615" t="s">
        <v>5043</v>
      </c>
    </row>
    <row r="616" spans="1:3" x14ac:dyDescent="0.25">
      <c r="A616">
        <v>7476</v>
      </c>
      <c r="B616" t="s">
        <v>9268</v>
      </c>
      <c r="C616" t="s">
        <v>5043</v>
      </c>
    </row>
    <row r="617" spans="1:3" x14ac:dyDescent="0.25">
      <c r="A617">
        <v>7527</v>
      </c>
      <c r="B617" t="s">
        <v>9268</v>
      </c>
      <c r="C617" t="s">
        <v>5043</v>
      </c>
    </row>
    <row r="618" spans="1:3" x14ac:dyDescent="0.25">
      <c r="A618">
        <v>7537</v>
      </c>
      <c r="B618" t="s">
        <v>9268</v>
      </c>
      <c r="C618" t="s">
        <v>5043</v>
      </c>
    </row>
    <row r="619" spans="1:3" x14ac:dyDescent="0.25">
      <c r="A619">
        <v>7813</v>
      </c>
      <c r="B619" t="s">
        <v>9268</v>
      </c>
      <c r="C619" t="s">
        <v>5043</v>
      </c>
    </row>
    <row r="620" spans="1:3" x14ac:dyDescent="0.25">
      <c r="A620">
        <v>7844</v>
      </c>
      <c r="B620" t="s">
        <v>9268</v>
      </c>
      <c r="C620" t="s">
        <v>5043</v>
      </c>
    </row>
    <row r="621" spans="1:3" x14ac:dyDescent="0.25">
      <c r="A621">
        <v>7971</v>
      </c>
      <c r="B621" t="s">
        <v>9268</v>
      </c>
      <c r="C621" t="s">
        <v>5043</v>
      </c>
    </row>
    <row r="622" spans="1:3" x14ac:dyDescent="0.25">
      <c r="A622">
        <v>7973</v>
      </c>
      <c r="B622" t="s">
        <v>9268</v>
      </c>
      <c r="C622" t="s">
        <v>5043</v>
      </c>
    </row>
    <row r="623" spans="1:3" x14ac:dyDescent="0.25">
      <c r="A623">
        <v>8035</v>
      </c>
      <c r="B623" t="s">
        <v>9268</v>
      </c>
      <c r="C623" t="s">
        <v>5043</v>
      </c>
    </row>
    <row r="624" spans="1:3" x14ac:dyDescent="0.25">
      <c r="A624">
        <v>8062</v>
      </c>
      <c r="B624" t="s">
        <v>9268</v>
      </c>
      <c r="C624" t="s">
        <v>5043</v>
      </c>
    </row>
    <row r="625" spans="1:3" x14ac:dyDescent="0.25">
      <c r="A625">
        <v>8072</v>
      </c>
      <c r="B625" t="s">
        <v>9268</v>
      </c>
      <c r="C625" t="s">
        <v>5043</v>
      </c>
    </row>
    <row r="626" spans="1:3" x14ac:dyDescent="0.25">
      <c r="A626">
        <v>8194</v>
      </c>
      <c r="B626" t="s">
        <v>9268</v>
      </c>
      <c r="C626" t="s">
        <v>5043</v>
      </c>
    </row>
    <row r="627" spans="1:3" x14ac:dyDescent="0.25">
      <c r="A627">
        <v>8243</v>
      </c>
      <c r="B627" t="s">
        <v>9268</v>
      </c>
      <c r="C627" t="s">
        <v>5043</v>
      </c>
    </row>
    <row r="628" spans="1:3" x14ac:dyDescent="0.25">
      <c r="A628">
        <v>8253</v>
      </c>
      <c r="B628" t="s">
        <v>9268</v>
      </c>
      <c r="C628" t="s">
        <v>5043</v>
      </c>
    </row>
    <row r="629" spans="1:3" x14ac:dyDescent="0.25">
      <c r="A629">
        <v>8259</v>
      </c>
      <c r="B629" t="s">
        <v>9268</v>
      </c>
      <c r="C629" t="s">
        <v>5043</v>
      </c>
    </row>
    <row r="630" spans="1:3" x14ac:dyDescent="0.25">
      <c r="A630">
        <v>8265</v>
      </c>
      <c r="B630" t="s">
        <v>9268</v>
      </c>
      <c r="C630" t="s">
        <v>5043</v>
      </c>
    </row>
    <row r="631" spans="1:3" x14ac:dyDescent="0.25">
      <c r="A631">
        <v>8269</v>
      </c>
      <c r="B631" t="s">
        <v>9268</v>
      </c>
      <c r="C631" t="s">
        <v>5043</v>
      </c>
    </row>
    <row r="632" spans="1:3" x14ac:dyDescent="0.25">
      <c r="A632">
        <v>8271</v>
      </c>
      <c r="B632" t="s">
        <v>9268</v>
      </c>
      <c r="C632" t="s">
        <v>5043</v>
      </c>
    </row>
    <row r="633" spans="1:3" x14ac:dyDescent="0.25">
      <c r="A633">
        <v>8291</v>
      </c>
      <c r="B633" t="s">
        <v>9268</v>
      </c>
      <c r="C633" t="s">
        <v>5043</v>
      </c>
    </row>
    <row r="634" spans="1:3" x14ac:dyDescent="0.25">
      <c r="A634">
        <v>8313</v>
      </c>
      <c r="B634" t="s">
        <v>9268</v>
      </c>
      <c r="C634" t="s">
        <v>5043</v>
      </c>
    </row>
    <row r="635" spans="1:3" x14ac:dyDescent="0.25">
      <c r="A635">
        <v>8386</v>
      </c>
      <c r="B635" t="s">
        <v>9268</v>
      </c>
      <c r="C635" t="s">
        <v>5043</v>
      </c>
    </row>
    <row r="636" spans="1:3" x14ac:dyDescent="0.25">
      <c r="A636">
        <v>8398</v>
      </c>
      <c r="B636" t="s">
        <v>9268</v>
      </c>
      <c r="C636" t="s">
        <v>5043</v>
      </c>
    </row>
    <row r="637" spans="1:3" x14ac:dyDescent="0.25">
      <c r="A637">
        <v>8428</v>
      </c>
      <c r="B637" t="s">
        <v>9268</v>
      </c>
      <c r="C637" t="s">
        <v>5043</v>
      </c>
    </row>
    <row r="638" spans="1:3" x14ac:dyDescent="0.25">
      <c r="A638">
        <v>8433</v>
      </c>
      <c r="B638" t="s">
        <v>9268</v>
      </c>
      <c r="C638" t="s">
        <v>5043</v>
      </c>
    </row>
    <row r="639" spans="1:3" x14ac:dyDescent="0.25">
      <c r="A639">
        <v>8465</v>
      </c>
      <c r="B639" t="s">
        <v>9268</v>
      </c>
      <c r="C639" t="s">
        <v>5043</v>
      </c>
    </row>
    <row r="640" spans="1:3" x14ac:dyDescent="0.25">
      <c r="A640">
        <v>8484</v>
      </c>
      <c r="B640" t="s">
        <v>9268</v>
      </c>
      <c r="C640" t="s">
        <v>5043</v>
      </c>
    </row>
    <row r="641" spans="1:3" x14ac:dyDescent="0.25">
      <c r="A641">
        <v>8487</v>
      </c>
      <c r="B641" t="s">
        <v>9268</v>
      </c>
      <c r="C641" t="s">
        <v>5043</v>
      </c>
    </row>
    <row r="642" spans="1:3" x14ac:dyDescent="0.25">
      <c r="A642">
        <v>8524</v>
      </c>
      <c r="B642" t="s">
        <v>9268</v>
      </c>
      <c r="C642" t="s">
        <v>5043</v>
      </c>
    </row>
    <row r="643" spans="1:3" x14ac:dyDescent="0.25">
      <c r="A643">
        <v>8558</v>
      </c>
      <c r="B643" t="s">
        <v>9268</v>
      </c>
      <c r="C643" t="s">
        <v>5043</v>
      </c>
    </row>
    <row r="644" spans="1:3" x14ac:dyDescent="0.25">
      <c r="A644">
        <v>8562</v>
      </c>
      <c r="B644" t="s">
        <v>9268</v>
      </c>
      <c r="C644" t="s">
        <v>5043</v>
      </c>
    </row>
    <row r="645" spans="1:3" x14ac:dyDescent="0.25">
      <c r="A645">
        <v>8674</v>
      </c>
      <c r="B645" t="s">
        <v>9268</v>
      </c>
      <c r="C645" t="s">
        <v>5043</v>
      </c>
    </row>
    <row r="646" spans="1:3" x14ac:dyDescent="0.25">
      <c r="A646">
        <v>8710</v>
      </c>
      <c r="B646" t="s">
        <v>9268</v>
      </c>
      <c r="C646" t="s">
        <v>5043</v>
      </c>
    </row>
    <row r="647" spans="1:3" x14ac:dyDescent="0.25">
      <c r="A647">
        <v>8726</v>
      </c>
      <c r="B647" t="s">
        <v>9268</v>
      </c>
      <c r="C647" t="s">
        <v>5043</v>
      </c>
    </row>
    <row r="648" spans="1:3" x14ac:dyDescent="0.25">
      <c r="A648">
        <v>8788</v>
      </c>
      <c r="B648" t="s">
        <v>9268</v>
      </c>
      <c r="C648" t="s">
        <v>5043</v>
      </c>
    </row>
    <row r="649" spans="1:3" x14ac:dyDescent="0.25">
      <c r="A649">
        <v>8902</v>
      </c>
      <c r="B649" t="s">
        <v>9268</v>
      </c>
      <c r="C649" t="s">
        <v>5043</v>
      </c>
    </row>
    <row r="650" spans="1:3" x14ac:dyDescent="0.25">
      <c r="A650">
        <v>8967</v>
      </c>
      <c r="B650" t="s">
        <v>9268</v>
      </c>
      <c r="C650" t="s">
        <v>5043</v>
      </c>
    </row>
    <row r="651" spans="1:3" x14ac:dyDescent="0.25">
      <c r="A651">
        <v>9299</v>
      </c>
      <c r="B651" t="s">
        <v>9268</v>
      </c>
      <c r="C651" t="s">
        <v>5043</v>
      </c>
    </row>
    <row r="652" spans="1:3" x14ac:dyDescent="0.25">
      <c r="A652">
        <v>9322</v>
      </c>
      <c r="B652" t="s">
        <v>9268</v>
      </c>
      <c r="C652" t="s">
        <v>5043</v>
      </c>
    </row>
    <row r="653" spans="1:3" x14ac:dyDescent="0.25">
      <c r="A653">
        <v>9531</v>
      </c>
      <c r="B653" t="s">
        <v>9268</v>
      </c>
      <c r="C653" t="s">
        <v>5043</v>
      </c>
    </row>
    <row r="654" spans="1:3" x14ac:dyDescent="0.25">
      <c r="A654">
        <v>9554</v>
      </c>
      <c r="B654" t="s">
        <v>9268</v>
      </c>
      <c r="C654" t="s">
        <v>5043</v>
      </c>
    </row>
    <row r="655" spans="1:3" x14ac:dyDescent="0.25">
      <c r="A655">
        <v>9564</v>
      </c>
      <c r="B655" t="s">
        <v>9268</v>
      </c>
      <c r="C655" t="s">
        <v>5043</v>
      </c>
    </row>
    <row r="656" spans="1:3" x14ac:dyDescent="0.25">
      <c r="A656">
        <v>9809</v>
      </c>
      <c r="B656" t="s">
        <v>9268</v>
      </c>
      <c r="C656" t="s">
        <v>5043</v>
      </c>
    </row>
    <row r="657" spans="1:3" x14ac:dyDescent="0.25">
      <c r="A657">
        <v>9948</v>
      </c>
      <c r="B657" t="s">
        <v>9268</v>
      </c>
      <c r="C657" t="s">
        <v>5043</v>
      </c>
    </row>
    <row r="658" spans="1:3" x14ac:dyDescent="0.25">
      <c r="A658">
        <v>10114</v>
      </c>
      <c r="B658" t="s">
        <v>9269</v>
      </c>
      <c r="C658" t="s">
        <v>5043</v>
      </c>
    </row>
    <row r="659" spans="1:3" x14ac:dyDescent="0.25">
      <c r="A659">
        <v>10848</v>
      </c>
      <c r="B659" t="s">
        <v>9269</v>
      </c>
      <c r="C659" t="s">
        <v>5043</v>
      </c>
    </row>
    <row r="660" spans="1:3" x14ac:dyDescent="0.25">
      <c r="A660">
        <v>11252</v>
      </c>
      <c r="B660" t="s">
        <v>9269</v>
      </c>
      <c r="C660" t="s">
        <v>5043</v>
      </c>
    </row>
    <row r="661" spans="1:3" x14ac:dyDescent="0.25">
      <c r="A661">
        <v>8216</v>
      </c>
      <c r="B661" t="s">
        <v>9269</v>
      </c>
      <c r="C661" t="s">
        <v>5043</v>
      </c>
    </row>
    <row r="662" spans="1:3" x14ac:dyDescent="0.25">
      <c r="A662">
        <v>9316</v>
      </c>
      <c r="B662" t="s">
        <v>9269</v>
      </c>
      <c r="C662" t="s">
        <v>5043</v>
      </c>
    </row>
    <row r="663" spans="1:3" x14ac:dyDescent="0.25">
      <c r="A663">
        <v>10346</v>
      </c>
      <c r="B663" t="s">
        <v>9270</v>
      </c>
      <c r="C663" t="s">
        <v>5043</v>
      </c>
    </row>
    <row r="664" spans="1:3" x14ac:dyDescent="0.25">
      <c r="A664">
        <v>10009</v>
      </c>
      <c r="B664" t="s">
        <v>9271</v>
      </c>
      <c r="C664" t="s">
        <v>5043</v>
      </c>
    </row>
    <row r="665" spans="1:3" x14ac:dyDescent="0.25">
      <c r="A665">
        <v>10125</v>
      </c>
      <c r="B665" t="s">
        <v>9271</v>
      </c>
      <c r="C665" t="s">
        <v>5043</v>
      </c>
    </row>
    <row r="666" spans="1:3" x14ac:dyDescent="0.25">
      <c r="A666">
        <v>10301</v>
      </c>
      <c r="B666" t="s">
        <v>9271</v>
      </c>
      <c r="C666" t="s">
        <v>5043</v>
      </c>
    </row>
    <row r="667" spans="1:3" x14ac:dyDescent="0.25">
      <c r="A667">
        <v>10788</v>
      </c>
      <c r="B667" t="s">
        <v>9271</v>
      </c>
      <c r="C667" t="s">
        <v>5043</v>
      </c>
    </row>
    <row r="668" spans="1:3" x14ac:dyDescent="0.25">
      <c r="A668">
        <v>11132</v>
      </c>
      <c r="B668" t="s">
        <v>9271</v>
      </c>
      <c r="C668" t="s">
        <v>5043</v>
      </c>
    </row>
    <row r="669" spans="1:3" x14ac:dyDescent="0.25">
      <c r="A669">
        <v>11156</v>
      </c>
      <c r="B669" t="s">
        <v>9271</v>
      </c>
      <c r="C669" t="s">
        <v>5043</v>
      </c>
    </row>
    <row r="670" spans="1:3" x14ac:dyDescent="0.25">
      <c r="A670">
        <v>11390</v>
      </c>
      <c r="B670" t="s">
        <v>9271</v>
      </c>
      <c r="C670" t="s">
        <v>5043</v>
      </c>
    </row>
    <row r="671" spans="1:3" x14ac:dyDescent="0.25">
      <c r="A671">
        <v>11524</v>
      </c>
      <c r="B671" t="s">
        <v>9271</v>
      </c>
      <c r="C671" t="s">
        <v>5043</v>
      </c>
    </row>
    <row r="672" spans="1:3" x14ac:dyDescent="0.25">
      <c r="A672">
        <v>6728</v>
      </c>
      <c r="B672" t="s">
        <v>9271</v>
      </c>
      <c r="C672" t="s">
        <v>5043</v>
      </c>
    </row>
    <row r="673" spans="1:3" x14ac:dyDescent="0.25">
      <c r="A673">
        <v>7090</v>
      </c>
      <c r="B673" t="s">
        <v>9271</v>
      </c>
      <c r="C673" t="s">
        <v>5043</v>
      </c>
    </row>
    <row r="674" spans="1:3" x14ac:dyDescent="0.25">
      <c r="A674">
        <v>7138</v>
      </c>
      <c r="B674" t="s">
        <v>9271</v>
      </c>
      <c r="C674" t="s">
        <v>5043</v>
      </c>
    </row>
    <row r="675" spans="1:3" x14ac:dyDescent="0.25">
      <c r="A675">
        <v>7305</v>
      </c>
      <c r="B675" t="s">
        <v>9271</v>
      </c>
      <c r="C675" t="s">
        <v>5043</v>
      </c>
    </row>
    <row r="676" spans="1:3" x14ac:dyDescent="0.25">
      <c r="A676">
        <v>7654</v>
      </c>
      <c r="B676" t="s">
        <v>9271</v>
      </c>
      <c r="C676" t="s">
        <v>5043</v>
      </c>
    </row>
    <row r="677" spans="1:3" x14ac:dyDescent="0.25">
      <c r="A677">
        <v>7756</v>
      </c>
      <c r="B677" t="s">
        <v>9271</v>
      </c>
      <c r="C677" t="s">
        <v>5043</v>
      </c>
    </row>
    <row r="678" spans="1:3" x14ac:dyDescent="0.25">
      <c r="A678">
        <v>7870</v>
      </c>
      <c r="B678" t="s">
        <v>9271</v>
      </c>
      <c r="C678" t="s">
        <v>5043</v>
      </c>
    </row>
    <row r="679" spans="1:3" x14ac:dyDescent="0.25">
      <c r="A679">
        <v>8102</v>
      </c>
      <c r="B679" t="s">
        <v>9271</v>
      </c>
      <c r="C679" t="s">
        <v>5043</v>
      </c>
    </row>
    <row r="680" spans="1:3" x14ac:dyDescent="0.25">
      <c r="A680">
        <v>8984</v>
      </c>
      <c r="B680" t="s">
        <v>9271</v>
      </c>
      <c r="C680" t="s">
        <v>5043</v>
      </c>
    </row>
    <row r="681" spans="1:3" x14ac:dyDescent="0.25">
      <c r="A681">
        <v>9026</v>
      </c>
      <c r="B681" t="s">
        <v>9271</v>
      </c>
      <c r="C681" t="s">
        <v>5043</v>
      </c>
    </row>
    <row r="682" spans="1:3" x14ac:dyDescent="0.25">
      <c r="A682">
        <v>9180</v>
      </c>
      <c r="B682" t="s">
        <v>9271</v>
      </c>
      <c r="C682" t="s">
        <v>5043</v>
      </c>
    </row>
    <row r="683" spans="1:3" x14ac:dyDescent="0.25">
      <c r="A683">
        <v>9326</v>
      </c>
      <c r="B683" t="s">
        <v>9271</v>
      </c>
      <c r="C683" t="s">
        <v>5043</v>
      </c>
    </row>
    <row r="684" spans="1:3" x14ac:dyDescent="0.25">
      <c r="A684">
        <v>9371</v>
      </c>
      <c r="B684" t="s">
        <v>9271</v>
      </c>
      <c r="C684" t="s">
        <v>5043</v>
      </c>
    </row>
    <row r="685" spans="1:3" x14ac:dyDescent="0.25">
      <c r="A685">
        <v>9495</v>
      </c>
      <c r="B685" t="s">
        <v>9271</v>
      </c>
      <c r="C685" t="s">
        <v>5043</v>
      </c>
    </row>
    <row r="686" spans="1:3" x14ac:dyDescent="0.25">
      <c r="A686">
        <v>9555</v>
      </c>
      <c r="B686" t="s">
        <v>9271</v>
      </c>
      <c r="C686" t="s">
        <v>5043</v>
      </c>
    </row>
    <row r="687" spans="1:3" x14ac:dyDescent="0.25">
      <c r="A687">
        <v>9962</v>
      </c>
      <c r="B687" t="s">
        <v>9271</v>
      </c>
      <c r="C687" t="s">
        <v>5043</v>
      </c>
    </row>
    <row r="688" spans="1:3" x14ac:dyDescent="0.25">
      <c r="A688">
        <v>8251</v>
      </c>
      <c r="B688" t="s">
        <v>11076</v>
      </c>
      <c r="C688" t="s">
        <v>5043</v>
      </c>
    </row>
    <row r="689" spans="1:3" x14ac:dyDescent="0.25">
      <c r="A689">
        <v>8098</v>
      </c>
      <c r="B689" t="s">
        <v>9273</v>
      </c>
      <c r="C689" t="s">
        <v>5043</v>
      </c>
    </row>
    <row r="690" spans="1:3" x14ac:dyDescent="0.25">
      <c r="A690">
        <v>11100</v>
      </c>
      <c r="B690" t="s">
        <v>9274</v>
      </c>
      <c r="C690" t="s">
        <v>5043</v>
      </c>
    </row>
    <row r="691" spans="1:3" x14ac:dyDescent="0.25">
      <c r="A691">
        <v>11850</v>
      </c>
      <c r="B691" t="s">
        <v>9274</v>
      </c>
      <c r="C691" t="s">
        <v>5043</v>
      </c>
    </row>
    <row r="692" spans="1:3" x14ac:dyDescent="0.25">
      <c r="A692">
        <v>11886</v>
      </c>
      <c r="B692" t="s">
        <v>9274</v>
      </c>
      <c r="C692" t="s">
        <v>5043</v>
      </c>
    </row>
    <row r="693" spans="1:3" x14ac:dyDescent="0.25">
      <c r="A693">
        <v>11899</v>
      </c>
      <c r="B693" t="s">
        <v>9274</v>
      </c>
      <c r="C693" t="s">
        <v>5043</v>
      </c>
    </row>
    <row r="694" spans="1:3" x14ac:dyDescent="0.25">
      <c r="A694">
        <v>9760</v>
      </c>
      <c r="B694" t="s">
        <v>9274</v>
      </c>
      <c r="C694" t="s">
        <v>5043</v>
      </c>
    </row>
    <row r="695" spans="1:3" x14ac:dyDescent="0.25">
      <c r="A695">
        <v>8359</v>
      </c>
      <c r="B695" t="s">
        <v>11078</v>
      </c>
      <c r="C695" t="s">
        <v>5043</v>
      </c>
    </row>
    <row r="696" spans="1:3" x14ac:dyDescent="0.25">
      <c r="A696">
        <v>11380</v>
      </c>
      <c r="B696" t="s">
        <v>11082</v>
      </c>
      <c r="C696" t="s">
        <v>5043</v>
      </c>
    </row>
    <row r="697" spans="1:3" x14ac:dyDescent="0.25">
      <c r="A697">
        <v>6772</v>
      </c>
      <c r="B697" t="s">
        <v>9275</v>
      </c>
      <c r="C697" t="s">
        <v>5043</v>
      </c>
    </row>
    <row r="698" spans="1:3" x14ac:dyDescent="0.25">
      <c r="A698">
        <v>7103</v>
      </c>
      <c r="B698" t="s">
        <v>9275</v>
      </c>
      <c r="C698" t="s">
        <v>5043</v>
      </c>
    </row>
    <row r="699" spans="1:3" x14ac:dyDescent="0.25">
      <c r="A699">
        <v>7506</v>
      </c>
      <c r="B699" t="s">
        <v>9275</v>
      </c>
      <c r="C699" t="s">
        <v>5043</v>
      </c>
    </row>
    <row r="700" spans="1:3" x14ac:dyDescent="0.25">
      <c r="A700">
        <v>7919</v>
      </c>
      <c r="B700" t="s">
        <v>9275</v>
      </c>
      <c r="C700" t="s">
        <v>5043</v>
      </c>
    </row>
    <row r="701" spans="1:3" x14ac:dyDescent="0.25">
      <c r="A701">
        <v>7368</v>
      </c>
      <c r="B701" t="s">
        <v>9276</v>
      </c>
      <c r="C701" t="s">
        <v>5043</v>
      </c>
    </row>
    <row r="702" spans="1:3" x14ac:dyDescent="0.25">
      <c r="A702">
        <v>7251</v>
      </c>
      <c r="B702" t="s">
        <v>9279</v>
      </c>
      <c r="C702" t="s">
        <v>5043</v>
      </c>
    </row>
    <row r="703" spans="1:3" x14ac:dyDescent="0.25">
      <c r="A703">
        <v>8369</v>
      </c>
      <c r="B703" t="s">
        <v>9279</v>
      </c>
      <c r="C703" t="s">
        <v>5043</v>
      </c>
    </row>
    <row r="704" spans="1:3" x14ac:dyDescent="0.25">
      <c r="A704">
        <v>11179</v>
      </c>
      <c r="B704" t="s">
        <v>11087</v>
      </c>
      <c r="C704" t="s">
        <v>5043</v>
      </c>
    </row>
    <row r="705" spans="1:3" x14ac:dyDescent="0.25">
      <c r="A705">
        <v>7374</v>
      </c>
      <c r="B705" t="s">
        <v>11087</v>
      </c>
      <c r="C705" t="s">
        <v>5043</v>
      </c>
    </row>
    <row r="706" spans="1:3" x14ac:dyDescent="0.25">
      <c r="A706">
        <v>10230</v>
      </c>
      <c r="B706" t="s">
        <v>9280</v>
      </c>
      <c r="C706" t="s">
        <v>5043</v>
      </c>
    </row>
    <row r="707" spans="1:3" x14ac:dyDescent="0.25">
      <c r="A707">
        <v>10282</v>
      </c>
      <c r="B707" t="s">
        <v>9280</v>
      </c>
      <c r="C707" t="s">
        <v>5043</v>
      </c>
    </row>
    <row r="708" spans="1:3" x14ac:dyDescent="0.25">
      <c r="A708">
        <v>10918</v>
      </c>
      <c r="B708" t="s">
        <v>9280</v>
      </c>
      <c r="C708" t="s">
        <v>5043</v>
      </c>
    </row>
    <row r="709" spans="1:3" x14ac:dyDescent="0.25">
      <c r="A709">
        <v>11146</v>
      </c>
      <c r="B709" t="s">
        <v>9280</v>
      </c>
      <c r="C709" t="s">
        <v>5043</v>
      </c>
    </row>
    <row r="710" spans="1:3" x14ac:dyDescent="0.25">
      <c r="A710">
        <v>11290</v>
      </c>
      <c r="B710" t="s">
        <v>9280</v>
      </c>
      <c r="C710" t="s">
        <v>5043</v>
      </c>
    </row>
    <row r="711" spans="1:3" x14ac:dyDescent="0.25">
      <c r="A711">
        <v>11868</v>
      </c>
      <c r="B711" t="s">
        <v>9280</v>
      </c>
      <c r="C711" t="s">
        <v>5043</v>
      </c>
    </row>
    <row r="712" spans="1:3" x14ac:dyDescent="0.25">
      <c r="A712">
        <v>11875</v>
      </c>
      <c r="B712" t="s">
        <v>9280</v>
      </c>
      <c r="C712" t="s">
        <v>5043</v>
      </c>
    </row>
    <row r="713" spans="1:3" x14ac:dyDescent="0.25">
      <c r="A713">
        <v>12107</v>
      </c>
      <c r="B713" t="s">
        <v>9280</v>
      </c>
      <c r="C713" t="s">
        <v>5043</v>
      </c>
    </row>
    <row r="714" spans="1:3" x14ac:dyDescent="0.25">
      <c r="A714">
        <v>6879</v>
      </c>
      <c r="B714" t="s">
        <v>9280</v>
      </c>
      <c r="C714" t="s">
        <v>5043</v>
      </c>
    </row>
    <row r="715" spans="1:3" x14ac:dyDescent="0.25">
      <c r="A715">
        <v>7906</v>
      </c>
      <c r="B715" t="s">
        <v>9280</v>
      </c>
      <c r="C715" t="s">
        <v>5043</v>
      </c>
    </row>
    <row r="716" spans="1:3" x14ac:dyDescent="0.25">
      <c r="A716">
        <v>8134</v>
      </c>
      <c r="B716" t="s">
        <v>9280</v>
      </c>
      <c r="C716" t="s">
        <v>5043</v>
      </c>
    </row>
    <row r="717" spans="1:3" x14ac:dyDescent="0.25">
      <c r="A717">
        <v>8331</v>
      </c>
      <c r="B717" t="s">
        <v>9280</v>
      </c>
      <c r="C717" t="s">
        <v>5043</v>
      </c>
    </row>
    <row r="718" spans="1:3" x14ac:dyDescent="0.25">
      <c r="A718">
        <v>8684</v>
      </c>
      <c r="B718" t="s">
        <v>9280</v>
      </c>
      <c r="C718" t="s">
        <v>5043</v>
      </c>
    </row>
    <row r="719" spans="1:3" x14ac:dyDescent="0.25">
      <c r="A719">
        <v>8826</v>
      </c>
      <c r="B719" t="s">
        <v>9280</v>
      </c>
      <c r="C719" t="s">
        <v>5043</v>
      </c>
    </row>
    <row r="720" spans="1:3" x14ac:dyDescent="0.25">
      <c r="A720">
        <v>9016</v>
      </c>
      <c r="B720" t="s">
        <v>9280</v>
      </c>
      <c r="C720" t="s">
        <v>5043</v>
      </c>
    </row>
    <row r="721" spans="1:3" x14ac:dyDescent="0.25">
      <c r="A721">
        <v>9124</v>
      </c>
      <c r="B721" t="s">
        <v>9280</v>
      </c>
      <c r="C721" t="s">
        <v>5043</v>
      </c>
    </row>
    <row r="722" spans="1:3" x14ac:dyDescent="0.25">
      <c r="A722">
        <v>9216</v>
      </c>
      <c r="B722" t="s">
        <v>9280</v>
      </c>
      <c r="C722" t="s">
        <v>5043</v>
      </c>
    </row>
    <row r="723" spans="1:3" x14ac:dyDescent="0.25">
      <c r="A723">
        <v>9545</v>
      </c>
      <c r="B723" t="s">
        <v>9280</v>
      </c>
      <c r="C723" t="s">
        <v>5043</v>
      </c>
    </row>
    <row r="724" spans="1:3" x14ac:dyDescent="0.25">
      <c r="A724">
        <v>9655</v>
      </c>
      <c r="B724" t="s">
        <v>9280</v>
      </c>
      <c r="C724" t="s">
        <v>5043</v>
      </c>
    </row>
    <row r="725" spans="1:3" x14ac:dyDescent="0.25">
      <c r="A725">
        <v>11163</v>
      </c>
      <c r="B725" t="s">
        <v>9282</v>
      </c>
      <c r="C725" t="s">
        <v>5043</v>
      </c>
    </row>
    <row r="726" spans="1:3" x14ac:dyDescent="0.25">
      <c r="A726">
        <v>11249</v>
      </c>
      <c r="B726" t="s">
        <v>9282</v>
      </c>
      <c r="C726" t="s">
        <v>5043</v>
      </c>
    </row>
    <row r="727" spans="1:3" x14ac:dyDescent="0.25">
      <c r="A727">
        <v>11625</v>
      </c>
      <c r="B727" t="s">
        <v>9282</v>
      </c>
      <c r="C727" t="s">
        <v>5043</v>
      </c>
    </row>
    <row r="728" spans="1:3" x14ac:dyDescent="0.25">
      <c r="A728">
        <v>9462</v>
      </c>
      <c r="B728" t="s">
        <v>9282</v>
      </c>
      <c r="C728" t="s">
        <v>5043</v>
      </c>
    </row>
    <row r="729" spans="1:3" x14ac:dyDescent="0.25">
      <c r="A729">
        <v>10327</v>
      </c>
      <c r="B729" t="s">
        <v>11090</v>
      </c>
      <c r="C729" t="s">
        <v>5043</v>
      </c>
    </row>
    <row r="730" spans="1:3" x14ac:dyDescent="0.25">
      <c r="A730">
        <v>10398</v>
      </c>
      <c r="B730" t="s">
        <v>11090</v>
      </c>
      <c r="C730" t="s">
        <v>5043</v>
      </c>
    </row>
    <row r="731" spans="1:3" x14ac:dyDescent="0.25">
      <c r="A731">
        <v>10539</v>
      </c>
      <c r="B731" t="s">
        <v>11090</v>
      </c>
      <c r="C731" t="s">
        <v>5043</v>
      </c>
    </row>
    <row r="732" spans="1:3" x14ac:dyDescent="0.25">
      <c r="A732">
        <v>10915</v>
      </c>
      <c r="B732" t="s">
        <v>11090</v>
      </c>
      <c r="C732" t="s">
        <v>5043</v>
      </c>
    </row>
    <row r="733" spans="1:3" x14ac:dyDescent="0.25">
      <c r="A733">
        <v>10922</v>
      </c>
      <c r="B733" t="s">
        <v>11090</v>
      </c>
      <c r="C733" t="s">
        <v>5043</v>
      </c>
    </row>
    <row r="734" spans="1:3" x14ac:dyDescent="0.25">
      <c r="A734">
        <v>10932</v>
      </c>
      <c r="B734" t="s">
        <v>11090</v>
      </c>
      <c r="C734" t="s">
        <v>5043</v>
      </c>
    </row>
    <row r="735" spans="1:3" x14ac:dyDescent="0.25">
      <c r="A735">
        <v>11003</v>
      </c>
      <c r="B735" t="s">
        <v>11090</v>
      </c>
      <c r="C735" t="s">
        <v>5043</v>
      </c>
    </row>
    <row r="736" spans="1:3" x14ac:dyDescent="0.25">
      <c r="A736">
        <v>11082</v>
      </c>
      <c r="B736" t="s">
        <v>11090</v>
      </c>
      <c r="C736" t="s">
        <v>5043</v>
      </c>
    </row>
    <row r="737" spans="1:3" x14ac:dyDescent="0.25">
      <c r="A737">
        <v>11379</v>
      </c>
      <c r="B737" t="s">
        <v>11090</v>
      </c>
      <c r="C737" t="s">
        <v>5043</v>
      </c>
    </row>
    <row r="738" spans="1:3" x14ac:dyDescent="0.25">
      <c r="A738">
        <v>11555</v>
      </c>
      <c r="B738" t="s">
        <v>11090</v>
      </c>
      <c r="C738" t="s">
        <v>5043</v>
      </c>
    </row>
    <row r="739" spans="1:3" x14ac:dyDescent="0.25">
      <c r="A739">
        <v>11635</v>
      </c>
      <c r="B739" t="s">
        <v>11090</v>
      </c>
      <c r="C739" t="s">
        <v>5043</v>
      </c>
    </row>
    <row r="740" spans="1:3" x14ac:dyDescent="0.25">
      <c r="A740">
        <v>11823</v>
      </c>
      <c r="B740" t="s">
        <v>11090</v>
      </c>
      <c r="C740" t="s">
        <v>5043</v>
      </c>
    </row>
    <row r="741" spans="1:3" x14ac:dyDescent="0.25">
      <c r="A741">
        <v>11991</v>
      </c>
      <c r="B741" t="s">
        <v>11090</v>
      </c>
      <c r="C741" t="s">
        <v>5043</v>
      </c>
    </row>
    <row r="742" spans="1:3" x14ac:dyDescent="0.25">
      <c r="A742">
        <v>6957</v>
      </c>
      <c r="B742" t="s">
        <v>11090</v>
      </c>
      <c r="C742" t="s">
        <v>5043</v>
      </c>
    </row>
    <row r="743" spans="1:3" x14ac:dyDescent="0.25">
      <c r="A743">
        <v>7052</v>
      </c>
      <c r="B743" t="s">
        <v>11090</v>
      </c>
      <c r="C743" t="s">
        <v>5043</v>
      </c>
    </row>
    <row r="744" spans="1:3" x14ac:dyDescent="0.25">
      <c r="A744">
        <v>7055</v>
      </c>
      <c r="B744" t="s">
        <v>11090</v>
      </c>
      <c r="C744" t="s">
        <v>5043</v>
      </c>
    </row>
    <row r="745" spans="1:3" x14ac:dyDescent="0.25">
      <c r="A745">
        <v>7140</v>
      </c>
      <c r="B745" t="s">
        <v>11090</v>
      </c>
      <c r="C745" t="s">
        <v>5043</v>
      </c>
    </row>
    <row r="746" spans="1:3" x14ac:dyDescent="0.25">
      <c r="A746">
        <v>7758</v>
      </c>
      <c r="B746" t="s">
        <v>11090</v>
      </c>
      <c r="C746" t="s">
        <v>5043</v>
      </c>
    </row>
    <row r="747" spans="1:3" x14ac:dyDescent="0.25">
      <c r="A747">
        <v>7820</v>
      </c>
      <c r="B747" t="s">
        <v>11090</v>
      </c>
      <c r="C747" t="s">
        <v>5043</v>
      </c>
    </row>
    <row r="748" spans="1:3" x14ac:dyDescent="0.25">
      <c r="A748">
        <v>7976</v>
      </c>
      <c r="B748" t="s">
        <v>11090</v>
      </c>
      <c r="C748" t="s">
        <v>5043</v>
      </c>
    </row>
    <row r="749" spans="1:3" x14ac:dyDescent="0.25">
      <c r="A749">
        <v>8027</v>
      </c>
      <c r="B749" t="s">
        <v>11090</v>
      </c>
      <c r="C749" t="s">
        <v>5043</v>
      </c>
    </row>
    <row r="750" spans="1:3" x14ac:dyDescent="0.25">
      <c r="A750">
        <v>8082</v>
      </c>
      <c r="B750" t="s">
        <v>11090</v>
      </c>
      <c r="C750" t="s">
        <v>5043</v>
      </c>
    </row>
    <row r="751" spans="1:3" x14ac:dyDescent="0.25">
      <c r="A751">
        <v>8220</v>
      </c>
      <c r="B751" t="s">
        <v>11090</v>
      </c>
      <c r="C751" t="s">
        <v>5043</v>
      </c>
    </row>
    <row r="752" spans="1:3" x14ac:dyDescent="0.25">
      <c r="A752">
        <v>8424</v>
      </c>
      <c r="B752" t="s">
        <v>11090</v>
      </c>
      <c r="C752" t="s">
        <v>5043</v>
      </c>
    </row>
    <row r="753" spans="1:3" x14ac:dyDescent="0.25">
      <c r="A753">
        <v>8468</v>
      </c>
      <c r="B753" t="s">
        <v>11090</v>
      </c>
      <c r="C753" t="s">
        <v>5043</v>
      </c>
    </row>
    <row r="754" spans="1:3" x14ac:dyDescent="0.25">
      <c r="A754">
        <v>8476</v>
      </c>
      <c r="B754" t="s">
        <v>11090</v>
      </c>
      <c r="C754" t="s">
        <v>5043</v>
      </c>
    </row>
    <row r="755" spans="1:3" x14ac:dyDescent="0.25">
      <c r="A755">
        <v>8662</v>
      </c>
      <c r="B755" t="s">
        <v>11090</v>
      </c>
      <c r="C755" t="s">
        <v>5043</v>
      </c>
    </row>
    <row r="756" spans="1:3" x14ac:dyDescent="0.25">
      <c r="A756">
        <v>9050</v>
      </c>
      <c r="B756" t="s">
        <v>11090</v>
      </c>
      <c r="C756" t="s">
        <v>5043</v>
      </c>
    </row>
    <row r="757" spans="1:3" x14ac:dyDescent="0.25">
      <c r="A757">
        <v>9321</v>
      </c>
      <c r="B757" t="s">
        <v>11090</v>
      </c>
      <c r="C757" t="s">
        <v>5043</v>
      </c>
    </row>
    <row r="758" spans="1:3" x14ac:dyDescent="0.25">
      <c r="A758">
        <v>9559</v>
      </c>
      <c r="B758" t="s">
        <v>11090</v>
      </c>
      <c r="C758" t="s">
        <v>5043</v>
      </c>
    </row>
    <row r="759" spans="1:3" x14ac:dyDescent="0.25">
      <c r="A759">
        <v>9577</v>
      </c>
      <c r="B759" t="s">
        <v>11090</v>
      </c>
      <c r="C759" t="s">
        <v>5043</v>
      </c>
    </row>
    <row r="760" spans="1:3" x14ac:dyDescent="0.25">
      <c r="A760">
        <v>9708</v>
      </c>
      <c r="B760" t="s">
        <v>11090</v>
      </c>
      <c r="C760" t="s">
        <v>5043</v>
      </c>
    </row>
    <row r="761" spans="1:3" x14ac:dyDescent="0.25">
      <c r="A761">
        <v>9967</v>
      </c>
      <c r="B761" t="s">
        <v>11090</v>
      </c>
      <c r="C761" t="s">
        <v>5043</v>
      </c>
    </row>
    <row r="762" spans="1:3" x14ac:dyDescent="0.25">
      <c r="A762">
        <v>10058</v>
      </c>
      <c r="B762" t="s">
        <v>9283</v>
      </c>
      <c r="C762" t="s">
        <v>5043</v>
      </c>
    </row>
    <row r="763" spans="1:3" x14ac:dyDescent="0.25">
      <c r="A763">
        <v>10071</v>
      </c>
      <c r="B763" t="s">
        <v>9283</v>
      </c>
      <c r="C763" t="s">
        <v>5043</v>
      </c>
    </row>
    <row r="764" spans="1:3" x14ac:dyDescent="0.25">
      <c r="A764">
        <v>10118</v>
      </c>
      <c r="B764" t="s">
        <v>9283</v>
      </c>
      <c r="C764" t="s">
        <v>5043</v>
      </c>
    </row>
    <row r="765" spans="1:3" x14ac:dyDescent="0.25">
      <c r="A765">
        <v>10781</v>
      </c>
      <c r="B765" t="s">
        <v>9283</v>
      </c>
      <c r="C765" t="s">
        <v>5043</v>
      </c>
    </row>
    <row r="766" spans="1:3" x14ac:dyDescent="0.25">
      <c r="A766">
        <v>10789</v>
      </c>
      <c r="B766" t="s">
        <v>9283</v>
      </c>
      <c r="C766" t="s">
        <v>5043</v>
      </c>
    </row>
    <row r="767" spans="1:3" x14ac:dyDescent="0.25">
      <c r="A767">
        <v>11021</v>
      </c>
      <c r="B767" t="s">
        <v>9283</v>
      </c>
      <c r="C767" t="s">
        <v>5043</v>
      </c>
    </row>
    <row r="768" spans="1:3" x14ac:dyDescent="0.25">
      <c r="A768">
        <v>11268</v>
      </c>
      <c r="B768" t="s">
        <v>9283</v>
      </c>
      <c r="C768" t="s">
        <v>5043</v>
      </c>
    </row>
    <row r="769" spans="1:3" x14ac:dyDescent="0.25">
      <c r="A769">
        <v>11376</v>
      </c>
      <c r="B769" t="s">
        <v>9283</v>
      </c>
      <c r="C769" t="s">
        <v>5043</v>
      </c>
    </row>
    <row r="770" spans="1:3" x14ac:dyDescent="0.25">
      <c r="A770">
        <v>11447</v>
      </c>
      <c r="B770" t="s">
        <v>9283</v>
      </c>
      <c r="C770" t="s">
        <v>5043</v>
      </c>
    </row>
    <row r="771" spans="1:3" x14ac:dyDescent="0.25">
      <c r="A771">
        <v>11557</v>
      </c>
      <c r="B771" t="s">
        <v>9283</v>
      </c>
      <c r="C771" t="s">
        <v>5043</v>
      </c>
    </row>
    <row r="772" spans="1:3" x14ac:dyDescent="0.25">
      <c r="A772">
        <v>12014</v>
      </c>
      <c r="B772" t="s">
        <v>9283</v>
      </c>
      <c r="C772" t="s">
        <v>5043</v>
      </c>
    </row>
    <row r="773" spans="1:3" x14ac:dyDescent="0.25">
      <c r="A773">
        <v>12093</v>
      </c>
      <c r="B773" t="s">
        <v>9283</v>
      </c>
      <c r="C773" t="s">
        <v>5043</v>
      </c>
    </row>
    <row r="774" spans="1:3" x14ac:dyDescent="0.25">
      <c r="A774">
        <v>6684</v>
      </c>
      <c r="B774" t="s">
        <v>9283</v>
      </c>
      <c r="C774" t="s">
        <v>5043</v>
      </c>
    </row>
    <row r="775" spans="1:3" x14ac:dyDescent="0.25">
      <c r="A775">
        <v>7023</v>
      </c>
      <c r="B775" t="s">
        <v>9283</v>
      </c>
      <c r="C775" t="s">
        <v>5043</v>
      </c>
    </row>
    <row r="776" spans="1:3" x14ac:dyDescent="0.25">
      <c r="A776">
        <v>7169</v>
      </c>
      <c r="B776" t="s">
        <v>9283</v>
      </c>
      <c r="C776" t="s">
        <v>5043</v>
      </c>
    </row>
    <row r="777" spans="1:3" x14ac:dyDescent="0.25">
      <c r="A777">
        <v>7188</v>
      </c>
      <c r="B777" t="s">
        <v>9283</v>
      </c>
      <c r="C777" t="s">
        <v>5043</v>
      </c>
    </row>
    <row r="778" spans="1:3" x14ac:dyDescent="0.25">
      <c r="A778">
        <v>7757</v>
      </c>
      <c r="B778" t="s">
        <v>9283</v>
      </c>
      <c r="C778" t="s">
        <v>5043</v>
      </c>
    </row>
    <row r="779" spans="1:3" x14ac:dyDescent="0.25">
      <c r="A779">
        <v>8991</v>
      </c>
      <c r="B779" t="s">
        <v>9283</v>
      </c>
      <c r="C779" t="s">
        <v>5043</v>
      </c>
    </row>
    <row r="780" spans="1:3" x14ac:dyDescent="0.25">
      <c r="A780">
        <v>9053</v>
      </c>
      <c r="B780" t="s">
        <v>9283</v>
      </c>
      <c r="C780" t="s">
        <v>5043</v>
      </c>
    </row>
    <row r="781" spans="1:3" x14ac:dyDescent="0.25">
      <c r="A781">
        <v>9565</v>
      </c>
      <c r="B781" t="s">
        <v>9283</v>
      </c>
      <c r="C781" t="s">
        <v>5043</v>
      </c>
    </row>
    <row r="782" spans="1:3" x14ac:dyDescent="0.25">
      <c r="A782">
        <v>10312</v>
      </c>
      <c r="B782" t="s">
        <v>11091</v>
      </c>
      <c r="C782" t="s">
        <v>5043</v>
      </c>
    </row>
    <row r="783" spans="1:3" x14ac:dyDescent="0.25">
      <c r="A783">
        <v>10551</v>
      </c>
      <c r="B783" t="s">
        <v>11091</v>
      </c>
      <c r="C783" t="s">
        <v>5043</v>
      </c>
    </row>
    <row r="784" spans="1:3" x14ac:dyDescent="0.25">
      <c r="A784">
        <v>10924</v>
      </c>
      <c r="B784" t="s">
        <v>11091</v>
      </c>
      <c r="C784" t="s">
        <v>5043</v>
      </c>
    </row>
    <row r="785" spans="1:3" x14ac:dyDescent="0.25">
      <c r="A785">
        <v>11638</v>
      </c>
      <c r="B785" t="s">
        <v>11091</v>
      </c>
      <c r="C785" t="s">
        <v>5043</v>
      </c>
    </row>
    <row r="786" spans="1:3" x14ac:dyDescent="0.25">
      <c r="A786">
        <v>6977</v>
      </c>
      <c r="B786" t="s">
        <v>11091</v>
      </c>
      <c r="C786" t="s">
        <v>5043</v>
      </c>
    </row>
    <row r="787" spans="1:3" x14ac:dyDescent="0.25">
      <c r="A787">
        <v>6982</v>
      </c>
      <c r="B787" t="s">
        <v>11091</v>
      </c>
      <c r="C787" t="s">
        <v>5043</v>
      </c>
    </row>
    <row r="788" spans="1:3" x14ac:dyDescent="0.25">
      <c r="A788">
        <v>7119</v>
      </c>
      <c r="B788" t="s">
        <v>11091</v>
      </c>
      <c r="C788" t="s">
        <v>5043</v>
      </c>
    </row>
    <row r="789" spans="1:3" x14ac:dyDescent="0.25">
      <c r="A789">
        <v>7124</v>
      </c>
      <c r="B789" t="s">
        <v>11091</v>
      </c>
      <c r="C789" t="s">
        <v>5043</v>
      </c>
    </row>
    <row r="790" spans="1:3" x14ac:dyDescent="0.25">
      <c r="A790">
        <v>7152</v>
      </c>
      <c r="B790" t="s">
        <v>11091</v>
      </c>
      <c r="C790" t="s">
        <v>5043</v>
      </c>
    </row>
    <row r="791" spans="1:3" x14ac:dyDescent="0.25">
      <c r="A791">
        <v>7264</v>
      </c>
      <c r="B791" t="s">
        <v>11091</v>
      </c>
      <c r="C791" t="s">
        <v>5043</v>
      </c>
    </row>
    <row r="792" spans="1:3" x14ac:dyDescent="0.25">
      <c r="A792">
        <v>7645</v>
      </c>
      <c r="B792" t="s">
        <v>11091</v>
      </c>
      <c r="C792" t="s">
        <v>5043</v>
      </c>
    </row>
    <row r="793" spans="1:3" x14ac:dyDescent="0.25">
      <c r="A793">
        <v>8128</v>
      </c>
      <c r="B793" t="s">
        <v>11091</v>
      </c>
      <c r="C793" t="s">
        <v>5043</v>
      </c>
    </row>
    <row r="794" spans="1:3" x14ac:dyDescent="0.25">
      <c r="A794">
        <v>8186</v>
      </c>
      <c r="B794" t="s">
        <v>11091</v>
      </c>
      <c r="C794" t="s">
        <v>5043</v>
      </c>
    </row>
    <row r="795" spans="1:3" x14ac:dyDescent="0.25">
      <c r="A795">
        <v>8232</v>
      </c>
      <c r="B795" t="s">
        <v>11091</v>
      </c>
      <c r="C795" t="s">
        <v>5043</v>
      </c>
    </row>
    <row r="796" spans="1:3" x14ac:dyDescent="0.25">
      <c r="A796">
        <v>8463</v>
      </c>
      <c r="B796" t="s">
        <v>11091</v>
      </c>
      <c r="C796" t="s">
        <v>5043</v>
      </c>
    </row>
    <row r="797" spans="1:3" x14ac:dyDescent="0.25">
      <c r="A797">
        <v>8535</v>
      </c>
      <c r="B797" t="s">
        <v>11091</v>
      </c>
      <c r="C797" t="s">
        <v>5043</v>
      </c>
    </row>
    <row r="798" spans="1:3" x14ac:dyDescent="0.25">
      <c r="A798">
        <v>8786</v>
      </c>
      <c r="B798" t="s">
        <v>11091</v>
      </c>
      <c r="C798" t="s">
        <v>5043</v>
      </c>
    </row>
    <row r="799" spans="1:3" x14ac:dyDescent="0.25">
      <c r="A799">
        <v>8983</v>
      </c>
      <c r="B799" t="s">
        <v>11091</v>
      </c>
      <c r="C799" t="s">
        <v>5043</v>
      </c>
    </row>
    <row r="800" spans="1:3" x14ac:dyDescent="0.25">
      <c r="A800">
        <v>9612</v>
      </c>
      <c r="B800" t="s">
        <v>11091</v>
      </c>
      <c r="C800" t="s">
        <v>5043</v>
      </c>
    </row>
    <row r="801" spans="1:3" x14ac:dyDescent="0.25">
      <c r="A801">
        <v>9654</v>
      </c>
      <c r="B801" t="s">
        <v>11091</v>
      </c>
      <c r="C801" t="s">
        <v>5043</v>
      </c>
    </row>
    <row r="802" spans="1:3" x14ac:dyDescent="0.25">
      <c r="A802">
        <v>9796</v>
      </c>
      <c r="B802" t="s">
        <v>11091</v>
      </c>
      <c r="C802" t="s">
        <v>5043</v>
      </c>
    </row>
    <row r="803" spans="1:3" x14ac:dyDescent="0.25">
      <c r="A803">
        <v>10271</v>
      </c>
      <c r="B803" t="s">
        <v>9285</v>
      </c>
      <c r="C803" t="s">
        <v>5043</v>
      </c>
    </row>
    <row r="804" spans="1:3" x14ac:dyDescent="0.25">
      <c r="A804">
        <v>9317</v>
      </c>
      <c r="B804" t="s">
        <v>9285</v>
      </c>
      <c r="C804" t="s">
        <v>5043</v>
      </c>
    </row>
    <row r="805" spans="1:3" x14ac:dyDescent="0.25">
      <c r="A805">
        <v>9432</v>
      </c>
      <c r="B805" t="s">
        <v>9285</v>
      </c>
      <c r="C805" t="s">
        <v>5043</v>
      </c>
    </row>
    <row r="806" spans="1:3" x14ac:dyDescent="0.25">
      <c r="A806">
        <v>6941</v>
      </c>
      <c r="B806" t="s">
        <v>9286</v>
      </c>
      <c r="C806" t="s">
        <v>5043</v>
      </c>
    </row>
    <row r="807" spans="1:3" x14ac:dyDescent="0.25">
      <c r="A807">
        <v>11399</v>
      </c>
      <c r="B807" t="s">
        <v>9287</v>
      </c>
      <c r="C807" t="s">
        <v>5043</v>
      </c>
    </row>
    <row r="808" spans="1:3" x14ac:dyDescent="0.25">
      <c r="A808">
        <v>6995</v>
      </c>
      <c r="B808" t="s">
        <v>9287</v>
      </c>
      <c r="C808" t="s">
        <v>5043</v>
      </c>
    </row>
    <row r="809" spans="1:3" x14ac:dyDescent="0.25">
      <c r="A809">
        <v>7116</v>
      </c>
      <c r="B809" t="s">
        <v>9287</v>
      </c>
      <c r="C809" t="s">
        <v>5043</v>
      </c>
    </row>
    <row r="810" spans="1:3" x14ac:dyDescent="0.25">
      <c r="A810">
        <v>7425</v>
      </c>
      <c r="B810" t="s">
        <v>9287</v>
      </c>
      <c r="C810" t="s">
        <v>5043</v>
      </c>
    </row>
    <row r="811" spans="1:3" x14ac:dyDescent="0.25">
      <c r="A811">
        <v>7437</v>
      </c>
      <c r="B811" t="s">
        <v>9287</v>
      </c>
      <c r="C811" t="s">
        <v>5043</v>
      </c>
    </row>
    <row r="812" spans="1:3" x14ac:dyDescent="0.25">
      <c r="A812">
        <v>7741</v>
      </c>
      <c r="B812" t="s">
        <v>9287</v>
      </c>
      <c r="C812" t="s">
        <v>5043</v>
      </c>
    </row>
    <row r="813" spans="1:3" x14ac:dyDescent="0.25">
      <c r="A813">
        <v>7957</v>
      </c>
      <c r="B813" t="s">
        <v>9287</v>
      </c>
      <c r="C813" t="s">
        <v>5043</v>
      </c>
    </row>
    <row r="814" spans="1:3" x14ac:dyDescent="0.25">
      <c r="A814">
        <v>7980</v>
      </c>
      <c r="B814" t="s">
        <v>9287</v>
      </c>
      <c r="C814" t="s">
        <v>5043</v>
      </c>
    </row>
    <row r="815" spans="1:3" x14ac:dyDescent="0.25">
      <c r="A815">
        <v>8067</v>
      </c>
      <c r="B815" t="s">
        <v>9287</v>
      </c>
      <c r="C815" t="s">
        <v>5043</v>
      </c>
    </row>
    <row r="816" spans="1:3" x14ac:dyDescent="0.25">
      <c r="A816">
        <v>8395</v>
      </c>
      <c r="B816" t="s">
        <v>9287</v>
      </c>
      <c r="C816" t="s">
        <v>5043</v>
      </c>
    </row>
    <row r="817" spans="1:3" x14ac:dyDescent="0.25">
      <c r="A817">
        <v>9692</v>
      </c>
      <c r="B817" t="s">
        <v>9287</v>
      </c>
      <c r="C817" t="s">
        <v>5043</v>
      </c>
    </row>
    <row r="818" spans="1:3" x14ac:dyDescent="0.25">
      <c r="A818">
        <v>9902</v>
      </c>
      <c r="B818" t="s">
        <v>9287</v>
      </c>
      <c r="C818" t="s">
        <v>5043</v>
      </c>
    </row>
    <row r="819" spans="1:3" x14ac:dyDescent="0.25">
      <c r="A819">
        <v>10214</v>
      </c>
      <c r="B819" t="s">
        <v>9288</v>
      </c>
      <c r="C819" t="s">
        <v>5043</v>
      </c>
    </row>
    <row r="820" spans="1:3" x14ac:dyDescent="0.25">
      <c r="A820">
        <v>10261</v>
      </c>
      <c r="B820" t="s">
        <v>9288</v>
      </c>
      <c r="C820" t="s">
        <v>5043</v>
      </c>
    </row>
    <row r="821" spans="1:3" x14ac:dyDescent="0.25">
      <c r="A821">
        <v>10372</v>
      </c>
      <c r="B821" t="s">
        <v>9288</v>
      </c>
      <c r="C821" t="s">
        <v>5043</v>
      </c>
    </row>
    <row r="822" spans="1:3" x14ac:dyDescent="0.25">
      <c r="A822">
        <v>10479</v>
      </c>
      <c r="B822" t="s">
        <v>9288</v>
      </c>
      <c r="C822" t="s">
        <v>5043</v>
      </c>
    </row>
    <row r="823" spans="1:3" x14ac:dyDescent="0.25">
      <c r="A823">
        <v>11611</v>
      </c>
      <c r="B823" t="s">
        <v>9288</v>
      </c>
      <c r="C823" t="s">
        <v>5043</v>
      </c>
    </row>
    <row r="824" spans="1:3" x14ac:dyDescent="0.25">
      <c r="A824">
        <v>11820</v>
      </c>
      <c r="B824" t="s">
        <v>9288</v>
      </c>
      <c r="C824" t="s">
        <v>5043</v>
      </c>
    </row>
    <row r="825" spans="1:3" x14ac:dyDescent="0.25">
      <c r="A825">
        <v>12115</v>
      </c>
      <c r="B825" t="s">
        <v>9288</v>
      </c>
      <c r="C825" t="s">
        <v>5043</v>
      </c>
    </row>
    <row r="826" spans="1:3" x14ac:dyDescent="0.25">
      <c r="A826">
        <v>6774</v>
      </c>
      <c r="B826" t="s">
        <v>9288</v>
      </c>
      <c r="C826" t="s">
        <v>5043</v>
      </c>
    </row>
    <row r="827" spans="1:3" x14ac:dyDescent="0.25">
      <c r="A827">
        <v>6973</v>
      </c>
      <c r="B827" t="s">
        <v>9288</v>
      </c>
      <c r="C827" t="s">
        <v>5043</v>
      </c>
    </row>
    <row r="828" spans="1:3" x14ac:dyDescent="0.25">
      <c r="A828">
        <v>7873</v>
      </c>
      <c r="B828" t="s">
        <v>9288</v>
      </c>
      <c r="C828" t="s">
        <v>5043</v>
      </c>
    </row>
    <row r="829" spans="1:3" x14ac:dyDescent="0.25">
      <c r="A829">
        <v>8191</v>
      </c>
      <c r="B829" t="s">
        <v>9288</v>
      </c>
      <c r="C829" t="s">
        <v>5043</v>
      </c>
    </row>
    <row r="830" spans="1:3" x14ac:dyDescent="0.25">
      <c r="A830">
        <v>8302</v>
      </c>
      <c r="B830" t="s">
        <v>9288</v>
      </c>
      <c r="C830" t="s">
        <v>5043</v>
      </c>
    </row>
    <row r="831" spans="1:3" x14ac:dyDescent="0.25">
      <c r="A831">
        <v>8901</v>
      </c>
      <c r="B831" t="s">
        <v>9288</v>
      </c>
      <c r="C831" t="s">
        <v>5043</v>
      </c>
    </row>
    <row r="832" spans="1:3" x14ac:dyDescent="0.25">
      <c r="A832">
        <v>9445</v>
      </c>
      <c r="B832" t="s">
        <v>9288</v>
      </c>
      <c r="C832" t="s">
        <v>5043</v>
      </c>
    </row>
    <row r="833" spans="1:3" x14ac:dyDescent="0.25">
      <c r="A833">
        <v>9743</v>
      </c>
      <c r="B833" t="s">
        <v>9288</v>
      </c>
      <c r="C833" t="s">
        <v>5043</v>
      </c>
    </row>
    <row r="834" spans="1:3" x14ac:dyDescent="0.25">
      <c r="A834">
        <v>10212</v>
      </c>
      <c r="B834" t="s">
        <v>9289</v>
      </c>
      <c r="C834" t="s">
        <v>5043</v>
      </c>
    </row>
    <row r="835" spans="1:3" x14ac:dyDescent="0.25">
      <c r="A835">
        <v>10326</v>
      </c>
      <c r="B835" t="s">
        <v>9289</v>
      </c>
      <c r="C835" t="s">
        <v>5043</v>
      </c>
    </row>
    <row r="836" spans="1:3" x14ac:dyDescent="0.25">
      <c r="A836">
        <v>10387</v>
      </c>
      <c r="B836" t="s">
        <v>9289</v>
      </c>
      <c r="C836" t="s">
        <v>5043</v>
      </c>
    </row>
    <row r="837" spans="1:3" x14ac:dyDescent="0.25">
      <c r="A837">
        <v>10541</v>
      </c>
      <c r="B837" t="s">
        <v>9289</v>
      </c>
      <c r="C837" t="s">
        <v>5043</v>
      </c>
    </row>
    <row r="838" spans="1:3" x14ac:dyDescent="0.25">
      <c r="A838">
        <v>10590</v>
      </c>
      <c r="B838" t="s">
        <v>9289</v>
      </c>
      <c r="C838" t="s">
        <v>5043</v>
      </c>
    </row>
    <row r="839" spans="1:3" x14ac:dyDescent="0.25">
      <c r="A839">
        <v>11005</v>
      </c>
      <c r="B839" t="s">
        <v>9289</v>
      </c>
      <c r="C839" t="s">
        <v>5043</v>
      </c>
    </row>
    <row r="840" spans="1:3" x14ac:dyDescent="0.25">
      <c r="A840">
        <v>11375</v>
      </c>
      <c r="B840" t="s">
        <v>9289</v>
      </c>
      <c r="C840" t="s">
        <v>5043</v>
      </c>
    </row>
    <row r="841" spans="1:3" x14ac:dyDescent="0.25">
      <c r="A841">
        <v>6709</v>
      </c>
      <c r="B841" t="s">
        <v>9289</v>
      </c>
      <c r="C841" t="s">
        <v>5043</v>
      </c>
    </row>
    <row r="842" spans="1:3" x14ac:dyDescent="0.25">
      <c r="A842">
        <v>7461</v>
      </c>
      <c r="B842" t="s">
        <v>9289</v>
      </c>
      <c r="C842" t="s">
        <v>5043</v>
      </c>
    </row>
    <row r="843" spans="1:3" x14ac:dyDescent="0.25">
      <c r="A843">
        <v>7934</v>
      </c>
      <c r="B843" t="s">
        <v>9289</v>
      </c>
      <c r="C843" t="s">
        <v>5043</v>
      </c>
    </row>
    <row r="844" spans="1:3" x14ac:dyDescent="0.25">
      <c r="A844">
        <v>8687</v>
      </c>
      <c r="B844" t="s">
        <v>9289</v>
      </c>
      <c r="C844" t="s">
        <v>5043</v>
      </c>
    </row>
    <row r="845" spans="1:3" x14ac:dyDescent="0.25">
      <c r="A845">
        <v>8829</v>
      </c>
      <c r="B845" t="s">
        <v>9289</v>
      </c>
      <c r="C845" t="s">
        <v>5043</v>
      </c>
    </row>
    <row r="846" spans="1:3" x14ac:dyDescent="0.25">
      <c r="A846">
        <v>8849</v>
      </c>
      <c r="B846" t="s">
        <v>9289</v>
      </c>
      <c r="C846" t="s">
        <v>5043</v>
      </c>
    </row>
    <row r="847" spans="1:3" x14ac:dyDescent="0.25">
      <c r="A847">
        <v>9404</v>
      </c>
      <c r="B847" t="s">
        <v>9289</v>
      </c>
      <c r="C847" t="s">
        <v>5043</v>
      </c>
    </row>
    <row r="848" spans="1:3" x14ac:dyDescent="0.25">
      <c r="A848">
        <v>9882</v>
      </c>
      <c r="B848" t="s">
        <v>9289</v>
      </c>
      <c r="C848" t="s">
        <v>5043</v>
      </c>
    </row>
    <row r="849" spans="1:3" x14ac:dyDescent="0.25">
      <c r="A849">
        <v>10324</v>
      </c>
      <c r="B849" t="s">
        <v>9290</v>
      </c>
      <c r="C849" t="s">
        <v>5043</v>
      </c>
    </row>
    <row r="850" spans="1:3" x14ac:dyDescent="0.25">
      <c r="A850">
        <v>10486</v>
      </c>
      <c r="B850" t="s">
        <v>9290</v>
      </c>
      <c r="C850" t="s">
        <v>5043</v>
      </c>
    </row>
    <row r="851" spans="1:3" x14ac:dyDescent="0.25">
      <c r="A851">
        <v>10549</v>
      </c>
      <c r="B851" t="s">
        <v>9290</v>
      </c>
      <c r="C851" t="s">
        <v>5043</v>
      </c>
    </row>
    <row r="852" spans="1:3" x14ac:dyDescent="0.25">
      <c r="A852">
        <v>10665</v>
      </c>
      <c r="B852" t="s">
        <v>9290</v>
      </c>
      <c r="C852" t="s">
        <v>5043</v>
      </c>
    </row>
    <row r="853" spans="1:3" x14ac:dyDescent="0.25">
      <c r="A853">
        <v>11212</v>
      </c>
      <c r="B853" t="s">
        <v>9290</v>
      </c>
      <c r="C853" t="s">
        <v>5043</v>
      </c>
    </row>
    <row r="854" spans="1:3" x14ac:dyDescent="0.25">
      <c r="A854">
        <v>11445</v>
      </c>
      <c r="B854" t="s">
        <v>9290</v>
      </c>
      <c r="C854" t="s">
        <v>5043</v>
      </c>
    </row>
    <row r="855" spans="1:3" x14ac:dyDescent="0.25">
      <c r="A855">
        <v>11481</v>
      </c>
      <c r="B855" t="s">
        <v>9290</v>
      </c>
      <c r="C855" t="s">
        <v>5043</v>
      </c>
    </row>
    <row r="856" spans="1:3" x14ac:dyDescent="0.25">
      <c r="A856">
        <v>11728</v>
      </c>
      <c r="B856" t="s">
        <v>9290</v>
      </c>
      <c r="C856" t="s">
        <v>5043</v>
      </c>
    </row>
    <row r="857" spans="1:3" x14ac:dyDescent="0.25">
      <c r="A857">
        <v>6737</v>
      </c>
      <c r="B857" t="s">
        <v>9290</v>
      </c>
      <c r="C857" t="s">
        <v>5043</v>
      </c>
    </row>
    <row r="858" spans="1:3" x14ac:dyDescent="0.25">
      <c r="A858">
        <v>6921</v>
      </c>
      <c r="B858" t="s">
        <v>9290</v>
      </c>
      <c r="C858" t="s">
        <v>5043</v>
      </c>
    </row>
    <row r="859" spans="1:3" x14ac:dyDescent="0.25">
      <c r="A859">
        <v>7037</v>
      </c>
      <c r="B859" t="s">
        <v>9290</v>
      </c>
      <c r="C859" t="s">
        <v>5043</v>
      </c>
    </row>
    <row r="860" spans="1:3" x14ac:dyDescent="0.25">
      <c r="A860">
        <v>7181</v>
      </c>
      <c r="B860" t="s">
        <v>9290</v>
      </c>
      <c r="C860" t="s">
        <v>5043</v>
      </c>
    </row>
    <row r="861" spans="1:3" x14ac:dyDescent="0.25">
      <c r="A861">
        <v>7715</v>
      </c>
      <c r="B861" t="s">
        <v>9290</v>
      </c>
      <c r="C861" t="s">
        <v>5043</v>
      </c>
    </row>
    <row r="862" spans="1:3" x14ac:dyDescent="0.25">
      <c r="A862">
        <v>7782</v>
      </c>
      <c r="B862" t="s">
        <v>9290</v>
      </c>
      <c r="C862" t="s">
        <v>5043</v>
      </c>
    </row>
    <row r="863" spans="1:3" x14ac:dyDescent="0.25">
      <c r="A863">
        <v>8142</v>
      </c>
      <c r="B863" t="s">
        <v>9290</v>
      </c>
      <c r="C863" t="s">
        <v>5043</v>
      </c>
    </row>
    <row r="864" spans="1:3" x14ac:dyDescent="0.25">
      <c r="A864">
        <v>8312</v>
      </c>
      <c r="B864" t="s">
        <v>9290</v>
      </c>
      <c r="C864" t="s">
        <v>5043</v>
      </c>
    </row>
    <row r="865" spans="1:3" x14ac:dyDescent="0.25">
      <c r="A865">
        <v>8332</v>
      </c>
      <c r="B865" t="s">
        <v>9290</v>
      </c>
      <c r="C865" t="s">
        <v>5043</v>
      </c>
    </row>
    <row r="866" spans="1:3" x14ac:dyDescent="0.25">
      <c r="A866">
        <v>8351</v>
      </c>
      <c r="B866" t="s">
        <v>9290</v>
      </c>
      <c r="C866" t="s">
        <v>5043</v>
      </c>
    </row>
    <row r="867" spans="1:3" x14ac:dyDescent="0.25">
      <c r="A867">
        <v>8448</v>
      </c>
      <c r="B867" t="s">
        <v>9290</v>
      </c>
      <c r="C867" t="s">
        <v>5043</v>
      </c>
    </row>
    <row r="868" spans="1:3" x14ac:dyDescent="0.25">
      <c r="A868">
        <v>8568</v>
      </c>
      <c r="B868" t="s">
        <v>9290</v>
      </c>
      <c r="C868" t="s">
        <v>5043</v>
      </c>
    </row>
    <row r="869" spans="1:3" x14ac:dyDescent="0.25">
      <c r="A869">
        <v>8787</v>
      </c>
      <c r="B869" t="s">
        <v>9290</v>
      </c>
      <c r="C869" t="s">
        <v>5043</v>
      </c>
    </row>
    <row r="870" spans="1:3" x14ac:dyDescent="0.25">
      <c r="A870">
        <v>8843</v>
      </c>
      <c r="B870" t="s">
        <v>9290</v>
      </c>
      <c r="C870" t="s">
        <v>5043</v>
      </c>
    </row>
    <row r="871" spans="1:3" x14ac:dyDescent="0.25">
      <c r="A871">
        <v>8911</v>
      </c>
      <c r="B871" t="s">
        <v>9290</v>
      </c>
      <c r="C871" t="s">
        <v>5043</v>
      </c>
    </row>
    <row r="872" spans="1:3" x14ac:dyDescent="0.25">
      <c r="A872">
        <v>9012</v>
      </c>
      <c r="B872" t="s">
        <v>9290</v>
      </c>
      <c r="C872" t="s">
        <v>5043</v>
      </c>
    </row>
    <row r="873" spans="1:3" x14ac:dyDescent="0.25">
      <c r="A873">
        <v>9193</v>
      </c>
      <c r="B873" t="s">
        <v>9290</v>
      </c>
      <c r="C873" t="s">
        <v>5043</v>
      </c>
    </row>
    <row r="874" spans="1:3" x14ac:dyDescent="0.25">
      <c r="A874">
        <v>9516</v>
      </c>
      <c r="B874" t="s">
        <v>9290</v>
      </c>
      <c r="C874" t="s">
        <v>5043</v>
      </c>
    </row>
    <row r="875" spans="1:3" x14ac:dyDescent="0.25">
      <c r="A875">
        <v>9518</v>
      </c>
      <c r="B875" t="s">
        <v>9290</v>
      </c>
      <c r="C875" t="s">
        <v>5043</v>
      </c>
    </row>
    <row r="876" spans="1:3" x14ac:dyDescent="0.25">
      <c r="A876">
        <v>9838</v>
      </c>
      <c r="B876" t="s">
        <v>9290</v>
      </c>
      <c r="C876" t="s">
        <v>5043</v>
      </c>
    </row>
    <row r="877" spans="1:3" x14ac:dyDescent="0.25">
      <c r="A877">
        <v>9846</v>
      </c>
      <c r="B877" t="s">
        <v>9290</v>
      </c>
      <c r="C877" t="s">
        <v>5043</v>
      </c>
    </row>
    <row r="878" spans="1:3" x14ac:dyDescent="0.25">
      <c r="A878">
        <v>9959</v>
      </c>
      <c r="B878" t="s">
        <v>9290</v>
      </c>
      <c r="C878" t="s">
        <v>5043</v>
      </c>
    </row>
    <row r="879" spans="1:3" x14ac:dyDescent="0.25">
      <c r="A879">
        <v>10077</v>
      </c>
      <c r="B879" t="s">
        <v>9291</v>
      </c>
      <c r="C879" t="s">
        <v>5043</v>
      </c>
    </row>
    <row r="880" spans="1:3" x14ac:dyDescent="0.25">
      <c r="A880">
        <v>8522</v>
      </c>
      <c r="B880" t="s">
        <v>9291</v>
      </c>
      <c r="C880" t="s">
        <v>5043</v>
      </c>
    </row>
    <row r="881" spans="1:3" x14ac:dyDescent="0.25">
      <c r="A881">
        <v>11606</v>
      </c>
      <c r="B881" t="s">
        <v>9293</v>
      </c>
      <c r="C881" t="s">
        <v>5043</v>
      </c>
    </row>
    <row r="882" spans="1:3" x14ac:dyDescent="0.25">
      <c r="A882">
        <v>7829</v>
      </c>
      <c r="B882" t="s">
        <v>9294</v>
      </c>
      <c r="C882" t="s">
        <v>5043</v>
      </c>
    </row>
    <row r="883" spans="1:3" x14ac:dyDescent="0.25">
      <c r="A883">
        <v>11275</v>
      </c>
      <c r="B883" t="s">
        <v>9296</v>
      </c>
      <c r="C883" t="s">
        <v>5043</v>
      </c>
    </row>
    <row r="884" spans="1:3" x14ac:dyDescent="0.25">
      <c r="A884">
        <v>8513</v>
      </c>
      <c r="B884" t="s">
        <v>9297</v>
      </c>
      <c r="C884" t="s">
        <v>5043</v>
      </c>
    </row>
    <row r="885" spans="1:3" x14ac:dyDescent="0.25">
      <c r="A885">
        <v>9993</v>
      </c>
      <c r="B885" t="s">
        <v>9297</v>
      </c>
      <c r="C885" t="s">
        <v>5043</v>
      </c>
    </row>
    <row r="886" spans="1:3" x14ac:dyDescent="0.25">
      <c r="A886">
        <v>11360</v>
      </c>
      <c r="B886" t="s">
        <v>11103</v>
      </c>
      <c r="C886" t="s">
        <v>5043</v>
      </c>
    </row>
    <row r="887" spans="1:3" x14ac:dyDescent="0.25">
      <c r="A887">
        <v>11016</v>
      </c>
      <c r="B887" t="s">
        <v>9298</v>
      </c>
      <c r="C887" t="s">
        <v>5043</v>
      </c>
    </row>
    <row r="888" spans="1:3" x14ac:dyDescent="0.25">
      <c r="A888">
        <v>9479</v>
      </c>
      <c r="B888" t="s">
        <v>9298</v>
      </c>
      <c r="C888" t="s">
        <v>5043</v>
      </c>
    </row>
    <row r="889" spans="1:3" x14ac:dyDescent="0.25">
      <c r="A889">
        <v>10872</v>
      </c>
      <c r="B889" t="s">
        <v>9299</v>
      </c>
      <c r="C889" t="s">
        <v>5043</v>
      </c>
    </row>
    <row r="890" spans="1:3" x14ac:dyDescent="0.25">
      <c r="A890">
        <v>11887</v>
      </c>
      <c r="B890" t="s">
        <v>9379</v>
      </c>
      <c r="C890" t="s">
        <v>5043</v>
      </c>
    </row>
    <row r="891" spans="1:3" x14ac:dyDescent="0.25">
      <c r="A891">
        <v>9793</v>
      </c>
      <c r="B891" t="s">
        <v>9379</v>
      </c>
      <c r="C891" t="s">
        <v>5043</v>
      </c>
    </row>
    <row r="892" spans="1:3" x14ac:dyDescent="0.25">
      <c r="A892">
        <v>251582</v>
      </c>
      <c r="B892" t="s">
        <v>11587</v>
      </c>
      <c r="C892" t="s">
        <v>5043</v>
      </c>
    </row>
    <row r="893" spans="1:3" x14ac:dyDescent="0.25">
      <c r="A893">
        <v>251583</v>
      </c>
      <c r="B893" t="s">
        <v>11587</v>
      </c>
      <c r="C893" t="s">
        <v>5043</v>
      </c>
    </row>
    <row r="894" spans="1:3" x14ac:dyDescent="0.25">
      <c r="A894">
        <v>251584</v>
      </c>
      <c r="B894" t="s">
        <v>11587</v>
      </c>
      <c r="C894" t="s">
        <v>5043</v>
      </c>
    </row>
    <row r="895" spans="1:3" x14ac:dyDescent="0.25">
      <c r="A895">
        <v>251585</v>
      </c>
      <c r="B895" t="s">
        <v>11587</v>
      </c>
      <c r="C895" t="s">
        <v>5043</v>
      </c>
    </row>
    <row r="896" spans="1:3" x14ac:dyDescent="0.25">
      <c r="A896">
        <v>11219</v>
      </c>
      <c r="B896" t="s">
        <v>9380</v>
      </c>
      <c r="C896" t="s">
        <v>5043</v>
      </c>
    </row>
    <row r="897" spans="1:3" x14ac:dyDescent="0.25">
      <c r="A897">
        <v>6736</v>
      </c>
      <c r="B897" t="s">
        <v>9380</v>
      </c>
      <c r="C897" t="s">
        <v>5043</v>
      </c>
    </row>
    <row r="898" spans="1:3" x14ac:dyDescent="0.25">
      <c r="A898">
        <v>10607</v>
      </c>
      <c r="B898" t="s">
        <v>9381</v>
      </c>
      <c r="C898" t="s">
        <v>5043</v>
      </c>
    </row>
    <row r="899" spans="1:3" x14ac:dyDescent="0.25">
      <c r="A899">
        <v>8451</v>
      </c>
      <c r="B899" t="s">
        <v>9381</v>
      </c>
      <c r="C899" t="s">
        <v>5043</v>
      </c>
    </row>
    <row r="900" spans="1:3" x14ac:dyDescent="0.25">
      <c r="A900">
        <v>8031</v>
      </c>
      <c r="B900" t="s">
        <v>9382</v>
      </c>
      <c r="C900" t="s">
        <v>5043</v>
      </c>
    </row>
    <row r="901" spans="1:3" x14ac:dyDescent="0.25">
      <c r="A901">
        <v>11374</v>
      </c>
      <c r="B901" t="s">
        <v>9383</v>
      </c>
      <c r="C901" t="s">
        <v>5043</v>
      </c>
    </row>
    <row r="902" spans="1:3" x14ac:dyDescent="0.25">
      <c r="A902">
        <v>8074</v>
      </c>
      <c r="B902" t="s">
        <v>9384</v>
      </c>
      <c r="C902" t="s">
        <v>5043</v>
      </c>
    </row>
    <row r="903" spans="1:3" x14ac:dyDescent="0.25">
      <c r="A903">
        <v>11890</v>
      </c>
      <c r="B903" t="s">
        <v>9385</v>
      </c>
      <c r="C903" t="s">
        <v>5043</v>
      </c>
    </row>
    <row r="904" spans="1:3" x14ac:dyDescent="0.25">
      <c r="A904">
        <v>11937</v>
      </c>
      <c r="B904" t="s">
        <v>9385</v>
      </c>
      <c r="C904" t="s">
        <v>5043</v>
      </c>
    </row>
    <row r="905" spans="1:3" x14ac:dyDescent="0.25">
      <c r="A905">
        <v>8314</v>
      </c>
      <c r="B905" t="s">
        <v>9385</v>
      </c>
      <c r="C905" t="s">
        <v>5043</v>
      </c>
    </row>
    <row r="906" spans="1:3" x14ac:dyDescent="0.25">
      <c r="A906">
        <v>11497</v>
      </c>
      <c r="B906" t="s">
        <v>9386</v>
      </c>
      <c r="C906" t="s">
        <v>5043</v>
      </c>
    </row>
    <row r="907" spans="1:3" x14ac:dyDescent="0.25">
      <c r="A907">
        <v>11697</v>
      </c>
      <c r="B907" t="s">
        <v>9386</v>
      </c>
      <c r="C907" t="s">
        <v>5043</v>
      </c>
    </row>
    <row r="908" spans="1:3" x14ac:dyDescent="0.25">
      <c r="A908">
        <v>7978</v>
      </c>
      <c r="B908" t="s">
        <v>9386</v>
      </c>
      <c r="C908" t="s">
        <v>5043</v>
      </c>
    </row>
    <row r="909" spans="1:3" x14ac:dyDescent="0.25">
      <c r="A909">
        <v>10804</v>
      </c>
      <c r="B909" t="s">
        <v>9387</v>
      </c>
      <c r="C909" t="s">
        <v>5043</v>
      </c>
    </row>
    <row r="910" spans="1:3" x14ac:dyDescent="0.25">
      <c r="A910">
        <v>11883</v>
      </c>
      <c r="B910" t="s">
        <v>9388</v>
      </c>
      <c r="C910" t="s">
        <v>5043</v>
      </c>
    </row>
    <row r="911" spans="1:3" x14ac:dyDescent="0.25">
      <c r="A911">
        <v>11855</v>
      </c>
      <c r="B911" t="s">
        <v>9390</v>
      </c>
      <c r="C911" t="s">
        <v>5043</v>
      </c>
    </row>
    <row r="912" spans="1:3" x14ac:dyDescent="0.25">
      <c r="A912">
        <v>6811</v>
      </c>
      <c r="B912" t="s">
        <v>9390</v>
      </c>
      <c r="C912" t="s">
        <v>5043</v>
      </c>
    </row>
    <row r="913" spans="1:3" x14ac:dyDescent="0.25">
      <c r="A913">
        <v>6849</v>
      </c>
      <c r="B913" t="s">
        <v>9390</v>
      </c>
      <c r="C913" t="s">
        <v>5043</v>
      </c>
    </row>
    <row r="914" spans="1:3" x14ac:dyDescent="0.25">
      <c r="A914">
        <v>9225</v>
      </c>
      <c r="B914" t="s">
        <v>9390</v>
      </c>
      <c r="C914" t="s">
        <v>5043</v>
      </c>
    </row>
    <row r="915" spans="1:3" x14ac:dyDescent="0.25">
      <c r="A915">
        <v>9509</v>
      </c>
      <c r="B915" t="s">
        <v>9390</v>
      </c>
      <c r="C915" t="s">
        <v>5043</v>
      </c>
    </row>
    <row r="916" spans="1:3" x14ac:dyDescent="0.25">
      <c r="A916">
        <v>10099</v>
      </c>
      <c r="B916" t="s">
        <v>9391</v>
      </c>
      <c r="C916" t="s">
        <v>5043</v>
      </c>
    </row>
    <row r="917" spans="1:3" x14ac:dyDescent="0.25">
      <c r="A917">
        <v>10297</v>
      </c>
      <c r="B917" t="s">
        <v>9391</v>
      </c>
      <c r="C917" t="s">
        <v>5043</v>
      </c>
    </row>
    <row r="918" spans="1:3" x14ac:dyDescent="0.25">
      <c r="A918">
        <v>6831</v>
      </c>
      <c r="B918" t="s">
        <v>9391</v>
      </c>
      <c r="C918" t="s">
        <v>5043</v>
      </c>
    </row>
    <row r="919" spans="1:3" x14ac:dyDescent="0.25">
      <c r="A919">
        <v>7034</v>
      </c>
      <c r="B919" t="s">
        <v>9391</v>
      </c>
      <c r="C919" t="s">
        <v>5043</v>
      </c>
    </row>
    <row r="920" spans="1:3" x14ac:dyDescent="0.25">
      <c r="A920">
        <v>7379</v>
      </c>
      <c r="B920" t="s">
        <v>9391</v>
      </c>
      <c r="C920" t="s">
        <v>5043</v>
      </c>
    </row>
    <row r="921" spans="1:3" x14ac:dyDescent="0.25">
      <c r="A921">
        <v>8284</v>
      </c>
      <c r="B921" t="s">
        <v>9391</v>
      </c>
      <c r="C921" t="s">
        <v>5043</v>
      </c>
    </row>
    <row r="922" spans="1:3" x14ac:dyDescent="0.25">
      <c r="A922">
        <v>9155</v>
      </c>
      <c r="B922" t="s">
        <v>9391</v>
      </c>
      <c r="C922" t="s">
        <v>5043</v>
      </c>
    </row>
    <row r="923" spans="1:3" x14ac:dyDescent="0.25">
      <c r="A923">
        <v>9400</v>
      </c>
      <c r="B923" t="s">
        <v>9391</v>
      </c>
      <c r="C923" t="s">
        <v>5043</v>
      </c>
    </row>
    <row r="924" spans="1:3" x14ac:dyDescent="0.25">
      <c r="A924">
        <v>10150</v>
      </c>
      <c r="B924" t="s">
        <v>9392</v>
      </c>
      <c r="C924" t="s">
        <v>5043</v>
      </c>
    </row>
    <row r="925" spans="1:3" x14ac:dyDescent="0.25">
      <c r="A925">
        <v>11542</v>
      </c>
      <c r="B925" t="s">
        <v>9393</v>
      </c>
      <c r="C925" t="s">
        <v>5043</v>
      </c>
    </row>
    <row r="926" spans="1:3" x14ac:dyDescent="0.25">
      <c r="A926">
        <v>9684</v>
      </c>
      <c r="B926" t="s">
        <v>9393</v>
      </c>
      <c r="C926" t="s">
        <v>5043</v>
      </c>
    </row>
    <row r="927" spans="1:3" x14ac:dyDescent="0.25">
      <c r="A927">
        <v>11863</v>
      </c>
      <c r="B927" t="s">
        <v>9394</v>
      </c>
      <c r="C927" t="s">
        <v>5043</v>
      </c>
    </row>
    <row r="928" spans="1:3" x14ac:dyDescent="0.25">
      <c r="A928">
        <v>7214</v>
      </c>
      <c r="B928" t="s">
        <v>9394</v>
      </c>
      <c r="C928" t="s">
        <v>5043</v>
      </c>
    </row>
    <row r="929" spans="1:3" x14ac:dyDescent="0.25">
      <c r="A929">
        <v>7064</v>
      </c>
      <c r="B929" t="s">
        <v>9395</v>
      </c>
      <c r="C929" t="s">
        <v>5043</v>
      </c>
    </row>
    <row r="930" spans="1:3" x14ac:dyDescent="0.25">
      <c r="A930">
        <v>9713</v>
      </c>
      <c r="B930" t="s">
        <v>9395</v>
      </c>
      <c r="C930" t="s">
        <v>5043</v>
      </c>
    </row>
    <row r="931" spans="1:3" x14ac:dyDescent="0.25">
      <c r="A931">
        <v>9898</v>
      </c>
      <c r="B931" t="s">
        <v>11142</v>
      </c>
      <c r="C931" t="s">
        <v>5043</v>
      </c>
    </row>
    <row r="932" spans="1:3" x14ac:dyDescent="0.25">
      <c r="A932">
        <v>10965</v>
      </c>
      <c r="B932" t="s">
        <v>9396</v>
      </c>
      <c r="C932" t="s">
        <v>5043</v>
      </c>
    </row>
    <row r="933" spans="1:3" x14ac:dyDescent="0.25">
      <c r="A933">
        <v>10065</v>
      </c>
      <c r="B933" t="s">
        <v>11147</v>
      </c>
      <c r="C933" t="s">
        <v>5043</v>
      </c>
    </row>
    <row r="934" spans="1:3" x14ac:dyDescent="0.25">
      <c r="A934">
        <v>10051</v>
      </c>
      <c r="B934" t="s">
        <v>11148</v>
      </c>
      <c r="C934" t="s">
        <v>5043</v>
      </c>
    </row>
    <row r="935" spans="1:3" x14ac:dyDescent="0.25">
      <c r="A935">
        <v>10957</v>
      </c>
      <c r="B935" t="s">
        <v>11148</v>
      </c>
      <c r="C935" t="s">
        <v>5043</v>
      </c>
    </row>
    <row r="936" spans="1:3" x14ac:dyDescent="0.25">
      <c r="A936">
        <v>11094</v>
      </c>
      <c r="B936" t="s">
        <v>11148</v>
      </c>
      <c r="C936" t="s">
        <v>5043</v>
      </c>
    </row>
    <row r="937" spans="1:3" x14ac:dyDescent="0.25">
      <c r="A937">
        <v>7028</v>
      </c>
      <c r="B937" t="s">
        <v>11148</v>
      </c>
      <c r="C937" t="s">
        <v>5043</v>
      </c>
    </row>
    <row r="938" spans="1:3" x14ac:dyDescent="0.25">
      <c r="A938">
        <v>7887</v>
      </c>
      <c r="B938" t="s">
        <v>11148</v>
      </c>
      <c r="C938" t="s">
        <v>5043</v>
      </c>
    </row>
    <row r="939" spans="1:3" x14ac:dyDescent="0.25">
      <c r="A939">
        <v>8305</v>
      </c>
      <c r="B939" t="s">
        <v>11148</v>
      </c>
      <c r="C939" t="s">
        <v>5043</v>
      </c>
    </row>
    <row r="940" spans="1:3" x14ac:dyDescent="0.25">
      <c r="A940">
        <v>9194</v>
      </c>
      <c r="B940" t="s">
        <v>11148</v>
      </c>
      <c r="C940" t="s">
        <v>5043</v>
      </c>
    </row>
    <row r="941" spans="1:3" x14ac:dyDescent="0.25">
      <c r="A941">
        <v>9877</v>
      </c>
      <c r="B941" t="s">
        <v>11148</v>
      </c>
      <c r="C941" t="s">
        <v>5043</v>
      </c>
    </row>
    <row r="942" spans="1:3" x14ac:dyDescent="0.25">
      <c r="A942">
        <v>6671</v>
      </c>
      <c r="B942" t="s">
        <v>9397</v>
      </c>
      <c r="C942" t="s">
        <v>5043</v>
      </c>
    </row>
    <row r="943" spans="1:3" x14ac:dyDescent="0.25">
      <c r="A943">
        <v>9442</v>
      </c>
      <c r="B943" t="s">
        <v>9397</v>
      </c>
      <c r="C943" t="s">
        <v>5043</v>
      </c>
    </row>
    <row r="944" spans="1:3" x14ac:dyDescent="0.25">
      <c r="A944">
        <v>10095</v>
      </c>
      <c r="B944" t="s">
        <v>9398</v>
      </c>
      <c r="C944" t="s">
        <v>5043</v>
      </c>
    </row>
    <row r="945" spans="1:3" x14ac:dyDescent="0.25">
      <c r="A945">
        <v>11203</v>
      </c>
      <c r="B945" t="s">
        <v>9398</v>
      </c>
      <c r="C945" t="s">
        <v>5043</v>
      </c>
    </row>
    <row r="946" spans="1:3" x14ac:dyDescent="0.25">
      <c r="A946">
        <v>11208</v>
      </c>
      <c r="B946" t="s">
        <v>9398</v>
      </c>
      <c r="C946" t="s">
        <v>5043</v>
      </c>
    </row>
    <row r="947" spans="1:3" x14ac:dyDescent="0.25">
      <c r="A947">
        <v>11430</v>
      </c>
      <c r="B947" t="s">
        <v>9398</v>
      </c>
      <c r="C947" t="s">
        <v>5043</v>
      </c>
    </row>
    <row r="948" spans="1:3" x14ac:dyDescent="0.25">
      <c r="A948">
        <v>7378</v>
      </c>
      <c r="B948" t="s">
        <v>9398</v>
      </c>
      <c r="C948" t="s">
        <v>5043</v>
      </c>
    </row>
    <row r="949" spans="1:3" x14ac:dyDescent="0.25">
      <c r="A949">
        <v>7862</v>
      </c>
      <c r="B949" t="s">
        <v>9398</v>
      </c>
      <c r="C949" t="s">
        <v>5043</v>
      </c>
    </row>
    <row r="950" spans="1:3" x14ac:dyDescent="0.25">
      <c r="A950">
        <v>8213</v>
      </c>
      <c r="B950" t="s">
        <v>9398</v>
      </c>
      <c r="C950" t="s">
        <v>5043</v>
      </c>
    </row>
    <row r="951" spans="1:3" x14ac:dyDescent="0.25">
      <c r="A951">
        <v>8551</v>
      </c>
      <c r="B951" t="s">
        <v>9398</v>
      </c>
      <c r="C951" t="s">
        <v>5043</v>
      </c>
    </row>
    <row r="952" spans="1:3" x14ac:dyDescent="0.25">
      <c r="A952">
        <v>8865</v>
      </c>
      <c r="B952" t="s">
        <v>9398</v>
      </c>
      <c r="C952" t="s">
        <v>5043</v>
      </c>
    </row>
    <row r="953" spans="1:3" x14ac:dyDescent="0.25">
      <c r="A953">
        <v>11263</v>
      </c>
      <c r="B953" t="s">
        <v>9399</v>
      </c>
      <c r="C953" t="s">
        <v>5043</v>
      </c>
    </row>
    <row r="954" spans="1:3" x14ac:dyDescent="0.25">
      <c r="A954">
        <v>7403</v>
      </c>
      <c r="B954" t="s">
        <v>9399</v>
      </c>
      <c r="C954" t="s">
        <v>5043</v>
      </c>
    </row>
    <row r="955" spans="1:3" x14ac:dyDescent="0.25">
      <c r="A955">
        <v>8322</v>
      </c>
      <c r="B955" t="s">
        <v>9399</v>
      </c>
      <c r="C955" t="s">
        <v>5043</v>
      </c>
    </row>
    <row r="956" spans="1:3" x14ac:dyDescent="0.25">
      <c r="A956">
        <v>8443</v>
      </c>
      <c r="B956" t="s">
        <v>9399</v>
      </c>
      <c r="C956" t="s">
        <v>5043</v>
      </c>
    </row>
    <row r="957" spans="1:3" x14ac:dyDescent="0.25">
      <c r="A957">
        <v>9074</v>
      </c>
      <c r="B957" t="s">
        <v>9399</v>
      </c>
      <c r="C957" t="s">
        <v>5043</v>
      </c>
    </row>
    <row r="958" spans="1:3" x14ac:dyDescent="0.25">
      <c r="A958">
        <v>9899</v>
      </c>
      <c r="B958" t="s">
        <v>9399</v>
      </c>
      <c r="C958" t="s">
        <v>5043</v>
      </c>
    </row>
    <row r="959" spans="1:3" x14ac:dyDescent="0.25">
      <c r="A959">
        <v>12097</v>
      </c>
      <c r="B959" t="s">
        <v>9400</v>
      </c>
      <c r="C959" t="s">
        <v>5043</v>
      </c>
    </row>
    <row r="960" spans="1:3" x14ac:dyDescent="0.25">
      <c r="A960">
        <v>10236</v>
      </c>
      <c r="B960" t="s">
        <v>9401</v>
      </c>
      <c r="C960" t="s">
        <v>5043</v>
      </c>
    </row>
    <row r="961" spans="1:3" x14ac:dyDescent="0.25">
      <c r="A961">
        <v>10464</v>
      </c>
      <c r="B961" t="s">
        <v>9401</v>
      </c>
      <c r="C961" t="s">
        <v>5043</v>
      </c>
    </row>
    <row r="962" spans="1:3" x14ac:dyDescent="0.25">
      <c r="A962">
        <v>12110</v>
      </c>
      <c r="B962" t="s">
        <v>9401</v>
      </c>
      <c r="C962" t="s">
        <v>5043</v>
      </c>
    </row>
    <row r="963" spans="1:3" x14ac:dyDescent="0.25">
      <c r="A963">
        <v>6789</v>
      </c>
      <c r="B963" t="s">
        <v>9401</v>
      </c>
      <c r="C963" t="s">
        <v>5043</v>
      </c>
    </row>
    <row r="964" spans="1:3" x14ac:dyDescent="0.25">
      <c r="A964">
        <v>6970</v>
      </c>
      <c r="B964" t="s">
        <v>9401</v>
      </c>
      <c r="C964" t="s">
        <v>5043</v>
      </c>
    </row>
    <row r="965" spans="1:3" x14ac:dyDescent="0.25">
      <c r="A965">
        <v>7013</v>
      </c>
      <c r="B965" t="s">
        <v>9401</v>
      </c>
      <c r="C965" t="s">
        <v>5043</v>
      </c>
    </row>
    <row r="966" spans="1:3" x14ac:dyDescent="0.25">
      <c r="A966">
        <v>8472</v>
      </c>
      <c r="B966" t="s">
        <v>9401</v>
      </c>
      <c r="C966" t="s">
        <v>5043</v>
      </c>
    </row>
    <row r="967" spans="1:3" x14ac:dyDescent="0.25">
      <c r="A967">
        <v>10183</v>
      </c>
      <c r="B967" t="s">
        <v>11159</v>
      </c>
      <c r="C967" t="s">
        <v>5043</v>
      </c>
    </row>
    <row r="968" spans="1:3" x14ac:dyDescent="0.25">
      <c r="A968">
        <v>8566</v>
      </c>
      <c r="B968" t="s">
        <v>11159</v>
      </c>
      <c r="C968" t="s">
        <v>5043</v>
      </c>
    </row>
    <row r="969" spans="1:3" x14ac:dyDescent="0.25">
      <c r="A969">
        <v>11506</v>
      </c>
      <c r="B969" t="s">
        <v>11173</v>
      </c>
      <c r="C969" t="s">
        <v>5043</v>
      </c>
    </row>
    <row r="970" spans="1:3" x14ac:dyDescent="0.25">
      <c r="A970">
        <v>11627</v>
      </c>
      <c r="B970" t="s">
        <v>9411</v>
      </c>
      <c r="C970" t="s">
        <v>5043</v>
      </c>
    </row>
    <row r="971" spans="1:3" x14ac:dyDescent="0.25">
      <c r="A971">
        <v>10591</v>
      </c>
      <c r="B971" t="s">
        <v>9412</v>
      </c>
      <c r="C971" t="s">
        <v>5043</v>
      </c>
    </row>
    <row r="972" spans="1:3" x14ac:dyDescent="0.25">
      <c r="A972">
        <v>9444</v>
      </c>
      <c r="B972" t="s">
        <v>9412</v>
      </c>
      <c r="C972" t="s">
        <v>5043</v>
      </c>
    </row>
    <row r="973" spans="1:3" x14ac:dyDescent="0.25">
      <c r="A973">
        <v>10745</v>
      </c>
      <c r="B973" t="s">
        <v>9414</v>
      </c>
      <c r="C973" t="s">
        <v>5043</v>
      </c>
    </row>
    <row r="974" spans="1:3" x14ac:dyDescent="0.25">
      <c r="A974">
        <v>11273</v>
      </c>
      <c r="B974" t="s">
        <v>9414</v>
      </c>
      <c r="C974" t="s">
        <v>5043</v>
      </c>
    </row>
    <row r="975" spans="1:3" x14ac:dyDescent="0.25">
      <c r="A975">
        <v>11955</v>
      </c>
      <c r="B975" t="s">
        <v>9414</v>
      </c>
      <c r="C975" t="s">
        <v>5043</v>
      </c>
    </row>
    <row r="976" spans="1:3" x14ac:dyDescent="0.25">
      <c r="A976">
        <v>7322</v>
      </c>
      <c r="B976" t="s">
        <v>9414</v>
      </c>
      <c r="C976" t="s">
        <v>5043</v>
      </c>
    </row>
    <row r="977" spans="1:3" x14ac:dyDescent="0.25">
      <c r="A977">
        <v>7355</v>
      </c>
      <c r="B977" t="s">
        <v>9414</v>
      </c>
      <c r="C977" t="s">
        <v>5043</v>
      </c>
    </row>
    <row r="978" spans="1:3" x14ac:dyDescent="0.25">
      <c r="A978">
        <v>7426</v>
      </c>
      <c r="B978" t="s">
        <v>9414</v>
      </c>
      <c r="C978" t="s">
        <v>5043</v>
      </c>
    </row>
    <row r="979" spans="1:3" x14ac:dyDescent="0.25">
      <c r="A979">
        <v>7618</v>
      </c>
      <c r="B979" t="s">
        <v>9414</v>
      </c>
      <c r="C979" t="s">
        <v>5043</v>
      </c>
    </row>
    <row r="980" spans="1:3" x14ac:dyDescent="0.25">
      <c r="A980">
        <v>8038</v>
      </c>
      <c r="B980" t="s">
        <v>9414</v>
      </c>
      <c r="C980" t="s">
        <v>5043</v>
      </c>
    </row>
    <row r="981" spans="1:3" x14ac:dyDescent="0.25">
      <c r="A981">
        <v>8180</v>
      </c>
      <c r="B981" t="s">
        <v>9414</v>
      </c>
      <c r="C981" t="s">
        <v>5043</v>
      </c>
    </row>
    <row r="982" spans="1:3" x14ac:dyDescent="0.25">
      <c r="A982">
        <v>8357</v>
      </c>
      <c r="B982" t="s">
        <v>9414</v>
      </c>
      <c r="C982" t="s">
        <v>5043</v>
      </c>
    </row>
    <row r="983" spans="1:3" x14ac:dyDescent="0.25">
      <c r="A983">
        <v>8748</v>
      </c>
      <c r="B983" t="s">
        <v>9414</v>
      </c>
      <c r="C983" t="s">
        <v>5043</v>
      </c>
    </row>
    <row r="984" spans="1:3" x14ac:dyDescent="0.25">
      <c r="A984">
        <v>9288</v>
      </c>
      <c r="B984" t="s">
        <v>9414</v>
      </c>
      <c r="C984" t="s">
        <v>5043</v>
      </c>
    </row>
    <row r="985" spans="1:3" x14ac:dyDescent="0.25">
      <c r="A985">
        <v>9500</v>
      </c>
      <c r="B985" t="s">
        <v>9414</v>
      </c>
      <c r="C985" t="s">
        <v>5043</v>
      </c>
    </row>
    <row r="986" spans="1:3" x14ac:dyDescent="0.25">
      <c r="A986">
        <v>9668</v>
      </c>
      <c r="B986" t="s">
        <v>9414</v>
      </c>
      <c r="C986" t="s">
        <v>5043</v>
      </c>
    </row>
    <row r="987" spans="1:3" x14ac:dyDescent="0.25">
      <c r="A987">
        <v>10442</v>
      </c>
      <c r="B987" t="s">
        <v>9415</v>
      </c>
      <c r="C987" t="s">
        <v>5043</v>
      </c>
    </row>
    <row r="988" spans="1:3" x14ac:dyDescent="0.25">
      <c r="A988">
        <v>10931</v>
      </c>
      <c r="B988" t="s">
        <v>9415</v>
      </c>
      <c r="C988" t="s">
        <v>5043</v>
      </c>
    </row>
    <row r="989" spans="1:3" x14ac:dyDescent="0.25">
      <c r="A989">
        <v>11418</v>
      </c>
      <c r="B989" t="s">
        <v>9415</v>
      </c>
      <c r="C989" t="s">
        <v>5043</v>
      </c>
    </row>
    <row r="990" spans="1:3" x14ac:dyDescent="0.25">
      <c r="A990">
        <v>11422</v>
      </c>
      <c r="B990" t="s">
        <v>9415</v>
      </c>
      <c r="C990" t="s">
        <v>5043</v>
      </c>
    </row>
    <row r="991" spans="1:3" x14ac:dyDescent="0.25">
      <c r="A991">
        <v>11576</v>
      </c>
      <c r="B991" t="s">
        <v>9415</v>
      </c>
      <c r="C991" t="s">
        <v>5043</v>
      </c>
    </row>
    <row r="992" spans="1:3" x14ac:dyDescent="0.25">
      <c r="A992">
        <v>6862</v>
      </c>
      <c r="B992" t="s">
        <v>9415</v>
      </c>
      <c r="C992" t="s">
        <v>5043</v>
      </c>
    </row>
    <row r="993" spans="1:3" x14ac:dyDescent="0.25">
      <c r="A993">
        <v>6927</v>
      </c>
      <c r="B993" t="s">
        <v>9415</v>
      </c>
      <c r="C993" t="s">
        <v>5043</v>
      </c>
    </row>
    <row r="994" spans="1:3" x14ac:dyDescent="0.25">
      <c r="A994">
        <v>7066</v>
      </c>
      <c r="B994" t="s">
        <v>9415</v>
      </c>
      <c r="C994" t="s">
        <v>5043</v>
      </c>
    </row>
    <row r="995" spans="1:3" x14ac:dyDescent="0.25">
      <c r="A995">
        <v>7994</v>
      </c>
      <c r="B995" t="s">
        <v>9415</v>
      </c>
      <c r="C995" t="s">
        <v>5043</v>
      </c>
    </row>
    <row r="996" spans="1:3" x14ac:dyDescent="0.25">
      <c r="A996">
        <v>8325</v>
      </c>
      <c r="B996" t="s">
        <v>9415</v>
      </c>
      <c r="C996" t="s">
        <v>5043</v>
      </c>
    </row>
    <row r="997" spans="1:3" x14ac:dyDescent="0.25">
      <c r="A997">
        <v>8569</v>
      </c>
      <c r="B997" t="s">
        <v>9415</v>
      </c>
      <c r="C997" t="s">
        <v>5043</v>
      </c>
    </row>
    <row r="998" spans="1:3" x14ac:dyDescent="0.25">
      <c r="A998">
        <v>8774</v>
      </c>
      <c r="B998" t="s">
        <v>9415</v>
      </c>
      <c r="C998" t="s">
        <v>5043</v>
      </c>
    </row>
    <row r="999" spans="1:3" x14ac:dyDescent="0.25">
      <c r="A999">
        <v>8973</v>
      </c>
      <c r="B999" t="s">
        <v>9415</v>
      </c>
      <c r="C999" t="s">
        <v>5043</v>
      </c>
    </row>
    <row r="1000" spans="1:3" x14ac:dyDescent="0.25">
      <c r="A1000">
        <v>8119</v>
      </c>
      <c r="B1000" t="s">
        <v>9416</v>
      </c>
      <c r="C1000" t="s">
        <v>5043</v>
      </c>
    </row>
    <row r="1001" spans="1:3" x14ac:dyDescent="0.25">
      <c r="A1001">
        <v>9843</v>
      </c>
      <c r="B1001" t="s">
        <v>9416</v>
      </c>
      <c r="C1001" t="s">
        <v>5043</v>
      </c>
    </row>
    <row r="1002" spans="1:3" x14ac:dyDescent="0.25">
      <c r="A1002">
        <v>251546</v>
      </c>
      <c r="B1002" t="s">
        <v>11589</v>
      </c>
      <c r="C1002" t="s">
        <v>5043</v>
      </c>
    </row>
    <row r="1003" spans="1:3" x14ac:dyDescent="0.25">
      <c r="A1003">
        <v>251547</v>
      </c>
      <c r="B1003" t="s">
        <v>11589</v>
      </c>
      <c r="C1003" t="s">
        <v>5043</v>
      </c>
    </row>
    <row r="1004" spans="1:3" x14ac:dyDescent="0.25">
      <c r="A1004">
        <v>251548</v>
      </c>
      <c r="B1004" t="s">
        <v>11589</v>
      </c>
      <c r="C1004" t="s">
        <v>5043</v>
      </c>
    </row>
    <row r="1005" spans="1:3" x14ac:dyDescent="0.25">
      <c r="A1005">
        <v>251550</v>
      </c>
      <c r="B1005" t="s">
        <v>11589</v>
      </c>
      <c r="C1005" t="s">
        <v>5043</v>
      </c>
    </row>
    <row r="1006" spans="1:3" x14ac:dyDescent="0.25">
      <c r="A1006">
        <v>251551</v>
      </c>
      <c r="B1006" t="s">
        <v>11589</v>
      </c>
      <c r="C1006" t="s">
        <v>5043</v>
      </c>
    </row>
    <row r="1007" spans="1:3" x14ac:dyDescent="0.25">
      <c r="A1007">
        <v>251552</v>
      </c>
      <c r="B1007" t="s">
        <v>11589</v>
      </c>
      <c r="C1007" t="s">
        <v>5043</v>
      </c>
    </row>
    <row r="1008" spans="1:3" x14ac:dyDescent="0.25">
      <c r="A1008">
        <v>251554</v>
      </c>
      <c r="B1008" t="s">
        <v>11589</v>
      </c>
      <c r="C1008" t="s">
        <v>5043</v>
      </c>
    </row>
    <row r="1009" spans="1:3" x14ac:dyDescent="0.25">
      <c r="A1009">
        <v>251555</v>
      </c>
      <c r="B1009" t="s">
        <v>11589</v>
      </c>
      <c r="C1009" t="s">
        <v>5043</v>
      </c>
    </row>
    <row r="1010" spans="1:3" x14ac:dyDescent="0.25">
      <c r="A1010">
        <v>251556</v>
      </c>
      <c r="B1010" t="s">
        <v>11589</v>
      </c>
      <c r="C1010" t="s">
        <v>5043</v>
      </c>
    </row>
    <row r="1011" spans="1:3" x14ac:dyDescent="0.25">
      <c r="A1011">
        <v>251558</v>
      </c>
      <c r="B1011" t="s">
        <v>11589</v>
      </c>
      <c r="C1011" t="s">
        <v>5043</v>
      </c>
    </row>
    <row r="1012" spans="1:3" x14ac:dyDescent="0.25">
      <c r="A1012">
        <v>251559</v>
      </c>
      <c r="B1012" t="s">
        <v>11589</v>
      </c>
      <c r="C1012" t="s">
        <v>5043</v>
      </c>
    </row>
    <row r="1013" spans="1:3" x14ac:dyDescent="0.25">
      <c r="A1013">
        <v>251560</v>
      </c>
      <c r="B1013" t="s">
        <v>11589</v>
      </c>
      <c r="C1013" t="s">
        <v>5043</v>
      </c>
    </row>
    <row r="1014" spans="1:3" x14ac:dyDescent="0.25">
      <c r="A1014">
        <v>251562</v>
      </c>
      <c r="B1014" t="s">
        <v>11589</v>
      </c>
      <c r="C1014" t="s">
        <v>5043</v>
      </c>
    </row>
    <row r="1015" spans="1:3" x14ac:dyDescent="0.25">
      <c r="A1015">
        <v>251563</v>
      </c>
      <c r="B1015" t="s">
        <v>11589</v>
      </c>
      <c r="C1015" t="s">
        <v>5043</v>
      </c>
    </row>
    <row r="1016" spans="1:3" x14ac:dyDescent="0.25">
      <c r="A1016">
        <v>251564</v>
      </c>
      <c r="B1016" t="s">
        <v>11589</v>
      </c>
      <c r="C1016" t="s">
        <v>5043</v>
      </c>
    </row>
    <row r="1017" spans="1:3" x14ac:dyDescent="0.25">
      <c r="A1017">
        <v>251565</v>
      </c>
      <c r="B1017" t="s">
        <v>11589</v>
      </c>
      <c r="C1017" t="s">
        <v>5043</v>
      </c>
    </row>
    <row r="1018" spans="1:3" x14ac:dyDescent="0.25">
      <c r="A1018">
        <v>251566</v>
      </c>
      <c r="B1018" t="s">
        <v>11589</v>
      </c>
      <c r="C1018" t="s">
        <v>5043</v>
      </c>
    </row>
    <row r="1019" spans="1:3" x14ac:dyDescent="0.25">
      <c r="A1019">
        <v>251567</v>
      </c>
      <c r="B1019" t="s">
        <v>11589</v>
      </c>
      <c r="C1019" t="s">
        <v>5043</v>
      </c>
    </row>
    <row r="1020" spans="1:3" x14ac:dyDescent="0.25">
      <c r="A1020">
        <v>251568</v>
      </c>
      <c r="B1020" t="s">
        <v>11589</v>
      </c>
      <c r="C1020" t="s">
        <v>5043</v>
      </c>
    </row>
    <row r="1021" spans="1:3" x14ac:dyDescent="0.25">
      <c r="A1021">
        <v>12512</v>
      </c>
      <c r="B1021" t="s">
        <v>11590</v>
      </c>
      <c r="C1021" t="s">
        <v>5043</v>
      </c>
    </row>
    <row r="1022" spans="1:3" x14ac:dyDescent="0.25">
      <c r="A1022">
        <v>12513</v>
      </c>
      <c r="B1022" t="s">
        <v>11590</v>
      </c>
      <c r="C1022" t="s">
        <v>5043</v>
      </c>
    </row>
    <row r="1023" spans="1:3" x14ac:dyDescent="0.25">
      <c r="A1023">
        <v>12514</v>
      </c>
      <c r="B1023" t="s">
        <v>11590</v>
      </c>
      <c r="C1023" t="s">
        <v>5043</v>
      </c>
    </row>
    <row r="1024" spans="1:3" x14ac:dyDescent="0.25">
      <c r="A1024">
        <v>12515</v>
      </c>
      <c r="B1024" t="s">
        <v>11590</v>
      </c>
      <c r="C1024" t="s">
        <v>5043</v>
      </c>
    </row>
    <row r="1025" spans="1:3" x14ac:dyDescent="0.25">
      <c r="A1025">
        <v>12516</v>
      </c>
      <c r="B1025" t="s">
        <v>11590</v>
      </c>
      <c r="C1025" t="s">
        <v>5043</v>
      </c>
    </row>
    <row r="1026" spans="1:3" x14ac:dyDescent="0.25">
      <c r="A1026">
        <v>12517</v>
      </c>
      <c r="B1026" t="s">
        <v>11590</v>
      </c>
      <c r="C1026" t="s">
        <v>5043</v>
      </c>
    </row>
    <row r="1027" spans="1:3" x14ac:dyDescent="0.25">
      <c r="A1027">
        <v>12518</v>
      </c>
      <c r="B1027" t="s">
        <v>11590</v>
      </c>
      <c r="C1027" t="s">
        <v>5043</v>
      </c>
    </row>
    <row r="1028" spans="1:3" x14ac:dyDescent="0.25">
      <c r="A1028">
        <v>12519</v>
      </c>
      <c r="B1028" t="s">
        <v>11590</v>
      </c>
      <c r="C1028" t="s">
        <v>5043</v>
      </c>
    </row>
    <row r="1029" spans="1:3" x14ac:dyDescent="0.25">
      <c r="A1029">
        <v>12520</v>
      </c>
      <c r="B1029" t="s">
        <v>11590</v>
      </c>
      <c r="C1029" t="s">
        <v>5043</v>
      </c>
    </row>
    <row r="1030" spans="1:3" x14ac:dyDescent="0.25">
      <c r="A1030">
        <v>12521</v>
      </c>
      <c r="B1030" t="s">
        <v>11590</v>
      </c>
      <c r="C1030" t="s">
        <v>5043</v>
      </c>
    </row>
    <row r="1031" spans="1:3" x14ac:dyDescent="0.25">
      <c r="A1031">
        <v>12522</v>
      </c>
      <c r="B1031" t="s">
        <v>11590</v>
      </c>
      <c r="C1031" t="s">
        <v>5043</v>
      </c>
    </row>
    <row r="1032" spans="1:3" x14ac:dyDescent="0.25">
      <c r="A1032">
        <v>12523</v>
      </c>
      <c r="B1032" t="s">
        <v>11590</v>
      </c>
      <c r="C1032" t="s">
        <v>5043</v>
      </c>
    </row>
    <row r="1033" spans="1:3" x14ac:dyDescent="0.25">
      <c r="A1033">
        <v>12524</v>
      </c>
      <c r="B1033" t="s">
        <v>11590</v>
      </c>
      <c r="C1033" t="s">
        <v>5043</v>
      </c>
    </row>
    <row r="1034" spans="1:3" x14ac:dyDescent="0.25">
      <c r="A1034">
        <v>12525</v>
      </c>
      <c r="B1034" t="s">
        <v>11590</v>
      </c>
      <c r="C1034" t="s">
        <v>5043</v>
      </c>
    </row>
    <row r="1035" spans="1:3" x14ac:dyDescent="0.25">
      <c r="A1035">
        <v>10320</v>
      </c>
      <c r="B1035" t="s">
        <v>9424</v>
      </c>
      <c r="C1035" t="s">
        <v>5043</v>
      </c>
    </row>
    <row r="1036" spans="1:3" x14ac:dyDescent="0.25">
      <c r="A1036">
        <v>6769</v>
      </c>
      <c r="B1036" t="s">
        <v>9424</v>
      </c>
      <c r="C1036" t="s">
        <v>5043</v>
      </c>
    </row>
    <row r="1037" spans="1:3" x14ac:dyDescent="0.25">
      <c r="A1037">
        <v>10076</v>
      </c>
      <c r="B1037" t="s">
        <v>9425</v>
      </c>
      <c r="C1037" t="s">
        <v>5043</v>
      </c>
    </row>
    <row r="1038" spans="1:3" x14ac:dyDescent="0.25">
      <c r="A1038">
        <v>10122</v>
      </c>
      <c r="B1038" t="s">
        <v>9425</v>
      </c>
      <c r="C1038" t="s">
        <v>5043</v>
      </c>
    </row>
    <row r="1039" spans="1:3" x14ac:dyDescent="0.25">
      <c r="A1039">
        <v>11033</v>
      </c>
      <c r="B1039" t="s">
        <v>9425</v>
      </c>
      <c r="C1039" t="s">
        <v>5043</v>
      </c>
    </row>
    <row r="1040" spans="1:3" x14ac:dyDescent="0.25">
      <c r="A1040">
        <v>11825</v>
      </c>
      <c r="B1040" t="s">
        <v>9425</v>
      </c>
      <c r="C1040" t="s">
        <v>5043</v>
      </c>
    </row>
    <row r="1041" spans="1:3" x14ac:dyDescent="0.25">
      <c r="A1041">
        <v>8655</v>
      </c>
      <c r="B1041" t="s">
        <v>9425</v>
      </c>
      <c r="C1041" t="s">
        <v>5043</v>
      </c>
    </row>
    <row r="1042" spans="1:3" x14ac:dyDescent="0.25">
      <c r="A1042">
        <v>10004</v>
      </c>
      <c r="B1042" t="s">
        <v>9426</v>
      </c>
      <c r="C1042" t="s">
        <v>5043</v>
      </c>
    </row>
    <row r="1043" spans="1:3" x14ac:dyDescent="0.25">
      <c r="A1043">
        <v>7385</v>
      </c>
      <c r="B1043" t="s">
        <v>9426</v>
      </c>
      <c r="C1043" t="s">
        <v>5043</v>
      </c>
    </row>
    <row r="1044" spans="1:3" x14ac:dyDescent="0.25">
      <c r="A1044">
        <v>10259</v>
      </c>
      <c r="B1044" t="s">
        <v>9427</v>
      </c>
      <c r="C1044" t="s">
        <v>5043</v>
      </c>
    </row>
    <row r="1045" spans="1:3" x14ac:dyDescent="0.25">
      <c r="A1045">
        <v>10698</v>
      </c>
      <c r="B1045" t="s">
        <v>9427</v>
      </c>
      <c r="C1045" t="s">
        <v>5043</v>
      </c>
    </row>
    <row r="1046" spans="1:3" x14ac:dyDescent="0.25">
      <c r="A1046">
        <v>11022</v>
      </c>
      <c r="B1046" t="s">
        <v>9427</v>
      </c>
      <c r="C1046" t="s">
        <v>5043</v>
      </c>
    </row>
    <row r="1047" spans="1:3" x14ac:dyDescent="0.25">
      <c r="A1047">
        <v>6668</v>
      </c>
      <c r="B1047" t="s">
        <v>9427</v>
      </c>
      <c r="C1047" t="s">
        <v>5043</v>
      </c>
    </row>
    <row r="1048" spans="1:3" x14ac:dyDescent="0.25">
      <c r="A1048">
        <v>7632</v>
      </c>
      <c r="B1048" t="s">
        <v>9427</v>
      </c>
      <c r="C1048" t="s">
        <v>5043</v>
      </c>
    </row>
    <row r="1049" spans="1:3" x14ac:dyDescent="0.25">
      <c r="A1049">
        <v>9507</v>
      </c>
      <c r="B1049" t="s">
        <v>9427</v>
      </c>
      <c r="C1049" t="s">
        <v>5043</v>
      </c>
    </row>
    <row r="1050" spans="1:3" x14ac:dyDescent="0.25">
      <c r="A1050">
        <v>11406</v>
      </c>
      <c r="B1050" t="s">
        <v>9428</v>
      </c>
      <c r="C1050" t="s">
        <v>5043</v>
      </c>
    </row>
    <row r="1051" spans="1:3" x14ac:dyDescent="0.25">
      <c r="A1051">
        <v>11910</v>
      </c>
      <c r="B1051" t="s">
        <v>9428</v>
      </c>
      <c r="C1051" t="s">
        <v>5043</v>
      </c>
    </row>
    <row r="1052" spans="1:3" x14ac:dyDescent="0.25">
      <c r="A1052">
        <v>11969</v>
      </c>
      <c r="B1052" t="s">
        <v>9428</v>
      </c>
      <c r="C1052" t="s">
        <v>5043</v>
      </c>
    </row>
    <row r="1053" spans="1:3" x14ac:dyDescent="0.25">
      <c r="A1053">
        <v>8591</v>
      </c>
      <c r="B1053" t="s">
        <v>9428</v>
      </c>
      <c r="C1053" t="s">
        <v>5043</v>
      </c>
    </row>
    <row r="1054" spans="1:3" x14ac:dyDescent="0.25">
      <c r="A1054">
        <v>9340</v>
      </c>
      <c r="B1054" t="s">
        <v>9428</v>
      </c>
      <c r="C1054" t="s">
        <v>5043</v>
      </c>
    </row>
    <row r="1055" spans="1:3" x14ac:dyDescent="0.25">
      <c r="A1055">
        <v>10908</v>
      </c>
      <c r="B1055" t="s">
        <v>9433</v>
      </c>
      <c r="C1055" t="s">
        <v>5043</v>
      </c>
    </row>
    <row r="1056" spans="1:3" x14ac:dyDescent="0.25">
      <c r="A1056">
        <v>11191</v>
      </c>
      <c r="B1056" t="s">
        <v>9433</v>
      </c>
      <c r="C1056" t="s">
        <v>5043</v>
      </c>
    </row>
    <row r="1057" spans="1:3" x14ac:dyDescent="0.25">
      <c r="A1057">
        <v>12052</v>
      </c>
      <c r="B1057" t="s">
        <v>9433</v>
      </c>
      <c r="C1057" t="s">
        <v>5043</v>
      </c>
    </row>
    <row r="1058" spans="1:3" x14ac:dyDescent="0.25">
      <c r="A1058">
        <v>7797</v>
      </c>
      <c r="B1058" t="s">
        <v>9433</v>
      </c>
      <c r="C1058" t="s">
        <v>5043</v>
      </c>
    </row>
    <row r="1059" spans="1:3" x14ac:dyDescent="0.25">
      <c r="A1059">
        <v>8399</v>
      </c>
      <c r="B1059" t="s">
        <v>9433</v>
      </c>
      <c r="C1059" t="s">
        <v>5043</v>
      </c>
    </row>
    <row r="1060" spans="1:3" x14ac:dyDescent="0.25">
      <c r="A1060">
        <v>9116</v>
      </c>
      <c r="B1060" t="s">
        <v>9433</v>
      </c>
      <c r="C1060" t="s">
        <v>5043</v>
      </c>
    </row>
    <row r="1061" spans="1:3" x14ac:dyDescent="0.25">
      <c r="A1061">
        <v>10513</v>
      </c>
      <c r="B1061" t="s">
        <v>9435</v>
      </c>
      <c r="C1061" t="s">
        <v>5043</v>
      </c>
    </row>
    <row r="1062" spans="1:3" x14ac:dyDescent="0.25">
      <c r="A1062">
        <v>10995</v>
      </c>
      <c r="B1062" t="s">
        <v>9435</v>
      </c>
      <c r="C1062" t="s">
        <v>5043</v>
      </c>
    </row>
    <row r="1063" spans="1:3" x14ac:dyDescent="0.25">
      <c r="A1063">
        <v>11118</v>
      </c>
      <c r="B1063" t="s">
        <v>9435</v>
      </c>
      <c r="C1063" t="s">
        <v>5043</v>
      </c>
    </row>
    <row r="1064" spans="1:3" x14ac:dyDescent="0.25">
      <c r="A1064">
        <v>11192</v>
      </c>
      <c r="B1064" t="s">
        <v>9435</v>
      </c>
      <c r="C1064" t="s">
        <v>5043</v>
      </c>
    </row>
    <row r="1065" spans="1:3" x14ac:dyDescent="0.25">
      <c r="A1065">
        <v>11432</v>
      </c>
      <c r="B1065" t="s">
        <v>9435</v>
      </c>
      <c r="C1065" t="s">
        <v>5043</v>
      </c>
    </row>
    <row r="1066" spans="1:3" x14ac:dyDescent="0.25">
      <c r="A1066">
        <v>11671</v>
      </c>
      <c r="B1066" t="s">
        <v>9435</v>
      </c>
      <c r="C1066" t="s">
        <v>5043</v>
      </c>
    </row>
    <row r="1067" spans="1:3" x14ac:dyDescent="0.25">
      <c r="A1067">
        <v>7263</v>
      </c>
      <c r="B1067" t="s">
        <v>9435</v>
      </c>
      <c r="C1067" t="s">
        <v>5043</v>
      </c>
    </row>
    <row r="1068" spans="1:3" x14ac:dyDescent="0.25">
      <c r="A1068">
        <v>7285</v>
      </c>
      <c r="B1068" t="s">
        <v>9435</v>
      </c>
      <c r="C1068" t="s">
        <v>5043</v>
      </c>
    </row>
    <row r="1069" spans="1:3" x14ac:dyDescent="0.25">
      <c r="A1069">
        <v>7673</v>
      </c>
      <c r="B1069" t="s">
        <v>9435</v>
      </c>
      <c r="C1069" t="s">
        <v>5043</v>
      </c>
    </row>
    <row r="1070" spans="1:3" x14ac:dyDescent="0.25">
      <c r="A1070">
        <v>7763</v>
      </c>
      <c r="B1070" t="s">
        <v>9435</v>
      </c>
      <c r="C1070" t="s">
        <v>5043</v>
      </c>
    </row>
    <row r="1071" spans="1:3" x14ac:dyDescent="0.25">
      <c r="A1071">
        <v>7898</v>
      </c>
      <c r="B1071" t="s">
        <v>9435</v>
      </c>
      <c r="C1071" t="s">
        <v>5043</v>
      </c>
    </row>
    <row r="1072" spans="1:3" x14ac:dyDescent="0.25">
      <c r="A1072">
        <v>8511</v>
      </c>
      <c r="B1072" t="s">
        <v>9435</v>
      </c>
      <c r="C1072" t="s">
        <v>5043</v>
      </c>
    </row>
    <row r="1073" spans="1:3" x14ac:dyDescent="0.25">
      <c r="A1073">
        <v>8706</v>
      </c>
      <c r="B1073" t="s">
        <v>9435</v>
      </c>
      <c r="C1073" t="s">
        <v>5043</v>
      </c>
    </row>
    <row r="1074" spans="1:3" x14ac:dyDescent="0.25">
      <c r="A1074">
        <v>8927</v>
      </c>
      <c r="B1074" t="s">
        <v>9435</v>
      </c>
      <c r="C1074" t="s">
        <v>5043</v>
      </c>
    </row>
    <row r="1075" spans="1:3" x14ac:dyDescent="0.25">
      <c r="A1075">
        <v>9252</v>
      </c>
      <c r="B1075" t="s">
        <v>9435</v>
      </c>
      <c r="C1075" t="s">
        <v>5043</v>
      </c>
    </row>
    <row r="1076" spans="1:3" x14ac:dyDescent="0.25">
      <c r="A1076">
        <v>9842</v>
      </c>
      <c r="B1076" t="s">
        <v>9435</v>
      </c>
      <c r="C1076" t="s">
        <v>5043</v>
      </c>
    </row>
    <row r="1077" spans="1:3" x14ac:dyDescent="0.25">
      <c r="A1077">
        <v>8053</v>
      </c>
      <c r="B1077" t="s">
        <v>11213</v>
      </c>
      <c r="C1077" t="s">
        <v>5043</v>
      </c>
    </row>
    <row r="1078" spans="1:3" x14ac:dyDescent="0.25">
      <c r="A1078">
        <v>6718</v>
      </c>
      <c r="B1078" t="s">
        <v>9437</v>
      </c>
      <c r="C1078" t="s">
        <v>5043</v>
      </c>
    </row>
    <row r="1079" spans="1:3" x14ac:dyDescent="0.25">
      <c r="A1079">
        <v>6976</v>
      </c>
      <c r="B1079" t="s">
        <v>9437</v>
      </c>
      <c r="C1079" t="s">
        <v>5043</v>
      </c>
    </row>
    <row r="1080" spans="1:3" x14ac:dyDescent="0.25">
      <c r="A1080">
        <v>8713</v>
      </c>
      <c r="B1080" t="s">
        <v>9437</v>
      </c>
      <c r="C1080" t="s">
        <v>5043</v>
      </c>
    </row>
    <row r="1081" spans="1:3" x14ac:dyDescent="0.25">
      <c r="A1081">
        <v>8319</v>
      </c>
      <c r="B1081" t="s">
        <v>9439</v>
      </c>
      <c r="C1081" t="s">
        <v>5043</v>
      </c>
    </row>
    <row r="1082" spans="1:3" x14ac:dyDescent="0.25">
      <c r="A1082">
        <v>10771</v>
      </c>
      <c r="B1082" t="s">
        <v>9442</v>
      </c>
      <c r="C1082" t="s">
        <v>5043</v>
      </c>
    </row>
    <row r="1083" spans="1:3" x14ac:dyDescent="0.25">
      <c r="A1083">
        <v>11071</v>
      </c>
      <c r="B1083" t="s">
        <v>9442</v>
      </c>
      <c r="C1083" t="s">
        <v>5043</v>
      </c>
    </row>
    <row r="1084" spans="1:3" x14ac:dyDescent="0.25">
      <c r="A1084">
        <v>12116</v>
      </c>
      <c r="B1084" t="s">
        <v>9442</v>
      </c>
      <c r="C1084" t="s">
        <v>5043</v>
      </c>
    </row>
    <row r="1085" spans="1:3" x14ac:dyDescent="0.25">
      <c r="A1085">
        <v>6803</v>
      </c>
      <c r="B1085" t="s">
        <v>9442</v>
      </c>
      <c r="C1085" t="s">
        <v>5043</v>
      </c>
    </row>
    <row r="1086" spans="1:3" x14ac:dyDescent="0.25">
      <c r="A1086">
        <v>6806</v>
      </c>
      <c r="B1086" t="s">
        <v>9442</v>
      </c>
      <c r="C1086" t="s">
        <v>5043</v>
      </c>
    </row>
    <row r="1087" spans="1:3" x14ac:dyDescent="0.25">
      <c r="A1087">
        <v>7395</v>
      </c>
      <c r="B1087" t="s">
        <v>9442</v>
      </c>
      <c r="C1087" t="s">
        <v>5043</v>
      </c>
    </row>
    <row r="1088" spans="1:3" x14ac:dyDescent="0.25">
      <c r="A1088">
        <v>7432</v>
      </c>
      <c r="B1088" t="s">
        <v>9442</v>
      </c>
      <c r="C1088" t="s">
        <v>5043</v>
      </c>
    </row>
    <row r="1089" spans="1:3" x14ac:dyDescent="0.25">
      <c r="A1089">
        <v>8150</v>
      </c>
      <c r="B1089" t="s">
        <v>9442</v>
      </c>
      <c r="C1089" t="s">
        <v>5043</v>
      </c>
    </row>
    <row r="1090" spans="1:3" x14ac:dyDescent="0.25">
      <c r="A1090">
        <v>8373</v>
      </c>
      <c r="B1090" t="s">
        <v>9442</v>
      </c>
      <c r="C1090" t="s">
        <v>5043</v>
      </c>
    </row>
    <row r="1091" spans="1:3" x14ac:dyDescent="0.25">
      <c r="A1091">
        <v>8716</v>
      </c>
      <c r="B1091" t="s">
        <v>9442</v>
      </c>
      <c r="C1091" t="s">
        <v>5043</v>
      </c>
    </row>
    <row r="1092" spans="1:3" x14ac:dyDescent="0.25">
      <c r="A1092">
        <v>9131</v>
      </c>
      <c r="B1092" t="s">
        <v>9442</v>
      </c>
      <c r="C1092" t="s">
        <v>5043</v>
      </c>
    </row>
    <row r="1093" spans="1:3" x14ac:dyDescent="0.25">
      <c r="A1093">
        <v>9830</v>
      </c>
      <c r="B1093" t="s">
        <v>9442</v>
      </c>
      <c r="C1093" t="s">
        <v>5043</v>
      </c>
    </row>
    <row r="1094" spans="1:3" x14ac:dyDescent="0.25">
      <c r="A1094">
        <v>10011</v>
      </c>
      <c r="B1094" t="s">
        <v>9443</v>
      </c>
      <c r="C1094" t="s">
        <v>5043</v>
      </c>
    </row>
    <row r="1095" spans="1:3" x14ac:dyDescent="0.25">
      <c r="A1095">
        <v>10393</v>
      </c>
      <c r="B1095" t="s">
        <v>9443</v>
      </c>
      <c r="C1095" t="s">
        <v>5043</v>
      </c>
    </row>
    <row r="1096" spans="1:3" x14ac:dyDescent="0.25">
      <c r="A1096">
        <v>10414</v>
      </c>
      <c r="B1096" t="s">
        <v>9443</v>
      </c>
      <c r="C1096" t="s">
        <v>5043</v>
      </c>
    </row>
    <row r="1097" spans="1:3" x14ac:dyDescent="0.25">
      <c r="A1097">
        <v>10532</v>
      </c>
      <c r="B1097" t="s">
        <v>9443</v>
      </c>
      <c r="C1097" t="s">
        <v>5043</v>
      </c>
    </row>
    <row r="1098" spans="1:3" x14ac:dyDescent="0.25">
      <c r="A1098">
        <v>10949</v>
      </c>
      <c r="B1098" t="s">
        <v>9443</v>
      </c>
      <c r="C1098" t="s">
        <v>5043</v>
      </c>
    </row>
    <row r="1099" spans="1:3" x14ac:dyDescent="0.25">
      <c r="A1099">
        <v>11473</v>
      </c>
      <c r="B1099" t="s">
        <v>9443</v>
      </c>
      <c r="C1099" t="s">
        <v>5043</v>
      </c>
    </row>
    <row r="1100" spans="1:3" x14ac:dyDescent="0.25">
      <c r="A1100">
        <v>11853</v>
      </c>
      <c r="B1100" t="s">
        <v>9443</v>
      </c>
      <c r="C1100" t="s">
        <v>5043</v>
      </c>
    </row>
    <row r="1101" spans="1:3" x14ac:dyDescent="0.25">
      <c r="A1101">
        <v>12058</v>
      </c>
      <c r="B1101" t="s">
        <v>9443</v>
      </c>
      <c r="C1101" t="s">
        <v>5043</v>
      </c>
    </row>
    <row r="1102" spans="1:3" x14ac:dyDescent="0.25">
      <c r="A1102">
        <v>6945</v>
      </c>
      <c r="B1102" t="s">
        <v>9443</v>
      </c>
      <c r="C1102" t="s">
        <v>5043</v>
      </c>
    </row>
    <row r="1103" spans="1:3" x14ac:dyDescent="0.25">
      <c r="A1103">
        <v>7126</v>
      </c>
      <c r="B1103" t="s">
        <v>9443</v>
      </c>
      <c r="C1103" t="s">
        <v>5043</v>
      </c>
    </row>
    <row r="1104" spans="1:3" x14ac:dyDescent="0.25">
      <c r="A1104">
        <v>7294</v>
      </c>
      <c r="B1104" t="s">
        <v>9443</v>
      </c>
      <c r="C1104" t="s">
        <v>5043</v>
      </c>
    </row>
    <row r="1105" spans="1:3" x14ac:dyDescent="0.25">
      <c r="A1105">
        <v>7475</v>
      </c>
      <c r="B1105" t="s">
        <v>9443</v>
      </c>
      <c r="C1105" t="s">
        <v>5043</v>
      </c>
    </row>
    <row r="1106" spans="1:3" x14ac:dyDescent="0.25">
      <c r="A1106">
        <v>8050</v>
      </c>
      <c r="B1106" t="s">
        <v>9443</v>
      </c>
      <c r="C1106" t="s">
        <v>5043</v>
      </c>
    </row>
    <row r="1107" spans="1:3" x14ac:dyDescent="0.25">
      <c r="A1107">
        <v>8366</v>
      </c>
      <c r="B1107" t="s">
        <v>9443</v>
      </c>
      <c r="C1107" t="s">
        <v>5043</v>
      </c>
    </row>
    <row r="1108" spans="1:3" x14ac:dyDescent="0.25">
      <c r="A1108">
        <v>8447</v>
      </c>
      <c r="B1108" t="s">
        <v>9443</v>
      </c>
      <c r="C1108" t="s">
        <v>5043</v>
      </c>
    </row>
    <row r="1109" spans="1:3" x14ac:dyDescent="0.25">
      <c r="A1109">
        <v>9205</v>
      </c>
      <c r="B1109" t="s">
        <v>9443</v>
      </c>
      <c r="C1109" t="s">
        <v>5043</v>
      </c>
    </row>
    <row r="1110" spans="1:3" x14ac:dyDescent="0.25">
      <c r="A1110">
        <v>6972</v>
      </c>
      <c r="B1110" t="s">
        <v>11235</v>
      </c>
      <c r="C1110" t="s">
        <v>5043</v>
      </c>
    </row>
    <row r="1111" spans="1:3" x14ac:dyDescent="0.25">
      <c r="A1111">
        <v>10139</v>
      </c>
      <c r="B1111" t="s">
        <v>9456</v>
      </c>
      <c r="C1111" t="s">
        <v>5043</v>
      </c>
    </row>
    <row r="1112" spans="1:3" x14ac:dyDescent="0.25">
      <c r="A1112">
        <v>8120</v>
      </c>
      <c r="B1112" t="s">
        <v>9457</v>
      </c>
      <c r="C1112" t="s">
        <v>5043</v>
      </c>
    </row>
    <row r="1113" spans="1:3" x14ac:dyDescent="0.25">
      <c r="A1113">
        <v>11508</v>
      </c>
      <c r="B1113" t="s">
        <v>9460</v>
      </c>
      <c r="C1113" t="s">
        <v>5043</v>
      </c>
    </row>
    <row r="1114" spans="1:3" x14ac:dyDescent="0.25">
      <c r="A1114">
        <v>9996</v>
      </c>
      <c r="B1114" t="s">
        <v>9460</v>
      </c>
      <c r="C1114" t="s">
        <v>5043</v>
      </c>
    </row>
    <row r="1115" spans="1:3" x14ac:dyDescent="0.25">
      <c r="A1115">
        <v>10138</v>
      </c>
      <c r="B1115" t="s">
        <v>9461</v>
      </c>
      <c r="C1115" t="s">
        <v>5043</v>
      </c>
    </row>
    <row r="1116" spans="1:3" x14ac:dyDescent="0.25">
      <c r="A1116">
        <v>10420</v>
      </c>
      <c r="B1116" t="s">
        <v>9461</v>
      </c>
      <c r="C1116" t="s">
        <v>5043</v>
      </c>
    </row>
    <row r="1117" spans="1:3" x14ac:dyDescent="0.25">
      <c r="A1117">
        <v>10697</v>
      </c>
      <c r="B1117" t="s">
        <v>9461</v>
      </c>
      <c r="C1117" t="s">
        <v>5043</v>
      </c>
    </row>
    <row r="1118" spans="1:3" x14ac:dyDescent="0.25">
      <c r="A1118">
        <v>10722</v>
      </c>
      <c r="B1118" t="s">
        <v>9461</v>
      </c>
      <c r="C1118" t="s">
        <v>5043</v>
      </c>
    </row>
    <row r="1119" spans="1:3" x14ac:dyDescent="0.25">
      <c r="A1119">
        <v>10779</v>
      </c>
      <c r="B1119" t="s">
        <v>9461</v>
      </c>
      <c r="C1119" t="s">
        <v>5043</v>
      </c>
    </row>
    <row r="1120" spans="1:3" x14ac:dyDescent="0.25">
      <c r="A1120">
        <v>11711</v>
      </c>
      <c r="B1120" t="s">
        <v>9461</v>
      </c>
      <c r="C1120" t="s">
        <v>5043</v>
      </c>
    </row>
    <row r="1121" spans="1:3" x14ac:dyDescent="0.25">
      <c r="A1121">
        <v>11821</v>
      </c>
      <c r="B1121" t="s">
        <v>9461</v>
      </c>
      <c r="C1121" t="s">
        <v>5043</v>
      </c>
    </row>
    <row r="1122" spans="1:3" x14ac:dyDescent="0.25">
      <c r="A1122">
        <v>11978</v>
      </c>
      <c r="B1122" t="s">
        <v>9461</v>
      </c>
      <c r="C1122" t="s">
        <v>5043</v>
      </c>
    </row>
    <row r="1123" spans="1:3" x14ac:dyDescent="0.25">
      <c r="A1123">
        <v>7509</v>
      </c>
      <c r="B1123" t="s">
        <v>9461</v>
      </c>
      <c r="C1123" t="s">
        <v>5043</v>
      </c>
    </row>
    <row r="1124" spans="1:3" x14ac:dyDescent="0.25">
      <c r="A1124">
        <v>7591</v>
      </c>
      <c r="B1124" t="s">
        <v>9461</v>
      </c>
      <c r="C1124" t="s">
        <v>5043</v>
      </c>
    </row>
    <row r="1125" spans="1:3" x14ac:dyDescent="0.25">
      <c r="A1125">
        <v>7785</v>
      </c>
      <c r="B1125" t="s">
        <v>9461</v>
      </c>
      <c r="C1125" t="s">
        <v>5043</v>
      </c>
    </row>
    <row r="1126" spans="1:3" x14ac:dyDescent="0.25">
      <c r="A1126">
        <v>7796</v>
      </c>
      <c r="B1126" t="s">
        <v>9461</v>
      </c>
      <c r="C1126" t="s">
        <v>5043</v>
      </c>
    </row>
    <row r="1127" spans="1:3" x14ac:dyDescent="0.25">
      <c r="A1127">
        <v>8109</v>
      </c>
      <c r="B1127" t="s">
        <v>9461</v>
      </c>
      <c r="C1127" t="s">
        <v>5043</v>
      </c>
    </row>
    <row r="1128" spans="1:3" x14ac:dyDescent="0.25">
      <c r="A1128">
        <v>8170</v>
      </c>
      <c r="B1128" t="s">
        <v>9461</v>
      </c>
      <c r="C1128" t="s">
        <v>5043</v>
      </c>
    </row>
    <row r="1129" spans="1:3" x14ac:dyDescent="0.25">
      <c r="A1129">
        <v>8342</v>
      </c>
      <c r="B1129" t="s">
        <v>9461</v>
      </c>
      <c r="C1129" t="s">
        <v>5043</v>
      </c>
    </row>
    <row r="1130" spans="1:3" x14ac:dyDescent="0.25">
      <c r="A1130">
        <v>8512</v>
      </c>
      <c r="B1130" t="s">
        <v>9461</v>
      </c>
      <c r="C1130" t="s">
        <v>5043</v>
      </c>
    </row>
    <row r="1131" spans="1:3" x14ac:dyDescent="0.25">
      <c r="A1131">
        <v>8754</v>
      </c>
      <c r="B1131" t="s">
        <v>9461</v>
      </c>
      <c r="C1131" t="s">
        <v>5043</v>
      </c>
    </row>
    <row r="1132" spans="1:3" x14ac:dyDescent="0.25">
      <c r="A1132">
        <v>9850</v>
      </c>
      <c r="B1132" t="s">
        <v>9461</v>
      </c>
      <c r="C1132" t="s">
        <v>5043</v>
      </c>
    </row>
    <row r="1133" spans="1:3" x14ac:dyDescent="0.25">
      <c r="A1133">
        <v>10242</v>
      </c>
      <c r="B1133" t="s">
        <v>9463</v>
      </c>
      <c r="C1133" t="s">
        <v>5043</v>
      </c>
    </row>
    <row r="1134" spans="1:3" x14ac:dyDescent="0.25">
      <c r="A1134">
        <v>10736</v>
      </c>
      <c r="B1134" t="s">
        <v>9463</v>
      </c>
      <c r="C1134" t="s">
        <v>5043</v>
      </c>
    </row>
    <row r="1135" spans="1:3" x14ac:dyDescent="0.25">
      <c r="A1135">
        <v>11008</v>
      </c>
      <c r="B1135" t="s">
        <v>9463</v>
      </c>
      <c r="C1135" t="s">
        <v>5043</v>
      </c>
    </row>
    <row r="1136" spans="1:3" x14ac:dyDescent="0.25">
      <c r="A1136">
        <v>11437</v>
      </c>
      <c r="B1136" t="s">
        <v>9463</v>
      </c>
      <c r="C1136" t="s">
        <v>5043</v>
      </c>
    </row>
    <row r="1137" spans="1:3" x14ac:dyDescent="0.25">
      <c r="A1137">
        <v>6763</v>
      </c>
      <c r="B1137" t="s">
        <v>9463</v>
      </c>
      <c r="C1137" t="s">
        <v>5043</v>
      </c>
    </row>
    <row r="1138" spans="1:3" x14ac:dyDescent="0.25">
      <c r="A1138">
        <v>6960</v>
      </c>
      <c r="B1138" t="s">
        <v>9463</v>
      </c>
      <c r="C1138" t="s">
        <v>5043</v>
      </c>
    </row>
    <row r="1139" spans="1:3" x14ac:dyDescent="0.25">
      <c r="A1139">
        <v>7077</v>
      </c>
      <c r="B1139" t="s">
        <v>9463</v>
      </c>
      <c r="C1139" t="s">
        <v>5043</v>
      </c>
    </row>
    <row r="1140" spans="1:3" x14ac:dyDescent="0.25">
      <c r="A1140">
        <v>7222</v>
      </c>
      <c r="B1140" t="s">
        <v>9463</v>
      </c>
      <c r="C1140" t="s">
        <v>5043</v>
      </c>
    </row>
    <row r="1141" spans="1:3" x14ac:dyDescent="0.25">
      <c r="A1141">
        <v>7286</v>
      </c>
      <c r="B1141" t="s">
        <v>9463</v>
      </c>
      <c r="C1141" t="s">
        <v>5043</v>
      </c>
    </row>
    <row r="1142" spans="1:3" x14ac:dyDescent="0.25">
      <c r="A1142">
        <v>8187</v>
      </c>
      <c r="B1142" t="s">
        <v>9463</v>
      </c>
      <c r="C1142" t="s">
        <v>5043</v>
      </c>
    </row>
    <row r="1143" spans="1:3" x14ac:dyDescent="0.25">
      <c r="A1143">
        <v>8256</v>
      </c>
      <c r="B1143" t="s">
        <v>9463</v>
      </c>
      <c r="C1143" t="s">
        <v>5043</v>
      </c>
    </row>
    <row r="1144" spans="1:3" x14ac:dyDescent="0.25">
      <c r="A1144">
        <v>8502</v>
      </c>
      <c r="B1144" t="s">
        <v>9463</v>
      </c>
      <c r="C1144" t="s">
        <v>5043</v>
      </c>
    </row>
    <row r="1145" spans="1:3" x14ac:dyDescent="0.25">
      <c r="A1145">
        <v>8791</v>
      </c>
      <c r="B1145" t="s">
        <v>9463</v>
      </c>
      <c r="C1145" t="s">
        <v>5043</v>
      </c>
    </row>
    <row r="1146" spans="1:3" x14ac:dyDescent="0.25">
      <c r="A1146">
        <v>9018</v>
      </c>
      <c r="B1146" t="s">
        <v>9463</v>
      </c>
      <c r="C1146" t="s">
        <v>5043</v>
      </c>
    </row>
    <row r="1147" spans="1:3" x14ac:dyDescent="0.25">
      <c r="A1147">
        <v>9245</v>
      </c>
      <c r="B1147" t="s">
        <v>9463</v>
      </c>
      <c r="C1147" t="s">
        <v>5043</v>
      </c>
    </row>
    <row r="1148" spans="1:3" x14ac:dyDescent="0.25">
      <c r="A1148">
        <v>9318</v>
      </c>
      <c r="B1148" t="s">
        <v>9463</v>
      </c>
      <c r="C1148" t="s">
        <v>5043</v>
      </c>
    </row>
    <row r="1149" spans="1:3" x14ac:dyDescent="0.25">
      <c r="A1149">
        <v>9411</v>
      </c>
      <c r="B1149" t="s">
        <v>9463</v>
      </c>
      <c r="C1149" t="s">
        <v>5043</v>
      </c>
    </row>
    <row r="1150" spans="1:3" x14ac:dyDescent="0.25">
      <c r="A1150">
        <v>9635</v>
      </c>
      <c r="B1150" t="s">
        <v>9463</v>
      </c>
      <c r="C1150" t="s">
        <v>5043</v>
      </c>
    </row>
    <row r="1151" spans="1:3" x14ac:dyDescent="0.25">
      <c r="A1151">
        <v>10850</v>
      </c>
      <c r="B1151" t="s">
        <v>9464</v>
      </c>
      <c r="C1151" t="s">
        <v>5043</v>
      </c>
    </row>
    <row r="1152" spans="1:3" x14ac:dyDescent="0.25">
      <c r="A1152">
        <v>7400</v>
      </c>
      <c r="B1152" t="s">
        <v>9465</v>
      </c>
      <c r="C1152" t="s">
        <v>5043</v>
      </c>
    </row>
    <row r="1153" spans="1:3" x14ac:dyDescent="0.25">
      <c r="A1153">
        <v>11000</v>
      </c>
      <c r="B1153" t="s">
        <v>9466</v>
      </c>
      <c r="C1153" t="s">
        <v>5043</v>
      </c>
    </row>
    <row r="1154" spans="1:3" x14ac:dyDescent="0.25">
      <c r="A1154">
        <v>10542</v>
      </c>
      <c r="B1154" t="s">
        <v>9467</v>
      </c>
      <c r="C1154" t="s">
        <v>5043</v>
      </c>
    </row>
    <row r="1155" spans="1:3" x14ac:dyDescent="0.25">
      <c r="A1155">
        <v>10714</v>
      </c>
      <c r="B1155" t="s">
        <v>9467</v>
      </c>
      <c r="C1155" t="s">
        <v>5043</v>
      </c>
    </row>
    <row r="1156" spans="1:3" x14ac:dyDescent="0.25">
      <c r="A1156">
        <v>10968</v>
      </c>
      <c r="B1156" t="s">
        <v>9467</v>
      </c>
      <c r="C1156" t="s">
        <v>5043</v>
      </c>
    </row>
    <row r="1157" spans="1:3" x14ac:dyDescent="0.25">
      <c r="A1157">
        <v>11262</v>
      </c>
      <c r="B1157" t="s">
        <v>9467</v>
      </c>
      <c r="C1157" t="s">
        <v>5043</v>
      </c>
    </row>
    <row r="1158" spans="1:3" x14ac:dyDescent="0.25">
      <c r="A1158">
        <v>11715</v>
      </c>
      <c r="B1158" t="s">
        <v>9467</v>
      </c>
      <c r="C1158" t="s">
        <v>5043</v>
      </c>
    </row>
    <row r="1159" spans="1:3" x14ac:dyDescent="0.25">
      <c r="A1159">
        <v>11911</v>
      </c>
      <c r="B1159" t="s">
        <v>9467</v>
      </c>
      <c r="C1159" t="s">
        <v>5043</v>
      </c>
    </row>
    <row r="1160" spans="1:3" x14ac:dyDescent="0.25">
      <c r="A1160">
        <v>11928</v>
      </c>
      <c r="B1160" t="s">
        <v>9467</v>
      </c>
      <c r="C1160" t="s">
        <v>5043</v>
      </c>
    </row>
    <row r="1161" spans="1:3" x14ac:dyDescent="0.25">
      <c r="A1161">
        <v>6697</v>
      </c>
      <c r="B1161" t="s">
        <v>9467</v>
      </c>
      <c r="C1161" t="s">
        <v>5043</v>
      </c>
    </row>
    <row r="1162" spans="1:3" x14ac:dyDescent="0.25">
      <c r="A1162">
        <v>7136</v>
      </c>
      <c r="B1162" t="s">
        <v>9467</v>
      </c>
      <c r="C1162" t="s">
        <v>5043</v>
      </c>
    </row>
    <row r="1163" spans="1:3" x14ac:dyDescent="0.25">
      <c r="A1163">
        <v>7608</v>
      </c>
      <c r="B1163" t="s">
        <v>9467</v>
      </c>
      <c r="C1163" t="s">
        <v>5043</v>
      </c>
    </row>
    <row r="1164" spans="1:3" x14ac:dyDescent="0.25">
      <c r="A1164">
        <v>8126</v>
      </c>
      <c r="B1164" t="s">
        <v>9467</v>
      </c>
      <c r="C1164" t="s">
        <v>5043</v>
      </c>
    </row>
    <row r="1165" spans="1:3" x14ac:dyDescent="0.25">
      <c r="A1165">
        <v>8377</v>
      </c>
      <c r="B1165" t="s">
        <v>9467</v>
      </c>
      <c r="C1165" t="s">
        <v>5043</v>
      </c>
    </row>
    <row r="1166" spans="1:3" x14ac:dyDescent="0.25">
      <c r="A1166">
        <v>8478</v>
      </c>
      <c r="B1166" t="s">
        <v>9467</v>
      </c>
      <c r="C1166" t="s">
        <v>5043</v>
      </c>
    </row>
    <row r="1167" spans="1:3" x14ac:dyDescent="0.25">
      <c r="A1167">
        <v>8809</v>
      </c>
      <c r="B1167" t="s">
        <v>9467</v>
      </c>
      <c r="C1167" t="s">
        <v>5043</v>
      </c>
    </row>
    <row r="1168" spans="1:3" x14ac:dyDescent="0.25">
      <c r="A1168">
        <v>8840</v>
      </c>
      <c r="B1168" t="s">
        <v>9467</v>
      </c>
      <c r="C1168" t="s">
        <v>5043</v>
      </c>
    </row>
    <row r="1169" spans="1:3" x14ac:dyDescent="0.25">
      <c r="A1169">
        <v>8892</v>
      </c>
      <c r="B1169" t="s">
        <v>9467</v>
      </c>
      <c r="C1169" t="s">
        <v>5043</v>
      </c>
    </row>
    <row r="1170" spans="1:3" x14ac:dyDescent="0.25">
      <c r="A1170">
        <v>8916</v>
      </c>
      <c r="B1170" t="s">
        <v>9467</v>
      </c>
      <c r="C1170" t="s">
        <v>5043</v>
      </c>
    </row>
    <row r="1171" spans="1:3" x14ac:dyDescent="0.25">
      <c r="A1171">
        <v>9567</v>
      </c>
      <c r="B1171" t="s">
        <v>9467</v>
      </c>
      <c r="C1171" t="s">
        <v>5043</v>
      </c>
    </row>
    <row r="1172" spans="1:3" x14ac:dyDescent="0.25">
      <c r="A1172">
        <v>9775</v>
      </c>
      <c r="B1172" t="s">
        <v>9467</v>
      </c>
      <c r="C1172" t="s">
        <v>5043</v>
      </c>
    </row>
    <row r="1173" spans="1:3" x14ac:dyDescent="0.25">
      <c r="A1173">
        <v>10740</v>
      </c>
      <c r="B1173" t="s">
        <v>9468</v>
      </c>
      <c r="C1173" t="s">
        <v>5043</v>
      </c>
    </row>
    <row r="1174" spans="1:3" x14ac:dyDescent="0.25">
      <c r="A1174">
        <v>11370</v>
      </c>
      <c r="B1174" t="s">
        <v>9468</v>
      </c>
      <c r="C1174" t="s">
        <v>5043</v>
      </c>
    </row>
    <row r="1175" spans="1:3" x14ac:dyDescent="0.25">
      <c r="A1175">
        <v>11925</v>
      </c>
      <c r="B1175" t="s">
        <v>9468</v>
      </c>
      <c r="C1175" t="s">
        <v>5043</v>
      </c>
    </row>
    <row r="1176" spans="1:3" x14ac:dyDescent="0.25">
      <c r="A1176">
        <v>7843</v>
      </c>
      <c r="B1176" t="s">
        <v>9468</v>
      </c>
      <c r="C1176" t="s">
        <v>5043</v>
      </c>
    </row>
    <row r="1177" spans="1:3" x14ac:dyDescent="0.25">
      <c r="A1177">
        <v>8588</v>
      </c>
      <c r="B1177" t="s">
        <v>9468</v>
      </c>
      <c r="C1177" t="s">
        <v>5043</v>
      </c>
    </row>
    <row r="1178" spans="1:3" x14ac:dyDescent="0.25">
      <c r="A1178">
        <v>9047</v>
      </c>
      <c r="B1178" t="s">
        <v>9468</v>
      </c>
      <c r="C1178" t="s">
        <v>5043</v>
      </c>
    </row>
    <row r="1179" spans="1:3" x14ac:dyDescent="0.25">
      <c r="A1179">
        <v>11681</v>
      </c>
      <c r="B1179" t="s">
        <v>9469</v>
      </c>
      <c r="C1179" t="s">
        <v>5043</v>
      </c>
    </row>
    <row r="1180" spans="1:3" x14ac:dyDescent="0.25">
      <c r="A1180">
        <v>9035</v>
      </c>
      <c r="B1180" t="s">
        <v>9469</v>
      </c>
      <c r="C1180" t="s">
        <v>5043</v>
      </c>
    </row>
    <row r="1181" spans="1:3" x14ac:dyDescent="0.25">
      <c r="A1181">
        <v>11597</v>
      </c>
      <c r="B1181" t="s">
        <v>9470</v>
      </c>
      <c r="C1181" t="s">
        <v>5043</v>
      </c>
    </row>
    <row r="1182" spans="1:3" x14ac:dyDescent="0.25">
      <c r="A1182">
        <v>11817</v>
      </c>
      <c r="B1182" t="s">
        <v>9470</v>
      </c>
      <c r="C1182" t="s">
        <v>5043</v>
      </c>
    </row>
    <row r="1183" spans="1:3" x14ac:dyDescent="0.25">
      <c r="A1183">
        <v>6735</v>
      </c>
      <c r="B1183" t="s">
        <v>9470</v>
      </c>
      <c r="C1183" t="s">
        <v>5043</v>
      </c>
    </row>
    <row r="1184" spans="1:3" x14ac:dyDescent="0.25">
      <c r="A1184">
        <v>6787</v>
      </c>
      <c r="B1184" t="s">
        <v>9470</v>
      </c>
      <c r="C1184" t="s">
        <v>5043</v>
      </c>
    </row>
    <row r="1185" spans="1:3" x14ac:dyDescent="0.25">
      <c r="A1185">
        <v>7807</v>
      </c>
      <c r="B1185" t="s">
        <v>9471</v>
      </c>
      <c r="C1185" t="s">
        <v>5043</v>
      </c>
    </row>
    <row r="1186" spans="1:3" x14ac:dyDescent="0.25">
      <c r="A1186">
        <v>11502</v>
      </c>
      <c r="B1186" t="s">
        <v>9472</v>
      </c>
      <c r="C1186" t="s">
        <v>5043</v>
      </c>
    </row>
    <row r="1187" spans="1:3" x14ac:dyDescent="0.25">
      <c r="A1187">
        <v>9901</v>
      </c>
      <c r="B1187" t="s">
        <v>9472</v>
      </c>
      <c r="C1187" t="s">
        <v>5043</v>
      </c>
    </row>
    <row r="1188" spans="1:3" x14ac:dyDescent="0.25">
      <c r="A1188">
        <v>6824</v>
      </c>
      <c r="B1188" t="s">
        <v>9474</v>
      </c>
      <c r="C1188" t="s">
        <v>5043</v>
      </c>
    </row>
    <row r="1189" spans="1:3" x14ac:dyDescent="0.25">
      <c r="A1189">
        <v>8938</v>
      </c>
      <c r="B1189" t="s">
        <v>9474</v>
      </c>
      <c r="C1189" t="s">
        <v>5043</v>
      </c>
    </row>
    <row r="1190" spans="1:3" x14ac:dyDescent="0.25">
      <c r="A1190">
        <v>10244</v>
      </c>
      <c r="B1190" t="s">
        <v>9475</v>
      </c>
      <c r="C1190" t="s">
        <v>5043</v>
      </c>
    </row>
    <row r="1191" spans="1:3" x14ac:dyDescent="0.25">
      <c r="A1191">
        <v>8605</v>
      </c>
      <c r="B1191" t="s">
        <v>9475</v>
      </c>
      <c r="C1191" t="s">
        <v>5043</v>
      </c>
    </row>
    <row r="1192" spans="1:3" x14ac:dyDescent="0.25">
      <c r="A1192">
        <v>8634</v>
      </c>
      <c r="B1192" t="s">
        <v>9475</v>
      </c>
      <c r="C1192" t="s">
        <v>5043</v>
      </c>
    </row>
    <row r="1193" spans="1:3" x14ac:dyDescent="0.25">
      <c r="A1193">
        <v>9115</v>
      </c>
      <c r="B1193" t="s">
        <v>9475</v>
      </c>
      <c r="C1193" t="s">
        <v>5043</v>
      </c>
    </row>
    <row r="1194" spans="1:3" x14ac:dyDescent="0.25">
      <c r="A1194">
        <v>9819</v>
      </c>
      <c r="B1194" t="s">
        <v>9475</v>
      </c>
      <c r="C1194" t="s">
        <v>5043</v>
      </c>
    </row>
    <row r="1195" spans="1:3" x14ac:dyDescent="0.25">
      <c r="A1195">
        <v>10478</v>
      </c>
      <c r="B1195" t="s">
        <v>9476</v>
      </c>
      <c r="C1195" t="s">
        <v>5043</v>
      </c>
    </row>
    <row r="1196" spans="1:3" x14ac:dyDescent="0.25">
      <c r="A1196">
        <v>10894</v>
      </c>
      <c r="B1196" t="s">
        <v>9476</v>
      </c>
      <c r="C1196" t="s">
        <v>5043</v>
      </c>
    </row>
    <row r="1197" spans="1:3" x14ac:dyDescent="0.25">
      <c r="A1197">
        <v>10956</v>
      </c>
      <c r="B1197" t="s">
        <v>9476</v>
      </c>
      <c r="C1197" t="s">
        <v>5043</v>
      </c>
    </row>
    <row r="1198" spans="1:3" x14ac:dyDescent="0.25">
      <c r="A1198">
        <v>10890</v>
      </c>
      <c r="B1198" t="s">
        <v>9477</v>
      </c>
      <c r="C1198" t="s">
        <v>5043</v>
      </c>
    </row>
    <row r="1199" spans="1:3" x14ac:dyDescent="0.25">
      <c r="A1199">
        <v>11844</v>
      </c>
      <c r="B1199" t="s">
        <v>9477</v>
      </c>
      <c r="C1199" t="s">
        <v>5043</v>
      </c>
    </row>
    <row r="1200" spans="1:3" x14ac:dyDescent="0.25">
      <c r="A1200">
        <v>7198</v>
      </c>
      <c r="B1200" t="s">
        <v>9477</v>
      </c>
      <c r="C1200" t="s">
        <v>5043</v>
      </c>
    </row>
    <row r="1201" spans="1:3" x14ac:dyDescent="0.25">
      <c r="A1201">
        <v>8884</v>
      </c>
      <c r="B1201" t="s">
        <v>9477</v>
      </c>
      <c r="C1201" t="s">
        <v>5043</v>
      </c>
    </row>
    <row r="1202" spans="1:3" x14ac:dyDescent="0.25">
      <c r="A1202">
        <v>9022</v>
      </c>
      <c r="B1202" t="s">
        <v>9477</v>
      </c>
      <c r="C1202" t="s">
        <v>5043</v>
      </c>
    </row>
    <row r="1203" spans="1:3" x14ac:dyDescent="0.25">
      <c r="A1203">
        <v>9130</v>
      </c>
      <c r="B1203" t="s">
        <v>9477</v>
      </c>
      <c r="C1203" t="s">
        <v>5043</v>
      </c>
    </row>
    <row r="1204" spans="1:3" x14ac:dyDescent="0.25">
      <c r="A1204">
        <v>10468</v>
      </c>
      <c r="B1204" t="s">
        <v>9478</v>
      </c>
      <c r="C1204" t="s">
        <v>5043</v>
      </c>
    </row>
    <row r="1205" spans="1:3" x14ac:dyDescent="0.25">
      <c r="A1205">
        <v>11613</v>
      </c>
      <c r="B1205" t="s">
        <v>9478</v>
      </c>
      <c r="C1205" t="s">
        <v>5043</v>
      </c>
    </row>
    <row r="1206" spans="1:3" x14ac:dyDescent="0.25">
      <c r="A1206">
        <v>6928</v>
      </c>
      <c r="B1206" t="s">
        <v>9478</v>
      </c>
      <c r="C1206" t="s">
        <v>5043</v>
      </c>
    </row>
    <row r="1207" spans="1:3" x14ac:dyDescent="0.25">
      <c r="A1207">
        <v>7121</v>
      </c>
      <c r="B1207" t="s">
        <v>9478</v>
      </c>
      <c r="C1207" t="s">
        <v>5043</v>
      </c>
    </row>
    <row r="1208" spans="1:3" x14ac:dyDescent="0.25">
      <c r="A1208">
        <v>7982</v>
      </c>
      <c r="B1208" t="s">
        <v>9479</v>
      </c>
      <c r="C1208" t="s">
        <v>5043</v>
      </c>
    </row>
    <row r="1209" spans="1:3" x14ac:dyDescent="0.25">
      <c r="A1209">
        <v>10494</v>
      </c>
      <c r="B1209" t="s">
        <v>9480</v>
      </c>
      <c r="C1209" t="s">
        <v>5043</v>
      </c>
    </row>
    <row r="1210" spans="1:3" x14ac:dyDescent="0.25">
      <c r="A1210">
        <v>10910</v>
      </c>
      <c r="B1210" t="s">
        <v>9480</v>
      </c>
      <c r="C1210" t="s">
        <v>5043</v>
      </c>
    </row>
    <row r="1211" spans="1:3" x14ac:dyDescent="0.25">
      <c r="A1211">
        <v>11414</v>
      </c>
      <c r="B1211" t="s">
        <v>9480</v>
      </c>
      <c r="C1211" t="s">
        <v>5043</v>
      </c>
    </row>
    <row r="1212" spans="1:3" x14ac:dyDescent="0.25">
      <c r="A1212">
        <v>7977</v>
      </c>
      <c r="B1212" t="s">
        <v>9480</v>
      </c>
      <c r="C1212" t="s">
        <v>5043</v>
      </c>
    </row>
    <row r="1213" spans="1:3" x14ac:dyDescent="0.25">
      <c r="A1213">
        <v>8348</v>
      </c>
      <c r="B1213" t="s">
        <v>9480</v>
      </c>
      <c r="C1213" t="s">
        <v>5043</v>
      </c>
    </row>
    <row r="1214" spans="1:3" x14ac:dyDescent="0.25">
      <c r="A1214">
        <v>9438</v>
      </c>
      <c r="B1214" t="s">
        <v>9480</v>
      </c>
      <c r="C1214" t="s">
        <v>5043</v>
      </c>
    </row>
    <row r="1215" spans="1:3" x14ac:dyDescent="0.25">
      <c r="A1215">
        <v>10134</v>
      </c>
      <c r="B1215" t="s">
        <v>9481</v>
      </c>
      <c r="C1215" t="s">
        <v>5043</v>
      </c>
    </row>
    <row r="1216" spans="1:3" x14ac:dyDescent="0.25">
      <c r="A1216">
        <v>10611</v>
      </c>
      <c r="B1216" t="s">
        <v>9481</v>
      </c>
      <c r="C1216" t="s">
        <v>5043</v>
      </c>
    </row>
    <row r="1217" spans="1:3" x14ac:dyDescent="0.25">
      <c r="A1217">
        <v>8587</v>
      </c>
      <c r="B1217" t="s">
        <v>9481</v>
      </c>
      <c r="C1217" t="s">
        <v>5043</v>
      </c>
    </row>
    <row r="1218" spans="1:3" x14ac:dyDescent="0.25">
      <c r="A1218">
        <v>9045</v>
      </c>
      <c r="B1218" t="s">
        <v>9481</v>
      </c>
      <c r="C1218" t="s">
        <v>5043</v>
      </c>
    </row>
    <row r="1219" spans="1:3" x14ac:dyDescent="0.25">
      <c r="A1219">
        <v>9513</v>
      </c>
      <c r="B1219" t="s">
        <v>9481</v>
      </c>
      <c r="C1219" t="s">
        <v>5043</v>
      </c>
    </row>
    <row r="1220" spans="1:3" x14ac:dyDescent="0.25">
      <c r="A1220">
        <v>9881</v>
      </c>
      <c r="B1220" t="s">
        <v>9481</v>
      </c>
      <c r="C1220" t="s">
        <v>5043</v>
      </c>
    </row>
    <row r="1221" spans="1:3" x14ac:dyDescent="0.25">
      <c r="A1221">
        <v>11915</v>
      </c>
      <c r="B1221" t="s">
        <v>9484</v>
      </c>
      <c r="C1221" t="s">
        <v>5043</v>
      </c>
    </row>
    <row r="1222" spans="1:3" x14ac:dyDescent="0.25">
      <c r="A1222">
        <v>8118</v>
      </c>
      <c r="B1222" t="s">
        <v>9485</v>
      </c>
      <c r="C1222" t="s">
        <v>5043</v>
      </c>
    </row>
    <row r="1223" spans="1:3" x14ac:dyDescent="0.25">
      <c r="A1223">
        <v>6830</v>
      </c>
      <c r="B1223" t="s">
        <v>11301</v>
      </c>
      <c r="C1223" t="s">
        <v>5043</v>
      </c>
    </row>
    <row r="1224" spans="1:3" x14ac:dyDescent="0.25">
      <c r="A1224">
        <v>8624</v>
      </c>
      <c r="B1224" t="s">
        <v>11307</v>
      </c>
      <c r="C1224" t="s">
        <v>5043</v>
      </c>
    </row>
    <row r="1225" spans="1:3" x14ac:dyDescent="0.25">
      <c r="A1225">
        <v>6780</v>
      </c>
      <c r="B1225" t="s">
        <v>11309</v>
      </c>
      <c r="C1225" t="s">
        <v>5043</v>
      </c>
    </row>
    <row r="1226" spans="1:3" x14ac:dyDescent="0.25">
      <c r="A1226">
        <v>10682</v>
      </c>
      <c r="B1226" t="s">
        <v>9488</v>
      </c>
      <c r="C1226" t="s">
        <v>5043</v>
      </c>
    </row>
    <row r="1227" spans="1:3" x14ac:dyDescent="0.25">
      <c r="A1227">
        <v>8544</v>
      </c>
      <c r="B1227" t="s">
        <v>9488</v>
      </c>
      <c r="C1227" t="s">
        <v>5043</v>
      </c>
    </row>
    <row r="1228" spans="1:3" x14ac:dyDescent="0.25">
      <c r="A1228">
        <v>10177</v>
      </c>
      <c r="B1228" t="s">
        <v>9489</v>
      </c>
      <c r="C1228" t="s">
        <v>5043</v>
      </c>
    </row>
    <row r="1229" spans="1:3" x14ac:dyDescent="0.25">
      <c r="A1229">
        <v>10467</v>
      </c>
      <c r="B1229" t="s">
        <v>9489</v>
      </c>
      <c r="C1229" t="s">
        <v>5043</v>
      </c>
    </row>
    <row r="1230" spans="1:3" x14ac:dyDescent="0.25">
      <c r="A1230">
        <v>10721</v>
      </c>
      <c r="B1230" t="s">
        <v>9489</v>
      </c>
      <c r="C1230" t="s">
        <v>5043</v>
      </c>
    </row>
    <row r="1231" spans="1:3" x14ac:dyDescent="0.25">
      <c r="A1231">
        <v>10808</v>
      </c>
      <c r="B1231" t="s">
        <v>9489</v>
      </c>
      <c r="C1231" t="s">
        <v>5043</v>
      </c>
    </row>
    <row r="1232" spans="1:3" x14ac:dyDescent="0.25">
      <c r="A1232">
        <v>10821</v>
      </c>
      <c r="B1232" t="s">
        <v>9489</v>
      </c>
      <c r="C1232" t="s">
        <v>5043</v>
      </c>
    </row>
    <row r="1233" spans="1:3" x14ac:dyDescent="0.25">
      <c r="A1233">
        <v>11109</v>
      </c>
      <c r="B1233" t="s">
        <v>9489</v>
      </c>
      <c r="C1233" t="s">
        <v>5043</v>
      </c>
    </row>
    <row r="1234" spans="1:3" x14ac:dyDescent="0.25">
      <c r="A1234">
        <v>11346</v>
      </c>
      <c r="B1234" t="s">
        <v>9489</v>
      </c>
      <c r="C1234" t="s">
        <v>5043</v>
      </c>
    </row>
    <row r="1235" spans="1:3" x14ac:dyDescent="0.25">
      <c r="A1235">
        <v>6673</v>
      </c>
      <c r="B1235" t="s">
        <v>9489</v>
      </c>
      <c r="C1235" t="s">
        <v>5043</v>
      </c>
    </row>
    <row r="1236" spans="1:3" x14ac:dyDescent="0.25">
      <c r="A1236">
        <v>7268</v>
      </c>
      <c r="B1236" t="s">
        <v>9489</v>
      </c>
      <c r="C1236" t="s">
        <v>5043</v>
      </c>
    </row>
    <row r="1237" spans="1:3" x14ac:dyDescent="0.25">
      <c r="A1237">
        <v>7351</v>
      </c>
      <c r="B1237" t="s">
        <v>9489</v>
      </c>
      <c r="C1237" t="s">
        <v>5043</v>
      </c>
    </row>
    <row r="1238" spans="1:3" x14ac:dyDescent="0.25">
      <c r="A1238">
        <v>7739</v>
      </c>
      <c r="B1238" t="s">
        <v>9489</v>
      </c>
      <c r="C1238" t="s">
        <v>5043</v>
      </c>
    </row>
    <row r="1239" spans="1:3" x14ac:dyDescent="0.25">
      <c r="A1239">
        <v>8274</v>
      </c>
      <c r="B1239" t="s">
        <v>9489</v>
      </c>
      <c r="C1239" t="s">
        <v>5043</v>
      </c>
    </row>
    <row r="1240" spans="1:3" x14ac:dyDescent="0.25">
      <c r="A1240">
        <v>11088</v>
      </c>
      <c r="B1240" t="s">
        <v>9490</v>
      </c>
      <c r="C1240" t="s">
        <v>5043</v>
      </c>
    </row>
    <row r="1241" spans="1:3" x14ac:dyDescent="0.25">
      <c r="A1241">
        <v>6664</v>
      </c>
      <c r="B1241" t="s">
        <v>9490</v>
      </c>
      <c r="C1241" t="s">
        <v>5043</v>
      </c>
    </row>
    <row r="1242" spans="1:3" x14ac:dyDescent="0.25">
      <c r="A1242">
        <v>8429</v>
      </c>
      <c r="B1242" t="s">
        <v>9490</v>
      </c>
      <c r="C1242" t="s">
        <v>5043</v>
      </c>
    </row>
    <row r="1243" spans="1:3" x14ac:dyDescent="0.25">
      <c r="A1243">
        <v>9560</v>
      </c>
      <c r="B1243" t="s">
        <v>9490</v>
      </c>
      <c r="C1243" t="s">
        <v>5043</v>
      </c>
    </row>
    <row r="1244" spans="1:3" x14ac:dyDescent="0.25">
      <c r="A1244">
        <v>7092</v>
      </c>
      <c r="B1244" t="s">
        <v>9491</v>
      </c>
      <c r="C1244" t="s">
        <v>5043</v>
      </c>
    </row>
    <row r="1245" spans="1:3" x14ac:dyDescent="0.25">
      <c r="A1245">
        <v>8282</v>
      </c>
      <c r="B1245" t="s">
        <v>9491</v>
      </c>
      <c r="C1245" t="s">
        <v>5043</v>
      </c>
    </row>
    <row r="1246" spans="1:3" x14ac:dyDescent="0.25">
      <c r="A1246">
        <v>9025</v>
      </c>
      <c r="B1246" t="s">
        <v>9491</v>
      </c>
      <c r="C1246" t="s">
        <v>5043</v>
      </c>
    </row>
    <row r="1247" spans="1:3" x14ac:dyDescent="0.25">
      <c r="A1247">
        <v>9961</v>
      </c>
      <c r="B1247" t="s">
        <v>9492</v>
      </c>
      <c r="C1247" t="s">
        <v>5043</v>
      </c>
    </row>
    <row r="1248" spans="1:3" x14ac:dyDescent="0.25">
      <c r="A1248">
        <v>11808</v>
      </c>
      <c r="B1248" t="s">
        <v>9493</v>
      </c>
      <c r="C1248" t="s">
        <v>5043</v>
      </c>
    </row>
    <row r="1249" spans="1:3" x14ac:dyDescent="0.25">
      <c r="A1249">
        <v>6696</v>
      </c>
      <c r="B1249" t="s">
        <v>9493</v>
      </c>
      <c r="C1249" t="s">
        <v>5043</v>
      </c>
    </row>
    <row r="1250" spans="1:3" x14ac:dyDescent="0.25">
      <c r="A1250">
        <v>9956</v>
      </c>
      <c r="B1250" t="s">
        <v>9493</v>
      </c>
      <c r="C1250" t="s">
        <v>5043</v>
      </c>
    </row>
    <row r="1251" spans="1:3" x14ac:dyDescent="0.25">
      <c r="A1251">
        <v>10069</v>
      </c>
      <c r="B1251" t="s">
        <v>9495</v>
      </c>
      <c r="C1251" t="s">
        <v>5043</v>
      </c>
    </row>
    <row r="1252" spans="1:3" x14ac:dyDescent="0.25">
      <c r="A1252">
        <v>6951</v>
      </c>
      <c r="B1252" t="s">
        <v>9495</v>
      </c>
      <c r="C1252" t="s">
        <v>5043</v>
      </c>
    </row>
    <row r="1253" spans="1:3" x14ac:dyDescent="0.25">
      <c r="A1253">
        <v>9055</v>
      </c>
      <c r="B1253" t="s">
        <v>9495</v>
      </c>
      <c r="C1253" t="s">
        <v>5043</v>
      </c>
    </row>
    <row r="1254" spans="1:3" x14ac:dyDescent="0.25">
      <c r="A1254">
        <v>9736</v>
      </c>
      <c r="B1254" t="s">
        <v>9495</v>
      </c>
      <c r="C1254" t="s">
        <v>5043</v>
      </c>
    </row>
    <row r="1255" spans="1:3" x14ac:dyDescent="0.25">
      <c r="A1255">
        <v>10254</v>
      </c>
      <c r="B1255" t="s">
        <v>9496</v>
      </c>
      <c r="C1255" t="s">
        <v>5043</v>
      </c>
    </row>
    <row r="1256" spans="1:3" x14ac:dyDescent="0.25">
      <c r="A1256">
        <v>9924</v>
      </c>
      <c r="B1256" t="s">
        <v>9496</v>
      </c>
      <c r="C1256" t="s">
        <v>5043</v>
      </c>
    </row>
    <row r="1257" spans="1:3" x14ac:dyDescent="0.25">
      <c r="A1257">
        <v>6904</v>
      </c>
      <c r="B1257" t="s">
        <v>9497</v>
      </c>
      <c r="C1257" t="s">
        <v>5043</v>
      </c>
    </row>
    <row r="1258" spans="1:3" x14ac:dyDescent="0.25">
      <c r="A1258">
        <v>9362</v>
      </c>
      <c r="B1258" t="s">
        <v>9497</v>
      </c>
      <c r="C1258" t="s">
        <v>5043</v>
      </c>
    </row>
    <row r="1259" spans="1:3" x14ac:dyDescent="0.25">
      <c r="A1259">
        <v>10162</v>
      </c>
      <c r="B1259" t="s">
        <v>9498</v>
      </c>
      <c r="C1259" t="s">
        <v>5043</v>
      </c>
    </row>
    <row r="1260" spans="1:3" x14ac:dyDescent="0.25">
      <c r="A1260">
        <v>11086</v>
      </c>
      <c r="B1260" t="s">
        <v>9498</v>
      </c>
      <c r="C1260" t="s">
        <v>5043</v>
      </c>
    </row>
    <row r="1261" spans="1:3" x14ac:dyDescent="0.25">
      <c r="A1261">
        <v>7327</v>
      </c>
      <c r="B1261" t="s">
        <v>9498</v>
      </c>
      <c r="C1261" t="s">
        <v>5043</v>
      </c>
    </row>
    <row r="1262" spans="1:3" x14ac:dyDescent="0.25">
      <c r="A1262">
        <v>7615</v>
      </c>
      <c r="B1262" t="s">
        <v>9498</v>
      </c>
      <c r="C1262" t="s">
        <v>5043</v>
      </c>
    </row>
    <row r="1263" spans="1:3" x14ac:dyDescent="0.25">
      <c r="A1263">
        <v>8584</v>
      </c>
      <c r="B1263" t="s">
        <v>9498</v>
      </c>
      <c r="C1263" t="s">
        <v>5043</v>
      </c>
    </row>
    <row r="1264" spans="1:3" x14ac:dyDescent="0.25">
      <c r="A1264">
        <v>11204</v>
      </c>
      <c r="B1264" t="s">
        <v>9499</v>
      </c>
      <c r="C1264" t="s">
        <v>5043</v>
      </c>
    </row>
    <row r="1265" spans="1:3" x14ac:dyDescent="0.25">
      <c r="A1265">
        <v>7614</v>
      </c>
      <c r="B1265" t="s">
        <v>9499</v>
      </c>
      <c r="C1265" t="s">
        <v>5043</v>
      </c>
    </row>
    <row r="1266" spans="1:3" x14ac:dyDescent="0.25">
      <c r="A1266">
        <v>8260</v>
      </c>
      <c r="B1266" t="s">
        <v>9499</v>
      </c>
      <c r="C1266" t="s">
        <v>5043</v>
      </c>
    </row>
    <row r="1267" spans="1:3" x14ac:dyDescent="0.25">
      <c r="A1267">
        <v>9358</v>
      </c>
      <c r="B1267" t="s">
        <v>9499</v>
      </c>
      <c r="C1267" t="s">
        <v>5043</v>
      </c>
    </row>
    <row r="1268" spans="1:3" x14ac:dyDescent="0.25">
      <c r="A1268">
        <v>8494</v>
      </c>
      <c r="B1268" t="s">
        <v>9500</v>
      </c>
      <c r="C1268" t="s">
        <v>5043</v>
      </c>
    </row>
    <row r="1269" spans="1:3" x14ac:dyDescent="0.25">
      <c r="A1269">
        <v>7736</v>
      </c>
      <c r="B1269" t="s">
        <v>11319</v>
      </c>
      <c r="C1269" t="s">
        <v>5043</v>
      </c>
    </row>
    <row r="1270" spans="1:3" x14ac:dyDescent="0.25">
      <c r="A1270">
        <v>8221</v>
      </c>
      <c r="B1270" t="s">
        <v>11319</v>
      </c>
      <c r="C1270" t="s">
        <v>5043</v>
      </c>
    </row>
    <row r="1271" spans="1:3" x14ac:dyDescent="0.25">
      <c r="A1271">
        <v>8230</v>
      </c>
      <c r="B1271" t="s">
        <v>11319</v>
      </c>
      <c r="C1271" t="s">
        <v>5043</v>
      </c>
    </row>
    <row r="1272" spans="1:3" x14ac:dyDescent="0.25">
      <c r="A1272">
        <v>10645</v>
      </c>
      <c r="B1272" t="s">
        <v>9509</v>
      </c>
      <c r="C1272" t="s">
        <v>5043</v>
      </c>
    </row>
    <row r="1273" spans="1:3" x14ac:dyDescent="0.25">
      <c r="A1273">
        <v>7332</v>
      </c>
      <c r="B1273" t="s">
        <v>9509</v>
      </c>
      <c r="C1273" t="s">
        <v>5043</v>
      </c>
    </row>
    <row r="1274" spans="1:3" x14ac:dyDescent="0.25">
      <c r="A1274">
        <v>7762</v>
      </c>
      <c r="B1274" t="s">
        <v>9509</v>
      </c>
      <c r="C1274" t="s">
        <v>5043</v>
      </c>
    </row>
    <row r="1275" spans="1:3" x14ac:dyDescent="0.25">
      <c r="A1275">
        <v>7905</v>
      </c>
      <c r="B1275" t="s">
        <v>9509</v>
      </c>
      <c r="C1275" t="s">
        <v>5043</v>
      </c>
    </row>
    <row r="1276" spans="1:3" x14ac:dyDescent="0.25">
      <c r="A1276">
        <v>11835</v>
      </c>
      <c r="B1276" t="s">
        <v>9515</v>
      </c>
      <c r="C1276" t="s">
        <v>5043</v>
      </c>
    </row>
    <row r="1277" spans="1:3" x14ac:dyDescent="0.25">
      <c r="A1277">
        <v>9324</v>
      </c>
      <c r="B1277" t="s">
        <v>11340</v>
      </c>
      <c r="C1277" t="s">
        <v>5043</v>
      </c>
    </row>
    <row r="1278" spans="1:3" x14ac:dyDescent="0.25">
      <c r="A1278">
        <v>10973</v>
      </c>
      <c r="B1278" t="s">
        <v>9538</v>
      </c>
      <c r="C1278" t="s">
        <v>5043</v>
      </c>
    </row>
    <row r="1279" spans="1:3" x14ac:dyDescent="0.25">
      <c r="A1279">
        <v>8094</v>
      </c>
      <c r="B1279" t="s">
        <v>9546</v>
      </c>
      <c r="C1279" t="s">
        <v>5043</v>
      </c>
    </row>
    <row r="1280" spans="1:3" x14ac:dyDescent="0.25">
      <c r="A1280">
        <v>7692</v>
      </c>
      <c r="B1280" t="s">
        <v>11351</v>
      </c>
      <c r="C1280" t="s">
        <v>5043</v>
      </c>
    </row>
    <row r="1281" spans="1:3" x14ac:dyDescent="0.25">
      <c r="A1281">
        <v>8779</v>
      </c>
      <c r="B1281" t="s">
        <v>11361</v>
      </c>
      <c r="C1281" t="s">
        <v>5043</v>
      </c>
    </row>
    <row r="1282" spans="1:3" x14ac:dyDescent="0.25">
      <c r="A1282">
        <v>10689</v>
      </c>
      <c r="B1282" t="s">
        <v>11394</v>
      </c>
      <c r="C1282" t="s">
        <v>5043</v>
      </c>
    </row>
    <row r="1283" spans="1:3" x14ac:dyDescent="0.25">
      <c r="A1283">
        <v>10213</v>
      </c>
      <c r="B1283" t="s">
        <v>11422</v>
      </c>
      <c r="C1283" t="s">
        <v>5043</v>
      </c>
    </row>
    <row r="1284" spans="1:3" x14ac:dyDescent="0.25">
      <c r="A1284">
        <v>7630</v>
      </c>
      <c r="B1284" t="s">
        <v>11425</v>
      </c>
      <c r="C1284" t="s">
        <v>5043</v>
      </c>
    </row>
    <row r="1285" spans="1:3" x14ac:dyDescent="0.25">
      <c r="A1285">
        <v>7687</v>
      </c>
      <c r="B1285" t="s">
        <v>11425</v>
      </c>
      <c r="C1285" t="s">
        <v>5043</v>
      </c>
    </row>
    <row r="1286" spans="1:3" x14ac:dyDescent="0.25">
      <c r="A1286">
        <v>10716</v>
      </c>
      <c r="B1286" t="s">
        <v>11435</v>
      </c>
      <c r="C1286" t="s">
        <v>5043</v>
      </c>
    </row>
    <row r="1287" spans="1:3" x14ac:dyDescent="0.25">
      <c r="A1287">
        <v>9000</v>
      </c>
      <c r="B1287" t="s">
        <v>11435</v>
      </c>
      <c r="C1287" t="s">
        <v>5043</v>
      </c>
    </row>
    <row r="1288" spans="1:3" x14ac:dyDescent="0.25">
      <c r="A1288">
        <v>11602</v>
      </c>
      <c r="B1288" t="s">
        <v>11451</v>
      </c>
      <c r="C1288" t="s">
        <v>5043</v>
      </c>
    </row>
    <row r="1289" spans="1:3" x14ac:dyDescent="0.25">
      <c r="A1289">
        <v>8171</v>
      </c>
      <c r="B1289" t="s">
        <v>11469</v>
      </c>
      <c r="C1289" t="s">
        <v>5043</v>
      </c>
    </row>
    <row r="1290" spans="1:3" x14ac:dyDescent="0.25">
      <c r="A1290">
        <v>9686</v>
      </c>
      <c r="B1290" t="s">
        <v>11469</v>
      </c>
      <c r="C1290" t="s">
        <v>5043</v>
      </c>
    </row>
  </sheetData>
  <sortState ref="A5:B15">
    <sortCondition descending="1" ref="A5:A15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476"/>
  <sheetViews>
    <sheetView workbookViewId="0">
      <pane ySplit="5085" topLeftCell="A472" activePane="bottomLeft"/>
      <selection sqref="A1:B16"/>
      <selection pane="bottomLeft" activeCell="A19" sqref="A19:C476"/>
    </sheetView>
  </sheetViews>
  <sheetFormatPr defaultRowHeight="15" x14ac:dyDescent="0.25"/>
  <cols>
    <col min="1" max="1" width="5" bestFit="1" customWidth="1"/>
    <col min="2" max="2" width="81.140625" bestFit="1" customWidth="1"/>
    <col min="3" max="3" width="8" bestFit="1" customWidth="1"/>
  </cols>
  <sheetData>
    <row r="1" spans="1:3" ht="21.75" x14ac:dyDescent="0.25">
      <c r="A1" s="9" t="s">
        <v>15</v>
      </c>
      <c r="B1" s="2"/>
      <c r="C1" s="2"/>
    </row>
    <row r="2" spans="1:3" ht="18.75" x14ac:dyDescent="0.3">
      <c r="A2" s="22" t="s">
        <v>8470</v>
      </c>
      <c r="C2" s="2"/>
    </row>
    <row r="3" spans="1:3" x14ac:dyDescent="0.25">
      <c r="A3" s="24" t="s">
        <v>9565</v>
      </c>
      <c r="C3" s="2"/>
    </row>
    <row r="4" spans="1:3" x14ac:dyDescent="0.25">
      <c r="A4" s="18">
        <f>COUNTIF($B$18:$B$2796,"*ui\content\routing\*")</f>
        <v>129</v>
      </c>
      <c r="B4" s="19" t="s">
        <v>8477</v>
      </c>
      <c r="C4" s="30"/>
    </row>
    <row r="5" spans="1:3" x14ac:dyDescent="0.25">
      <c r="A5" s="18">
        <f>COUNTIF($B$18:$B$2796,"*ui\content\device\*")</f>
        <v>118</v>
      </c>
      <c r="B5" s="19" t="s">
        <v>8476</v>
      </c>
      <c r="C5" s="30"/>
    </row>
    <row r="6" spans="1:3" x14ac:dyDescent="0.25">
      <c r="A6" s="18">
        <f>COUNTIF($B$18:$B$2796,"*ui\content\access\*")</f>
        <v>25</v>
      </c>
      <c r="B6" s="19" t="s">
        <v>8473</v>
      </c>
      <c r="C6" s="30" t="s">
        <v>8459</v>
      </c>
    </row>
    <row r="7" spans="1:3" x14ac:dyDescent="0.25">
      <c r="A7" s="18">
        <f>COUNTIF($B$18:$B$2796,"*ui\content\traffic\*")</f>
        <v>21</v>
      </c>
      <c r="B7" s="19" t="s">
        <v>8479</v>
      </c>
      <c r="C7" s="30" t="s">
        <v>8459</v>
      </c>
    </row>
    <row r="8" spans="1:3" x14ac:dyDescent="0.25">
      <c r="A8" s="18">
        <f>COUNTIF($B$18:$B$2796,"*ui\common\lib\*")</f>
        <v>112</v>
      </c>
      <c r="B8" s="19" t="s">
        <v>8471</v>
      </c>
      <c r="C8" s="30" t="s">
        <v>8459</v>
      </c>
    </row>
    <row r="9" spans="1:3" x14ac:dyDescent="0.25">
      <c r="A9" s="18">
        <f>COUNTIF($B$18:$B$2796,"*ui\content\common\*")</f>
        <v>13</v>
      </c>
      <c r="B9" s="19" t="s">
        <v>8475</v>
      </c>
      <c r="C9" s="30" t="s">
        <v>8459</v>
      </c>
    </row>
    <row r="10" spans="1:3" x14ac:dyDescent="0.25">
      <c r="A10" s="18">
        <f>COUNTIF($B$18:$B$2796,"*ui\content\sample\*")</f>
        <v>2</v>
      </c>
      <c r="B10" s="19" t="s">
        <v>8478</v>
      </c>
      <c r="C10" s="30"/>
    </row>
    <row r="11" spans="1:3" x14ac:dyDescent="0.25">
      <c r="A11" s="18">
        <f>COUNTIF($B$18:$B$2796,"*ui\content\tripleplay\*")</f>
        <v>0</v>
      </c>
      <c r="B11" s="19" t="s">
        <v>8481</v>
      </c>
      <c r="C11" s="30" t="s">
        <v>8459</v>
      </c>
    </row>
    <row r="12" spans="1:3" x14ac:dyDescent="0.25">
      <c r="A12" s="18">
        <f>COUNTIF($B$18:$B$2796,"*ui\common\tools\*")</f>
        <v>2</v>
      </c>
      <c r="B12" s="19" t="s">
        <v>8472</v>
      </c>
      <c r="C12" s="30" t="s">
        <v>8459</v>
      </c>
    </row>
    <row r="13" spans="1:3" x14ac:dyDescent="0.25">
      <c r="A13" s="18">
        <f>COUNTIF($B$18:$B$2796,"*ui\framework\bll*")</f>
        <v>19</v>
      </c>
      <c r="B13" s="19" t="s">
        <v>8480</v>
      </c>
      <c r="C13" s="30" t="s">
        <v>8459</v>
      </c>
    </row>
    <row r="14" spans="1:3" x14ac:dyDescent="0.25">
      <c r="A14" s="18">
        <f>COUNTIF($B$18:$B$2796,"*ui\content\channel\*")</f>
        <v>1</v>
      </c>
      <c r="B14" s="19" t="s">
        <v>8474</v>
      </c>
      <c r="C14" s="30" t="s">
        <v>8459</v>
      </c>
    </row>
    <row r="15" spans="1:3" ht="5.25" customHeight="1" x14ac:dyDescent="0.25">
      <c r="A15" s="53"/>
      <c r="B15" s="62"/>
      <c r="C15" s="30"/>
    </row>
    <row r="16" spans="1:3" x14ac:dyDescent="0.25">
      <c r="A16" s="89">
        <f>SUM(A3:A14)</f>
        <v>442</v>
      </c>
      <c r="B16" s="1" t="s">
        <v>2607</v>
      </c>
      <c r="C16" s="31"/>
    </row>
    <row r="17" spans="1:3" x14ac:dyDescent="0.25">
      <c r="C17" s="2">
        <f>COUNTA(A19:A2001)</f>
        <v>458</v>
      </c>
    </row>
    <row r="18" spans="1:3" x14ac:dyDescent="0.25">
      <c r="A18" s="89" t="s">
        <v>110</v>
      </c>
      <c r="B18" s="44" t="s">
        <v>111</v>
      </c>
      <c r="C18" s="2"/>
    </row>
    <row r="19" spans="1:3" x14ac:dyDescent="0.25">
      <c r="A19">
        <v>7673</v>
      </c>
      <c r="B19" t="s">
        <v>9575</v>
      </c>
      <c r="C19" t="s">
        <v>5043</v>
      </c>
    </row>
    <row r="20" spans="1:3" x14ac:dyDescent="0.25">
      <c r="A20">
        <v>5049</v>
      </c>
      <c r="B20" t="s">
        <v>8497</v>
      </c>
      <c r="C20" t="s">
        <v>5043</v>
      </c>
    </row>
    <row r="21" spans="1:3" ht="14.45" x14ac:dyDescent="0.3">
      <c r="A21">
        <v>6440</v>
      </c>
      <c r="B21" t="s">
        <v>8497</v>
      </c>
      <c r="C21" t="s">
        <v>5043</v>
      </c>
    </row>
    <row r="22" spans="1:3" ht="14.45" x14ac:dyDescent="0.3">
      <c r="A22">
        <v>6790</v>
      </c>
      <c r="B22" t="s">
        <v>8497</v>
      </c>
      <c r="C22" t="s">
        <v>5043</v>
      </c>
    </row>
    <row r="23" spans="1:3" ht="14.45" x14ac:dyDescent="0.3">
      <c r="A23">
        <v>8094</v>
      </c>
      <c r="B23" t="s">
        <v>8498</v>
      </c>
      <c r="C23" t="s">
        <v>5043</v>
      </c>
    </row>
    <row r="24" spans="1:3" ht="14.45" x14ac:dyDescent="0.3">
      <c r="A24">
        <v>8550</v>
      </c>
      <c r="B24" t="s">
        <v>9577</v>
      </c>
      <c r="C24" t="s">
        <v>5043</v>
      </c>
    </row>
    <row r="25" spans="1:3" ht="14.45" x14ac:dyDescent="0.3">
      <c r="A25">
        <v>5003</v>
      </c>
      <c r="B25" t="s">
        <v>8499</v>
      </c>
      <c r="C25" t="s">
        <v>5043</v>
      </c>
    </row>
    <row r="26" spans="1:3" ht="14.45" x14ac:dyDescent="0.3">
      <c r="A26">
        <v>5075</v>
      </c>
      <c r="B26" t="s">
        <v>8499</v>
      </c>
      <c r="C26" t="s">
        <v>5043</v>
      </c>
    </row>
    <row r="27" spans="1:3" ht="14.45" x14ac:dyDescent="0.3">
      <c r="A27">
        <v>5099</v>
      </c>
      <c r="B27" t="s">
        <v>8499</v>
      </c>
      <c r="C27" t="s">
        <v>5043</v>
      </c>
    </row>
    <row r="28" spans="1:3" ht="14.45" x14ac:dyDescent="0.3">
      <c r="A28">
        <v>5815</v>
      </c>
      <c r="B28" t="s">
        <v>8499</v>
      </c>
      <c r="C28" t="s">
        <v>5043</v>
      </c>
    </row>
    <row r="29" spans="1:3" ht="14.45" x14ac:dyDescent="0.3">
      <c r="A29">
        <v>6186</v>
      </c>
      <c r="B29" t="s">
        <v>8499</v>
      </c>
      <c r="C29" t="s">
        <v>5043</v>
      </c>
    </row>
    <row r="30" spans="1:3" ht="14.45" x14ac:dyDescent="0.3">
      <c r="A30">
        <v>6816</v>
      </c>
      <c r="B30" t="s">
        <v>8499</v>
      </c>
      <c r="C30" t="s">
        <v>5043</v>
      </c>
    </row>
    <row r="31" spans="1:3" ht="14.45" x14ac:dyDescent="0.3">
      <c r="A31">
        <v>9756</v>
      </c>
      <c r="B31" t="s">
        <v>8499</v>
      </c>
      <c r="C31" t="s">
        <v>5043</v>
      </c>
    </row>
    <row r="32" spans="1:3" ht="14.45" x14ac:dyDescent="0.3">
      <c r="A32">
        <v>5456</v>
      </c>
      <c r="B32" t="s">
        <v>9581</v>
      </c>
      <c r="C32" t="s">
        <v>5043</v>
      </c>
    </row>
    <row r="33" spans="1:3" ht="14.45" x14ac:dyDescent="0.3">
      <c r="A33">
        <v>5625</v>
      </c>
      <c r="B33" t="s">
        <v>9581</v>
      </c>
      <c r="C33" t="s">
        <v>5043</v>
      </c>
    </row>
    <row r="34" spans="1:3" ht="14.45" x14ac:dyDescent="0.3">
      <c r="A34">
        <v>7245</v>
      </c>
      <c r="B34" t="s">
        <v>9581</v>
      </c>
      <c r="C34" t="s">
        <v>5043</v>
      </c>
    </row>
    <row r="35" spans="1:3" ht="14.45" x14ac:dyDescent="0.3">
      <c r="A35">
        <v>8089</v>
      </c>
      <c r="B35" t="s">
        <v>9581</v>
      </c>
      <c r="C35" t="s">
        <v>5043</v>
      </c>
    </row>
    <row r="36" spans="1:3" ht="14.45" x14ac:dyDescent="0.3">
      <c r="A36">
        <v>9297</v>
      </c>
      <c r="B36" t="s">
        <v>9581</v>
      </c>
      <c r="C36" t="s">
        <v>5043</v>
      </c>
    </row>
    <row r="37" spans="1:3" ht="14.45" x14ac:dyDescent="0.3">
      <c r="A37">
        <v>7057</v>
      </c>
      <c r="B37" t="s">
        <v>9585</v>
      </c>
      <c r="C37" t="s">
        <v>5043</v>
      </c>
    </row>
    <row r="38" spans="1:3" ht="14.45" x14ac:dyDescent="0.3">
      <c r="A38">
        <v>8019</v>
      </c>
      <c r="B38" t="s">
        <v>9585</v>
      </c>
      <c r="C38" t="s">
        <v>5043</v>
      </c>
    </row>
    <row r="39" spans="1:3" ht="14.45" x14ac:dyDescent="0.3">
      <c r="A39">
        <v>6617</v>
      </c>
      <c r="B39" t="s">
        <v>9586</v>
      </c>
      <c r="C39" t="s">
        <v>5043</v>
      </c>
    </row>
    <row r="40" spans="1:3" ht="14.45" x14ac:dyDescent="0.3">
      <c r="A40">
        <v>7750</v>
      </c>
      <c r="B40" t="s">
        <v>9586</v>
      </c>
      <c r="C40" t="s">
        <v>5043</v>
      </c>
    </row>
    <row r="41" spans="1:3" ht="14.45" x14ac:dyDescent="0.3">
      <c r="A41">
        <v>8177</v>
      </c>
      <c r="B41" t="s">
        <v>8503</v>
      </c>
      <c r="C41" t="s">
        <v>5043</v>
      </c>
    </row>
    <row r="42" spans="1:3" ht="14.45" x14ac:dyDescent="0.3">
      <c r="A42">
        <v>9202</v>
      </c>
      <c r="B42" t="s">
        <v>8503</v>
      </c>
      <c r="C42" t="s">
        <v>5043</v>
      </c>
    </row>
    <row r="43" spans="1:3" ht="14.45" x14ac:dyDescent="0.3">
      <c r="A43">
        <v>9527</v>
      </c>
      <c r="B43" t="s">
        <v>8503</v>
      </c>
      <c r="C43" t="s">
        <v>5043</v>
      </c>
    </row>
    <row r="44" spans="1:3" ht="14.45" x14ac:dyDescent="0.3">
      <c r="A44">
        <v>6800</v>
      </c>
      <c r="B44" t="s">
        <v>8504</v>
      </c>
      <c r="C44" t="s">
        <v>5043</v>
      </c>
    </row>
    <row r="45" spans="1:3" ht="14.45" x14ac:dyDescent="0.3">
      <c r="A45">
        <v>6520</v>
      </c>
      <c r="B45" t="s">
        <v>8505</v>
      </c>
      <c r="C45" t="s">
        <v>5043</v>
      </c>
    </row>
    <row r="46" spans="1:3" ht="14.45" x14ac:dyDescent="0.3">
      <c r="A46">
        <v>7006</v>
      </c>
      <c r="B46" t="s">
        <v>8505</v>
      </c>
      <c r="C46" t="s">
        <v>5043</v>
      </c>
    </row>
    <row r="47" spans="1:3" ht="14.45" x14ac:dyDescent="0.3">
      <c r="A47">
        <v>7716</v>
      </c>
      <c r="B47" t="s">
        <v>8505</v>
      </c>
      <c r="C47" t="s">
        <v>5043</v>
      </c>
    </row>
    <row r="48" spans="1:3" ht="14.45" x14ac:dyDescent="0.3">
      <c r="A48">
        <v>9498</v>
      </c>
      <c r="B48" t="s">
        <v>8505</v>
      </c>
      <c r="C48" t="s">
        <v>5043</v>
      </c>
    </row>
    <row r="49" spans="1:3" ht="14.45" x14ac:dyDescent="0.3">
      <c r="A49">
        <v>5653</v>
      </c>
      <c r="B49" t="s">
        <v>9591</v>
      </c>
      <c r="C49" t="s">
        <v>5043</v>
      </c>
    </row>
    <row r="50" spans="1:3" ht="14.45" x14ac:dyDescent="0.3">
      <c r="A50">
        <v>6118</v>
      </c>
      <c r="B50" t="s">
        <v>9591</v>
      </c>
      <c r="C50" t="s">
        <v>5043</v>
      </c>
    </row>
    <row r="51" spans="1:3" ht="14.45" x14ac:dyDescent="0.3">
      <c r="A51">
        <v>6469</v>
      </c>
      <c r="B51" t="s">
        <v>9591</v>
      </c>
      <c r="C51" t="s">
        <v>5043</v>
      </c>
    </row>
    <row r="52" spans="1:3" ht="14.45" x14ac:dyDescent="0.3">
      <c r="A52">
        <v>7777</v>
      </c>
      <c r="B52" t="s">
        <v>9591</v>
      </c>
      <c r="C52" t="s">
        <v>5043</v>
      </c>
    </row>
    <row r="53" spans="1:3" ht="14.45" x14ac:dyDescent="0.3">
      <c r="A53">
        <v>8300</v>
      </c>
      <c r="B53" t="s">
        <v>9591</v>
      </c>
      <c r="C53" t="s">
        <v>5043</v>
      </c>
    </row>
    <row r="54" spans="1:3" ht="14.45" x14ac:dyDescent="0.3">
      <c r="A54">
        <v>8934</v>
      </c>
      <c r="B54" t="s">
        <v>9591</v>
      </c>
      <c r="C54" t="s">
        <v>5043</v>
      </c>
    </row>
    <row r="55" spans="1:3" ht="14.45" x14ac:dyDescent="0.3">
      <c r="A55">
        <v>5914</v>
      </c>
      <c r="B55" t="s">
        <v>9592</v>
      </c>
      <c r="C55" t="s">
        <v>5043</v>
      </c>
    </row>
    <row r="56" spans="1:3" ht="14.45" x14ac:dyDescent="0.3">
      <c r="A56">
        <v>7970</v>
      </c>
      <c r="B56" t="s">
        <v>9592</v>
      </c>
      <c r="C56" t="s">
        <v>5043</v>
      </c>
    </row>
    <row r="57" spans="1:3" ht="14.45" x14ac:dyDescent="0.3">
      <c r="A57">
        <v>5381</v>
      </c>
      <c r="B57" t="s">
        <v>9593</v>
      </c>
      <c r="C57" t="s">
        <v>5043</v>
      </c>
    </row>
    <row r="58" spans="1:3" ht="14.45" x14ac:dyDescent="0.3">
      <c r="A58">
        <v>6039</v>
      </c>
      <c r="B58" t="s">
        <v>9593</v>
      </c>
      <c r="C58" t="s">
        <v>5043</v>
      </c>
    </row>
    <row r="59" spans="1:3" ht="14.45" x14ac:dyDescent="0.3">
      <c r="A59">
        <v>6626</v>
      </c>
      <c r="B59" t="s">
        <v>9593</v>
      </c>
      <c r="C59" t="s">
        <v>5043</v>
      </c>
    </row>
    <row r="60" spans="1:3" ht="14.45" x14ac:dyDescent="0.3">
      <c r="A60">
        <v>6708</v>
      </c>
      <c r="B60" t="s">
        <v>9593</v>
      </c>
      <c r="C60" t="s">
        <v>5043</v>
      </c>
    </row>
    <row r="61" spans="1:3" ht="14.45" x14ac:dyDescent="0.3">
      <c r="A61">
        <v>6921</v>
      </c>
      <c r="B61" t="s">
        <v>9593</v>
      </c>
      <c r="C61" t="s">
        <v>5043</v>
      </c>
    </row>
    <row r="62" spans="1:3" ht="14.45" x14ac:dyDescent="0.3">
      <c r="A62">
        <v>7070</v>
      </c>
      <c r="B62" t="s">
        <v>9593</v>
      </c>
      <c r="C62" t="s">
        <v>5043</v>
      </c>
    </row>
    <row r="63" spans="1:3" ht="14.45" x14ac:dyDescent="0.3">
      <c r="A63">
        <v>7196</v>
      </c>
      <c r="B63" t="s">
        <v>9593</v>
      </c>
      <c r="C63" t="s">
        <v>5043</v>
      </c>
    </row>
    <row r="64" spans="1:3" ht="14.45" x14ac:dyDescent="0.3">
      <c r="A64">
        <v>7335</v>
      </c>
      <c r="B64" t="s">
        <v>9593</v>
      </c>
      <c r="C64" t="s">
        <v>5043</v>
      </c>
    </row>
    <row r="65" spans="1:3" ht="14.45" x14ac:dyDescent="0.3">
      <c r="A65">
        <v>7396</v>
      </c>
      <c r="B65" t="s">
        <v>9593</v>
      </c>
      <c r="C65" t="s">
        <v>5043</v>
      </c>
    </row>
    <row r="66" spans="1:3" ht="14.45" x14ac:dyDescent="0.3">
      <c r="A66">
        <v>8006</v>
      </c>
      <c r="B66" t="s">
        <v>9593</v>
      </c>
      <c r="C66" t="s">
        <v>5043</v>
      </c>
    </row>
    <row r="67" spans="1:3" ht="14.45" x14ac:dyDescent="0.3">
      <c r="A67">
        <v>8020</v>
      </c>
      <c r="B67" t="s">
        <v>9593</v>
      </c>
      <c r="C67" t="s">
        <v>5043</v>
      </c>
    </row>
    <row r="68" spans="1:3" ht="14.45" x14ac:dyDescent="0.3">
      <c r="A68">
        <v>8970</v>
      </c>
      <c r="B68" t="s">
        <v>9593</v>
      </c>
      <c r="C68" t="s">
        <v>5043</v>
      </c>
    </row>
    <row r="69" spans="1:3" ht="14.45" x14ac:dyDescent="0.3">
      <c r="A69">
        <v>9097</v>
      </c>
      <c r="B69" t="s">
        <v>9593</v>
      </c>
      <c r="C69" t="s">
        <v>5043</v>
      </c>
    </row>
    <row r="70" spans="1:3" ht="14.45" x14ac:dyDescent="0.3">
      <c r="A70">
        <v>9480</v>
      </c>
      <c r="B70" t="s">
        <v>9593</v>
      </c>
      <c r="C70" t="s">
        <v>5043</v>
      </c>
    </row>
    <row r="71" spans="1:3" ht="14.45" x14ac:dyDescent="0.3">
      <c r="A71">
        <v>9518</v>
      </c>
      <c r="B71" t="s">
        <v>9593</v>
      </c>
      <c r="C71" t="s">
        <v>5043</v>
      </c>
    </row>
    <row r="72" spans="1:3" ht="14.45" x14ac:dyDescent="0.3">
      <c r="A72">
        <v>9633</v>
      </c>
      <c r="B72" t="s">
        <v>9593</v>
      </c>
      <c r="C72" t="s">
        <v>5043</v>
      </c>
    </row>
    <row r="73" spans="1:3" ht="14.45" x14ac:dyDescent="0.3">
      <c r="A73">
        <v>5462</v>
      </c>
      <c r="B73" t="s">
        <v>9594</v>
      </c>
      <c r="C73" t="s">
        <v>5043</v>
      </c>
    </row>
    <row r="74" spans="1:3" ht="14.45" x14ac:dyDescent="0.3">
      <c r="A74">
        <v>6587</v>
      </c>
      <c r="B74" t="s">
        <v>9594</v>
      </c>
      <c r="C74" t="s">
        <v>5043</v>
      </c>
    </row>
    <row r="75" spans="1:3" ht="14.45" x14ac:dyDescent="0.3">
      <c r="A75">
        <v>7535</v>
      </c>
      <c r="B75" t="s">
        <v>9594</v>
      </c>
      <c r="C75" t="s">
        <v>5043</v>
      </c>
    </row>
    <row r="76" spans="1:3" ht="14.45" x14ac:dyDescent="0.3">
      <c r="A76">
        <v>8277</v>
      </c>
      <c r="B76" t="s">
        <v>9594</v>
      </c>
      <c r="C76" t="s">
        <v>5043</v>
      </c>
    </row>
    <row r="77" spans="1:3" ht="14.45" x14ac:dyDescent="0.3">
      <c r="A77">
        <v>6929</v>
      </c>
      <c r="B77" t="s">
        <v>9595</v>
      </c>
      <c r="C77" t="s">
        <v>5043</v>
      </c>
    </row>
    <row r="78" spans="1:3" ht="14.45" x14ac:dyDescent="0.3">
      <c r="A78">
        <v>6505</v>
      </c>
      <c r="B78" t="s">
        <v>9597</v>
      </c>
      <c r="C78" t="s">
        <v>5043</v>
      </c>
    </row>
    <row r="79" spans="1:3" ht="14.45" x14ac:dyDescent="0.3">
      <c r="A79">
        <v>7263</v>
      </c>
      <c r="B79" t="s">
        <v>9597</v>
      </c>
      <c r="C79" t="s">
        <v>5043</v>
      </c>
    </row>
    <row r="80" spans="1:3" ht="14.45" x14ac:dyDescent="0.3">
      <c r="A80">
        <v>9340</v>
      </c>
      <c r="B80" t="s">
        <v>9597</v>
      </c>
      <c r="C80" t="s">
        <v>5043</v>
      </c>
    </row>
    <row r="81" spans="1:3" ht="14.45" x14ac:dyDescent="0.3">
      <c r="A81">
        <v>9165</v>
      </c>
      <c r="B81" t="s">
        <v>8506</v>
      </c>
      <c r="C81" t="s">
        <v>5043</v>
      </c>
    </row>
    <row r="82" spans="1:3" ht="14.45" x14ac:dyDescent="0.3">
      <c r="A82">
        <v>9176</v>
      </c>
      <c r="B82" t="s">
        <v>9602</v>
      </c>
      <c r="C82" t="s">
        <v>5043</v>
      </c>
    </row>
    <row r="83" spans="1:3" ht="14.45" x14ac:dyDescent="0.3">
      <c r="A83">
        <v>5301</v>
      </c>
      <c r="B83" t="s">
        <v>9603</v>
      </c>
      <c r="C83" t="s">
        <v>5043</v>
      </c>
    </row>
    <row r="84" spans="1:3" ht="14.45" x14ac:dyDescent="0.3">
      <c r="A84">
        <v>5674</v>
      </c>
      <c r="B84" t="s">
        <v>9604</v>
      </c>
      <c r="C84" t="s">
        <v>5043</v>
      </c>
    </row>
    <row r="85" spans="1:3" ht="14.45" x14ac:dyDescent="0.3">
      <c r="A85">
        <v>9055</v>
      </c>
      <c r="B85" t="s">
        <v>9604</v>
      </c>
      <c r="C85" t="s">
        <v>5043</v>
      </c>
    </row>
    <row r="86" spans="1:3" ht="14.45" x14ac:dyDescent="0.3">
      <c r="A86">
        <v>9639</v>
      </c>
      <c r="B86" t="s">
        <v>9607</v>
      </c>
      <c r="C86" t="s">
        <v>5043</v>
      </c>
    </row>
    <row r="87" spans="1:3" ht="14.45" x14ac:dyDescent="0.3">
      <c r="A87">
        <v>8030</v>
      </c>
      <c r="B87" t="s">
        <v>8507</v>
      </c>
      <c r="C87" t="s">
        <v>5043</v>
      </c>
    </row>
    <row r="88" spans="1:3" ht="14.45" x14ac:dyDescent="0.3">
      <c r="A88">
        <v>8560</v>
      </c>
      <c r="B88" t="s">
        <v>8507</v>
      </c>
      <c r="C88" t="s">
        <v>5043</v>
      </c>
    </row>
    <row r="89" spans="1:3" ht="14.45" x14ac:dyDescent="0.3">
      <c r="A89">
        <v>10375</v>
      </c>
      <c r="B89" t="s">
        <v>9609</v>
      </c>
      <c r="C89" t="s">
        <v>5043</v>
      </c>
    </row>
    <row r="90" spans="1:3" ht="14.45" x14ac:dyDescent="0.3">
      <c r="A90">
        <v>10376</v>
      </c>
      <c r="B90" t="s">
        <v>9609</v>
      </c>
      <c r="C90" t="s">
        <v>5043</v>
      </c>
    </row>
    <row r="91" spans="1:3" ht="14.45" x14ac:dyDescent="0.3">
      <c r="A91">
        <v>10378</v>
      </c>
      <c r="B91" t="s">
        <v>9609</v>
      </c>
      <c r="C91" t="s">
        <v>5043</v>
      </c>
    </row>
    <row r="92" spans="1:3" ht="14.45" x14ac:dyDescent="0.3">
      <c r="A92">
        <v>10380</v>
      </c>
      <c r="B92" t="s">
        <v>9609</v>
      </c>
      <c r="C92" t="s">
        <v>5043</v>
      </c>
    </row>
    <row r="93" spans="1:3" ht="14.45" x14ac:dyDescent="0.3">
      <c r="A93">
        <v>10383</v>
      </c>
      <c r="B93" t="s">
        <v>9609</v>
      </c>
      <c r="C93" t="s">
        <v>5043</v>
      </c>
    </row>
    <row r="94" spans="1:3" ht="14.45" x14ac:dyDescent="0.3">
      <c r="A94">
        <v>10386</v>
      </c>
      <c r="B94" t="s">
        <v>9609</v>
      </c>
      <c r="C94" t="s">
        <v>5043</v>
      </c>
    </row>
    <row r="95" spans="1:3" ht="14.45" x14ac:dyDescent="0.3">
      <c r="A95">
        <v>10387</v>
      </c>
      <c r="B95" t="s">
        <v>9609</v>
      </c>
      <c r="C95" t="s">
        <v>5043</v>
      </c>
    </row>
    <row r="96" spans="1:3" ht="14.45" x14ac:dyDescent="0.3">
      <c r="A96">
        <v>10388</v>
      </c>
      <c r="B96" t="s">
        <v>9609</v>
      </c>
      <c r="C96" t="s">
        <v>5043</v>
      </c>
    </row>
    <row r="97" spans="1:3" ht="14.45" x14ac:dyDescent="0.3">
      <c r="A97">
        <v>10389</v>
      </c>
      <c r="B97" t="s">
        <v>9609</v>
      </c>
      <c r="C97" t="s">
        <v>5043</v>
      </c>
    </row>
    <row r="98" spans="1:3" ht="14.45" x14ac:dyDescent="0.3">
      <c r="A98">
        <v>10390</v>
      </c>
      <c r="B98" t="s">
        <v>9609</v>
      </c>
      <c r="C98" t="s">
        <v>5043</v>
      </c>
    </row>
    <row r="99" spans="1:3" ht="14.45" x14ac:dyDescent="0.3">
      <c r="A99">
        <v>10391</v>
      </c>
      <c r="B99" t="s">
        <v>9609</v>
      </c>
      <c r="C99" t="s">
        <v>5043</v>
      </c>
    </row>
    <row r="100" spans="1:3" ht="14.45" x14ac:dyDescent="0.3">
      <c r="A100">
        <v>10394</v>
      </c>
      <c r="B100" t="s">
        <v>9609</v>
      </c>
      <c r="C100" t="s">
        <v>5043</v>
      </c>
    </row>
    <row r="101" spans="1:3" ht="14.45" x14ac:dyDescent="0.3">
      <c r="A101">
        <v>10395</v>
      </c>
      <c r="B101" t="s">
        <v>9609</v>
      </c>
      <c r="C101" t="s">
        <v>5043</v>
      </c>
    </row>
    <row r="102" spans="1:3" ht="14.45" x14ac:dyDescent="0.3">
      <c r="A102">
        <v>10397</v>
      </c>
      <c r="B102" t="s">
        <v>9609</v>
      </c>
      <c r="C102" t="s">
        <v>5043</v>
      </c>
    </row>
    <row r="103" spans="1:3" ht="14.45" x14ac:dyDescent="0.3">
      <c r="A103">
        <v>10398</v>
      </c>
      <c r="B103" t="s">
        <v>9609</v>
      </c>
      <c r="C103" t="s">
        <v>5043</v>
      </c>
    </row>
    <row r="104" spans="1:3" ht="14.45" x14ac:dyDescent="0.3">
      <c r="A104">
        <v>10400</v>
      </c>
      <c r="B104" t="s">
        <v>9609</v>
      </c>
      <c r="C104" t="s">
        <v>5043</v>
      </c>
    </row>
    <row r="105" spans="1:3" ht="14.45" x14ac:dyDescent="0.3">
      <c r="A105">
        <v>10401</v>
      </c>
      <c r="B105" t="s">
        <v>9609</v>
      </c>
      <c r="C105" t="s">
        <v>5043</v>
      </c>
    </row>
    <row r="106" spans="1:3" ht="14.45" x14ac:dyDescent="0.3">
      <c r="A106">
        <v>10402</v>
      </c>
      <c r="B106" t="s">
        <v>9609</v>
      </c>
      <c r="C106" t="s">
        <v>5043</v>
      </c>
    </row>
    <row r="107" spans="1:3" ht="14.45" x14ac:dyDescent="0.3">
      <c r="A107">
        <v>10403</v>
      </c>
      <c r="B107" t="s">
        <v>9609</v>
      </c>
      <c r="C107" t="s">
        <v>5043</v>
      </c>
    </row>
    <row r="108" spans="1:3" ht="14.45" x14ac:dyDescent="0.3">
      <c r="A108">
        <v>10404</v>
      </c>
      <c r="B108" t="s">
        <v>9609</v>
      </c>
      <c r="C108" t="s">
        <v>5043</v>
      </c>
    </row>
    <row r="109" spans="1:3" ht="14.45" x14ac:dyDescent="0.3">
      <c r="A109">
        <v>10405</v>
      </c>
      <c r="B109" t="s">
        <v>9609</v>
      </c>
      <c r="C109" t="s">
        <v>5043</v>
      </c>
    </row>
    <row r="110" spans="1:3" ht="14.45" x14ac:dyDescent="0.3">
      <c r="A110">
        <v>10406</v>
      </c>
      <c r="B110" t="s">
        <v>9609</v>
      </c>
      <c r="C110" t="s">
        <v>5043</v>
      </c>
    </row>
    <row r="111" spans="1:3" ht="14.45" x14ac:dyDescent="0.3">
      <c r="A111">
        <v>10409</v>
      </c>
      <c r="B111" t="s">
        <v>9609</v>
      </c>
      <c r="C111" t="s">
        <v>5043</v>
      </c>
    </row>
    <row r="112" spans="1:3" ht="14.45" x14ac:dyDescent="0.3">
      <c r="A112">
        <v>10410</v>
      </c>
      <c r="B112" t="s">
        <v>9609</v>
      </c>
      <c r="C112" t="s">
        <v>5043</v>
      </c>
    </row>
    <row r="113" spans="1:3" ht="14.45" x14ac:dyDescent="0.3">
      <c r="A113">
        <v>10411</v>
      </c>
      <c r="B113" t="s">
        <v>9609</v>
      </c>
      <c r="C113" t="s">
        <v>5043</v>
      </c>
    </row>
    <row r="114" spans="1:3" ht="14.45" x14ac:dyDescent="0.3">
      <c r="A114">
        <v>10413</v>
      </c>
      <c r="B114" t="s">
        <v>9609</v>
      </c>
      <c r="C114" t="s">
        <v>5043</v>
      </c>
    </row>
    <row r="115" spans="1:3" ht="14.45" x14ac:dyDescent="0.3">
      <c r="A115">
        <v>10415</v>
      </c>
      <c r="B115" t="s">
        <v>9609</v>
      </c>
      <c r="C115" t="s">
        <v>5043</v>
      </c>
    </row>
    <row r="116" spans="1:3" ht="14.45" x14ac:dyDescent="0.3">
      <c r="A116">
        <v>10416</v>
      </c>
      <c r="B116" t="s">
        <v>9609</v>
      </c>
      <c r="C116" t="s">
        <v>5043</v>
      </c>
    </row>
    <row r="117" spans="1:3" ht="14.45" x14ac:dyDescent="0.3">
      <c r="A117">
        <v>10419</v>
      </c>
      <c r="B117" t="s">
        <v>9609</v>
      </c>
      <c r="C117" t="s">
        <v>5043</v>
      </c>
    </row>
    <row r="118" spans="1:3" ht="14.45" x14ac:dyDescent="0.3">
      <c r="A118">
        <v>10420</v>
      </c>
      <c r="B118" t="s">
        <v>9609</v>
      </c>
      <c r="C118" t="s">
        <v>5043</v>
      </c>
    </row>
    <row r="119" spans="1:3" ht="14.45" x14ac:dyDescent="0.3">
      <c r="A119">
        <v>10421</v>
      </c>
      <c r="B119" t="s">
        <v>9609</v>
      </c>
      <c r="C119" t="s">
        <v>5043</v>
      </c>
    </row>
    <row r="120" spans="1:3" ht="14.45" x14ac:dyDescent="0.3">
      <c r="A120">
        <v>10422</v>
      </c>
      <c r="B120" t="s">
        <v>9609</v>
      </c>
      <c r="C120" t="s">
        <v>5043</v>
      </c>
    </row>
    <row r="121" spans="1:3" ht="14.45" x14ac:dyDescent="0.3">
      <c r="A121">
        <v>10424</v>
      </c>
      <c r="B121" t="s">
        <v>9609</v>
      </c>
      <c r="C121" t="s">
        <v>5043</v>
      </c>
    </row>
    <row r="122" spans="1:3" ht="14.45" x14ac:dyDescent="0.3">
      <c r="A122">
        <v>10427</v>
      </c>
      <c r="B122" t="s">
        <v>9609</v>
      </c>
      <c r="C122" t="s">
        <v>5043</v>
      </c>
    </row>
    <row r="123" spans="1:3" ht="14.45" x14ac:dyDescent="0.3">
      <c r="A123">
        <v>10428</v>
      </c>
      <c r="B123" t="s">
        <v>9609</v>
      </c>
      <c r="C123" t="s">
        <v>5043</v>
      </c>
    </row>
    <row r="124" spans="1:3" ht="14.45" x14ac:dyDescent="0.3">
      <c r="A124">
        <v>10431</v>
      </c>
      <c r="B124" t="s">
        <v>9609</v>
      </c>
      <c r="C124" t="s">
        <v>5043</v>
      </c>
    </row>
    <row r="125" spans="1:3" ht="14.45" x14ac:dyDescent="0.3">
      <c r="A125">
        <v>10432</v>
      </c>
      <c r="B125" t="s">
        <v>9609</v>
      </c>
      <c r="C125" t="s">
        <v>5043</v>
      </c>
    </row>
    <row r="126" spans="1:3" ht="14.45" x14ac:dyDescent="0.3">
      <c r="A126">
        <v>10436</v>
      </c>
      <c r="B126" t="s">
        <v>9609</v>
      </c>
      <c r="C126" t="s">
        <v>5043</v>
      </c>
    </row>
    <row r="127" spans="1:3" ht="14.45" x14ac:dyDescent="0.3">
      <c r="A127">
        <v>10437</v>
      </c>
      <c r="B127" t="s">
        <v>9609</v>
      </c>
      <c r="C127" t="s">
        <v>5043</v>
      </c>
    </row>
    <row r="128" spans="1:3" ht="14.45" x14ac:dyDescent="0.3">
      <c r="A128">
        <v>10440</v>
      </c>
      <c r="B128" t="s">
        <v>9609</v>
      </c>
      <c r="C128" t="s">
        <v>5043</v>
      </c>
    </row>
    <row r="129" spans="1:3" ht="14.45" x14ac:dyDescent="0.3">
      <c r="A129">
        <v>10408</v>
      </c>
      <c r="B129" t="s">
        <v>9611</v>
      </c>
      <c r="C129" t="s">
        <v>5043</v>
      </c>
    </row>
    <row r="130" spans="1:3" ht="14.45" x14ac:dyDescent="0.3">
      <c r="A130">
        <v>10412</v>
      </c>
      <c r="B130" t="s">
        <v>9611</v>
      </c>
      <c r="C130" t="s">
        <v>5043</v>
      </c>
    </row>
    <row r="131" spans="1:3" ht="14.45" x14ac:dyDescent="0.3">
      <c r="A131">
        <v>8160</v>
      </c>
      <c r="B131" t="s">
        <v>8508</v>
      </c>
      <c r="C131" t="s">
        <v>5043</v>
      </c>
    </row>
    <row r="132" spans="1:3" ht="14.45" x14ac:dyDescent="0.3">
      <c r="A132">
        <v>9274</v>
      </c>
      <c r="B132" t="s">
        <v>8508</v>
      </c>
      <c r="C132" t="s">
        <v>5043</v>
      </c>
    </row>
    <row r="133" spans="1:3" ht="14.45" x14ac:dyDescent="0.3">
      <c r="A133">
        <v>9640</v>
      </c>
      <c r="B133" t="s">
        <v>8510</v>
      </c>
      <c r="C133" t="s">
        <v>5043</v>
      </c>
    </row>
    <row r="134" spans="1:3" ht="14.45" x14ac:dyDescent="0.3">
      <c r="A134">
        <v>7545</v>
      </c>
      <c r="B134" t="s">
        <v>9619</v>
      </c>
      <c r="C134" t="s">
        <v>5043</v>
      </c>
    </row>
    <row r="135" spans="1:3" ht="14.45" x14ac:dyDescent="0.3">
      <c r="A135">
        <v>7683</v>
      </c>
      <c r="B135" t="s">
        <v>9619</v>
      </c>
      <c r="C135" t="s">
        <v>5043</v>
      </c>
    </row>
    <row r="136" spans="1:3" ht="14.45" x14ac:dyDescent="0.3">
      <c r="A136">
        <v>7738</v>
      </c>
      <c r="B136" t="s">
        <v>9619</v>
      </c>
      <c r="C136" t="s">
        <v>5043</v>
      </c>
    </row>
    <row r="137" spans="1:3" ht="14.45" x14ac:dyDescent="0.3">
      <c r="A137">
        <v>6609</v>
      </c>
      <c r="B137" t="s">
        <v>8511</v>
      </c>
      <c r="C137" t="s">
        <v>5043</v>
      </c>
    </row>
    <row r="138" spans="1:3" ht="14.45" x14ac:dyDescent="0.3">
      <c r="A138">
        <v>6699</v>
      </c>
      <c r="B138" t="s">
        <v>8511</v>
      </c>
      <c r="C138" t="s">
        <v>5043</v>
      </c>
    </row>
    <row r="139" spans="1:3" ht="14.45" x14ac:dyDescent="0.3">
      <c r="A139">
        <v>7072</v>
      </c>
      <c r="B139" t="s">
        <v>8511</v>
      </c>
      <c r="C139" t="s">
        <v>5043</v>
      </c>
    </row>
    <row r="140" spans="1:3" ht="14.45" x14ac:dyDescent="0.3">
      <c r="A140">
        <v>7454</v>
      </c>
      <c r="B140" t="s">
        <v>8511</v>
      </c>
      <c r="C140" t="s">
        <v>5043</v>
      </c>
    </row>
    <row r="141" spans="1:3" ht="14.45" x14ac:dyDescent="0.3">
      <c r="A141">
        <v>5863</v>
      </c>
      <c r="B141" t="s">
        <v>9620</v>
      </c>
      <c r="C141" t="s">
        <v>5043</v>
      </c>
    </row>
    <row r="142" spans="1:3" ht="14.45" x14ac:dyDescent="0.3">
      <c r="A142">
        <v>7981</v>
      </c>
      <c r="B142" t="s">
        <v>9620</v>
      </c>
      <c r="C142" t="s">
        <v>5043</v>
      </c>
    </row>
    <row r="143" spans="1:3" ht="14.45" x14ac:dyDescent="0.3">
      <c r="A143">
        <v>8763</v>
      </c>
      <c r="B143" t="s">
        <v>9620</v>
      </c>
      <c r="C143" t="s">
        <v>5043</v>
      </c>
    </row>
    <row r="144" spans="1:3" ht="14.45" x14ac:dyDescent="0.3">
      <c r="A144">
        <v>5833</v>
      </c>
      <c r="B144" t="s">
        <v>8512</v>
      </c>
      <c r="C144" t="s">
        <v>5043</v>
      </c>
    </row>
    <row r="145" spans="1:3" ht="14.45" x14ac:dyDescent="0.3">
      <c r="A145">
        <v>5841</v>
      </c>
      <c r="B145" t="s">
        <v>8513</v>
      </c>
      <c r="C145" t="s">
        <v>5043</v>
      </c>
    </row>
    <row r="146" spans="1:3" ht="14.45" x14ac:dyDescent="0.3">
      <c r="A146">
        <v>6400</v>
      </c>
      <c r="B146" t="s">
        <v>8513</v>
      </c>
      <c r="C146" t="s">
        <v>5043</v>
      </c>
    </row>
    <row r="147" spans="1:3" ht="14.45" x14ac:dyDescent="0.3">
      <c r="A147">
        <v>7811</v>
      </c>
      <c r="B147" t="s">
        <v>8513</v>
      </c>
      <c r="C147" t="s">
        <v>5043</v>
      </c>
    </row>
    <row r="148" spans="1:3" ht="14.45" x14ac:dyDescent="0.3">
      <c r="A148">
        <v>9507</v>
      </c>
      <c r="B148" t="s">
        <v>8513</v>
      </c>
      <c r="C148" t="s">
        <v>5043</v>
      </c>
    </row>
    <row r="149" spans="1:3" ht="14.45" x14ac:dyDescent="0.3">
      <c r="A149">
        <v>7796</v>
      </c>
      <c r="B149" t="s">
        <v>8514</v>
      </c>
      <c r="C149" t="s">
        <v>5043</v>
      </c>
    </row>
    <row r="150" spans="1:3" ht="14.45" x14ac:dyDescent="0.3">
      <c r="A150">
        <v>9730</v>
      </c>
      <c r="B150" t="s">
        <v>8514</v>
      </c>
      <c r="C150" t="s">
        <v>5043</v>
      </c>
    </row>
    <row r="151" spans="1:3" ht="14.45" x14ac:dyDescent="0.3">
      <c r="A151">
        <v>7839</v>
      </c>
      <c r="B151" t="s">
        <v>8515</v>
      </c>
      <c r="C151" t="s">
        <v>5043</v>
      </c>
    </row>
    <row r="152" spans="1:3" ht="14.45" x14ac:dyDescent="0.3">
      <c r="A152">
        <v>8623</v>
      </c>
      <c r="B152" t="s">
        <v>8516</v>
      </c>
      <c r="C152" t="s">
        <v>5043</v>
      </c>
    </row>
    <row r="153" spans="1:3" ht="14.45" x14ac:dyDescent="0.3">
      <c r="A153">
        <v>8529</v>
      </c>
      <c r="B153" t="s">
        <v>8517</v>
      </c>
      <c r="C153" t="s">
        <v>5043</v>
      </c>
    </row>
    <row r="154" spans="1:3" ht="14.45" x14ac:dyDescent="0.3">
      <c r="A154">
        <v>5024</v>
      </c>
      <c r="B154" t="s">
        <v>8521</v>
      </c>
      <c r="C154" t="s">
        <v>5043</v>
      </c>
    </row>
    <row r="155" spans="1:3" ht="14.45" x14ac:dyDescent="0.3">
      <c r="A155">
        <v>7247</v>
      </c>
      <c r="B155" t="s">
        <v>8521</v>
      </c>
      <c r="C155" t="s">
        <v>5043</v>
      </c>
    </row>
    <row r="156" spans="1:3" ht="14.45" x14ac:dyDescent="0.3">
      <c r="A156">
        <v>7524</v>
      </c>
      <c r="B156" t="s">
        <v>8521</v>
      </c>
      <c r="C156" t="s">
        <v>5043</v>
      </c>
    </row>
    <row r="157" spans="1:3" ht="14.45" x14ac:dyDescent="0.3">
      <c r="A157">
        <v>9293</v>
      </c>
      <c r="B157" t="s">
        <v>8521</v>
      </c>
      <c r="C157" t="s">
        <v>5043</v>
      </c>
    </row>
    <row r="158" spans="1:3" ht="14.45" x14ac:dyDescent="0.3">
      <c r="A158">
        <v>6631</v>
      </c>
      <c r="B158" t="s">
        <v>8523</v>
      </c>
      <c r="C158" t="s">
        <v>5043</v>
      </c>
    </row>
    <row r="159" spans="1:3" ht="14.45" x14ac:dyDescent="0.3">
      <c r="A159">
        <v>5616</v>
      </c>
      <c r="B159" t="s">
        <v>8524</v>
      </c>
      <c r="C159" t="s">
        <v>5043</v>
      </c>
    </row>
    <row r="160" spans="1:3" ht="14.45" x14ac:dyDescent="0.3">
      <c r="A160">
        <v>8963</v>
      </c>
      <c r="B160" t="s">
        <v>8525</v>
      </c>
      <c r="C160" t="s">
        <v>5043</v>
      </c>
    </row>
    <row r="161" spans="1:3" ht="14.45" x14ac:dyDescent="0.3">
      <c r="A161">
        <v>5085</v>
      </c>
      <c r="B161" t="s">
        <v>8526</v>
      </c>
      <c r="C161" t="s">
        <v>5043</v>
      </c>
    </row>
    <row r="162" spans="1:3" ht="14.45" x14ac:dyDescent="0.3">
      <c r="A162">
        <v>5874</v>
      </c>
      <c r="B162" t="s">
        <v>8526</v>
      </c>
      <c r="C162" t="s">
        <v>5043</v>
      </c>
    </row>
    <row r="163" spans="1:3" ht="14.45" x14ac:dyDescent="0.3">
      <c r="A163">
        <v>6473</v>
      </c>
      <c r="B163" t="s">
        <v>8526</v>
      </c>
      <c r="C163" t="s">
        <v>5043</v>
      </c>
    </row>
    <row r="164" spans="1:3" ht="14.45" x14ac:dyDescent="0.3">
      <c r="A164">
        <v>6489</v>
      </c>
      <c r="B164" t="s">
        <v>8526</v>
      </c>
      <c r="C164" t="s">
        <v>5043</v>
      </c>
    </row>
    <row r="165" spans="1:3" ht="14.45" x14ac:dyDescent="0.3">
      <c r="A165">
        <v>7751</v>
      </c>
      <c r="B165" t="s">
        <v>8526</v>
      </c>
      <c r="C165" t="s">
        <v>5043</v>
      </c>
    </row>
    <row r="166" spans="1:3" ht="14.45" x14ac:dyDescent="0.3">
      <c r="A166">
        <v>8141</v>
      </c>
      <c r="B166" t="s">
        <v>8526</v>
      </c>
      <c r="C166" t="s">
        <v>5043</v>
      </c>
    </row>
    <row r="167" spans="1:3" ht="14.45" x14ac:dyDescent="0.3">
      <c r="A167">
        <v>8829</v>
      </c>
      <c r="B167" t="s">
        <v>8526</v>
      </c>
      <c r="C167" t="s">
        <v>5043</v>
      </c>
    </row>
    <row r="168" spans="1:3" ht="14.45" x14ac:dyDescent="0.3">
      <c r="A168">
        <v>8947</v>
      </c>
      <c r="B168" t="s">
        <v>8526</v>
      </c>
      <c r="C168" t="s">
        <v>5043</v>
      </c>
    </row>
    <row r="169" spans="1:3" ht="14.45" x14ac:dyDescent="0.3">
      <c r="A169">
        <v>9057</v>
      </c>
      <c r="B169" t="s">
        <v>8526</v>
      </c>
      <c r="C169" t="s">
        <v>5043</v>
      </c>
    </row>
    <row r="170" spans="1:3" ht="14.45" x14ac:dyDescent="0.3">
      <c r="A170">
        <v>9065</v>
      </c>
      <c r="B170" t="s">
        <v>8526</v>
      </c>
      <c r="C170" t="s">
        <v>5043</v>
      </c>
    </row>
    <row r="171" spans="1:3" ht="14.45" x14ac:dyDescent="0.3">
      <c r="A171">
        <v>9140</v>
      </c>
      <c r="B171" t="s">
        <v>8526</v>
      </c>
      <c r="C171" t="s">
        <v>5043</v>
      </c>
    </row>
    <row r="172" spans="1:3" ht="14.45" x14ac:dyDescent="0.3">
      <c r="A172">
        <v>6530</v>
      </c>
      <c r="B172" t="s">
        <v>8528</v>
      </c>
      <c r="C172" t="s">
        <v>5043</v>
      </c>
    </row>
    <row r="173" spans="1:3" ht="14.45" x14ac:dyDescent="0.3">
      <c r="A173">
        <v>5576</v>
      </c>
      <c r="B173" t="s">
        <v>8530</v>
      </c>
      <c r="C173" t="s">
        <v>5043</v>
      </c>
    </row>
    <row r="174" spans="1:3" ht="14.45" x14ac:dyDescent="0.3">
      <c r="A174">
        <v>6523</v>
      </c>
      <c r="B174" t="s">
        <v>8530</v>
      </c>
      <c r="C174" t="s">
        <v>5043</v>
      </c>
    </row>
    <row r="175" spans="1:3" ht="14.45" x14ac:dyDescent="0.3">
      <c r="A175">
        <v>6913</v>
      </c>
      <c r="B175" t="s">
        <v>8530</v>
      </c>
      <c r="C175" t="s">
        <v>5043</v>
      </c>
    </row>
    <row r="176" spans="1:3" ht="14.45" x14ac:dyDescent="0.3">
      <c r="A176">
        <v>7228</v>
      </c>
      <c r="B176" t="s">
        <v>8530</v>
      </c>
      <c r="C176" t="s">
        <v>5043</v>
      </c>
    </row>
    <row r="177" spans="1:3" ht="14.45" x14ac:dyDescent="0.3">
      <c r="A177">
        <v>7276</v>
      </c>
      <c r="B177" t="s">
        <v>9671</v>
      </c>
      <c r="C177" t="s">
        <v>5043</v>
      </c>
    </row>
    <row r="178" spans="1:3" ht="14.45" x14ac:dyDescent="0.3">
      <c r="A178">
        <v>5145</v>
      </c>
      <c r="B178" t="s">
        <v>8531</v>
      </c>
      <c r="C178" t="s">
        <v>5043</v>
      </c>
    </row>
    <row r="179" spans="1:3" ht="14.45" x14ac:dyDescent="0.3">
      <c r="A179">
        <v>6313</v>
      </c>
      <c r="B179" t="s">
        <v>8531</v>
      </c>
      <c r="C179" t="s">
        <v>5043</v>
      </c>
    </row>
    <row r="180" spans="1:3" ht="14.45" x14ac:dyDescent="0.3">
      <c r="A180">
        <v>6636</v>
      </c>
      <c r="B180" t="s">
        <v>8531</v>
      </c>
      <c r="C180" t="s">
        <v>5043</v>
      </c>
    </row>
    <row r="181" spans="1:3" ht="14.45" x14ac:dyDescent="0.3">
      <c r="A181">
        <v>5691</v>
      </c>
      <c r="B181" t="s">
        <v>8532</v>
      </c>
      <c r="C181" t="s">
        <v>5043</v>
      </c>
    </row>
    <row r="182" spans="1:3" ht="14.45" x14ac:dyDescent="0.3">
      <c r="A182">
        <v>5734</v>
      </c>
      <c r="B182" t="s">
        <v>8533</v>
      </c>
      <c r="C182" t="s">
        <v>5043</v>
      </c>
    </row>
    <row r="183" spans="1:3" ht="14.45" x14ac:dyDescent="0.3">
      <c r="A183">
        <v>6355</v>
      </c>
      <c r="B183" t="s">
        <v>8533</v>
      </c>
      <c r="C183" t="s">
        <v>5043</v>
      </c>
    </row>
    <row r="184" spans="1:3" ht="14.45" x14ac:dyDescent="0.3">
      <c r="A184">
        <v>5031</v>
      </c>
      <c r="B184" t="s">
        <v>8534</v>
      </c>
      <c r="C184" t="s">
        <v>5043</v>
      </c>
    </row>
    <row r="185" spans="1:3" ht="14.45" x14ac:dyDescent="0.3">
      <c r="A185">
        <v>5051</v>
      </c>
      <c r="B185" t="s">
        <v>8534</v>
      </c>
      <c r="C185" t="s">
        <v>5043</v>
      </c>
    </row>
    <row r="186" spans="1:3" ht="14.45" x14ac:dyDescent="0.3">
      <c r="A186">
        <v>5060</v>
      </c>
      <c r="B186" t="s">
        <v>8534</v>
      </c>
      <c r="C186" t="s">
        <v>5043</v>
      </c>
    </row>
    <row r="187" spans="1:3" ht="14.45" x14ac:dyDescent="0.3">
      <c r="A187">
        <v>5061</v>
      </c>
      <c r="B187" t="s">
        <v>8534</v>
      </c>
      <c r="C187" t="s">
        <v>5043</v>
      </c>
    </row>
    <row r="188" spans="1:3" ht="14.45" x14ac:dyDescent="0.3">
      <c r="A188">
        <v>5086</v>
      </c>
      <c r="B188" t="s">
        <v>8534</v>
      </c>
      <c r="C188" t="s">
        <v>5043</v>
      </c>
    </row>
    <row r="189" spans="1:3" ht="14.45" x14ac:dyDescent="0.3">
      <c r="A189">
        <v>5156</v>
      </c>
      <c r="B189" t="s">
        <v>8534</v>
      </c>
      <c r="C189" t="s">
        <v>5043</v>
      </c>
    </row>
    <row r="190" spans="1:3" ht="14.45" x14ac:dyDescent="0.3">
      <c r="A190">
        <v>5165</v>
      </c>
      <c r="B190" t="s">
        <v>8534</v>
      </c>
      <c r="C190" t="s">
        <v>5043</v>
      </c>
    </row>
    <row r="191" spans="1:3" ht="14.45" x14ac:dyDescent="0.3">
      <c r="A191">
        <v>5317</v>
      </c>
      <c r="B191" t="s">
        <v>8534</v>
      </c>
      <c r="C191" t="s">
        <v>5043</v>
      </c>
    </row>
    <row r="192" spans="1:3" ht="14.45" x14ac:dyDescent="0.3">
      <c r="A192">
        <v>5373</v>
      </c>
      <c r="B192" t="s">
        <v>8534</v>
      </c>
      <c r="C192" t="s">
        <v>5043</v>
      </c>
    </row>
    <row r="193" spans="1:3" ht="14.45" x14ac:dyDescent="0.3">
      <c r="A193">
        <v>5475</v>
      </c>
      <c r="B193" t="s">
        <v>8534</v>
      </c>
      <c r="C193" t="s">
        <v>5043</v>
      </c>
    </row>
    <row r="194" spans="1:3" ht="14.45" x14ac:dyDescent="0.3">
      <c r="A194">
        <v>5502</v>
      </c>
      <c r="B194" t="s">
        <v>8534</v>
      </c>
      <c r="C194" t="s">
        <v>5043</v>
      </c>
    </row>
    <row r="195" spans="1:3" ht="14.45" x14ac:dyDescent="0.3">
      <c r="A195">
        <v>5516</v>
      </c>
      <c r="B195" t="s">
        <v>8534</v>
      </c>
      <c r="C195" t="s">
        <v>5043</v>
      </c>
    </row>
    <row r="196" spans="1:3" ht="14.45" x14ac:dyDescent="0.3">
      <c r="A196">
        <v>5572</v>
      </c>
      <c r="B196" t="s">
        <v>8534</v>
      </c>
      <c r="C196" t="s">
        <v>5043</v>
      </c>
    </row>
    <row r="197" spans="1:3" ht="14.45" x14ac:dyDescent="0.3">
      <c r="A197">
        <v>5586</v>
      </c>
      <c r="B197" t="s">
        <v>8534</v>
      </c>
      <c r="C197" t="s">
        <v>5043</v>
      </c>
    </row>
    <row r="198" spans="1:3" ht="14.45" x14ac:dyDescent="0.3">
      <c r="A198">
        <v>5613</v>
      </c>
      <c r="B198" t="s">
        <v>8534</v>
      </c>
      <c r="C198" t="s">
        <v>5043</v>
      </c>
    </row>
    <row r="199" spans="1:3" ht="14.45" x14ac:dyDescent="0.3">
      <c r="A199">
        <v>5628</v>
      </c>
      <c r="B199" t="s">
        <v>8534</v>
      </c>
      <c r="C199" t="s">
        <v>5043</v>
      </c>
    </row>
    <row r="200" spans="1:3" ht="14.45" x14ac:dyDescent="0.3">
      <c r="A200">
        <v>5707</v>
      </c>
      <c r="B200" t="s">
        <v>8534</v>
      </c>
      <c r="C200" t="s">
        <v>5043</v>
      </c>
    </row>
    <row r="201" spans="1:3" ht="14.45" x14ac:dyDescent="0.3">
      <c r="A201">
        <v>5827</v>
      </c>
      <c r="B201" t="s">
        <v>8534</v>
      </c>
      <c r="C201" t="s">
        <v>5043</v>
      </c>
    </row>
    <row r="202" spans="1:3" ht="14.45" x14ac:dyDescent="0.3">
      <c r="A202">
        <v>5850</v>
      </c>
      <c r="B202" t="s">
        <v>8534</v>
      </c>
      <c r="C202" t="s">
        <v>5043</v>
      </c>
    </row>
    <row r="203" spans="1:3" ht="14.45" x14ac:dyDescent="0.3">
      <c r="A203">
        <v>5869</v>
      </c>
      <c r="B203" t="s">
        <v>8534</v>
      </c>
      <c r="C203" t="s">
        <v>5043</v>
      </c>
    </row>
    <row r="204" spans="1:3" ht="14.45" x14ac:dyDescent="0.3">
      <c r="A204">
        <v>5904</v>
      </c>
      <c r="B204" t="s">
        <v>8534</v>
      </c>
      <c r="C204" t="s">
        <v>5043</v>
      </c>
    </row>
    <row r="205" spans="1:3" ht="14.45" x14ac:dyDescent="0.3">
      <c r="A205">
        <v>5923</v>
      </c>
      <c r="B205" t="s">
        <v>8534</v>
      </c>
      <c r="C205" t="s">
        <v>5043</v>
      </c>
    </row>
    <row r="206" spans="1:3" ht="14.45" x14ac:dyDescent="0.3">
      <c r="A206">
        <v>5972</v>
      </c>
      <c r="B206" t="s">
        <v>8534</v>
      </c>
      <c r="C206" t="s">
        <v>5043</v>
      </c>
    </row>
    <row r="207" spans="1:3" ht="14.45" x14ac:dyDescent="0.3">
      <c r="A207">
        <v>6001</v>
      </c>
      <c r="B207" t="s">
        <v>8534</v>
      </c>
      <c r="C207" t="s">
        <v>5043</v>
      </c>
    </row>
    <row r="208" spans="1:3" ht="14.45" x14ac:dyDescent="0.3">
      <c r="A208">
        <v>6127</v>
      </c>
      <c r="B208" t="s">
        <v>8534</v>
      </c>
      <c r="C208" t="s">
        <v>5043</v>
      </c>
    </row>
    <row r="209" spans="1:3" ht="14.45" x14ac:dyDescent="0.3">
      <c r="A209">
        <v>6149</v>
      </c>
      <c r="B209" t="s">
        <v>8534</v>
      </c>
      <c r="C209" t="s">
        <v>5043</v>
      </c>
    </row>
    <row r="210" spans="1:3" ht="14.45" x14ac:dyDescent="0.3">
      <c r="A210">
        <v>6157</v>
      </c>
      <c r="B210" t="s">
        <v>8534</v>
      </c>
      <c r="C210" t="s">
        <v>5043</v>
      </c>
    </row>
    <row r="211" spans="1:3" ht="14.45" x14ac:dyDescent="0.3">
      <c r="A211">
        <v>6188</v>
      </c>
      <c r="B211" t="s">
        <v>8534</v>
      </c>
      <c r="C211" t="s">
        <v>5043</v>
      </c>
    </row>
    <row r="212" spans="1:3" ht="14.45" x14ac:dyDescent="0.3">
      <c r="A212">
        <v>6211</v>
      </c>
      <c r="B212" t="s">
        <v>8534</v>
      </c>
      <c r="C212" t="s">
        <v>5043</v>
      </c>
    </row>
    <row r="213" spans="1:3" ht="14.45" x14ac:dyDescent="0.3">
      <c r="A213">
        <v>6261</v>
      </c>
      <c r="B213" t="s">
        <v>8534</v>
      </c>
      <c r="C213" t="s">
        <v>5043</v>
      </c>
    </row>
    <row r="214" spans="1:3" ht="14.45" x14ac:dyDescent="0.3">
      <c r="A214">
        <v>6278</v>
      </c>
      <c r="B214" t="s">
        <v>8534</v>
      </c>
      <c r="C214" t="s">
        <v>5043</v>
      </c>
    </row>
    <row r="215" spans="1:3" ht="14.45" x14ac:dyDescent="0.3">
      <c r="A215">
        <v>6342</v>
      </c>
      <c r="B215" t="s">
        <v>8534</v>
      </c>
      <c r="C215" t="s">
        <v>5043</v>
      </c>
    </row>
    <row r="216" spans="1:3" ht="14.45" x14ac:dyDescent="0.3">
      <c r="A216">
        <v>6348</v>
      </c>
      <c r="B216" t="s">
        <v>8534</v>
      </c>
      <c r="C216" t="s">
        <v>5043</v>
      </c>
    </row>
    <row r="217" spans="1:3" ht="14.45" x14ac:dyDescent="0.3">
      <c r="A217">
        <v>6369</v>
      </c>
      <c r="B217" t="s">
        <v>8534</v>
      </c>
      <c r="C217" t="s">
        <v>5043</v>
      </c>
    </row>
    <row r="218" spans="1:3" ht="14.45" x14ac:dyDescent="0.3">
      <c r="A218">
        <v>6431</v>
      </c>
      <c r="B218" t="s">
        <v>8534</v>
      </c>
      <c r="C218" t="s">
        <v>5043</v>
      </c>
    </row>
    <row r="219" spans="1:3" ht="14.45" x14ac:dyDescent="0.3">
      <c r="A219">
        <v>6566</v>
      </c>
      <c r="B219" t="s">
        <v>8534</v>
      </c>
      <c r="C219" t="s">
        <v>5043</v>
      </c>
    </row>
    <row r="220" spans="1:3" ht="14.45" x14ac:dyDescent="0.3">
      <c r="A220">
        <v>6567</v>
      </c>
      <c r="B220" t="s">
        <v>8534</v>
      </c>
      <c r="C220" t="s">
        <v>5043</v>
      </c>
    </row>
    <row r="221" spans="1:3" ht="14.45" x14ac:dyDescent="0.3">
      <c r="A221">
        <v>6624</v>
      </c>
      <c r="B221" t="s">
        <v>8534</v>
      </c>
      <c r="C221" t="s">
        <v>5043</v>
      </c>
    </row>
    <row r="222" spans="1:3" ht="14.45" x14ac:dyDescent="0.3">
      <c r="A222">
        <v>6643</v>
      </c>
      <c r="B222" t="s">
        <v>8534</v>
      </c>
      <c r="C222" t="s">
        <v>5043</v>
      </c>
    </row>
    <row r="223" spans="1:3" ht="14.45" x14ac:dyDescent="0.3">
      <c r="A223">
        <v>6686</v>
      </c>
      <c r="B223" t="s">
        <v>8534</v>
      </c>
      <c r="C223" t="s">
        <v>5043</v>
      </c>
    </row>
    <row r="224" spans="1:3" ht="14.45" x14ac:dyDescent="0.3">
      <c r="A224">
        <v>6703</v>
      </c>
      <c r="B224" t="s">
        <v>8534</v>
      </c>
      <c r="C224" t="s">
        <v>5043</v>
      </c>
    </row>
    <row r="225" spans="1:3" ht="14.45" x14ac:dyDescent="0.3">
      <c r="A225">
        <v>6777</v>
      </c>
      <c r="B225" t="s">
        <v>8534</v>
      </c>
      <c r="C225" t="s">
        <v>5043</v>
      </c>
    </row>
    <row r="226" spans="1:3" ht="14.45" x14ac:dyDescent="0.3">
      <c r="A226">
        <v>6778</v>
      </c>
      <c r="B226" t="s">
        <v>8534</v>
      </c>
      <c r="C226" t="s">
        <v>5043</v>
      </c>
    </row>
    <row r="227" spans="1:3" ht="14.45" x14ac:dyDescent="0.3">
      <c r="A227">
        <v>6779</v>
      </c>
      <c r="B227" t="s">
        <v>8534</v>
      </c>
      <c r="C227" t="s">
        <v>5043</v>
      </c>
    </row>
    <row r="228" spans="1:3" ht="14.45" x14ac:dyDescent="0.3">
      <c r="A228">
        <v>6862</v>
      </c>
      <c r="B228" t="s">
        <v>8534</v>
      </c>
      <c r="C228" t="s">
        <v>5043</v>
      </c>
    </row>
    <row r="229" spans="1:3" ht="14.45" x14ac:dyDescent="0.3">
      <c r="A229">
        <v>6983</v>
      </c>
      <c r="B229" t="s">
        <v>8534</v>
      </c>
      <c r="C229" t="s">
        <v>5043</v>
      </c>
    </row>
    <row r="230" spans="1:3" ht="14.45" x14ac:dyDescent="0.3">
      <c r="A230">
        <v>7030</v>
      </c>
      <c r="B230" t="s">
        <v>8534</v>
      </c>
      <c r="C230" t="s">
        <v>5043</v>
      </c>
    </row>
    <row r="231" spans="1:3" ht="14.45" x14ac:dyDescent="0.3">
      <c r="A231">
        <v>7062</v>
      </c>
      <c r="B231" t="s">
        <v>8534</v>
      </c>
      <c r="C231" t="s">
        <v>5043</v>
      </c>
    </row>
    <row r="232" spans="1:3" ht="14.45" x14ac:dyDescent="0.3">
      <c r="A232">
        <v>7091</v>
      </c>
      <c r="B232" t="s">
        <v>8534</v>
      </c>
      <c r="C232" t="s">
        <v>5043</v>
      </c>
    </row>
    <row r="233" spans="1:3" ht="14.45" x14ac:dyDescent="0.3">
      <c r="A233">
        <v>7097</v>
      </c>
      <c r="B233" t="s">
        <v>8534</v>
      </c>
      <c r="C233" t="s">
        <v>5043</v>
      </c>
    </row>
    <row r="234" spans="1:3" ht="14.45" x14ac:dyDescent="0.3">
      <c r="A234">
        <v>7169</v>
      </c>
      <c r="B234" t="s">
        <v>8534</v>
      </c>
      <c r="C234" t="s">
        <v>5043</v>
      </c>
    </row>
    <row r="235" spans="1:3" ht="14.45" x14ac:dyDescent="0.3">
      <c r="A235">
        <v>7193</v>
      </c>
      <c r="B235" t="s">
        <v>8534</v>
      </c>
      <c r="C235" t="s">
        <v>5043</v>
      </c>
    </row>
    <row r="236" spans="1:3" ht="14.45" x14ac:dyDescent="0.3">
      <c r="A236">
        <v>7292</v>
      </c>
      <c r="B236" t="s">
        <v>8534</v>
      </c>
      <c r="C236" t="s">
        <v>5043</v>
      </c>
    </row>
    <row r="237" spans="1:3" ht="14.45" x14ac:dyDescent="0.3">
      <c r="A237">
        <v>7300</v>
      </c>
      <c r="B237" t="s">
        <v>8534</v>
      </c>
      <c r="C237" t="s">
        <v>5043</v>
      </c>
    </row>
    <row r="238" spans="1:3" ht="14.45" x14ac:dyDescent="0.3">
      <c r="A238">
        <v>7332</v>
      </c>
      <c r="B238" t="s">
        <v>8534</v>
      </c>
      <c r="C238" t="s">
        <v>5043</v>
      </c>
    </row>
    <row r="239" spans="1:3" ht="14.45" x14ac:dyDescent="0.3">
      <c r="A239">
        <v>7480</v>
      </c>
      <c r="B239" t="s">
        <v>8534</v>
      </c>
      <c r="C239" t="s">
        <v>5043</v>
      </c>
    </row>
    <row r="240" spans="1:3" ht="14.45" x14ac:dyDescent="0.3">
      <c r="A240">
        <v>7496</v>
      </c>
      <c r="B240" t="s">
        <v>8534</v>
      </c>
      <c r="C240" t="s">
        <v>5043</v>
      </c>
    </row>
    <row r="241" spans="1:3" ht="14.45" x14ac:dyDescent="0.3">
      <c r="A241">
        <v>7604</v>
      </c>
      <c r="B241" t="s">
        <v>8534</v>
      </c>
      <c r="C241" t="s">
        <v>5043</v>
      </c>
    </row>
    <row r="242" spans="1:3" ht="14.45" x14ac:dyDescent="0.3">
      <c r="A242">
        <v>7650</v>
      </c>
      <c r="B242" t="s">
        <v>8534</v>
      </c>
      <c r="C242" t="s">
        <v>5043</v>
      </c>
    </row>
    <row r="243" spans="1:3" ht="14.45" x14ac:dyDescent="0.3">
      <c r="A243">
        <v>7654</v>
      </c>
      <c r="B243" t="s">
        <v>8534</v>
      </c>
      <c r="C243" t="s">
        <v>5043</v>
      </c>
    </row>
    <row r="244" spans="1:3" ht="14.45" x14ac:dyDescent="0.3">
      <c r="A244">
        <v>7657</v>
      </c>
      <c r="B244" t="s">
        <v>8534</v>
      </c>
      <c r="C244" t="s">
        <v>5043</v>
      </c>
    </row>
    <row r="245" spans="1:3" ht="14.45" x14ac:dyDescent="0.3">
      <c r="A245">
        <v>7682</v>
      </c>
      <c r="B245" t="s">
        <v>8534</v>
      </c>
      <c r="C245" t="s">
        <v>5043</v>
      </c>
    </row>
    <row r="246" spans="1:3" ht="14.45" x14ac:dyDescent="0.3">
      <c r="A246">
        <v>7715</v>
      </c>
      <c r="B246" t="s">
        <v>8534</v>
      </c>
      <c r="C246" t="s">
        <v>5043</v>
      </c>
    </row>
    <row r="247" spans="1:3" ht="14.45" x14ac:dyDescent="0.3">
      <c r="A247">
        <v>7784</v>
      </c>
      <c r="B247" t="s">
        <v>8534</v>
      </c>
      <c r="C247" t="s">
        <v>5043</v>
      </c>
    </row>
    <row r="248" spans="1:3" ht="14.45" x14ac:dyDescent="0.3">
      <c r="A248">
        <v>7836</v>
      </c>
      <c r="B248" t="s">
        <v>8534</v>
      </c>
      <c r="C248" t="s">
        <v>5043</v>
      </c>
    </row>
    <row r="249" spans="1:3" ht="14.45" x14ac:dyDescent="0.3">
      <c r="A249">
        <v>7867</v>
      </c>
      <c r="B249" t="s">
        <v>8534</v>
      </c>
      <c r="C249" t="s">
        <v>5043</v>
      </c>
    </row>
    <row r="250" spans="1:3" ht="14.45" x14ac:dyDescent="0.3">
      <c r="A250">
        <v>7883</v>
      </c>
      <c r="B250" t="s">
        <v>8534</v>
      </c>
      <c r="C250" t="s">
        <v>5043</v>
      </c>
    </row>
    <row r="251" spans="1:3" ht="14.45" x14ac:dyDescent="0.3">
      <c r="A251">
        <v>7920</v>
      </c>
      <c r="B251" t="s">
        <v>8534</v>
      </c>
      <c r="C251" t="s">
        <v>5043</v>
      </c>
    </row>
    <row r="252" spans="1:3" ht="14.45" x14ac:dyDescent="0.3">
      <c r="A252">
        <v>7932</v>
      </c>
      <c r="B252" t="s">
        <v>8534</v>
      </c>
      <c r="C252" t="s">
        <v>5043</v>
      </c>
    </row>
    <row r="253" spans="1:3" ht="14.45" x14ac:dyDescent="0.3">
      <c r="A253">
        <v>7973</v>
      </c>
      <c r="B253" t="s">
        <v>8534</v>
      </c>
      <c r="C253" t="s">
        <v>5043</v>
      </c>
    </row>
    <row r="254" spans="1:3" ht="14.45" x14ac:dyDescent="0.3">
      <c r="A254">
        <v>7995</v>
      </c>
      <c r="B254" t="s">
        <v>8534</v>
      </c>
      <c r="C254" t="s">
        <v>5043</v>
      </c>
    </row>
    <row r="255" spans="1:3" ht="14.45" x14ac:dyDescent="0.3">
      <c r="A255">
        <v>8064</v>
      </c>
      <c r="B255" t="s">
        <v>8534</v>
      </c>
      <c r="C255" t="s">
        <v>5043</v>
      </c>
    </row>
    <row r="256" spans="1:3" ht="14.45" x14ac:dyDescent="0.3">
      <c r="A256">
        <v>8109</v>
      </c>
      <c r="B256" t="s">
        <v>8534</v>
      </c>
      <c r="C256" t="s">
        <v>5043</v>
      </c>
    </row>
    <row r="257" spans="1:3" ht="14.45" x14ac:dyDescent="0.3">
      <c r="A257">
        <v>8153</v>
      </c>
      <c r="B257" t="s">
        <v>8534</v>
      </c>
      <c r="C257" t="s">
        <v>5043</v>
      </c>
    </row>
    <row r="258" spans="1:3" ht="14.45" x14ac:dyDescent="0.3">
      <c r="A258">
        <v>8191</v>
      </c>
      <c r="B258" t="s">
        <v>8534</v>
      </c>
      <c r="C258" t="s">
        <v>5043</v>
      </c>
    </row>
    <row r="259" spans="1:3" ht="14.45" x14ac:dyDescent="0.3">
      <c r="A259">
        <v>8208</v>
      </c>
      <c r="B259" t="s">
        <v>8534</v>
      </c>
      <c r="C259" t="s">
        <v>5043</v>
      </c>
    </row>
    <row r="260" spans="1:3" ht="14.45" x14ac:dyDescent="0.3">
      <c r="A260">
        <v>8275</v>
      </c>
      <c r="B260" t="s">
        <v>8534</v>
      </c>
      <c r="C260" t="s">
        <v>5043</v>
      </c>
    </row>
    <row r="261" spans="1:3" ht="14.45" x14ac:dyDescent="0.3">
      <c r="A261">
        <v>8380</v>
      </c>
      <c r="B261" t="s">
        <v>8534</v>
      </c>
      <c r="C261" t="s">
        <v>5043</v>
      </c>
    </row>
    <row r="262" spans="1:3" ht="14.45" x14ac:dyDescent="0.3">
      <c r="A262">
        <v>8404</v>
      </c>
      <c r="B262" t="s">
        <v>8534</v>
      </c>
      <c r="C262" t="s">
        <v>5043</v>
      </c>
    </row>
    <row r="263" spans="1:3" ht="14.45" x14ac:dyDescent="0.3">
      <c r="A263">
        <v>8430</v>
      </c>
      <c r="B263" t="s">
        <v>8534</v>
      </c>
      <c r="C263" t="s">
        <v>5043</v>
      </c>
    </row>
    <row r="264" spans="1:3" ht="14.45" x14ac:dyDescent="0.3">
      <c r="A264">
        <v>8504</v>
      </c>
      <c r="B264" t="s">
        <v>8534</v>
      </c>
      <c r="C264" t="s">
        <v>5043</v>
      </c>
    </row>
    <row r="265" spans="1:3" ht="14.45" x14ac:dyDescent="0.3">
      <c r="A265">
        <v>8523</v>
      </c>
      <c r="B265" t="s">
        <v>8534</v>
      </c>
      <c r="C265" t="s">
        <v>5043</v>
      </c>
    </row>
    <row r="266" spans="1:3" ht="14.45" x14ac:dyDescent="0.3">
      <c r="A266">
        <v>8751</v>
      </c>
      <c r="B266" t="s">
        <v>8534</v>
      </c>
      <c r="C266" t="s">
        <v>5043</v>
      </c>
    </row>
    <row r="267" spans="1:3" ht="14.45" x14ac:dyDescent="0.3">
      <c r="A267">
        <v>9012</v>
      </c>
      <c r="B267" t="s">
        <v>8534</v>
      </c>
      <c r="C267" t="s">
        <v>5043</v>
      </c>
    </row>
    <row r="268" spans="1:3" ht="14.45" x14ac:dyDescent="0.3">
      <c r="A268">
        <v>9027</v>
      </c>
      <c r="B268" t="s">
        <v>8534</v>
      </c>
      <c r="C268" t="s">
        <v>5043</v>
      </c>
    </row>
    <row r="269" spans="1:3" ht="14.45" x14ac:dyDescent="0.3">
      <c r="A269">
        <v>9047</v>
      </c>
      <c r="B269" t="s">
        <v>8534</v>
      </c>
      <c r="C269" t="s">
        <v>5043</v>
      </c>
    </row>
    <row r="270" spans="1:3" ht="14.45" x14ac:dyDescent="0.3">
      <c r="A270">
        <v>9154</v>
      </c>
      <c r="B270" t="s">
        <v>8534</v>
      </c>
      <c r="C270" t="s">
        <v>5043</v>
      </c>
    </row>
    <row r="271" spans="1:3" ht="14.45" x14ac:dyDescent="0.3">
      <c r="A271">
        <v>9229</v>
      </c>
      <c r="B271" t="s">
        <v>8534</v>
      </c>
      <c r="C271" t="s">
        <v>5043</v>
      </c>
    </row>
    <row r="272" spans="1:3" ht="14.45" x14ac:dyDescent="0.3">
      <c r="A272">
        <v>9254</v>
      </c>
      <c r="B272" t="s">
        <v>8534</v>
      </c>
      <c r="C272" t="s">
        <v>5043</v>
      </c>
    </row>
    <row r="273" spans="1:3" ht="14.45" x14ac:dyDescent="0.3">
      <c r="A273">
        <v>9257</v>
      </c>
      <c r="B273" t="s">
        <v>8534</v>
      </c>
      <c r="C273" t="s">
        <v>5043</v>
      </c>
    </row>
    <row r="274" spans="1:3" ht="14.45" x14ac:dyDescent="0.3">
      <c r="A274">
        <v>9263</v>
      </c>
      <c r="B274" t="s">
        <v>8534</v>
      </c>
      <c r="C274" t="s">
        <v>5043</v>
      </c>
    </row>
    <row r="275" spans="1:3" ht="14.45" x14ac:dyDescent="0.3">
      <c r="A275">
        <v>9355</v>
      </c>
      <c r="B275" t="s">
        <v>8534</v>
      </c>
      <c r="C275" t="s">
        <v>5043</v>
      </c>
    </row>
    <row r="276" spans="1:3" ht="14.45" x14ac:dyDescent="0.3">
      <c r="A276">
        <v>9365</v>
      </c>
      <c r="B276" t="s">
        <v>8534</v>
      </c>
      <c r="C276" t="s">
        <v>5043</v>
      </c>
    </row>
    <row r="277" spans="1:3" ht="14.45" x14ac:dyDescent="0.3">
      <c r="A277">
        <v>9373</v>
      </c>
      <c r="B277" t="s">
        <v>8534</v>
      </c>
      <c r="C277" t="s">
        <v>5043</v>
      </c>
    </row>
    <row r="278" spans="1:3" ht="14.45" x14ac:dyDescent="0.3">
      <c r="A278">
        <v>9484</v>
      </c>
      <c r="B278" t="s">
        <v>8534</v>
      </c>
      <c r="C278" t="s">
        <v>5043</v>
      </c>
    </row>
    <row r="279" spans="1:3" ht="14.45" x14ac:dyDescent="0.3">
      <c r="A279">
        <v>9599</v>
      </c>
      <c r="B279" t="s">
        <v>8534</v>
      </c>
      <c r="C279" t="s">
        <v>5043</v>
      </c>
    </row>
    <row r="280" spans="1:3" ht="14.45" x14ac:dyDescent="0.3">
      <c r="A280">
        <v>9697</v>
      </c>
      <c r="B280" t="s">
        <v>8534</v>
      </c>
      <c r="C280" t="s">
        <v>5043</v>
      </c>
    </row>
    <row r="281" spans="1:3" ht="14.45" x14ac:dyDescent="0.3">
      <c r="A281">
        <v>9733</v>
      </c>
      <c r="B281" t="s">
        <v>8534</v>
      </c>
      <c r="C281" t="s">
        <v>5043</v>
      </c>
    </row>
    <row r="282" spans="1:3" ht="14.45" x14ac:dyDescent="0.3">
      <c r="A282">
        <v>9785</v>
      </c>
      <c r="B282" t="s">
        <v>8534</v>
      </c>
      <c r="C282" t="s">
        <v>5043</v>
      </c>
    </row>
    <row r="283" spans="1:3" ht="14.45" x14ac:dyDescent="0.3">
      <c r="A283">
        <v>5758</v>
      </c>
      <c r="B283" t="s">
        <v>9674</v>
      </c>
      <c r="C283" t="s">
        <v>5043</v>
      </c>
    </row>
    <row r="284" spans="1:3" ht="14.45" x14ac:dyDescent="0.3">
      <c r="A284">
        <v>6006</v>
      </c>
      <c r="B284" t="s">
        <v>9674</v>
      </c>
      <c r="C284" t="s">
        <v>5043</v>
      </c>
    </row>
    <row r="285" spans="1:3" ht="14.45" x14ac:dyDescent="0.3">
      <c r="A285">
        <v>8210</v>
      </c>
      <c r="B285" t="s">
        <v>9674</v>
      </c>
      <c r="C285" t="s">
        <v>5043</v>
      </c>
    </row>
    <row r="286" spans="1:3" ht="14.45" x14ac:dyDescent="0.3">
      <c r="A286">
        <v>8644</v>
      </c>
      <c r="B286" t="s">
        <v>9674</v>
      </c>
      <c r="C286" t="s">
        <v>5043</v>
      </c>
    </row>
    <row r="287" spans="1:3" ht="14.45" x14ac:dyDescent="0.3">
      <c r="A287">
        <v>7760</v>
      </c>
      <c r="B287" t="s">
        <v>8536</v>
      </c>
      <c r="C287" t="s">
        <v>5043</v>
      </c>
    </row>
    <row r="288" spans="1:3" ht="14.45" x14ac:dyDescent="0.3">
      <c r="A288">
        <v>5055</v>
      </c>
      <c r="B288" t="s">
        <v>8537</v>
      </c>
      <c r="C288" t="s">
        <v>5043</v>
      </c>
    </row>
    <row r="289" spans="1:3" ht="14.45" x14ac:dyDescent="0.3">
      <c r="A289">
        <v>7575</v>
      </c>
      <c r="B289" t="s">
        <v>9676</v>
      </c>
      <c r="C289" t="s">
        <v>5043</v>
      </c>
    </row>
    <row r="290" spans="1:3" ht="14.45" x14ac:dyDescent="0.3">
      <c r="A290">
        <v>8280</v>
      </c>
      <c r="B290" t="s">
        <v>9679</v>
      </c>
      <c r="C290" t="s">
        <v>5043</v>
      </c>
    </row>
    <row r="291" spans="1:3" ht="14.45" x14ac:dyDescent="0.3">
      <c r="A291">
        <v>5749</v>
      </c>
      <c r="B291" t="s">
        <v>9681</v>
      </c>
      <c r="C291" t="s">
        <v>5043</v>
      </c>
    </row>
    <row r="292" spans="1:3" ht="14.45" x14ac:dyDescent="0.3">
      <c r="A292">
        <v>9696</v>
      </c>
      <c r="B292" t="s">
        <v>9682</v>
      </c>
      <c r="C292" t="s">
        <v>5043</v>
      </c>
    </row>
    <row r="293" spans="1:3" ht="14.45" x14ac:dyDescent="0.3">
      <c r="A293">
        <v>5588</v>
      </c>
      <c r="B293" t="s">
        <v>8538</v>
      </c>
      <c r="C293" t="s">
        <v>5043</v>
      </c>
    </row>
    <row r="294" spans="1:3" ht="14.45" x14ac:dyDescent="0.3">
      <c r="A294">
        <v>5540</v>
      </c>
      <c r="B294" t="s">
        <v>8539</v>
      </c>
      <c r="C294" t="s">
        <v>5043</v>
      </c>
    </row>
    <row r="295" spans="1:3" ht="14.45" x14ac:dyDescent="0.3">
      <c r="A295">
        <v>10782</v>
      </c>
      <c r="B295" t="s">
        <v>11542</v>
      </c>
      <c r="C295" t="s">
        <v>5043</v>
      </c>
    </row>
    <row r="296" spans="1:3" ht="14.45" x14ac:dyDescent="0.3">
      <c r="A296">
        <v>10784</v>
      </c>
      <c r="B296" t="s">
        <v>11542</v>
      </c>
      <c r="C296" t="s">
        <v>5043</v>
      </c>
    </row>
    <row r="297" spans="1:3" ht="14.45" x14ac:dyDescent="0.3">
      <c r="A297">
        <v>10785</v>
      </c>
      <c r="B297" t="s">
        <v>11542</v>
      </c>
      <c r="C297" t="s">
        <v>5043</v>
      </c>
    </row>
    <row r="298" spans="1:3" ht="14.45" x14ac:dyDescent="0.3">
      <c r="A298">
        <v>10786</v>
      </c>
      <c r="B298" t="s">
        <v>11542</v>
      </c>
      <c r="C298" t="s">
        <v>5043</v>
      </c>
    </row>
    <row r="299" spans="1:3" ht="14.45" x14ac:dyDescent="0.3">
      <c r="A299">
        <v>10792</v>
      </c>
      <c r="B299" t="s">
        <v>11542</v>
      </c>
      <c r="C299" t="s">
        <v>5043</v>
      </c>
    </row>
    <row r="300" spans="1:3" ht="14.45" x14ac:dyDescent="0.3">
      <c r="A300">
        <v>10832</v>
      </c>
      <c r="B300" t="s">
        <v>11542</v>
      </c>
      <c r="C300" t="s">
        <v>5043</v>
      </c>
    </row>
    <row r="301" spans="1:3" ht="14.45" x14ac:dyDescent="0.3">
      <c r="A301">
        <v>10833</v>
      </c>
      <c r="B301" t="s">
        <v>11542</v>
      </c>
      <c r="C301" t="s">
        <v>5043</v>
      </c>
    </row>
    <row r="302" spans="1:3" ht="14.45" x14ac:dyDescent="0.3">
      <c r="A302">
        <v>7254</v>
      </c>
      <c r="B302" t="s">
        <v>9690</v>
      </c>
      <c r="C302" t="s">
        <v>5043</v>
      </c>
    </row>
    <row r="303" spans="1:3" ht="14.45" x14ac:dyDescent="0.3">
      <c r="A303">
        <v>8780</v>
      </c>
      <c r="B303" t="s">
        <v>9693</v>
      </c>
      <c r="C303" t="s">
        <v>5043</v>
      </c>
    </row>
    <row r="304" spans="1:3" ht="14.45" x14ac:dyDescent="0.3">
      <c r="A304">
        <v>5218</v>
      </c>
      <c r="B304" t="s">
        <v>9694</v>
      </c>
      <c r="C304" t="s">
        <v>5043</v>
      </c>
    </row>
    <row r="305" spans="1:3" ht="14.45" x14ac:dyDescent="0.3">
      <c r="A305">
        <v>7601</v>
      </c>
      <c r="B305" t="s">
        <v>9694</v>
      </c>
      <c r="C305" t="s">
        <v>5043</v>
      </c>
    </row>
    <row r="306" spans="1:3" ht="14.45" x14ac:dyDescent="0.3">
      <c r="A306">
        <v>7923</v>
      </c>
      <c r="B306" t="s">
        <v>9694</v>
      </c>
      <c r="C306" t="s">
        <v>5043</v>
      </c>
    </row>
    <row r="307" spans="1:3" ht="14.45" x14ac:dyDescent="0.3">
      <c r="A307">
        <v>5525</v>
      </c>
      <c r="B307" t="s">
        <v>9697</v>
      </c>
      <c r="C307" t="s">
        <v>5043</v>
      </c>
    </row>
    <row r="308" spans="1:3" ht="14.45" x14ac:dyDescent="0.3">
      <c r="A308">
        <v>7752</v>
      </c>
      <c r="B308" t="s">
        <v>9698</v>
      </c>
      <c r="C308" t="s">
        <v>5043</v>
      </c>
    </row>
    <row r="309" spans="1:3" ht="14.45" x14ac:dyDescent="0.3">
      <c r="A309">
        <v>9789</v>
      </c>
      <c r="B309" t="s">
        <v>9698</v>
      </c>
      <c r="C309" t="s">
        <v>5043</v>
      </c>
    </row>
    <row r="310" spans="1:3" ht="14.45" x14ac:dyDescent="0.3">
      <c r="A310">
        <v>10774</v>
      </c>
      <c r="B310" t="s">
        <v>9700</v>
      </c>
      <c r="C310" t="s">
        <v>5043</v>
      </c>
    </row>
    <row r="311" spans="1:3" ht="14.45" x14ac:dyDescent="0.3">
      <c r="A311">
        <v>10775</v>
      </c>
      <c r="B311" t="s">
        <v>9700</v>
      </c>
      <c r="C311" t="s">
        <v>5043</v>
      </c>
    </row>
    <row r="312" spans="1:3" ht="14.45" x14ac:dyDescent="0.3">
      <c r="A312">
        <v>10776</v>
      </c>
      <c r="B312" t="s">
        <v>9700</v>
      </c>
      <c r="C312" t="s">
        <v>5043</v>
      </c>
    </row>
    <row r="313" spans="1:3" ht="14.45" x14ac:dyDescent="0.3">
      <c r="A313">
        <v>5565</v>
      </c>
      <c r="B313" t="s">
        <v>8542</v>
      </c>
      <c r="C313" t="s">
        <v>5043</v>
      </c>
    </row>
    <row r="314" spans="1:3" ht="14.45" x14ac:dyDescent="0.3">
      <c r="A314">
        <v>5409</v>
      </c>
      <c r="B314" t="s">
        <v>8543</v>
      </c>
      <c r="C314" t="s">
        <v>5043</v>
      </c>
    </row>
    <row r="315" spans="1:3" ht="14.45" x14ac:dyDescent="0.3">
      <c r="A315">
        <v>7467</v>
      </c>
      <c r="B315" t="s">
        <v>8543</v>
      </c>
      <c r="C315" t="s">
        <v>5043</v>
      </c>
    </row>
    <row r="316" spans="1:3" ht="14.45" x14ac:dyDescent="0.3">
      <c r="A316">
        <v>7905</v>
      </c>
      <c r="B316" t="s">
        <v>8543</v>
      </c>
      <c r="C316" t="s">
        <v>5043</v>
      </c>
    </row>
    <row r="317" spans="1:3" ht="14.45" x14ac:dyDescent="0.3">
      <c r="A317">
        <v>9318</v>
      </c>
      <c r="B317" t="s">
        <v>8543</v>
      </c>
      <c r="C317" t="s">
        <v>5043</v>
      </c>
    </row>
    <row r="318" spans="1:3" ht="14.45" x14ac:dyDescent="0.3">
      <c r="A318">
        <v>9706</v>
      </c>
      <c r="B318" t="s">
        <v>8543</v>
      </c>
      <c r="C318" t="s">
        <v>5043</v>
      </c>
    </row>
    <row r="319" spans="1:3" ht="14.45" x14ac:dyDescent="0.3">
      <c r="A319">
        <v>5124</v>
      </c>
      <c r="B319" t="s">
        <v>8544</v>
      </c>
      <c r="C319" t="s">
        <v>5043</v>
      </c>
    </row>
    <row r="320" spans="1:3" ht="14.45" x14ac:dyDescent="0.3">
      <c r="A320">
        <v>5416</v>
      </c>
      <c r="B320" t="s">
        <v>8544</v>
      </c>
      <c r="C320" t="s">
        <v>5043</v>
      </c>
    </row>
    <row r="321" spans="1:3" ht="14.45" x14ac:dyDescent="0.3">
      <c r="A321">
        <v>6121</v>
      </c>
      <c r="B321" t="s">
        <v>8544</v>
      </c>
      <c r="C321" t="s">
        <v>5043</v>
      </c>
    </row>
    <row r="322" spans="1:3" ht="14.45" x14ac:dyDescent="0.3">
      <c r="A322">
        <v>6309</v>
      </c>
      <c r="B322" t="s">
        <v>8544</v>
      </c>
      <c r="C322" t="s">
        <v>5043</v>
      </c>
    </row>
    <row r="323" spans="1:3" ht="14.45" x14ac:dyDescent="0.3">
      <c r="A323">
        <v>6719</v>
      </c>
      <c r="B323" t="s">
        <v>8544</v>
      </c>
      <c r="C323" t="s">
        <v>5043</v>
      </c>
    </row>
    <row r="324" spans="1:3" ht="14.45" x14ac:dyDescent="0.3">
      <c r="A324">
        <v>8150</v>
      </c>
      <c r="B324" t="s">
        <v>8544</v>
      </c>
      <c r="C324" t="s">
        <v>5043</v>
      </c>
    </row>
    <row r="325" spans="1:3" ht="14.45" x14ac:dyDescent="0.3">
      <c r="A325">
        <v>8650</v>
      </c>
      <c r="B325" t="s">
        <v>8544</v>
      </c>
      <c r="C325" t="s">
        <v>5043</v>
      </c>
    </row>
    <row r="326" spans="1:3" ht="14.45" x14ac:dyDescent="0.3">
      <c r="A326">
        <v>9039</v>
      </c>
      <c r="B326" t="s">
        <v>8544</v>
      </c>
      <c r="C326" t="s">
        <v>5043</v>
      </c>
    </row>
    <row r="327" spans="1:3" ht="14.45" x14ac:dyDescent="0.3">
      <c r="A327">
        <v>9652</v>
      </c>
      <c r="B327" t="s">
        <v>8544</v>
      </c>
      <c r="C327" t="s">
        <v>5043</v>
      </c>
    </row>
    <row r="328" spans="1:3" ht="14.45" x14ac:dyDescent="0.3">
      <c r="A328">
        <v>7010</v>
      </c>
      <c r="B328" t="s">
        <v>8548</v>
      </c>
      <c r="C328" t="s">
        <v>5043</v>
      </c>
    </row>
    <row r="329" spans="1:3" ht="14.45" x14ac:dyDescent="0.3">
      <c r="A329">
        <v>7274</v>
      </c>
      <c r="B329" t="s">
        <v>8552</v>
      </c>
      <c r="C329" t="s">
        <v>5043</v>
      </c>
    </row>
    <row r="330" spans="1:3" ht="14.45" x14ac:dyDescent="0.3">
      <c r="A330">
        <v>9815</v>
      </c>
      <c r="B330" t="s">
        <v>9705</v>
      </c>
      <c r="C330" t="s">
        <v>5043</v>
      </c>
    </row>
    <row r="331" spans="1:3" ht="14.45" x14ac:dyDescent="0.3">
      <c r="A331">
        <v>9816</v>
      </c>
      <c r="B331" t="s">
        <v>9705</v>
      </c>
      <c r="C331" t="s">
        <v>5043</v>
      </c>
    </row>
    <row r="332" spans="1:3" ht="14.45" x14ac:dyDescent="0.3">
      <c r="A332">
        <v>9817</v>
      </c>
      <c r="B332" t="s">
        <v>9705</v>
      </c>
      <c r="C332" t="s">
        <v>5043</v>
      </c>
    </row>
    <row r="333" spans="1:3" ht="14.45" x14ac:dyDescent="0.3">
      <c r="A333">
        <v>10258</v>
      </c>
      <c r="B333" t="s">
        <v>8554</v>
      </c>
      <c r="C333" t="s">
        <v>5043</v>
      </c>
    </row>
    <row r="334" spans="1:3" ht="14.45" x14ac:dyDescent="0.3">
      <c r="A334">
        <v>5736</v>
      </c>
      <c r="B334" t="s">
        <v>8555</v>
      </c>
      <c r="C334" t="s">
        <v>5043</v>
      </c>
    </row>
    <row r="335" spans="1:3" ht="14.45" x14ac:dyDescent="0.3">
      <c r="A335">
        <v>7161</v>
      </c>
      <c r="B335" t="s">
        <v>8555</v>
      </c>
      <c r="C335" t="s">
        <v>5043</v>
      </c>
    </row>
    <row r="336" spans="1:3" ht="14.45" x14ac:dyDescent="0.3">
      <c r="A336">
        <v>7361</v>
      </c>
      <c r="B336" t="s">
        <v>8557</v>
      </c>
      <c r="C336" t="s">
        <v>5043</v>
      </c>
    </row>
    <row r="337" spans="1:3" ht="14.45" x14ac:dyDescent="0.3">
      <c r="A337">
        <v>5033</v>
      </c>
      <c r="B337" t="s">
        <v>8559</v>
      </c>
      <c r="C337" t="s">
        <v>5043</v>
      </c>
    </row>
    <row r="338" spans="1:3" ht="14.45" x14ac:dyDescent="0.3">
      <c r="A338">
        <v>5082</v>
      </c>
      <c r="B338" t="s">
        <v>8559</v>
      </c>
      <c r="C338" t="s">
        <v>5043</v>
      </c>
    </row>
    <row r="339" spans="1:3" ht="14.45" x14ac:dyDescent="0.3">
      <c r="A339">
        <v>5120</v>
      </c>
      <c r="B339" t="s">
        <v>8559</v>
      </c>
      <c r="C339" t="s">
        <v>5043</v>
      </c>
    </row>
    <row r="340" spans="1:3" ht="14.45" x14ac:dyDescent="0.3">
      <c r="A340">
        <v>5774</v>
      </c>
      <c r="B340" t="s">
        <v>8559</v>
      </c>
      <c r="C340" t="s">
        <v>5043</v>
      </c>
    </row>
    <row r="341" spans="1:3" ht="14.45" x14ac:dyDescent="0.3">
      <c r="A341">
        <v>5847</v>
      </c>
      <c r="B341" t="s">
        <v>8559</v>
      </c>
      <c r="C341" t="s">
        <v>5043</v>
      </c>
    </row>
    <row r="342" spans="1:3" ht="14.45" x14ac:dyDescent="0.3">
      <c r="A342">
        <v>6183</v>
      </c>
      <c r="B342" t="s">
        <v>8559</v>
      </c>
      <c r="C342" t="s">
        <v>5043</v>
      </c>
    </row>
    <row r="343" spans="1:3" ht="14.45" x14ac:dyDescent="0.3">
      <c r="A343">
        <v>6242</v>
      </c>
      <c r="B343" t="s">
        <v>8559</v>
      </c>
      <c r="C343" t="s">
        <v>5043</v>
      </c>
    </row>
    <row r="344" spans="1:3" ht="14.45" x14ac:dyDescent="0.3">
      <c r="A344">
        <v>6361</v>
      </c>
      <c r="B344" t="s">
        <v>8559</v>
      </c>
      <c r="C344" t="s">
        <v>5043</v>
      </c>
    </row>
    <row r="345" spans="1:3" ht="14.45" x14ac:dyDescent="0.3">
      <c r="A345">
        <v>6808</v>
      </c>
      <c r="B345" t="s">
        <v>8559</v>
      </c>
      <c r="C345" t="s">
        <v>5043</v>
      </c>
    </row>
    <row r="346" spans="1:3" ht="14.45" x14ac:dyDescent="0.3">
      <c r="A346">
        <v>6838</v>
      </c>
      <c r="B346" t="s">
        <v>8559</v>
      </c>
      <c r="C346" t="s">
        <v>5043</v>
      </c>
    </row>
    <row r="347" spans="1:3" ht="14.45" x14ac:dyDescent="0.3">
      <c r="A347">
        <v>6976</v>
      </c>
      <c r="B347" t="s">
        <v>8559</v>
      </c>
      <c r="C347" t="s">
        <v>5043</v>
      </c>
    </row>
    <row r="348" spans="1:3" ht="14.45" x14ac:dyDescent="0.3">
      <c r="A348">
        <v>7018</v>
      </c>
      <c r="B348" t="s">
        <v>8559</v>
      </c>
      <c r="C348" t="s">
        <v>5043</v>
      </c>
    </row>
    <row r="349" spans="1:3" ht="14.45" x14ac:dyDescent="0.3">
      <c r="A349">
        <v>7301</v>
      </c>
      <c r="B349" t="s">
        <v>8559</v>
      </c>
      <c r="C349" t="s">
        <v>5043</v>
      </c>
    </row>
    <row r="350" spans="1:3" ht="14.45" x14ac:dyDescent="0.3">
      <c r="A350">
        <v>7322</v>
      </c>
      <c r="B350" t="s">
        <v>8559</v>
      </c>
      <c r="C350" t="s">
        <v>5043</v>
      </c>
    </row>
    <row r="351" spans="1:3" ht="14.45" x14ac:dyDescent="0.3">
      <c r="A351">
        <v>7401</v>
      </c>
      <c r="B351" t="s">
        <v>8559</v>
      </c>
      <c r="C351" t="s">
        <v>5043</v>
      </c>
    </row>
    <row r="352" spans="1:3" ht="14.45" x14ac:dyDescent="0.3">
      <c r="A352">
        <v>7418</v>
      </c>
      <c r="B352" t="s">
        <v>8559</v>
      </c>
      <c r="C352" t="s">
        <v>5043</v>
      </c>
    </row>
    <row r="353" spans="1:3" ht="14.45" x14ac:dyDescent="0.3">
      <c r="A353">
        <v>7491</v>
      </c>
      <c r="B353" t="s">
        <v>8559</v>
      </c>
      <c r="C353" t="s">
        <v>5043</v>
      </c>
    </row>
    <row r="354" spans="1:3" ht="14.45" x14ac:dyDescent="0.3">
      <c r="A354">
        <v>7858</v>
      </c>
      <c r="B354" t="s">
        <v>8559</v>
      </c>
      <c r="C354" t="s">
        <v>5043</v>
      </c>
    </row>
    <row r="355" spans="1:3" ht="14.45" x14ac:dyDescent="0.3">
      <c r="A355">
        <v>7874</v>
      </c>
      <c r="B355" t="s">
        <v>8559</v>
      </c>
      <c r="C355" t="s">
        <v>5043</v>
      </c>
    </row>
    <row r="356" spans="1:3" ht="14.45" x14ac:dyDescent="0.3">
      <c r="A356">
        <v>7889</v>
      </c>
      <c r="B356" t="s">
        <v>8559</v>
      </c>
      <c r="C356" t="s">
        <v>5043</v>
      </c>
    </row>
    <row r="357" spans="1:3" ht="14.45" x14ac:dyDescent="0.3">
      <c r="A357">
        <v>8037</v>
      </c>
      <c r="B357" t="s">
        <v>8559</v>
      </c>
      <c r="C357" t="s">
        <v>5043</v>
      </c>
    </row>
    <row r="358" spans="1:3" ht="14.45" x14ac:dyDescent="0.3">
      <c r="A358">
        <v>8048</v>
      </c>
      <c r="B358" t="s">
        <v>8559</v>
      </c>
      <c r="C358" t="s">
        <v>5043</v>
      </c>
    </row>
    <row r="359" spans="1:3" ht="14.45" x14ac:dyDescent="0.3">
      <c r="A359">
        <v>8111</v>
      </c>
      <c r="B359" t="s">
        <v>8559</v>
      </c>
      <c r="C359" t="s">
        <v>5043</v>
      </c>
    </row>
    <row r="360" spans="1:3" ht="14.45" x14ac:dyDescent="0.3">
      <c r="A360">
        <v>8271</v>
      </c>
      <c r="B360" t="s">
        <v>8559</v>
      </c>
      <c r="C360" t="s">
        <v>5043</v>
      </c>
    </row>
    <row r="361" spans="1:3" ht="14.45" x14ac:dyDescent="0.3">
      <c r="A361">
        <v>8475</v>
      </c>
      <c r="B361" t="s">
        <v>8559</v>
      </c>
      <c r="C361" t="s">
        <v>5043</v>
      </c>
    </row>
    <row r="362" spans="1:3" ht="14.45" x14ac:dyDescent="0.3">
      <c r="A362">
        <v>8479</v>
      </c>
      <c r="B362" t="s">
        <v>8559</v>
      </c>
      <c r="C362" t="s">
        <v>5043</v>
      </c>
    </row>
    <row r="363" spans="1:3" ht="14.45" x14ac:dyDescent="0.3">
      <c r="A363">
        <v>8612</v>
      </c>
      <c r="B363" t="s">
        <v>8559</v>
      </c>
      <c r="C363" t="s">
        <v>5043</v>
      </c>
    </row>
    <row r="364" spans="1:3" ht="14.45" x14ac:dyDescent="0.3">
      <c r="A364">
        <v>8737</v>
      </c>
      <c r="B364" t="s">
        <v>8559</v>
      </c>
      <c r="C364" t="s">
        <v>5043</v>
      </c>
    </row>
    <row r="365" spans="1:3" ht="14.45" x14ac:dyDescent="0.3">
      <c r="A365">
        <v>8789</v>
      </c>
      <c r="B365" t="s">
        <v>8559</v>
      </c>
      <c r="C365" t="s">
        <v>5043</v>
      </c>
    </row>
    <row r="366" spans="1:3" ht="14.45" x14ac:dyDescent="0.3">
      <c r="A366">
        <v>8859</v>
      </c>
      <c r="B366" t="s">
        <v>8559</v>
      </c>
      <c r="C366" t="s">
        <v>5043</v>
      </c>
    </row>
    <row r="367" spans="1:3" ht="14.45" x14ac:dyDescent="0.3">
      <c r="A367">
        <v>8904</v>
      </c>
      <c r="B367" t="s">
        <v>8559</v>
      </c>
      <c r="C367" t="s">
        <v>5043</v>
      </c>
    </row>
    <row r="368" spans="1:3" ht="14.45" x14ac:dyDescent="0.3">
      <c r="A368">
        <v>8915</v>
      </c>
      <c r="B368" t="s">
        <v>8559</v>
      </c>
      <c r="C368" t="s">
        <v>5043</v>
      </c>
    </row>
    <row r="369" spans="1:3" ht="14.45" x14ac:dyDescent="0.3">
      <c r="A369">
        <v>9208</v>
      </c>
      <c r="B369" t="s">
        <v>8559</v>
      </c>
      <c r="C369" t="s">
        <v>5043</v>
      </c>
    </row>
    <row r="370" spans="1:3" ht="14.45" x14ac:dyDescent="0.3">
      <c r="A370">
        <v>9468</v>
      </c>
      <c r="B370" t="s">
        <v>8559</v>
      </c>
      <c r="C370" t="s">
        <v>5043</v>
      </c>
    </row>
    <row r="371" spans="1:3" ht="14.45" x14ac:dyDescent="0.3">
      <c r="A371">
        <v>9595</v>
      </c>
      <c r="B371" t="s">
        <v>8559</v>
      </c>
      <c r="C371" t="s">
        <v>5043</v>
      </c>
    </row>
    <row r="372" spans="1:3" ht="14.45" x14ac:dyDescent="0.3">
      <c r="A372">
        <v>9694</v>
      </c>
      <c r="B372" t="s">
        <v>8559</v>
      </c>
      <c r="C372" t="s">
        <v>5043</v>
      </c>
    </row>
    <row r="373" spans="1:3" ht="14.45" x14ac:dyDescent="0.3">
      <c r="A373">
        <v>9724</v>
      </c>
      <c r="B373" t="s">
        <v>8559</v>
      </c>
      <c r="C373" t="s">
        <v>5043</v>
      </c>
    </row>
    <row r="374" spans="1:3" ht="14.45" x14ac:dyDescent="0.3">
      <c r="A374">
        <v>7355</v>
      </c>
      <c r="B374" t="s">
        <v>8560</v>
      </c>
      <c r="C374" t="s">
        <v>5043</v>
      </c>
    </row>
    <row r="375" spans="1:3" ht="14.45" x14ac:dyDescent="0.3">
      <c r="A375">
        <v>5271</v>
      </c>
      <c r="B375" t="s">
        <v>8561</v>
      </c>
      <c r="C375" t="s">
        <v>5043</v>
      </c>
    </row>
    <row r="376" spans="1:3" ht="14.45" x14ac:dyDescent="0.3">
      <c r="A376">
        <v>5854</v>
      </c>
      <c r="B376" t="s">
        <v>8562</v>
      </c>
      <c r="C376" t="s">
        <v>5043</v>
      </c>
    </row>
    <row r="377" spans="1:3" ht="14.45" x14ac:dyDescent="0.3">
      <c r="A377">
        <v>6012</v>
      </c>
      <c r="B377" t="s">
        <v>8562</v>
      </c>
      <c r="C377" t="s">
        <v>5043</v>
      </c>
    </row>
    <row r="378" spans="1:3" ht="14.45" x14ac:dyDescent="0.3">
      <c r="A378">
        <v>8589</v>
      </c>
      <c r="B378" t="s">
        <v>8562</v>
      </c>
      <c r="C378" t="s">
        <v>5043</v>
      </c>
    </row>
    <row r="379" spans="1:3" ht="14.45" x14ac:dyDescent="0.3">
      <c r="A379">
        <v>8979</v>
      </c>
      <c r="B379" t="s">
        <v>8562</v>
      </c>
      <c r="C379" t="s">
        <v>5043</v>
      </c>
    </row>
    <row r="380" spans="1:3" ht="14.45" x14ac:dyDescent="0.3">
      <c r="A380">
        <v>5727</v>
      </c>
      <c r="B380" t="s">
        <v>8563</v>
      </c>
      <c r="C380" t="s">
        <v>5043</v>
      </c>
    </row>
    <row r="381" spans="1:3" ht="14.45" x14ac:dyDescent="0.3">
      <c r="A381">
        <v>7748</v>
      </c>
      <c r="B381" t="s">
        <v>8563</v>
      </c>
      <c r="C381" t="s">
        <v>5043</v>
      </c>
    </row>
    <row r="382" spans="1:3" ht="14.45" x14ac:dyDescent="0.3">
      <c r="A382">
        <v>7830</v>
      </c>
      <c r="B382" t="s">
        <v>8563</v>
      </c>
      <c r="C382" t="s">
        <v>5043</v>
      </c>
    </row>
    <row r="383" spans="1:3" ht="14.45" x14ac:dyDescent="0.3">
      <c r="A383">
        <v>8596</v>
      </c>
      <c r="B383" t="s">
        <v>8563</v>
      </c>
      <c r="C383" t="s">
        <v>5043</v>
      </c>
    </row>
    <row r="384" spans="1:3" ht="14.45" x14ac:dyDescent="0.3">
      <c r="A384">
        <v>5820</v>
      </c>
      <c r="B384" t="s">
        <v>9708</v>
      </c>
      <c r="C384" t="s">
        <v>5043</v>
      </c>
    </row>
    <row r="385" spans="1:3" ht="14.45" x14ac:dyDescent="0.3">
      <c r="A385">
        <v>5501</v>
      </c>
      <c r="B385" t="s">
        <v>9710</v>
      </c>
      <c r="C385" t="s">
        <v>5043</v>
      </c>
    </row>
    <row r="386" spans="1:3" ht="14.45" x14ac:dyDescent="0.3">
      <c r="A386">
        <v>8820</v>
      </c>
      <c r="B386" t="s">
        <v>9710</v>
      </c>
      <c r="C386" t="s">
        <v>5043</v>
      </c>
    </row>
    <row r="387" spans="1:3" ht="14.45" x14ac:dyDescent="0.3">
      <c r="A387">
        <v>6119</v>
      </c>
      <c r="B387" t="s">
        <v>9712</v>
      </c>
      <c r="C387" t="s">
        <v>5043</v>
      </c>
    </row>
    <row r="388" spans="1:3" ht="14.45" x14ac:dyDescent="0.3">
      <c r="A388">
        <v>5563</v>
      </c>
      <c r="B388" t="s">
        <v>9716</v>
      </c>
      <c r="C388" t="s">
        <v>5043</v>
      </c>
    </row>
    <row r="389" spans="1:3" ht="14.45" x14ac:dyDescent="0.3">
      <c r="A389">
        <v>6358</v>
      </c>
      <c r="B389" t="s">
        <v>8564</v>
      </c>
      <c r="C389" t="s">
        <v>5043</v>
      </c>
    </row>
    <row r="390" spans="1:3" ht="14.45" x14ac:dyDescent="0.3">
      <c r="A390">
        <v>9439</v>
      </c>
      <c r="B390" t="s">
        <v>9722</v>
      </c>
      <c r="C390" t="s">
        <v>5043</v>
      </c>
    </row>
    <row r="391" spans="1:3" ht="14.45" x14ac:dyDescent="0.3">
      <c r="A391">
        <v>6328</v>
      </c>
      <c r="B391" t="s">
        <v>8566</v>
      </c>
      <c r="C391" t="s">
        <v>5043</v>
      </c>
    </row>
    <row r="392" spans="1:3" ht="14.45" x14ac:dyDescent="0.3">
      <c r="A392">
        <v>6357</v>
      </c>
      <c r="B392" t="s">
        <v>8566</v>
      </c>
      <c r="C392" t="s">
        <v>5043</v>
      </c>
    </row>
    <row r="393" spans="1:3" ht="14.45" x14ac:dyDescent="0.3">
      <c r="A393">
        <v>5546</v>
      </c>
      <c r="B393" t="s">
        <v>8567</v>
      </c>
      <c r="C393" t="s">
        <v>5043</v>
      </c>
    </row>
    <row r="394" spans="1:3" ht="14.45" x14ac:dyDescent="0.3">
      <c r="A394">
        <v>5224</v>
      </c>
      <c r="B394" t="s">
        <v>8568</v>
      </c>
      <c r="C394" t="s">
        <v>5043</v>
      </c>
    </row>
    <row r="395" spans="1:3" ht="14.45" x14ac:dyDescent="0.3">
      <c r="A395">
        <v>5596</v>
      </c>
      <c r="B395" t="s">
        <v>8568</v>
      </c>
      <c r="C395" t="s">
        <v>5043</v>
      </c>
    </row>
    <row r="396" spans="1:3" ht="14.45" x14ac:dyDescent="0.3">
      <c r="A396">
        <v>6020</v>
      </c>
      <c r="B396" t="s">
        <v>8568</v>
      </c>
      <c r="C396" t="s">
        <v>5043</v>
      </c>
    </row>
    <row r="397" spans="1:3" ht="14.45" x14ac:dyDescent="0.3">
      <c r="A397">
        <v>6439</v>
      </c>
      <c r="B397" t="s">
        <v>8568</v>
      </c>
      <c r="C397" t="s">
        <v>5043</v>
      </c>
    </row>
    <row r="398" spans="1:3" ht="14.45" x14ac:dyDescent="0.3">
      <c r="A398">
        <v>6762</v>
      </c>
      <c r="B398" t="s">
        <v>8568</v>
      </c>
      <c r="C398" t="s">
        <v>5043</v>
      </c>
    </row>
    <row r="399" spans="1:3" ht="14.45" x14ac:dyDescent="0.3">
      <c r="A399">
        <v>7135</v>
      </c>
      <c r="B399" t="s">
        <v>8568</v>
      </c>
      <c r="C399" t="s">
        <v>5043</v>
      </c>
    </row>
    <row r="400" spans="1:3" ht="14.45" x14ac:dyDescent="0.3">
      <c r="A400">
        <v>7397</v>
      </c>
      <c r="B400" t="s">
        <v>8568</v>
      </c>
      <c r="C400" t="s">
        <v>5043</v>
      </c>
    </row>
    <row r="401" spans="1:3" ht="14.45" x14ac:dyDescent="0.3">
      <c r="A401">
        <v>8185</v>
      </c>
      <c r="B401" t="s">
        <v>8568</v>
      </c>
      <c r="C401" t="s">
        <v>5043</v>
      </c>
    </row>
    <row r="402" spans="1:3" ht="14.45" x14ac:dyDescent="0.3">
      <c r="A402">
        <v>8662</v>
      </c>
      <c r="B402" t="s">
        <v>8568</v>
      </c>
      <c r="C402" t="s">
        <v>5043</v>
      </c>
    </row>
    <row r="403" spans="1:3" ht="14.45" x14ac:dyDescent="0.3">
      <c r="A403">
        <v>5821</v>
      </c>
      <c r="B403" t="s">
        <v>8569</v>
      </c>
      <c r="C403" t="s">
        <v>5043</v>
      </c>
    </row>
    <row r="404" spans="1:3" ht="14.45" x14ac:dyDescent="0.3">
      <c r="A404">
        <v>5098</v>
      </c>
      <c r="B404" t="s">
        <v>8570</v>
      </c>
      <c r="C404" t="s">
        <v>5043</v>
      </c>
    </row>
    <row r="405" spans="1:3" ht="14.45" x14ac:dyDescent="0.3">
      <c r="A405">
        <v>5339</v>
      </c>
      <c r="B405" t="s">
        <v>8570</v>
      </c>
      <c r="C405" t="s">
        <v>5043</v>
      </c>
    </row>
    <row r="406" spans="1:3" ht="14.45" x14ac:dyDescent="0.3">
      <c r="A406">
        <v>6391</v>
      </c>
      <c r="B406" t="s">
        <v>8570</v>
      </c>
      <c r="C406" t="s">
        <v>5043</v>
      </c>
    </row>
    <row r="407" spans="1:3" ht="14.45" x14ac:dyDescent="0.3">
      <c r="A407">
        <v>7645</v>
      </c>
      <c r="B407" t="s">
        <v>8570</v>
      </c>
      <c r="C407" t="s">
        <v>5043</v>
      </c>
    </row>
    <row r="408" spans="1:3" ht="14.45" x14ac:dyDescent="0.3">
      <c r="A408">
        <v>8645</v>
      </c>
      <c r="B408" t="s">
        <v>8570</v>
      </c>
      <c r="C408" t="s">
        <v>5043</v>
      </c>
    </row>
    <row r="409" spans="1:3" ht="14.45" x14ac:dyDescent="0.3">
      <c r="A409">
        <v>8653</v>
      </c>
      <c r="B409" t="s">
        <v>8570</v>
      </c>
      <c r="C409" t="s">
        <v>5043</v>
      </c>
    </row>
    <row r="410" spans="1:3" ht="14.45" x14ac:dyDescent="0.3">
      <c r="A410">
        <v>9757</v>
      </c>
      <c r="B410" t="s">
        <v>8570</v>
      </c>
      <c r="C410" t="s">
        <v>5043</v>
      </c>
    </row>
    <row r="411" spans="1:3" ht="14.45" x14ac:dyDescent="0.3">
      <c r="A411">
        <v>7313</v>
      </c>
      <c r="B411" t="s">
        <v>8574</v>
      </c>
      <c r="C411" t="s">
        <v>5043</v>
      </c>
    </row>
    <row r="412" spans="1:3" ht="14.45" x14ac:dyDescent="0.3">
      <c r="A412">
        <v>6372</v>
      </c>
      <c r="B412" t="s">
        <v>8575</v>
      </c>
      <c r="C412" t="s">
        <v>5043</v>
      </c>
    </row>
    <row r="413" spans="1:3" ht="14.45" x14ac:dyDescent="0.3">
      <c r="A413">
        <v>6702</v>
      </c>
      <c r="B413" t="s">
        <v>8575</v>
      </c>
      <c r="C413" t="s">
        <v>5043</v>
      </c>
    </row>
    <row r="414" spans="1:3" ht="14.45" x14ac:dyDescent="0.3">
      <c r="A414">
        <v>7734</v>
      </c>
      <c r="B414" t="s">
        <v>8575</v>
      </c>
      <c r="C414" t="s">
        <v>5043</v>
      </c>
    </row>
    <row r="415" spans="1:3" ht="14.45" x14ac:dyDescent="0.3">
      <c r="A415">
        <v>8212</v>
      </c>
      <c r="B415" t="s">
        <v>8575</v>
      </c>
      <c r="C415" t="s">
        <v>5043</v>
      </c>
    </row>
    <row r="416" spans="1:3" ht="14.45" x14ac:dyDescent="0.3">
      <c r="A416">
        <v>8276</v>
      </c>
      <c r="B416" t="s">
        <v>8575</v>
      </c>
      <c r="C416" t="s">
        <v>5043</v>
      </c>
    </row>
    <row r="417" spans="1:3" ht="14.45" x14ac:dyDescent="0.3">
      <c r="A417">
        <v>8990</v>
      </c>
      <c r="B417" t="s">
        <v>8575</v>
      </c>
      <c r="C417" t="s">
        <v>5043</v>
      </c>
    </row>
    <row r="418" spans="1:3" ht="14.45" x14ac:dyDescent="0.3">
      <c r="A418">
        <v>9265</v>
      </c>
      <c r="B418" t="s">
        <v>8575</v>
      </c>
      <c r="C418" t="s">
        <v>5043</v>
      </c>
    </row>
    <row r="419" spans="1:3" ht="14.45" x14ac:dyDescent="0.3">
      <c r="A419">
        <v>8437</v>
      </c>
      <c r="B419" t="s">
        <v>8576</v>
      </c>
      <c r="C419" t="s">
        <v>5043</v>
      </c>
    </row>
    <row r="420" spans="1:3" ht="14.45" x14ac:dyDescent="0.3">
      <c r="A420">
        <v>8509</v>
      </c>
      <c r="B420" t="s">
        <v>8576</v>
      </c>
      <c r="C420" t="s">
        <v>5043</v>
      </c>
    </row>
    <row r="421" spans="1:3" ht="14.45" x14ac:dyDescent="0.3">
      <c r="A421">
        <v>8371</v>
      </c>
      <c r="B421" t="s">
        <v>8577</v>
      </c>
      <c r="C421" t="s">
        <v>5043</v>
      </c>
    </row>
    <row r="422" spans="1:3" ht="14.45" x14ac:dyDescent="0.3">
      <c r="A422">
        <v>6208</v>
      </c>
      <c r="B422" t="s">
        <v>8580</v>
      </c>
      <c r="C422" t="s">
        <v>5043</v>
      </c>
    </row>
    <row r="423" spans="1:3" ht="14.45" x14ac:dyDescent="0.3">
      <c r="A423">
        <v>6805</v>
      </c>
      <c r="B423" t="s">
        <v>8580</v>
      </c>
      <c r="C423" t="s">
        <v>5043</v>
      </c>
    </row>
    <row r="424" spans="1:3" ht="14.45" x14ac:dyDescent="0.3">
      <c r="A424">
        <v>5105</v>
      </c>
      <c r="B424" t="s">
        <v>8583</v>
      </c>
      <c r="C424" t="s">
        <v>5043</v>
      </c>
    </row>
    <row r="425" spans="1:3" ht="14.45" x14ac:dyDescent="0.3">
      <c r="A425">
        <v>5809</v>
      </c>
      <c r="B425" t="s">
        <v>8583</v>
      </c>
      <c r="C425" t="s">
        <v>5043</v>
      </c>
    </row>
    <row r="426" spans="1:3" ht="14.45" x14ac:dyDescent="0.3">
      <c r="A426">
        <v>5925</v>
      </c>
      <c r="B426" t="s">
        <v>8583</v>
      </c>
      <c r="C426" t="s">
        <v>5043</v>
      </c>
    </row>
    <row r="427" spans="1:3" ht="14.45" x14ac:dyDescent="0.3">
      <c r="A427">
        <v>7032</v>
      </c>
      <c r="B427" t="s">
        <v>8583</v>
      </c>
      <c r="C427" t="s">
        <v>5043</v>
      </c>
    </row>
    <row r="428" spans="1:3" ht="14.45" x14ac:dyDescent="0.3">
      <c r="A428">
        <v>7586</v>
      </c>
      <c r="B428" t="s">
        <v>8583</v>
      </c>
      <c r="C428" t="s">
        <v>5043</v>
      </c>
    </row>
    <row r="429" spans="1:3" ht="14.45" x14ac:dyDescent="0.3">
      <c r="A429">
        <v>7613</v>
      </c>
      <c r="B429" t="s">
        <v>8583</v>
      </c>
      <c r="C429" t="s">
        <v>5043</v>
      </c>
    </row>
    <row r="430" spans="1:3" ht="14.45" x14ac:dyDescent="0.3">
      <c r="A430">
        <v>8021</v>
      </c>
      <c r="B430" t="s">
        <v>8583</v>
      </c>
      <c r="C430" t="s">
        <v>5043</v>
      </c>
    </row>
    <row r="431" spans="1:3" ht="14.45" x14ac:dyDescent="0.3">
      <c r="A431">
        <v>9558</v>
      </c>
      <c r="B431" t="s">
        <v>8583</v>
      </c>
      <c r="C431" t="s">
        <v>5043</v>
      </c>
    </row>
    <row r="432" spans="1:3" ht="14.45" x14ac:dyDescent="0.3">
      <c r="A432">
        <v>9713</v>
      </c>
      <c r="B432" t="s">
        <v>8583</v>
      </c>
      <c r="C432" t="s">
        <v>5043</v>
      </c>
    </row>
    <row r="433" spans="1:3" ht="14.45" x14ac:dyDescent="0.3">
      <c r="A433">
        <v>5295</v>
      </c>
      <c r="B433" t="s">
        <v>8584</v>
      </c>
      <c r="C433" t="s">
        <v>5043</v>
      </c>
    </row>
    <row r="434" spans="1:3" ht="14.45" x14ac:dyDescent="0.3">
      <c r="A434">
        <v>8127</v>
      </c>
      <c r="B434" t="s">
        <v>8584</v>
      </c>
      <c r="C434" t="s">
        <v>5043</v>
      </c>
    </row>
    <row r="435" spans="1:3" ht="14.45" x14ac:dyDescent="0.3">
      <c r="A435">
        <v>8312</v>
      </c>
      <c r="B435" t="s">
        <v>8584</v>
      </c>
      <c r="C435" t="s">
        <v>5043</v>
      </c>
    </row>
    <row r="436" spans="1:3" ht="14.45" x14ac:dyDescent="0.3">
      <c r="A436">
        <v>7775</v>
      </c>
      <c r="B436" t="s">
        <v>8585</v>
      </c>
      <c r="C436" t="s">
        <v>5043</v>
      </c>
    </row>
    <row r="437" spans="1:3" ht="14.45" x14ac:dyDescent="0.3">
      <c r="A437">
        <v>5617</v>
      </c>
      <c r="B437" t="s">
        <v>8586</v>
      </c>
      <c r="C437" t="s">
        <v>5043</v>
      </c>
    </row>
    <row r="438" spans="1:3" ht="14.45" x14ac:dyDescent="0.3">
      <c r="A438">
        <v>8896</v>
      </c>
      <c r="B438" t="s">
        <v>9746</v>
      </c>
      <c r="C438" t="s">
        <v>5043</v>
      </c>
    </row>
    <row r="439" spans="1:3" ht="14.45" x14ac:dyDescent="0.3">
      <c r="A439">
        <v>5287</v>
      </c>
      <c r="B439" t="s">
        <v>8587</v>
      </c>
      <c r="C439" t="s">
        <v>5043</v>
      </c>
    </row>
    <row r="440" spans="1:3" ht="14.45" x14ac:dyDescent="0.3">
      <c r="A440">
        <v>5928</v>
      </c>
      <c r="B440" t="s">
        <v>8589</v>
      </c>
      <c r="C440" t="s">
        <v>5043</v>
      </c>
    </row>
    <row r="441" spans="1:3" ht="14.45" x14ac:dyDescent="0.3">
      <c r="A441">
        <v>5292</v>
      </c>
      <c r="B441" t="s">
        <v>8591</v>
      </c>
      <c r="C441" t="s">
        <v>5043</v>
      </c>
    </row>
    <row r="442" spans="1:3" ht="14.45" x14ac:dyDescent="0.3">
      <c r="A442">
        <v>6858</v>
      </c>
      <c r="B442" t="s">
        <v>8592</v>
      </c>
      <c r="C442" t="s">
        <v>5043</v>
      </c>
    </row>
    <row r="443" spans="1:3" ht="14.45" x14ac:dyDescent="0.3">
      <c r="A443">
        <v>8062</v>
      </c>
      <c r="B443" t="s">
        <v>8592</v>
      </c>
      <c r="C443" t="s">
        <v>5043</v>
      </c>
    </row>
    <row r="444" spans="1:3" ht="14.45" x14ac:dyDescent="0.3">
      <c r="A444">
        <v>8494</v>
      </c>
      <c r="B444" t="s">
        <v>8592</v>
      </c>
      <c r="C444" t="s">
        <v>5043</v>
      </c>
    </row>
    <row r="445" spans="1:3" ht="14.45" x14ac:dyDescent="0.3">
      <c r="A445">
        <v>6386</v>
      </c>
      <c r="B445" t="s">
        <v>9754</v>
      </c>
      <c r="C445" t="s">
        <v>5043</v>
      </c>
    </row>
    <row r="446" spans="1:3" ht="14.45" x14ac:dyDescent="0.3">
      <c r="A446">
        <v>5689</v>
      </c>
      <c r="B446" t="s">
        <v>9757</v>
      </c>
      <c r="C446" t="s">
        <v>5043</v>
      </c>
    </row>
    <row r="447" spans="1:3" ht="14.45" x14ac:dyDescent="0.3">
      <c r="A447">
        <v>9426</v>
      </c>
      <c r="B447" t="s">
        <v>9758</v>
      </c>
      <c r="C447" t="s">
        <v>5043</v>
      </c>
    </row>
    <row r="448" spans="1:3" ht="14.45" x14ac:dyDescent="0.3">
      <c r="A448">
        <v>6988</v>
      </c>
      <c r="B448" t="s">
        <v>9760</v>
      </c>
      <c r="C448" t="s">
        <v>5043</v>
      </c>
    </row>
    <row r="449" spans="1:3" ht="14.45" x14ac:dyDescent="0.3">
      <c r="A449">
        <v>8431</v>
      </c>
      <c r="B449" t="s">
        <v>9760</v>
      </c>
      <c r="C449" t="s">
        <v>5043</v>
      </c>
    </row>
    <row r="450" spans="1:3" ht="14.45" x14ac:dyDescent="0.3">
      <c r="A450">
        <v>5408</v>
      </c>
      <c r="B450" t="s">
        <v>9762</v>
      </c>
      <c r="C450" t="s">
        <v>5043</v>
      </c>
    </row>
    <row r="451" spans="1:3" ht="14.45" x14ac:dyDescent="0.3">
      <c r="A451">
        <v>7199</v>
      </c>
      <c r="B451" t="s">
        <v>8595</v>
      </c>
      <c r="C451" t="s">
        <v>5043</v>
      </c>
    </row>
    <row r="452" spans="1:3" ht="14.45" x14ac:dyDescent="0.3">
      <c r="A452">
        <v>5378</v>
      </c>
      <c r="B452" t="s">
        <v>9795</v>
      </c>
      <c r="C452" t="s">
        <v>5043</v>
      </c>
    </row>
    <row r="453" spans="1:3" ht="14.45" x14ac:dyDescent="0.3">
      <c r="A453">
        <v>5532</v>
      </c>
      <c r="B453" t="s">
        <v>9795</v>
      </c>
      <c r="C453" t="s">
        <v>5043</v>
      </c>
    </row>
    <row r="454" spans="1:3" ht="14.45" x14ac:dyDescent="0.3">
      <c r="A454">
        <v>6741</v>
      </c>
      <c r="B454" t="s">
        <v>9795</v>
      </c>
      <c r="C454" t="s">
        <v>5043</v>
      </c>
    </row>
    <row r="455" spans="1:3" ht="14.45" x14ac:dyDescent="0.3">
      <c r="A455">
        <v>8134</v>
      </c>
      <c r="B455" t="s">
        <v>9795</v>
      </c>
      <c r="C455" t="s">
        <v>5043</v>
      </c>
    </row>
    <row r="456" spans="1:3" ht="14.45" x14ac:dyDescent="0.3">
      <c r="A456">
        <v>8137</v>
      </c>
      <c r="B456" t="s">
        <v>9795</v>
      </c>
      <c r="C456" t="s">
        <v>5043</v>
      </c>
    </row>
    <row r="457" spans="1:3" ht="14.45" x14ac:dyDescent="0.3">
      <c r="A457">
        <v>9744</v>
      </c>
      <c r="B457" t="s">
        <v>9795</v>
      </c>
      <c r="C457" t="s">
        <v>5043</v>
      </c>
    </row>
    <row r="458" spans="1:3" ht="14.45" x14ac:dyDescent="0.3">
      <c r="A458">
        <v>8466</v>
      </c>
      <c r="B458" t="s">
        <v>9818</v>
      </c>
      <c r="C458" t="s">
        <v>5043</v>
      </c>
    </row>
    <row r="459" spans="1:3" ht="14.45" x14ac:dyDescent="0.3">
      <c r="A459">
        <v>6906</v>
      </c>
      <c r="B459" t="s">
        <v>8608</v>
      </c>
      <c r="C459" t="s">
        <v>5043</v>
      </c>
    </row>
    <row r="460" spans="1:3" ht="14.45" x14ac:dyDescent="0.3">
      <c r="A460">
        <v>8651</v>
      </c>
      <c r="B460" t="s">
        <v>8608</v>
      </c>
      <c r="C460" t="s">
        <v>5043</v>
      </c>
    </row>
    <row r="461" spans="1:3" ht="14.45" x14ac:dyDescent="0.3">
      <c r="A461">
        <v>9171</v>
      </c>
      <c r="B461" t="s">
        <v>8608</v>
      </c>
      <c r="C461" t="s">
        <v>5043</v>
      </c>
    </row>
    <row r="462" spans="1:3" ht="14.45" x14ac:dyDescent="0.3">
      <c r="A462">
        <v>10707</v>
      </c>
      <c r="B462" t="s">
        <v>11554</v>
      </c>
      <c r="C462" t="s">
        <v>5043</v>
      </c>
    </row>
    <row r="463" spans="1:3" ht="14.45" x14ac:dyDescent="0.3">
      <c r="A463">
        <v>9703</v>
      </c>
      <c r="B463" t="s">
        <v>9839</v>
      </c>
      <c r="C463" t="s">
        <v>5043</v>
      </c>
    </row>
    <row r="464" spans="1:3" ht="14.45" x14ac:dyDescent="0.3">
      <c r="A464">
        <v>8601</v>
      </c>
      <c r="B464" t="s">
        <v>9841</v>
      </c>
      <c r="C464" t="s">
        <v>5043</v>
      </c>
    </row>
    <row r="465" spans="1:3" ht="14.45" x14ac:dyDescent="0.3">
      <c r="A465">
        <v>5153</v>
      </c>
      <c r="B465" t="s">
        <v>9844</v>
      </c>
      <c r="C465" t="s">
        <v>5043</v>
      </c>
    </row>
    <row r="466" spans="1:3" ht="14.45" x14ac:dyDescent="0.3">
      <c r="A466">
        <v>6947</v>
      </c>
      <c r="B466" t="s">
        <v>9844</v>
      </c>
      <c r="C466" t="s">
        <v>5043</v>
      </c>
    </row>
    <row r="467" spans="1:3" ht="14.45" x14ac:dyDescent="0.3">
      <c r="A467">
        <v>7210</v>
      </c>
      <c r="B467" t="s">
        <v>9844</v>
      </c>
      <c r="C467" t="s">
        <v>5043</v>
      </c>
    </row>
    <row r="468" spans="1:3" ht="14.45" x14ac:dyDescent="0.3">
      <c r="A468">
        <v>7286</v>
      </c>
      <c r="B468" t="s">
        <v>9844</v>
      </c>
      <c r="C468" t="s">
        <v>5043</v>
      </c>
    </row>
    <row r="469" spans="1:3" ht="14.45" x14ac:dyDescent="0.3">
      <c r="A469">
        <v>7309</v>
      </c>
      <c r="B469" t="s">
        <v>9844</v>
      </c>
      <c r="C469" t="s">
        <v>5043</v>
      </c>
    </row>
    <row r="470" spans="1:3" ht="14.45" x14ac:dyDescent="0.3">
      <c r="A470">
        <v>7831</v>
      </c>
      <c r="B470" t="s">
        <v>9844</v>
      </c>
      <c r="C470" t="s">
        <v>5043</v>
      </c>
    </row>
    <row r="471" spans="1:3" ht="14.45" x14ac:dyDescent="0.3">
      <c r="A471">
        <v>9434</v>
      </c>
      <c r="B471" t="s">
        <v>9844</v>
      </c>
      <c r="C471" t="s">
        <v>5043</v>
      </c>
    </row>
    <row r="472" spans="1:3" ht="14.45" x14ac:dyDescent="0.3">
      <c r="A472">
        <v>9792</v>
      </c>
      <c r="B472" t="s">
        <v>9844</v>
      </c>
      <c r="C472" t="s">
        <v>5043</v>
      </c>
    </row>
    <row r="473" spans="1:3" ht="14.45" x14ac:dyDescent="0.3">
      <c r="A473">
        <v>6599</v>
      </c>
      <c r="B473" t="s">
        <v>9845</v>
      </c>
      <c r="C473" t="s">
        <v>5043</v>
      </c>
    </row>
    <row r="474" spans="1:3" ht="14.45" x14ac:dyDescent="0.3">
      <c r="A474">
        <v>7526</v>
      </c>
      <c r="B474" t="s">
        <v>9845</v>
      </c>
      <c r="C474" t="s">
        <v>5043</v>
      </c>
    </row>
    <row r="475" spans="1:3" ht="14.45" x14ac:dyDescent="0.3">
      <c r="A475">
        <v>8952</v>
      </c>
      <c r="B475" t="s">
        <v>9845</v>
      </c>
      <c r="C475" t="s">
        <v>5043</v>
      </c>
    </row>
    <row r="476" spans="1:3" x14ac:dyDescent="0.25">
      <c r="A476">
        <v>5979</v>
      </c>
      <c r="B476" t="s">
        <v>9858</v>
      </c>
      <c r="C476" t="s">
        <v>5043</v>
      </c>
    </row>
  </sheetData>
  <sortState ref="A4:B14">
    <sortCondition descending="1" ref="A4:A14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16"/>
  <sheetViews>
    <sheetView topLeftCell="A45" zoomScale="85" zoomScaleNormal="85" workbookViewId="0">
      <pane ySplit="3300" activePane="bottomLeft"/>
      <selection sqref="A1:B16"/>
      <selection pane="bottomLeft" activeCell="A19" sqref="A19:C157"/>
    </sheetView>
  </sheetViews>
  <sheetFormatPr defaultRowHeight="15" x14ac:dyDescent="0.25"/>
  <cols>
    <col min="1" max="1" width="9.140625" style="2" customWidth="1"/>
    <col min="2" max="2" width="131.85546875" style="2" bestFit="1" customWidth="1"/>
  </cols>
  <sheetData>
    <row r="1" spans="1:3" ht="21.75" x14ac:dyDescent="0.25">
      <c r="A1" s="9" t="s">
        <v>2516</v>
      </c>
      <c r="C1" s="2"/>
    </row>
    <row r="2" spans="1:3" x14ac:dyDescent="0.25">
      <c r="A2" s="21" t="s">
        <v>8432</v>
      </c>
      <c r="B2"/>
      <c r="C2" s="2"/>
    </row>
    <row r="3" spans="1:3" x14ac:dyDescent="0.25">
      <c r="A3" s="24" t="s">
        <v>9566</v>
      </c>
      <c r="B3"/>
      <c r="C3" s="2"/>
    </row>
    <row r="4" spans="1:3" ht="5.25" customHeight="1" x14ac:dyDescent="0.25">
      <c r="A4" s="50"/>
      <c r="B4" s="51"/>
      <c r="C4" s="2"/>
    </row>
    <row r="5" spans="1:3" x14ac:dyDescent="0.25">
      <c r="A5" s="18">
        <f>COUNTIF($B$19:$B$921,"*kw_bll_ui\framework\*")</f>
        <v>49</v>
      </c>
      <c r="B5" s="19" t="s">
        <v>8</v>
      </c>
      <c r="C5" s="30"/>
    </row>
    <row r="6" spans="1:3" x14ac:dyDescent="0.25">
      <c r="A6" s="18">
        <f>COUNTIF($B$19:$B$921,"*routing\*")</f>
        <v>36</v>
      </c>
      <c r="B6" s="19" t="s">
        <v>9</v>
      </c>
      <c r="C6" s="30"/>
    </row>
    <row r="7" spans="1:3" x14ac:dyDescent="0.25">
      <c r="A7" s="18">
        <f>COUNTIF($B$19:$B$921,"*kw_bll_ui\content\traffic\*")</f>
        <v>14</v>
      </c>
      <c r="B7" s="19" t="s">
        <v>11</v>
      </c>
      <c r="C7" s="30"/>
    </row>
    <row r="8" spans="1:3" x14ac:dyDescent="0.25">
      <c r="A8" s="18">
        <f>COUNTIF($B$19:$B$921,"*admin\*")</f>
        <v>0</v>
      </c>
      <c r="B8" s="19" t="s">
        <v>615</v>
      </c>
      <c r="C8" s="30"/>
    </row>
    <row r="9" spans="1:3" x14ac:dyDescent="0.25">
      <c r="A9" s="18">
        <f>COUNTIF($B$19:$B$921,"*access\*")</f>
        <v>2</v>
      </c>
      <c r="B9" s="19" t="s">
        <v>13</v>
      </c>
      <c r="C9" s="30"/>
    </row>
    <row r="10" spans="1:3" x14ac:dyDescent="0.25">
      <c r="A10" s="18">
        <f>COUNTIF($B$19:$B$921,"*device\*")</f>
        <v>0</v>
      </c>
      <c r="B10" s="19" t="s">
        <v>619</v>
      </c>
      <c r="C10" s="30"/>
    </row>
    <row r="11" spans="1:3" hidden="1" x14ac:dyDescent="0.25">
      <c r="A11" s="18">
        <f>COUNTIF($B$19:$B$921,"*traffictests\*")</f>
        <v>3</v>
      </c>
      <c r="B11" s="19" t="s">
        <v>12</v>
      </c>
      <c r="C11" s="30"/>
    </row>
    <row r="12" spans="1:3" hidden="1" x14ac:dyDescent="0.25">
      <c r="A12" s="18">
        <f>COUNTIF($B$19:$B$921,"*datacenter\*")</f>
        <v>23</v>
      </c>
      <c r="B12" s="19" t="s">
        <v>10</v>
      </c>
      <c r="C12" s="30"/>
    </row>
    <row r="13" spans="1:3" hidden="1" x14ac:dyDescent="0.25">
      <c r="A13" s="18">
        <f>COUNTIF($B$19:$B$921,"*mcast\*")</f>
        <v>0</v>
      </c>
      <c r="B13" s="19" t="s">
        <v>163</v>
      </c>
      <c r="C13" s="30"/>
    </row>
    <row r="14" spans="1:3" hidden="1" x14ac:dyDescent="0.25">
      <c r="A14" s="18">
        <f>COUNTIF($B$19:$B$921,"*sample\*")</f>
        <v>0</v>
      </c>
      <c r="B14" s="19" t="s">
        <v>617</v>
      </c>
      <c r="C14" s="30"/>
    </row>
    <row r="15" spans="1:3" ht="4.5" customHeight="1" x14ac:dyDescent="0.25">
      <c r="A15" s="50"/>
      <c r="B15" s="51"/>
      <c r="C15" s="2"/>
    </row>
    <row r="16" spans="1:3" x14ac:dyDescent="0.25">
      <c r="A16" s="20">
        <f>SUM(A4:A15)</f>
        <v>127</v>
      </c>
      <c r="B16" s="1" t="s">
        <v>2607</v>
      </c>
      <c r="C16" s="31"/>
    </row>
    <row r="17" spans="1:3" x14ac:dyDescent="0.25">
      <c r="A17" s="20"/>
      <c r="B17" s="1"/>
      <c r="C17" s="31"/>
    </row>
    <row r="18" spans="1:3" x14ac:dyDescent="0.25">
      <c r="A18" s="20" t="s">
        <v>110</v>
      </c>
      <c r="B18" s="44" t="s">
        <v>111</v>
      </c>
      <c r="C18" s="2">
        <f>COUNTA(A18:A921)-1</f>
        <v>139</v>
      </c>
    </row>
    <row r="19" spans="1:3" ht="14.45" x14ac:dyDescent="0.3">
      <c r="A19">
        <v>11962</v>
      </c>
      <c r="B19" t="s">
        <v>9906</v>
      </c>
      <c r="C19" t="s">
        <v>5043</v>
      </c>
    </row>
    <row r="20" spans="1:3" ht="14.45" x14ac:dyDescent="0.3">
      <c r="A20">
        <v>12553</v>
      </c>
      <c r="B20" t="s">
        <v>9907</v>
      </c>
      <c r="C20" t="s">
        <v>5043</v>
      </c>
    </row>
    <row r="21" spans="1:3" ht="14.45" x14ac:dyDescent="0.3">
      <c r="A21">
        <v>12635</v>
      </c>
      <c r="B21" t="s">
        <v>11555</v>
      </c>
      <c r="C21" t="s">
        <v>5043</v>
      </c>
    </row>
    <row r="22" spans="1:3" ht="14.45" x14ac:dyDescent="0.3">
      <c r="A22">
        <v>12636</v>
      </c>
      <c r="B22" t="s">
        <v>11555</v>
      </c>
      <c r="C22" t="s">
        <v>5043</v>
      </c>
    </row>
    <row r="23" spans="1:3" ht="14.45" x14ac:dyDescent="0.3">
      <c r="A23">
        <v>12638</v>
      </c>
      <c r="B23" t="s">
        <v>11555</v>
      </c>
      <c r="C23" t="s">
        <v>5043</v>
      </c>
    </row>
    <row r="24" spans="1:3" ht="14.45" x14ac:dyDescent="0.3">
      <c r="A24">
        <v>12580</v>
      </c>
      <c r="B24" t="s">
        <v>9932</v>
      </c>
      <c r="C24" t="s">
        <v>5043</v>
      </c>
    </row>
    <row r="25" spans="1:3" ht="14.45" x14ac:dyDescent="0.3">
      <c r="A25">
        <v>12008</v>
      </c>
      <c r="B25" t="s">
        <v>9935</v>
      </c>
      <c r="C25" t="s">
        <v>5043</v>
      </c>
    </row>
    <row r="26" spans="1:3" ht="14.45" x14ac:dyDescent="0.3">
      <c r="A26">
        <v>12446</v>
      </c>
      <c r="B26" t="s">
        <v>11556</v>
      </c>
      <c r="C26" t="s">
        <v>5043</v>
      </c>
    </row>
    <row r="27" spans="1:3" ht="14.45" x14ac:dyDescent="0.3">
      <c r="A27">
        <v>12640</v>
      </c>
      <c r="B27" t="s">
        <v>11557</v>
      </c>
      <c r="C27" t="s">
        <v>5043</v>
      </c>
    </row>
    <row r="28" spans="1:3" ht="14.45" x14ac:dyDescent="0.3">
      <c r="A28">
        <v>12633</v>
      </c>
      <c r="B28" t="s">
        <v>11558</v>
      </c>
      <c r="C28" t="s">
        <v>5043</v>
      </c>
    </row>
    <row r="29" spans="1:3" ht="14.45" x14ac:dyDescent="0.3">
      <c r="A29">
        <v>12637</v>
      </c>
      <c r="B29" t="s">
        <v>11558</v>
      </c>
      <c r="C29" t="s">
        <v>5043</v>
      </c>
    </row>
    <row r="30" spans="1:3" ht="14.45" x14ac:dyDescent="0.3">
      <c r="A30">
        <v>12376</v>
      </c>
      <c r="B30" t="s">
        <v>9964</v>
      </c>
      <c r="C30" t="s">
        <v>5043</v>
      </c>
    </row>
    <row r="31" spans="1:3" ht="14.45" x14ac:dyDescent="0.3">
      <c r="A31">
        <v>12377</v>
      </c>
      <c r="B31" t="s">
        <v>9964</v>
      </c>
      <c r="C31" t="s">
        <v>5043</v>
      </c>
    </row>
    <row r="32" spans="1:3" ht="14.45" x14ac:dyDescent="0.3">
      <c r="A32">
        <v>12378</v>
      </c>
      <c r="B32" t="s">
        <v>9964</v>
      </c>
      <c r="C32" t="s">
        <v>5043</v>
      </c>
    </row>
    <row r="33" spans="1:3" ht="14.45" x14ac:dyDescent="0.3">
      <c r="A33">
        <v>12379</v>
      </c>
      <c r="B33" t="s">
        <v>9964</v>
      </c>
      <c r="C33" t="s">
        <v>5043</v>
      </c>
    </row>
    <row r="34" spans="1:3" ht="14.45" x14ac:dyDescent="0.3">
      <c r="A34">
        <v>12380</v>
      </c>
      <c r="B34" t="s">
        <v>9964</v>
      </c>
      <c r="C34" t="s">
        <v>5043</v>
      </c>
    </row>
    <row r="35" spans="1:3" ht="14.45" x14ac:dyDescent="0.3">
      <c r="A35">
        <v>12381</v>
      </c>
      <c r="B35" t="s">
        <v>9964</v>
      </c>
      <c r="C35" t="s">
        <v>5043</v>
      </c>
    </row>
    <row r="36" spans="1:3" ht="14.45" x14ac:dyDescent="0.3">
      <c r="A36">
        <v>12486</v>
      </c>
      <c r="B36" t="s">
        <v>9965</v>
      </c>
      <c r="C36" t="s">
        <v>5043</v>
      </c>
    </row>
    <row r="37" spans="1:3" ht="14.45" x14ac:dyDescent="0.3">
      <c r="A37">
        <v>12578</v>
      </c>
      <c r="B37" t="s">
        <v>9966</v>
      </c>
      <c r="C37" t="s">
        <v>5043</v>
      </c>
    </row>
    <row r="38" spans="1:3" ht="14.45" x14ac:dyDescent="0.3">
      <c r="A38">
        <v>12576</v>
      </c>
      <c r="B38" t="s">
        <v>9968</v>
      </c>
      <c r="C38" t="s">
        <v>5043</v>
      </c>
    </row>
    <row r="39" spans="1:3" ht="14.45" x14ac:dyDescent="0.3">
      <c r="A39">
        <v>12577</v>
      </c>
      <c r="B39" t="s">
        <v>9968</v>
      </c>
      <c r="C39" t="s">
        <v>5043</v>
      </c>
    </row>
    <row r="40" spans="1:3" ht="14.45" x14ac:dyDescent="0.3">
      <c r="A40">
        <v>12579</v>
      </c>
      <c r="B40" t="s">
        <v>9968</v>
      </c>
      <c r="C40" t="s">
        <v>5043</v>
      </c>
    </row>
    <row r="41" spans="1:3" ht="14.45" x14ac:dyDescent="0.3">
      <c r="A41">
        <v>12581</v>
      </c>
      <c r="B41" t="s">
        <v>9968</v>
      </c>
      <c r="C41" t="s">
        <v>5043</v>
      </c>
    </row>
    <row r="42" spans="1:3" ht="14.45" x14ac:dyDescent="0.3">
      <c r="A42">
        <v>12582</v>
      </c>
      <c r="B42" t="s">
        <v>9968</v>
      </c>
      <c r="C42" t="s">
        <v>5043</v>
      </c>
    </row>
    <row r="43" spans="1:3" ht="14.45" x14ac:dyDescent="0.3">
      <c r="A43">
        <v>12583</v>
      </c>
      <c r="B43" t="s">
        <v>9968</v>
      </c>
      <c r="C43" t="s">
        <v>5043</v>
      </c>
    </row>
    <row r="44" spans="1:3" ht="14.45" x14ac:dyDescent="0.3">
      <c r="A44">
        <v>11961</v>
      </c>
      <c r="B44" t="s">
        <v>8653</v>
      </c>
      <c r="C44" t="s">
        <v>5043</v>
      </c>
    </row>
    <row r="45" spans="1:3" ht="14.45" x14ac:dyDescent="0.3">
      <c r="A45">
        <v>11963</v>
      </c>
      <c r="B45" t="s">
        <v>8653</v>
      </c>
      <c r="C45" t="s">
        <v>5043</v>
      </c>
    </row>
    <row r="46" spans="1:3" ht="14.45" x14ac:dyDescent="0.3">
      <c r="A46">
        <v>11964</v>
      </c>
      <c r="B46" t="s">
        <v>8653</v>
      </c>
      <c r="C46" t="s">
        <v>5043</v>
      </c>
    </row>
    <row r="47" spans="1:3" ht="14.45" x14ac:dyDescent="0.3">
      <c r="A47">
        <v>12131</v>
      </c>
      <c r="B47" t="s">
        <v>8653</v>
      </c>
      <c r="C47" t="s">
        <v>5043</v>
      </c>
    </row>
    <row r="48" spans="1:3" ht="14.45" x14ac:dyDescent="0.3">
      <c r="A48">
        <v>12132</v>
      </c>
      <c r="B48" t="s">
        <v>8653</v>
      </c>
      <c r="C48" t="s">
        <v>5043</v>
      </c>
    </row>
    <row r="49" spans="1:3" ht="14.45" x14ac:dyDescent="0.3">
      <c r="A49">
        <v>12399</v>
      </c>
      <c r="B49" t="s">
        <v>8653</v>
      </c>
      <c r="C49" t="s">
        <v>5043</v>
      </c>
    </row>
    <row r="50" spans="1:3" ht="14.45" x14ac:dyDescent="0.3">
      <c r="A50">
        <v>12036</v>
      </c>
      <c r="B50" t="s">
        <v>9984</v>
      </c>
      <c r="C50" t="s">
        <v>5043</v>
      </c>
    </row>
    <row r="51" spans="1:3" ht="14.45" x14ac:dyDescent="0.3">
      <c r="A51">
        <v>12037</v>
      </c>
      <c r="B51" t="s">
        <v>9984</v>
      </c>
      <c r="C51" t="s">
        <v>5043</v>
      </c>
    </row>
    <row r="52" spans="1:3" ht="14.45" x14ac:dyDescent="0.3">
      <c r="A52">
        <v>12038</v>
      </c>
      <c r="B52" t="s">
        <v>9984</v>
      </c>
      <c r="C52" t="s">
        <v>5043</v>
      </c>
    </row>
    <row r="53" spans="1:3" ht="14.45" x14ac:dyDescent="0.3">
      <c r="A53">
        <v>12001</v>
      </c>
      <c r="B53" t="s">
        <v>9989</v>
      </c>
      <c r="C53" t="s">
        <v>5043</v>
      </c>
    </row>
    <row r="54" spans="1:3" ht="14.45" x14ac:dyDescent="0.3">
      <c r="A54">
        <v>12002</v>
      </c>
      <c r="B54" t="s">
        <v>9989</v>
      </c>
      <c r="C54" t="s">
        <v>5043</v>
      </c>
    </row>
    <row r="55" spans="1:3" ht="14.45" x14ac:dyDescent="0.3">
      <c r="A55">
        <v>12003</v>
      </c>
      <c r="B55" t="s">
        <v>9989</v>
      </c>
      <c r="C55" t="s">
        <v>5043</v>
      </c>
    </row>
    <row r="56" spans="1:3" ht="14.45" x14ac:dyDescent="0.3">
      <c r="A56">
        <v>12375</v>
      </c>
      <c r="B56" t="s">
        <v>11559</v>
      </c>
      <c r="C56" t="s">
        <v>5043</v>
      </c>
    </row>
    <row r="57" spans="1:3" ht="14.45" x14ac:dyDescent="0.3">
      <c r="A57">
        <v>12468</v>
      </c>
      <c r="B57" t="s">
        <v>11560</v>
      </c>
      <c r="C57" t="s">
        <v>5043</v>
      </c>
    </row>
    <row r="58" spans="1:3" x14ac:dyDescent="0.25">
      <c r="A58">
        <v>11954</v>
      </c>
      <c r="B58" t="s">
        <v>8655</v>
      </c>
      <c r="C58" t="s">
        <v>5043</v>
      </c>
    </row>
    <row r="59" spans="1:3" x14ac:dyDescent="0.25">
      <c r="A59">
        <v>12262</v>
      </c>
      <c r="B59" t="s">
        <v>8680</v>
      </c>
      <c r="C59" t="s">
        <v>5043</v>
      </c>
    </row>
    <row r="60" spans="1:3" x14ac:dyDescent="0.25">
      <c r="A60">
        <v>12270</v>
      </c>
      <c r="B60" t="s">
        <v>10058</v>
      </c>
      <c r="C60" t="s">
        <v>5043</v>
      </c>
    </row>
    <row r="61" spans="1:3" x14ac:dyDescent="0.25">
      <c r="A61">
        <v>12274</v>
      </c>
      <c r="B61" t="s">
        <v>10058</v>
      </c>
      <c r="C61" t="s">
        <v>5043</v>
      </c>
    </row>
    <row r="62" spans="1:3" x14ac:dyDescent="0.25">
      <c r="A62">
        <v>12340</v>
      </c>
      <c r="B62" t="s">
        <v>8683</v>
      </c>
      <c r="C62" t="s">
        <v>5043</v>
      </c>
    </row>
    <row r="63" spans="1:3" x14ac:dyDescent="0.25">
      <c r="A63">
        <v>12327</v>
      </c>
      <c r="B63" t="s">
        <v>8684</v>
      </c>
      <c r="C63" t="s">
        <v>5043</v>
      </c>
    </row>
    <row r="64" spans="1:3" x14ac:dyDescent="0.25">
      <c r="A64">
        <v>12334</v>
      </c>
      <c r="B64" t="s">
        <v>8684</v>
      </c>
      <c r="C64" t="s">
        <v>5043</v>
      </c>
    </row>
    <row r="65" spans="1:3" x14ac:dyDescent="0.25">
      <c r="A65">
        <v>12439</v>
      </c>
      <c r="B65" t="s">
        <v>11561</v>
      </c>
      <c r="C65" t="s">
        <v>5043</v>
      </c>
    </row>
    <row r="66" spans="1:3" x14ac:dyDescent="0.25">
      <c r="A66">
        <v>12510</v>
      </c>
      <c r="B66" t="s">
        <v>11561</v>
      </c>
      <c r="C66" t="s">
        <v>5043</v>
      </c>
    </row>
    <row r="67" spans="1:3" x14ac:dyDescent="0.25">
      <c r="A67">
        <v>12440</v>
      </c>
      <c r="B67" t="s">
        <v>10075</v>
      </c>
      <c r="C67" t="s">
        <v>5043</v>
      </c>
    </row>
    <row r="68" spans="1:3" x14ac:dyDescent="0.25">
      <c r="A68">
        <v>12545</v>
      </c>
      <c r="B68" t="s">
        <v>11562</v>
      </c>
      <c r="C68" t="s">
        <v>5043</v>
      </c>
    </row>
    <row r="69" spans="1:3" x14ac:dyDescent="0.25">
      <c r="A69">
        <v>12674</v>
      </c>
      <c r="B69" t="s">
        <v>11563</v>
      </c>
      <c r="C69" t="s">
        <v>5043</v>
      </c>
    </row>
    <row r="70" spans="1:3" x14ac:dyDescent="0.25">
      <c r="A70">
        <v>12675</v>
      </c>
      <c r="B70" t="s">
        <v>11563</v>
      </c>
      <c r="C70" t="s">
        <v>5043</v>
      </c>
    </row>
    <row r="71" spans="1:3" x14ac:dyDescent="0.25">
      <c r="A71">
        <v>12546</v>
      </c>
      <c r="B71" t="s">
        <v>10169</v>
      </c>
      <c r="C71" t="s">
        <v>5043</v>
      </c>
    </row>
    <row r="72" spans="1:3" x14ac:dyDescent="0.25">
      <c r="A72">
        <v>12341</v>
      </c>
      <c r="B72" t="s">
        <v>8748</v>
      </c>
      <c r="C72" t="s">
        <v>5043</v>
      </c>
    </row>
    <row r="73" spans="1:3" x14ac:dyDescent="0.25">
      <c r="A73">
        <v>11976</v>
      </c>
      <c r="B73" t="s">
        <v>10219</v>
      </c>
      <c r="C73" t="s">
        <v>5043</v>
      </c>
    </row>
    <row r="74" spans="1:3" x14ac:dyDescent="0.25">
      <c r="A74">
        <v>11797</v>
      </c>
      <c r="B74" t="s">
        <v>10244</v>
      </c>
      <c r="C74" t="s">
        <v>5043</v>
      </c>
    </row>
    <row r="75" spans="1:3" x14ac:dyDescent="0.25">
      <c r="A75">
        <v>11798</v>
      </c>
      <c r="B75" t="s">
        <v>10244</v>
      </c>
      <c r="C75" t="s">
        <v>5043</v>
      </c>
    </row>
    <row r="76" spans="1:3" x14ac:dyDescent="0.25">
      <c r="A76">
        <v>11804</v>
      </c>
      <c r="B76" t="s">
        <v>10244</v>
      </c>
      <c r="C76" t="s">
        <v>5043</v>
      </c>
    </row>
    <row r="77" spans="1:3" x14ac:dyDescent="0.25">
      <c r="A77">
        <v>11876</v>
      </c>
      <c r="B77" t="s">
        <v>10244</v>
      </c>
      <c r="C77" t="s">
        <v>5043</v>
      </c>
    </row>
    <row r="78" spans="1:3" x14ac:dyDescent="0.25">
      <c r="A78">
        <v>11885</v>
      </c>
      <c r="B78" t="s">
        <v>10244</v>
      </c>
      <c r="C78" t="s">
        <v>5043</v>
      </c>
    </row>
    <row r="79" spans="1:3" x14ac:dyDescent="0.25">
      <c r="A79">
        <v>11886</v>
      </c>
      <c r="B79" t="s">
        <v>10248</v>
      </c>
      <c r="C79" t="s">
        <v>5043</v>
      </c>
    </row>
    <row r="80" spans="1:3" x14ac:dyDescent="0.25">
      <c r="A80">
        <v>12679</v>
      </c>
      <c r="B80" t="s">
        <v>11564</v>
      </c>
      <c r="C80" t="s">
        <v>5043</v>
      </c>
    </row>
    <row r="81" spans="1:3" x14ac:dyDescent="0.25">
      <c r="A81">
        <v>12114</v>
      </c>
      <c r="B81" t="s">
        <v>11503</v>
      </c>
      <c r="C81" t="s">
        <v>5043</v>
      </c>
    </row>
    <row r="82" spans="1:3" x14ac:dyDescent="0.25">
      <c r="A82">
        <v>12115</v>
      </c>
      <c r="B82" t="s">
        <v>11503</v>
      </c>
      <c r="C82" t="s">
        <v>5043</v>
      </c>
    </row>
    <row r="83" spans="1:3" x14ac:dyDescent="0.25">
      <c r="A83">
        <v>12118</v>
      </c>
      <c r="B83" t="s">
        <v>11503</v>
      </c>
      <c r="C83" t="s">
        <v>5043</v>
      </c>
    </row>
    <row r="84" spans="1:3" x14ac:dyDescent="0.25">
      <c r="A84">
        <v>12120</v>
      </c>
      <c r="B84" t="s">
        <v>11503</v>
      </c>
      <c r="C84" t="s">
        <v>5043</v>
      </c>
    </row>
    <row r="85" spans="1:3" x14ac:dyDescent="0.25">
      <c r="A85">
        <v>12124</v>
      </c>
      <c r="B85" t="s">
        <v>11503</v>
      </c>
      <c r="C85" t="s">
        <v>5043</v>
      </c>
    </row>
    <row r="86" spans="1:3" x14ac:dyDescent="0.25">
      <c r="A86">
        <v>12125</v>
      </c>
      <c r="B86" t="s">
        <v>11503</v>
      </c>
      <c r="C86" t="s">
        <v>5043</v>
      </c>
    </row>
    <row r="87" spans="1:3" x14ac:dyDescent="0.25">
      <c r="A87">
        <v>12116</v>
      </c>
      <c r="B87" t="s">
        <v>11504</v>
      </c>
      <c r="C87" t="s">
        <v>5043</v>
      </c>
    </row>
    <row r="88" spans="1:3" x14ac:dyDescent="0.25">
      <c r="A88">
        <v>12117</v>
      </c>
      <c r="B88" t="s">
        <v>11505</v>
      </c>
      <c r="C88" t="s">
        <v>5043</v>
      </c>
    </row>
    <row r="89" spans="1:3" x14ac:dyDescent="0.25">
      <c r="A89">
        <v>12122</v>
      </c>
      <c r="B89" t="s">
        <v>11506</v>
      </c>
      <c r="C89" t="s">
        <v>5043</v>
      </c>
    </row>
    <row r="90" spans="1:3" x14ac:dyDescent="0.25">
      <c r="A90">
        <v>12121</v>
      </c>
      <c r="B90" t="s">
        <v>11507</v>
      </c>
      <c r="C90" t="s">
        <v>5043</v>
      </c>
    </row>
    <row r="91" spans="1:3" x14ac:dyDescent="0.25">
      <c r="A91">
        <v>12119</v>
      </c>
      <c r="B91" t="s">
        <v>11508</v>
      </c>
      <c r="C91" t="s">
        <v>5043</v>
      </c>
    </row>
    <row r="92" spans="1:3" x14ac:dyDescent="0.25">
      <c r="A92">
        <v>12123</v>
      </c>
      <c r="B92" t="s">
        <v>11509</v>
      </c>
      <c r="C92" t="s">
        <v>5043</v>
      </c>
    </row>
    <row r="93" spans="1:3" x14ac:dyDescent="0.25">
      <c r="A93">
        <v>12097</v>
      </c>
      <c r="B93" t="s">
        <v>11499</v>
      </c>
      <c r="C93" t="s">
        <v>5043</v>
      </c>
    </row>
    <row r="94" spans="1:3" x14ac:dyDescent="0.25">
      <c r="A94">
        <v>12338</v>
      </c>
      <c r="B94" t="s">
        <v>11510</v>
      </c>
      <c r="C94" t="s">
        <v>5043</v>
      </c>
    </row>
    <row r="95" spans="1:3" x14ac:dyDescent="0.25">
      <c r="A95">
        <v>12355</v>
      </c>
      <c r="B95" t="s">
        <v>10420</v>
      </c>
      <c r="C95" t="s">
        <v>5043</v>
      </c>
    </row>
    <row r="96" spans="1:3" x14ac:dyDescent="0.25">
      <c r="A96">
        <v>12356</v>
      </c>
      <c r="B96" t="s">
        <v>10420</v>
      </c>
      <c r="C96" t="s">
        <v>5043</v>
      </c>
    </row>
    <row r="97" spans="1:3" x14ac:dyDescent="0.25">
      <c r="A97">
        <v>12605</v>
      </c>
      <c r="B97" t="s">
        <v>11565</v>
      </c>
      <c r="C97" t="s">
        <v>5043</v>
      </c>
    </row>
    <row r="98" spans="1:3" x14ac:dyDescent="0.25">
      <c r="A98">
        <v>12607</v>
      </c>
      <c r="B98" t="s">
        <v>11565</v>
      </c>
      <c r="C98" t="s">
        <v>5043</v>
      </c>
    </row>
    <row r="99" spans="1:3" x14ac:dyDescent="0.25">
      <c r="A99">
        <v>12608</v>
      </c>
      <c r="B99" t="s">
        <v>11566</v>
      </c>
      <c r="C99" t="s">
        <v>5043</v>
      </c>
    </row>
    <row r="100" spans="1:3" x14ac:dyDescent="0.25">
      <c r="A100">
        <v>12609</v>
      </c>
      <c r="B100" t="s">
        <v>11566</v>
      </c>
      <c r="C100" t="s">
        <v>5043</v>
      </c>
    </row>
    <row r="101" spans="1:3" x14ac:dyDescent="0.25">
      <c r="A101">
        <v>12613</v>
      </c>
      <c r="B101" t="s">
        <v>11566</v>
      </c>
      <c r="C101" t="s">
        <v>5043</v>
      </c>
    </row>
    <row r="102" spans="1:3" x14ac:dyDescent="0.25">
      <c r="A102">
        <v>12617</v>
      </c>
      <c r="B102" t="s">
        <v>11566</v>
      </c>
      <c r="C102" t="s">
        <v>5043</v>
      </c>
    </row>
    <row r="103" spans="1:3" x14ac:dyDescent="0.25">
      <c r="A103">
        <v>12603</v>
      </c>
      <c r="B103" t="s">
        <v>11567</v>
      </c>
      <c r="C103" t="s">
        <v>5043</v>
      </c>
    </row>
    <row r="104" spans="1:3" x14ac:dyDescent="0.25">
      <c r="A104">
        <v>12610</v>
      </c>
      <c r="B104" t="s">
        <v>11567</v>
      </c>
      <c r="C104" t="s">
        <v>5043</v>
      </c>
    </row>
    <row r="105" spans="1:3" x14ac:dyDescent="0.25">
      <c r="A105">
        <v>12611</v>
      </c>
      <c r="B105" t="s">
        <v>11567</v>
      </c>
      <c r="C105" t="s">
        <v>5043</v>
      </c>
    </row>
    <row r="106" spans="1:3" x14ac:dyDescent="0.25">
      <c r="A106">
        <v>12612</v>
      </c>
      <c r="B106" t="s">
        <v>11567</v>
      </c>
      <c r="C106" t="s">
        <v>5043</v>
      </c>
    </row>
    <row r="107" spans="1:3" x14ac:dyDescent="0.25">
      <c r="A107">
        <v>12614</v>
      </c>
      <c r="B107" t="s">
        <v>11568</v>
      </c>
      <c r="C107" t="s">
        <v>5043</v>
      </c>
    </row>
    <row r="108" spans="1:3" x14ac:dyDescent="0.25">
      <c r="A108">
        <v>12616</v>
      </c>
      <c r="B108" t="s">
        <v>11568</v>
      </c>
      <c r="C108" t="s">
        <v>5043</v>
      </c>
    </row>
    <row r="109" spans="1:3" x14ac:dyDescent="0.25">
      <c r="A109">
        <v>12647</v>
      </c>
      <c r="B109" t="s">
        <v>11591</v>
      </c>
      <c r="C109" t="s">
        <v>5043</v>
      </c>
    </row>
    <row r="110" spans="1:3" x14ac:dyDescent="0.25">
      <c r="A110">
        <v>12648</v>
      </c>
      <c r="B110" t="s">
        <v>11591</v>
      </c>
      <c r="C110" t="s">
        <v>5043</v>
      </c>
    </row>
    <row r="111" spans="1:3" x14ac:dyDescent="0.25">
      <c r="A111">
        <v>12646</v>
      </c>
      <c r="B111" t="s">
        <v>8827</v>
      </c>
      <c r="C111" t="s">
        <v>5043</v>
      </c>
    </row>
    <row r="112" spans="1:3" x14ac:dyDescent="0.25">
      <c r="A112">
        <v>11799</v>
      </c>
      <c r="B112" t="s">
        <v>8839</v>
      </c>
      <c r="C112" t="s">
        <v>5043</v>
      </c>
    </row>
    <row r="113" spans="1:3" x14ac:dyDescent="0.25">
      <c r="A113">
        <v>12410</v>
      </c>
      <c r="B113" t="s">
        <v>10502</v>
      </c>
      <c r="C113" t="s">
        <v>5043</v>
      </c>
    </row>
    <row r="114" spans="1:3" x14ac:dyDescent="0.25">
      <c r="A114">
        <v>12411</v>
      </c>
      <c r="B114" t="s">
        <v>10502</v>
      </c>
      <c r="C114" t="s">
        <v>5043</v>
      </c>
    </row>
    <row r="115" spans="1:3" x14ac:dyDescent="0.25">
      <c r="A115">
        <v>11972</v>
      </c>
      <c r="B115" t="s">
        <v>8846</v>
      </c>
      <c r="C115" t="s">
        <v>5043</v>
      </c>
    </row>
    <row r="116" spans="1:3" x14ac:dyDescent="0.25">
      <c r="A116">
        <v>12672</v>
      </c>
      <c r="B116" t="s">
        <v>10528</v>
      </c>
      <c r="C116" t="s">
        <v>5043</v>
      </c>
    </row>
    <row r="117" spans="1:3" x14ac:dyDescent="0.25">
      <c r="A117">
        <v>12673</v>
      </c>
      <c r="B117" t="s">
        <v>10528</v>
      </c>
      <c r="C117" t="s">
        <v>5043</v>
      </c>
    </row>
    <row r="118" spans="1:3" x14ac:dyDescent="0.25">
      <c r="A118">
        <v>11877</v>
      </c>
      <c r="B118" t="s">
        <v>10537</v>
      </c>
      <c r="C118" t="s">
        <v>5043</v>
      </c>
    </row>
    <row r="119" spans="1:3" x14ac:dyDescent="0.25">
      <c r="A119">
        <v>12664</v>
      </c>
      <c r="B119" t="s">
        <v>11569</v>
      </c>
      <c r="C119" t="s">
        <v>5043</v>
      </c>
    </row>
    <row r="120" spans="1:3" x14ac:dyDescent="0.25">
      <c r="A120">
        <v>12060</v>
      </c>
      <c r="B120" t="s">
        <v>8914</v>
      </c>
      <c r="C120" t="s">
        <v>5043</v>
      </c>
    </row>
    <row r="121" spans="1:3" x14ac:dyDescent="0.25">
      <c r="A121">
        <v>12063</v>
      </c>
      <c r="B121" t="s">
        <v>8914</v>
      </c>
      <c r="C121" t="s">
        <v>5043</v>
      </c>
    </row>
    <row r="122" spans="1:3" x14ac:dyDescent="0.25">
      <c r="A122">
        <v>12061</v>
      </c>
      <c r="B122" t="s">
        <v>8915</v>
      </c>
      <c r="C122" t="s">
        <v>5043</v>
      </c>
    </row>
    <row r="123" spans="1:3" x14ac:dyDescent="0.25">
      <c r="A123">
        <v>12064</v>
      </c>
      <c r="B123" t="s">
        <v>8915</v>
      </c>
      <c r="C123" t="s">
        <v>5043</v>
      </c>
    </row>
    <row r="124" spans="1:3" x14ac:dyDescent="0.25">
      <c r="A124">
        <v>11762</v>
      </c>
      <c r="B124" t="s">
        <v>10634</v>
      </c>
      <c r="C124" t="s">
        <v>5043</v>
      </c>
    </row>
    <row r="125" spans="1:3" x14ac:dyDescent="0.25">
      <c r="A125">
        <v>11779</v>
      </c>
      <c r="B125" t="s">
        <v>10635</v>
      </c>
      <c r="C125" t="s">
        <v>5043</v>
      </c>
    </row>
    <row r="126" spans="1:3" x14ac:dyDescent="0.25">
      <c r="A126">
        <v>12152</v>
      </c>
      <c r="B126" t="s">
        <v>11511</v>
      </c>
      <c r="C126" t="s">
        <v>5043</v>
      </c>
    </row>
    <row r="127" spans="1:3" x14ac:dyDescent="0.25">
      <c r="A127">
        <v>12161</v>
      </c>
      <c r="B127" t="s">
        <v>11511</v>
      </c>
      <c r="C127" t="s">
        <v>5043</v>
      </c>
    </row>
    <row r="128" spans="1:3" x14ac:dyDescent="0.25">
      <c r="A128">
        <v>12167</v>
      </c>
      <c r="B128" t="s">
        <v>11511</v>
      </c>
      <c r="C128" t="s">
        <v>5043</v>
      </c>
    </row>
    <row r="129" spans="1:3" x14ac:dyDescent="0.25">
      <c r="A129">
        <v>11774</v>
      </c>
      <c r="B129" t="s">
        <v>10636</v>
      </c>
      <c r="C129" t="s">
        <v>5043</v>
      </c>
    </row>
    <row r="130" spans="1:3" x14ac:dyDescent="0.25">
      <c r="A130">
        <v>11776</v>
      </c>
      <c r="B130" t="s">
        <v>10636</v>
      </c>
      <c r="C130" t="s">
        <v>5043</v>
      </c>
    </row>
    <row r="131" spans="1:3" x14ac:dyDescent="0.25">
      <c r="A131">
        <v>11769</v>
      </c>
      <c r="B131" t="s">
        <v>10637</v>
      </c>
      <c r="C131" t="s">
        <v>5043</v>
      </c>
    </row>
    <row r="132" spans="1:3" x14ac:dyDescent="0.25">
      <c r="A132">
        <v>12163</v>
      </c>
      <c r="B132" t="s">
        <v>10637</v>
      </c>
      <c r="C132" t="s">
        <v>5043</v>
      </c>
    </row>
    <row r="133" spans="1:3" x14ac:dyDescent="0.25">
      <c r="A133">
        <v>12154</v>
      </c>
      <c r="B133" t="s">
        <v>11512</v>
      </c>
      <c r="C133" t="s">
        <v>5043</v>
      </c>
    </row>
    <row r="134" spans="1:3" x14ac:dyDescent="0.25">
      <c r="A134">
        <v>12158</v>
      </c>
      <c r="B134" t="s">
        <v>11512</v>
      </c>
      <c r="C134" t="s">
        <v>5043</v>
      </c>
    </row>
    <row r="135" spans="1:3" x14ac:dyDescent="0.25">
      <c r="A135">
        <v>11765</v>
      </c>
      <c r="B135" t="s">
        <v>10638</v>
      </c>
      <c r="C135" t="s">
        <v>5043</v>
      </c>
    </row>
    <row r="136" spans="1:3" x14ac:dyDescent="0.25">
      <c r="A136">
        <v>11766</v>
      </c>
      <c r="B136" t="s">
        <v>10638</v>
      </c>
      <c r="C136" t="s">
        <v>5043</v>
      </c>
    </row>
    <row r="137" spans="1:3" x14ac:dyDescent="0.25">
      <c r="A137">
        <v>11767</v>
      </c>
      <c r="B137" t="s">
        <v>10638</v>
      </c>
      <c r="C137" t="s">
        <v>5043</v>
      </c>
    </row>
    <row r="138" spans="1:3" x14ac:dyDescent="0.25">
      <c r="A138">
        <v>11772</v>
      </c>
      <c r="B138" t="s">
        <v>10638</v>
      </c>
      <c r="C138" t="s">
        <v>5043</v>
      </c>
    </row>
    <row r="139" spans="1:3" x14ac:dyDescent="0.25">
      <c r="A139">
        <v>11773</v>
      </c>
      <c r="B139" t="s">
        <v>10638</v>
      </c>
      <c r="C139" t="s">
        <v>5043</v>
      </c>
    </row>
    <row r="140" spans="1:3" x14ac:dyDescent="0.25">
      <c r="A140">
        <v>11777</v>
      </c>
      <c r="B140" t="s">
        <v>10638</v>
      </c>
      <c r="C140" t="s">
        <v>5043</v>
      </c>
    </row>
    <row r="141" spans="1:3" x14ac:dyDescent="0.25">
      <c r="A141">
        <v>12153</v>
      </c>
      <c r="B141" t="s">
        <v>11513</v>
      </c>
      <c r="C141" t="s">
        <v>5043</v>
      </c>
    </row>
    <row r="142" spans="1:3" x14ac:dyDescent="0.25">
      <c r="A142">
        <v>12157</v>
      </c>
      <c r="B142" t="s">
        <v>11513</v>
      </c>
      <c r="C142" t="s">
        <v>5043</v>
      </c>
    </row>
    <row r="143" spans="1:3" x14ac:dyDescent="0.25">
      <c r="A143">
        <v>12164</v>
      </c>
      <c r="B143" t="s">
        <v>11513</v>
      </c>
      <c r="C143" t="s">
        <v>5043</v>
      </c>
    </row>
    <row r="144" spans="1:3" x14ac:dyDescent="0.25">
      <c r="A144">
        <v>12165</v>
      </c>
      <c r="B144" t="s">
        <v>11513</v>
      </c>
      <c r="C144" t="s">
        <v>5043</v>
      </c>
    </row>
    <row r="145" spans="1:3" x14ac:dyDescent="0.25">
      <c r="A145">
        <v>12397</v>
      </c>
      <c r="B145" t="s">
        <v>11571</v>
      </c>
      <c r="C145" t="s">
        <v>5043</v>
      </c>
    </row>
    <row r="146" spans="1:3" x14ac:dyDescent="0.25">
      <c r="A146">
        <v>12404</v>
      </c>
      <c r="B146" t="s">
        <v>11572</v>
      </c>
      <c r="C146" t="s">
        <v>5043</v>
      </c>
    </row>
    <row r="147" spans="1:3" x14ac:dyDescent="0.25">
      <c r="A147">
        <v>12665</v>
      </c>
      <c r="B147" t="s">
        <v>11572</v>
      </c>
      <c r="C147" t="s">
        <v>5043</v>
      </c>
    </row>
    <row r="148" spans="1:3" x14ac:dyDescent="0.25">
      <c r="A148">
        <v>11953</v>
      </c>
      <c r="B148" t="s">
        <v>10656</v>
      </c>
      <c r="C148" t="s">
        <v>5043</v>
      </c>
    </row>
    <row r="149" spans="1:3" x14ac:dyDescent="0.25">
      <c r="A149">
        <v>11956</v>
      </c>
      <c r="B149" t="s">
        <v>10656</v>
      </c>
      <c r="C149" t="s">
        <v>5043</v>
      </c>
    </row>
    <row r="150" spans="1:3" x14ac:dyDescent="0.25">
      <c r="A150">
        <v>11760</v>
      </c>
      <c r="B150" t="s">
        <v>10657</v>
      </c>
      <c r="C150" t="s">
        <v>5043</v>
      </c>
    </row>
    <row r="151" spans="1:3" x14ac:dyDescent="0.25">
      <c r="A151">
        <v>12663</v>
      </c>
      <c r="B151" t="s">
        <v>9004</v>
      </c>
      <c r="C151" t="s">
        <v>5043</v>
      </c>
    </row>
    <row r="152" spans="1:3" x14ac:dyDescent="0.25">
      <c r="A152">
        <v>12263</v>
      </c>
      <c r="B152" t="s">
        <v>11514</v>
      </c>
      <c r="C152" t="s">
        <v>5043</v>
      </c>
    </row>
    <row r="153" spans="1:3" x14ac:dyDescent="0.25">
      <c r="A153">
        <v>12278</v>
      </c>
      <c r="B153" t="s">
        <v>11515</v>
      </c>
      <c r="C153" t="s">
        <v>5043</v>
      </c>
    </row>
    <row r="154" spans="1:3" x14ac:dyDescent="0.25">
      <c r="A154">
        <v>12293</v>
      </c>
      <c r="B154" t="s">
        <v>11515</v>
      </c>
      <c r="C154" t="s">
        <v>5043</v>
      </c>
    </row>
    <row r="155" spans="1:3" x14ac:dyDescent="0.25">
      <c r="A155">
        <v>12331</v>
      </c>
      <c r="B155" t="s">
        <v>11515</v>
      </c>
      <c r="C155" t="s">
        <v>5043</v>
      </c>
    </row>
    <row r="156" spans="1:3" x14ac:dyDescent="0.25">
      <c r="A156">
        <v>12273</v>
      </c>
      <c r="B156" t="s">
        <v>11516</v>
      </c>
      <c r="C156" t="s">
        <v>5043</v>
      </c>
    </row>
    <row r="157" spans="1:3" x14ac:dyDescent="0.25">
      <c r="A157">
        <v>12305</v>
      </c>
      <c r="B157" t="s">
        <v>11516</v>
      </c>
      <c r="C157" t="s">
        <v>5043</v>
      </c>
    </row>
    <row r="158" spans="1:3" x14ac:dyDescent="0.25">
      <c r="A158"/>
      <c r="B158"/>
    </row>
    <row r="159" spans="1:3" x14ac:dyDescent="0.25">
      <c r="A159"/>
      <c r="B159"/>
    </row>
    <row r="160" spans="1:3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</sheetData>
  <sortState ref="A5:B14">
    <sortCondition descending="1" ref="A5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56"/>
  <sheetViews>
    <sheetView topLeftCell="A47" workbookViewId="0">
      <pane ySplit="4455" topLeftCell="A118" activePane="bottomLeft"/>
      <selection activeCell="A3" sqref="A3"/>
      <selection pane="bottomLeft" activeCell="A14" sqref="A14:C156"/>
    </sheetView>
  </sheetViews>
  <sheetFormatPr defaultRowHeight="15" x14ac:dyDescent="0.25"/>
  <cols>
    <col min="2" max="2" width="112.5703125" bestFit="1" customWidth="1"/>
  </cols>
  <sheetData>
    <row r="1" spans="1:3" ht="18.75" x14ac:dyDescent="0.3">
      <c r="A1" s="23" t="s">
        <v>14</v>
      </c>
    </row>
    <row r="2" spans="1:3" x14ac:dyDescent="0.25">
      <c r="A2" s="21" t="s">
        <v>8431</v>
      </c>
    </row>
    <row r="3" spans="1:3" ht="18.75" x14ac:dyDescent="0.3">
      <c r="A3" s="22" t="s">
        <v>9564</v>
      </c>
    </row>
    <row r="4" spans="1:3" ht="6" customHeight="1" x14ac:dyDescent="0.3">
      <c r="A4" s="52"/>
      <c r="B4" s="51"/>
    </row>
    <row r="5" spans="1:3" x14ac:dyDescent="0.25">
      <c r="A5" s="18">
        <f>COUNTIF($B$13:$B929, "*routing/*")</f>
        <v>26</v>
      </c>
      <c r="B5" s="45" t="s">
        <v>693</v>
      </c>
    </row>
    <row r="6" spans="1:3" x14ac:dyDescent="0.25">
      <c r="A6" s="18">
        <f>COUNTIF($B$13:$B937, "*traffic/*")</f>
        <v>5</v>
      </c>
      <c r="B6" s="45" t="s">
        <v>7</v>
      </c>
    </row>
    <row r="7" spans="1:3" x14ac:dyDescent="0.25">
      <c r="A7" s="18">
        <f>COUNTIF($B$13:$B930, "*framework/*")</f>
        <v>41</v>
      </c>
      <c r="B7" s="45" t="s">
        <v>692</v>
      </c>
    </row>
    <row r="8" spans="1:3" x14ac:dyDescent="0.25">
      <c r="A8" s="18">
        <f>COUNTIF($B$13:$B937, "*access/*")</f>
        <v>9</v>
      </c>
      <c r="B8" s="45" t="s">
        <v>181</v>
      </c>
    </row>
    <row r="9" spans="1:3" ht="3.75" customHeight="1" x14ac:dyDescent="0.25">
      <c r="A9" s="53"/>
      <c r="B9" s="54"/>
    </row>
    <row r="10" spans="1:3" x14ac:dyDescent="0.25">
      <c r="A10" s="58">
        <f>SUM(A4:A9)</f>
        <v>81</v>
      </c>
      <c r="B10" s="46" t="s">
        <v>2607</v>
      </c>
    </row>
    <row r="11" spans="1:3" x14ac:dyDescent="0.25">
      <c r="A11" s="2">
        <f>COUNTA($A14:$A933)</f>
        <v>143</v>
      </c>
      <c r="B11" s="60" t="s">
        <v>5041</v>
      </c>
    </row>
    <row r="13" spans="1:3" x14ac:dyDescent="0.25">
      <c r="A13" s="70" t="s">
        <v>110</v>
      </c>
      <c r="B13" s="44" t="s">
        <v>111</v>
      </c>
      <c r="C13" s="2"/>
    </row>
    <row r="14" spans="1:3" x14ac:dyDescent="0.25">
      <c r="A14">
        <v>251354</v>
      </c>
      <c r="B14" t="s">
        <v>11573</v>
      </c>
      <c r="C14" t="s">
        <v>5043</v>
      </c>
    </row>
    <row r="15" spans="1:3" x14ac:dyDescent="0.25">
      <c r="A15">
        <v>12189</v>
      </c>
      <c r="B15" t="s">
        <v>10799</v>
      </c>
      <c r="C15" t="s">
        <v>5043</v>
      </c>
    </row>
    <row r="16" spans="1:3" ht="14.45" x14ac:dyDescent="0.3">
      <c r="A16">
        <v>12190</v>
      </c>
      <c r="B16" t="s">
        <v>10799</v>
      </c>
      <c r="C16" t="s">
        <v>5043</v>
      </c>
    </row>
    <row r="17" spans="1:3" ht="14.45" x14ac:dyDescent="0.3">
      <c r="A17">
        <v>12193</v>
      </c>
      <c r="B17" t="s">
        <v>10799</v>
      </c>
      <c r="C17" t="s">
        <v>5043</v>
      </c>
    </row>
    <row r="18" spans="1:3" ht="14.45" x14ac:dyDescent="0.3">
      <c r="A18">
        <v>12197</v>
      </c>
      <c r="B18" t="s">
        <v>10799</v>
      </c>
      <c r="C18" t="s">
        <v>5043</v>
      </c>
    </row>
    <row r="19" spans="1:3" ht="14.45" x14ac:dyDescent="0.3">
      <c r="A19">
        <v>12199</v>
      </c>
      <c r="B19" t="s">
        <v>10799</v>
      </c>
      <c r="C19" t="s">
        <v>5043</v>
      </c>
    </row>
    <row r="20" spans="1:3" ht="14.45" x14ac:dyDescent="0.3">
      <c r="A20">
        <v>12463</v>
      </c>
      <c r="B20" t="s">
        <v>10799</v>
      </c>
      <c r="C20" t="s">
        <v>5043</v>
      </c>
    </row>
    <row r="21" spans="1:3" ht="14.45" x14ac:dyDescent="0.3">
      <c r="A21">
        <v>12486</v>
      </c>
      <c r="B21" t="s">
        <v>10799</v>
      </c>
      <c r="C21" t="s">
        <v>5043</v>
      </c>
    </row>
    <row r="22" spans="1:3" ht="14.45" x14ac:dyDescent="0.3">
      <c r="A22">
        <v>12496</v>
      </c>
      <c r="B22" t="s">
        <v>10799</v>
      </c>
      <c r="C22" t="s">
        <v>5043</v>
      </c>
    </row>
    <row r="23" spans="1:3" ht="14.45" x14ac:dyDescent="0.3">
      <c r="A23">
        <v>251259</v>
      </c>
      <c r="B23" t="s">
        <v>10799</v>
      </c>
      <c r="C23" t="s">
        <v>5043</v>
      </c>
    </row>
    <row r="24" spans="1:3" ht="14.45" x14ac:dyDescent="0.3">
      <c r="A24">
        <v>251260</v>
      </c>
      <c r="B24" t="s">
        <v>10799</v>
      </c>
      <c r="C24" t="s">
        <v>5043</v>
      </c>
    </row>
    <row r="25" spans="1:3" ht="14.45" x14ac:dyDescent="0.3">
      <c r="A25">
        <v>251290</v>
      </c>
      <c r="B25" t="s">
        <v>10799</v>
      </c>
      <c r="C25" t="s">
        <v>5043</v>
      </c>
    </row>
    <row r="26" spans="1:3" x14ac:dyDescent="0.25">
      <c r="A26">
        <v>251291</v>
      </c>
      <c r="B26" t="s">
        <v>10799</v>
      </c>
      <c r="C26" t="s">
        <v>5043</v>
      </c>
    </row>
    <row r="27" spans="1:3" x14ac:dyDescent="0.25">
      <c r="A27">
        <v>251293</v>
      </c>
      <c r="B27" t="s">
        <v>10799</v>
      </c>
      <c r="C27" t="s">
        <v>5043</v>
      </c>
    </row>
    <row r="28" spans="1:3" x14ac:dyDescent="0.25">
      <c r="A28">
        <v>251296</v>
      </c>
      <c r="B28" t="s">
        <v>10799</v>
      </c>
      <c r="C28" t="s">
        <v>5043</v>
      </c>
    </row>
    <row r="29" spans="1:3" x14ac:dyDescent="0.25">
      <c r="A29">
        <v>251298</v>
      </c>
      <c r="B29" t="s">
        <v>10799</v>
      </c>
      <c r="C29" t="s">
        <v>5043</v>
      </c>
    </row>
    <row r="30" spans="1:3" x14ac:dyDescent="0.25">
      <c r="A30">
        <v>251300</v>
      </c>
      <c r="B30" t="s">
        <v>10799</v>
      </c>
      <c r="C30" t="s">
        <v>5043</v>
      </c>
    </row>
    <row r="31" spans="1:3" x14ac:dyDescent="0.25">
      <c r="A31">
        <v>251305</v>
      </c>
      <c r="B31" t="s">
        <v>10799</v>
      </c>
      <c r="C31" t="s">
        <v>5043</v>
      </c>
    </row>
    <row r="32" spans="1:3" x14ac:dyDescent="0.25">
      <c r="A32">
        <v>251306</v>
      </c>
      <c r="B32" t="s">
        <v>10799</v>
      </c>
      <c r="C32" t="s">
        <v>5043</v>
      </c>
    </row>
    <row r="33" spans="1:3" x14ac:dyDescent="0.25">
      <c r="A33">
        <v>251308</v>
      </c>
      <c r="B33" t="s">
        <v>10799</v>
      </c>
      <c r="C33" t="s">
        <v>5043</v>
      </c>
    </row>
    <row r="34" spans="1:3" x14ac:dyDescent="0.25">
      <c r="A34">
        <v>251309</v>
      </c>
      <c r="B34" t="s">
        <v>10799</v>
      </c>
      <c r="C34" t="s">
        <v>5043</v>
      </c>
    </row>
    <row r="35" spans="1:3" x14ac:dyDescent="0.25">
      <c r="A35">
        <v>251310</v>
      </c>
      <c r="B35" t="s">
        <v>10799</v>
      </c>
      <c r="C35" t="s">
        <v>5043</v>
      </c>
    </row>
    <row r="36" spans="1:3" x14ac:dyDescent="0.25">
      <c r="A36">
        <v>251311</v>
      </c>
      <c r="B36" t="s">
        <v>10799</v>
      </c>
      <c r="C36" t="s">
        <v>5043</v>
      </c>
    </row>
    <row r="37" spans="1:3" x14ac:dyDescent="0.25">
      <c r="A37">
        <v>251312</v>
      </c>
      <c r="B37" t="s">
        <v>10799</v>
      </c>
      <c r="C37" t="s">
        <v>5043</v>
      </c>
    </row>
    <row r="38" spans="1:3" x14ac:dyDescent="0.25">
      <c r="A38">
        <v>251314</v>
      </c>
      <c r="B38" t="s">
        <v>10799</v>
      </c>
      <c r="C38" t="s">
        <v>5043</v>
      </c>
    </row>
    <row r="39" spans="1:3" x14ac:dyDescent="0.25">
      <c r="A39">
        <v>251316</v>
      </c>
      <c r="B39" t="s">
        <v>10799</v>
      </c>
      <c r="C39" t="s">
        <v>5043</v>
      </c>
    </row>
    <row r="40" spans="1:3" x14ac:dyDescent="0.25">
      <c r="A40">
        <v>251317</v>
      </c>
      <c r="B40" t="s">
        <v>10799</v>
      </c>
      <c r="C40" t="s">
        <v>5043</v>
      </c>
    </row>
    <row r="41" spans="1:3" x14ac:dyDescent="0.25">
      <c r="A41">
        <v>251318</v>
      </c>
      <c r="B41" t="s">
        <v>10799</v>
      </c>
      <c r="C41" t="s">
        <v>5043</v>
      </c>
    </row>
    <row r="42" spans="1:3" x14ac:dyDescent="0.25">
      <c r="A42">
        <v>251347</v>
      </c>
      <c r="B42" t="s">
        <v>10799</v>
      </c>
      <c r="C42" t="s">
        <v>5043</v>
      </c>
    </row>
    <row r="43" spans="1:3" x14ac:dyDescent="0.25">
      <c r="A43">
        <v>251348</v>
      </c>
      <c r="B43" t="s">
        <v>10799</v>
      </c>
      <c r="C43" t="s">
        <v>5043</v>
      </c>
    </row>
    <row r="44" spans="1:3" x14ac:dyDescent="0.25">
      <c r="A44">
        <v>251351</v>
      </c>
      <c r="B44" t="s">
        <v>10799</v>
      </c>
      <c r="C44" t="s">
        <v>5043</v>
      </c>
    </row>
    <row r="45" spans="1:3" x14ac:dyDescent="0.25">
      <c r="A45">
        <v>251356</v>
      </c>
      <c r="B45" t="s">
        <v>10799</v>
      </c>
      <c r="C45" t="s">
        <v>5043</v>
      </c>
    </row>
    <row r="46" spans="1:3" x14ac:dyDescent="0.25">
      <c r="A46">
        <v>251381</v>
      </c>
      <c r="B46" t="s">
        <v>10799</v>
      </c>
      <c r="C46" t="s">
        <v>5043</v>
      </c>
    </row>
    <row r="47" spans="1:3" x14ac:dyDescent="0.25">
      <c r="A47">
        <v>251382</v>
      </c>
      <c r="B47" t="s">
        <v>10799</v>
      </c>
      <c r="C47" t="s">
        <v>5043</v>
      </c>
    </row>
    <row r="48" spans="1:3" x14ac:dyDescent="0.25">
      <c r="A48">
        <v>251386</v>
      </c>
      <c r="B48" t="s">
        <v>10799</v>
      </c>
      <c r="C48" t="s">
        <v>5043</v>
      </c>
    </row>
    <row r="49" spans="1:3" x14ac:dyDescent="0.25">
      <c r="A49">
        <v>251389</v>
      </c>
      <c r="B49" t="s">
        <v>10799</v>
      </c>
      <c r="C49" t="s">
        <v>5043</v>
      </c>
    </row>
    <row r="50" spans="1:3" x14ac:dyDescent="0.25">
      <c r="A50">
        <v>251390</v>
      </c>
      <c r="B50" t="s">
        <v>10799</v>
      </c>
      <c r="C50" t="s">
        <v>5043</v>
      </c>
    </row>
    <row r="51" spans="1:3" x14ac:dyDescent="0.25">
      <c r="A51">
        <v>251391</v>
      </c>
      <c r="B51" t="s">
        <v>10799</v>
      </c>
      <c r="C51" t="s">
        <v>5043</v>
      </c>
    </row>
    <row r="52" spans="1:3" x14ac:dyDescent="0.25">
      <c r="A52">
        <v>251395</v>
      </c>
      <c r="B52" t="s">
        <v>10799</v>
      </c>
      <c r="C52" t="s">
        <v>5043</v>
      </c>
    </row>
    <row r="53" spans="1:3" x14ac:dyDescent="0.25">
      <c r="A53">
        <v>251396</v>
      </c>
      <c r="B53" t="s">
        <v>10799</v>
      </c>
      <c r="C53" t="s">
        <v>5043</v>
      </c>
    </row>
    <row r="54" spans="1:3" x14ac:dyDescent="0.25">
      <c r="A54">
        <v>251401</v>
      </c>
      <c r="B54" t="s">
        <v>10799</v>
      </c>
      <c r="C54" t="s">
        <v>5043</v>
      </c>
    </row>
    <row r="55" spans="1:3" x14ac:dyDescent="0.25">
      <c r="A55">
        <v>251403</v>
      </c>
      <c r="B55" t="s">
        <v>10799</v>
      </c>
      <c r="C55" t="s">
        <v>5043</v>
      </c>
    </row>
    <row r="56" spans="1:3" x14ac:dyDescent="0.25">
      <c r="A56">
        <v>251425</v>
      </c>
      <c r="B56" t="s">
        <v>10799</v>
      </c>
      <c r="C56" t="s">
        <v>5043</v>
      </c>
    </row>
    <row r="57" spans="1:3" x14ac:dyDescent="0.25">
      <c r="A57">
        <v>251450</v>
      </c>
      <c r="B57" t="s">
        <v>10799</v>
      </c>
      <c r="C57" t="s">
        <v>5043</v>
      </c>
    </row>
    <row r="58" spans="1:3" x14ac:dyDescent="0.25">
      <c r="A58">
        <v>251467</v>
      </c>
      <c r="B58" t="s">
        <v>10799</v>
      </c>
      <c r="C58" t="s">
        <v>5043</v>
      </c>
    </row>
    <row r="59" spans="1:3" x14ac:dyDescent="0.25">
      <c r="A59">
        <v>251469</v>
      </c>
      <c r="B59" t="s">
        <v>10799</v>
      </c>
      <c r="C59" t="s">
        <v>5043</v>
      </c>
    </row>
    <row r="60" spans="1:3" x14ac:dyDescent="0.25">
      <c r="A60">
        <v>251472</v>
      </c>
      <c r="B60" t="s">
        <v>10799</v>
      </c>
      <c r="C60" t="s">
        <v>5043</v>
      </c>
    </row>
    <row r="61" spans="1:3" x14ac:dyDescent="0.25">
      <c r="A61">
        <v>251473</v>
      </c>
      <c r="B61" t="s">
        <v>10799</v>
      </c>
      <c r="C61" t="s">
        <v>5043</v>
      </c>
    </row>
    <row r="62" spans="1:3" x14ac:dyDescent="0.25">
      <c r="A62">
        <v>251508</v>
      </c>
      <c r="B62" t="s">
        <v>10799</v>
      </c>
      <c r="C62" t="s">
        <v>5043</v>
      </c>
    </row>
    <row r="63" spans="1:3" x14ac:dyDescent="0.25">
      <c r="A63">
        <v>251510</v>
      </c>
      <c r="B63" t="s">
        <v>10799</v>
      </c>
      <c r="C63" t="s">
        <v>5043</v>
      </c>
    </row>
    <row r="64" spans="1:3" x14ac:dyDescent="0.25">
      <c r="A64">
        <v>251517</v>
      </c>
      <c r="B64" t="s">
        <v>10799</v>
      </c>
      <c r="C64" t="s">
        <v>5043</v>
      </c>
    </row>
    <row r="65" spans="1:3" x14ac:dyDescent="0.25">
      <c r="A65">
        <v>251518</v>
      </c>
      <c r="B65" t="s">
        <v>10799</v>
      </c>
      <c r="C65" t="s">
        <v>5043</v>
      </c>
    </row>
    <row r="66" spans="1:3" x14ac:dyDescent="0.25">
      <c r="A66">
        <v>251519</v>
      </c>
      <c r="B66" t="s">
        <v>10799</v>
      </c>
      <c r="C66" t="s">
        <v>5043</v>
      </c>
    </row>
    <row r="67" spans="1:3" x14ac:dyDescent="0.25">
      <c r="A67">
        <v>251520</v>
      </c>
      <c r="B67" t="s">
        <v>10799</v>
      </c>
      <c r="C67" t="s">
        <v>5043</v>
      </c>
    </row>
    <row r="68" spans="1:3" x14ac:dyDescent="0.25">
      <c r="A68">
        <v>251521</v>
      </c>
      <c r="B68" t="s">
        <v>10799</v>
      </c>
      <c r="C68" t="s">
        <v>5043</v>
      </c>
    </row>
    <row r="69" spans="1:3" x14ac:dyDescent="0.25">
      <c r="A69">
        <v>251574</v>
      </c>
      <c r="B69" t="s">
        <v>10799</v>
      </c>
      <c r="C69" t="s">
        <v>5043</v>
      </c>
    </row>
    <row r="70" spans="1:3" x14ac:dyDescent="0.25">
      <c r="A70">
        <v>251575</v>
      </c>
      <c r="B70" t="s">
        <v>10799</v>
      </c>
      <c r="C70" t="s">
        <v>5043</v>
      </c>
    </row>
    <row r="71" spans="1:3" x14ac:dyDescent="0.25">
      <c r="A71">
        <v>251576</v>
      </c>
      <c r="B71" t="s">
        <v>10799</v>
      </c>
      <c r="C71" t="s">
        <v>5043</v>
      </c>
    </row>
    <row r="72" spans="1:3" x14ac:dyDescent="0.25">
      <c r="A72">
        <v>251577</v>
      </c>
      <c r="B72" t="s">
        <v>10799</v>
      </c>
      <c r="C72" t="s">
        <v>5043</v>
      </c>
    </row>
    <row r="73" spans="1:3" x14ac:dyDescent="0.25">
      <c r="A73">
        <v>251588</v>
      </c>
      <c r="B73" t="s">
        <v>10799</v>
      </c>
      <c r="C73" t="s">
        <v>5043</v>
      </c>
    </row>
    <row r="74" spans="1:3" x14ac:dyDescent="0.25">
      <c r="A74">
        <v>251601</v>
      </c>
      <c r="B74" t="s">
        <v>10799</v>
      </c>
      <c r="C74" t="s">
        <v>5043</v>
      </c>
    </row>
    <row r="75" spans="1:3" x14ac:dyDescent="0.25">
      <c r="A75">
        <v>251459</v>
      </c>
      <c r="B75" t="s">
        <v>11574</v>
      </c>
      <c r="C75" t="s">
        <v>5043</v>
      </c>
    </row>
    <row r="76" spans="1:3" x14ac:dyDescent="0.25">
      <c r="A76">
        <v>251458</v>
      </c>
      <c r="B76" t="s">
        <v>11575</v>
      </c>
      <c r="C76" t="s">
        <v>5043</v>
      </c>
    </row>
    <row r="77" spans="1:3" x14ac:dyDescent="0.25">
      <c r="A77">
        <v>251476</v>
      </c>
      <c r="B77" t="s">
        <v>11576</v>
      </c>
      <c r="C77" t="s">
        <v>5043</v>
      </c>
    </row>
    <row r="78" spans="1:3" x14ac:dyDescent="0.25">
      <c r="A78">
        <v>251477</v>
      </c>
      <c r="B78" t="s">
        <v>11576</v>
      </c>
      <c r="C78" t="s">
        <v>5043</v>
      </c>
    </row>
    <row r="79" spans="1:3" x14ac:dyDescent="0.25">
      <c r="A79">
        <v>12456</v>
      </c>
      <c r="B79" t="s">
        <v>9060</v>
      </c>
      <c r="C79" t="s">
        <v>5043</v>
      </c>
    </row>
    <row r="80" spans="1:3" x14ac:dyDescent="0.25">
      <c r="A80">
        <v>251596</v>
      </c>
      <c r="B80" t="s">
        <v>9060</v>
      </c>
      <c r="C80" t="s">
        <v>5043</v>
      </c>
    </row>
    <row r="81" spans="1:3" x14ac:dyDescent="0.25">
      <c r="A81">
        <v>251597</v>
      </c>
      <c r="B81" t="s">
        <v>9060</v>
      </c>
      <c r="C81" t="s">
        <v>5043</v>
      </c>
    </row>
    <row r="82" spans="1:3" x14ac:dyDescent="0.25">
      <c r="A82">
        <v>12470</v>
      </c>
      <c r="B82" t="s">
        <v>11517</v>
      </c>
      <c r="C82" t="s">
        <v>5043</v>
      </c>
    </row>
    <row r="83" spans="1:3" x14ac:dyDescent="0.25">
      <c r="A83">
        <v>251380</v>
      </c>
      <c r="B83" t="s">
        <v>10848</v>
      </c>
      <c r="C83" t="s">
        <v>5043</v>
      </c>
    </row>
    <row r="84" spans="1:3" x14ac:dyDescent="0.25">
      <c r="A84">
        <v>251411</v>
      </c>
      <c r="B84" t="s">
        <v>10848</v>
      </c>
      <c r="C84" t="s">
        <v>5043</v>
      </c>
    </row>
    <row r="85" spans="1:3" x14ac:dyDescent="0.25">
      <c r="A85">
        <v>251603</v>
      </c>
      <c r="B85" t="s">
        <v>10848</v>
      </c>
      <c r="C85" t="s">
        <v>5043</v>
      </c>
    </row>
    <row r="86" spans="1:3" x14ac:dyDescent="0.25">
      <c r="A86">
        <v>251509</v>
      </c>
      <c r="B86" t="s">
        <v>11577</v>
      </c>
      <c r="C86" t="s">
        <v>5043</v>
      </c>
    </row>
    <row r="87" spans="1:3" x14ac:dyDescent="0.25">
      <c r="A87">
        <v>251439</v>
      </c>
      <c r="B87" t="s">
        <v>11578</v>
      </c>
      <c r="C87" t="s">
        <v>5043</v>
      </c>
    </row>
    <row r="88" spans="1:3" x14ac:dyDescent="0.25">
      <c r="A88">
        <v>251440</v>
      </c>
      <c r="B88" t="s">
        <v>11578</v>
      </c>
      <c r="C88" t="s">
        <v>5043</v>
      </c>
    </row>
    <row r="89" spans="1:3" x14ac:dyDescent="0.25">
      <c r="A89">
        <v>251442</v>
      </c>
      <c r="B89" t="s">
        <v>11578</v>
      </c>
      <c r="C89" t="s">
        <v>5043</v>
      </c>
    </row>
    <row r="90" spans="1:3" x14ac:dyDescent="0.25">
      <c r="A90">
        <v>251443</v>
      </c>
      <c r="B90" t="s">
        <v>11578</v>
      </c>
      <c r="C90" t="s">
        <v>5043</v>
      </c>
    </row>
    <row r="91" spans="1:3" x14ac:dyDescent="0.25">
      <c r="A91">
        <v>251451</v>
      </c>
      <c r="B91" t="s">
        <v>11578</v>
      </c>
      <c r="C91" t="s">
        <v>5043</v>
      </c>
    </row>
    <row r="92" spans="1:3" x14ac:dyDescent="0.25">
      <c r="A92">
        <v>251594</v>
      </c>
      <c r="B92" t="s">
        <v>11578</v>
      </c>
      <c r="C92" t="s">
        <v>5043</v>
      </c>
    </row>
    <row r="93" spans="1:3" x14ac:dyDescent="0.25">
      <c r="A93">
        <v>251595</v>
      </c>
      <c r="B93" t="s">
        <v>11578</v>
      </c>
      <c r="C93" t="s">
        <v>5043</v>
      </c>
    </row>
    <row r="94" spans="1:3" x14ac:dyDescent="0.25">
      <c r="A94">
        <v>12495</v>
      </c>
      <c r="B94" t="s">
        <v>11579</v>
      </c>
      <c r="C94" t="s">
        <v>5043</v>
      </c>
    </row>
    <row r="95" spans="1:3" x14ac:dyDescent="0.25">
      <c r="A95">
        <v>12191</v>
      </c>
      <c r="B95" t="s">
        <v>11580</v>
      </c>
      <c r="C95" t="s">
        <v>5043</v>
      </c>
    </row>
    <row r="96" spans="1:3" x14ac:dyDescent="0.25">
      <c r="A96">
        <v>12192</v>
      </c>
      <c r="B96" t="s">
        <v>11580</v>
      </c>
      <c r="C96" t="s">
        <v>5043</v>
      </c>
    </row>
    <row r="97" spans="1:3" x14ac:dyDescent="0.25">
      <c r="A97">
        <v>12196</v>
      </c>
      <c r="B97" t="s">
        <v>11580</v>
      </c>
      <c r="C97" t="s">
        <v>5043</v>
      </c>
    </row>
    <row r="98" spans="1:3" x14ac:dyDescent="0.25">
      <c r="A98">
        <v>12198</v>
      </c>
      <c r="B98" t="s">
        <v>11580</v>
      </c>
      <c r="C98" t="s">
        <v>5043</v>
      </c>
    </row>
    <row r="99" spans="1:3" x14ac:dyDescent="0.25">
      <c r="A99">
        <v>12188</v>
      </c>
      <c r="B99" t="s">
        <v>11581</v>
      </c>
      <c r="C99" t="s">
        <v>5043</v>
      </c>
    </row>
    <row r="100" spans="1:3" x14ac:dyDescent="0.25">
      <c r="A100">
        <v>12187</v>
      </c>
      <c r="B100" t="s">
        <v>11582</v>
      </c>
      <c r="C100" t="s">
        <v>5043</v>
      </c>
    </row>
    <row r="101" spans="1:3" x14ac:dyDescent="0.25">
      <c r="A101">
        <v>12194</v>
      </c>
      <c r="B101" t="s">
        <v>11582</v>
      </c>
      <c r="C101" t="s">
        <v>5043</v>
      </c>
    </row>
    <row r="102" spans="1:3" x14ac:dyDescent="0.25">
      <c r="A102">
        <v>12195</v>
      </c>
      <c r="B102" t="s">
        <v>11582</v>
      </c>
      <c r="C102" t="s">
        <v>5043</v>
      </c>
    </row>
    <row r="103" spans="1:3" x14ac:dyDescent="0.25">
      <c r="A103">
        <v>251599</v>
      </c>
      <c r="B103" t="s">
        <v>10932</v>
      </c>
      <c r="C103" t="s">
        <v>5043</v>
      </c>
    </row>
    <row r="104" spans="1:3" x14ac:dyDescent="0.25">
      <c r="A104">
        <v>12491</v>
      </c>
      <c r="B104" t="s">
        <v>9142</v>
      </c>
      <c r="C104" t="s">
        <v>11592</v>
      </c>
    </row>
    <row r="105" spans="1:3" x14ac:dyDescent="0.25">
      <c r="A105">
        <v>251447</v>
      </c>
      <c r="B105" t="s">
        <v>11018</v>
      </c>
      <c r="C105" t="s">
        <v>5043</v>
      </c>
    </row>
    <row r="106" spans="1:3" x14ac:dyDescent="0.25">
      <c r="A106">
        <v>251549</v>
      </c>
      <c r="B106" t="s">
        <v>11583</v>
      </c>
      <c r="C106" t="s">
        <v>5043</v>
      </c>
    </row>
    <row r="107" spans="1:3" x14ac:dyDescent="0.25">
      <c r="A107">
        <v>251553</v>
      </c>
      <c r="B107" t="s">
        <v>11583</v>
      </c>
      <c r="C107" t="s">
        <v>5043</v>
      </c>
    </row>
    <row r="108" spans="1:3" x14ac:dyDescent="0.25">
      <c r="A108">
        <v>251557</v>
      </c>
      <c r="B108" t="s">
        <v>11583</v>
      </c>
      <c r="C108" t="s">
        <v>5043</v>
      </c>
    </row>
    <row r="109" spans="1:3" x14ac:dyDescent="0.25">
      <c r="A109">
        <v>251561</v>
      </c>
      <c r="B109" t="s">
        <v>11583</v>
      </c>
      <c r="C109" t="s">
        <v>5043</v>
      </c>
    </row>
    <row r="110" spans="1:3" x14ac:dyDescent="0.25">
      <c r="A110">
        <v>251569</v>
      </c>
      <c r="B110" t="s">
        <v>11583</v>
      </c>
      <c r="C110" t="s">
        <v>5043</v>
      </c>
    </row>
    <row r="111" spans="1:3" x14ac:dyDescent="0.25">
      <c r="A111">
        <v>251352</v>
      </c>
      <c r="B111" t="s">
        <v>11584</v>
      </c>
      <c r="C111" t="s">
        <v>5043</v>
      </c>
    </row>
    <row r="112" spans="1:3" x14ac:dyDescent="0.25">
      <c r="A112">
        <v>251479</v>
      </c>
      <c r="B112" t="s">
        <v>9247</v>
      </c>
      <c r="C112" t="s">
        <v>5043</v>
      </c>
    </row>
    <row r="113" spans="1:3" x14ac:dyDescent="0.25">
      <c r="A113">
        <v>251330</v>
      </c>
      <c r="B113" t="s">
        <v>11586</v>
      </c>
      <c r="C113" t="s">
        <v>5043</v>
      </c>
    </row>
    <row r="114" spans="1:3" x14ac:dyDescent="0.25">
      <c r="A114">
        <v>251582</v>
      </c>
      <c r="B114" t="s">
        <v>11587</v>
      </c>
      <c r="C114" t="s">
        <v>5043</v>
      </c>
    </row>
    <row r="115" spans="1:3" x14ac:dyDescent="0.25">
      <c r="A115">
        <v>251583</v>
      </c>
      <c r="B115" t="s">
        <v>11587</v>
      </c>
      <c r="C115" t="s">
        <v>5043</v>
      </c>
    </row>
    <row r="116" spans="1:3" x14ac:dyDescent="0.25">
      <c r="A116">
        <v>251584</v>
      </c>
      <c r="B116" t="s">
        <v>11587</v>
      </c>
      <c r="C116" t="s">
        <v>5043</v>
      </c>
    </row>
    <row r="117" spans="1:3" x14ac:dyDescent="0.25">
      <c r="A117">
        <v>251585</v>
      </c>
      <c r="B117" t="s">
        <v>11587</v>
      </c>
      <c r="C117" t="s">
        <v>5043</v>
      </c>
    </row>
    <row r="118" spans="1:3" x14ac:dyDescent="0.25">
      <c r="A118">
        <v>251360</v>
      </c>
      <c r="B118" t="s">
        <v>11588</v>
      </c>
      <c r="C118" t="s">
        <v>5043</v>
      </c>
    </row>
    <row r="119" spans="1:3" x14ac:dyDescent="0.25">
      <c r="A119">
        <v>251361</v>
      </c>
      <c r="B119" t="s">
        <v>11588</v>
      </c>
      <c r="C119" t="s">
        <v>5043</v>
      </c>
    </row>
    <row r="120" spans="1:3" x14ac:dyDescent="0.25">
      <c r="A120">
        <v>251546</v>
      </c>
      <c r="B120" t="s">
        <v>11589</v>
      </c>
      <c r="C120" t="s">
        <v>5043</v>
      </c>
    </row>
    <row r="121" spans="1:3" x14ac:dyDescent="0.25">
      <c r="A121">
        <v>251547</v>
      </c>
      <c r="B121" t="s">
        <v>11589</v>
      </c>
      <c r="C121" t="s">
        <v>5043</v>
      </c>
    </row>
    <row r="122" spans="1:3" x14ac:dyDescent="0.25">
      <c r="A122">
        <v>251548</v>
      </c>
      <c r="B122" t="s">
        <v>11589</v>
      </c>
      <c r="C122" t="s">
        <v>5043</v>
      </c>
    </row>
    <row r="123" spans="1:3" x14ac:dyDescent="0.25">
      <c r="A123">
        <v>251550</v>
      </c>
      <c r="B123" t="s">
        <v>11589</v>
      </c>
      <c r="C123" t="s">
        <v>5043</v>
      </c>
    </row>
    <row r="124" spans="1:3" x14ac:dyDescent="0.25">
      <c r="A124">
        <v>251551</v>
      </c>
      <c r="B124" t="s">
        <v>11589</v>
      </c>
      <c r="C124" t="s">
        <v>5043</v>
      </c>
    </row>
    <row r="125" spans="1:3" x14ac:dyDescent="0.25">
      <c r="A125">
        <v>251552</v>
      </c>
      <c r="B125" t="s">
        <v>11589</v>
      </c>
      <c r="C125" t="s">
        <v>5043</v>
      </c>
    </row>
    <row r="126" spans="1:3" x14ac:dyDescent="0.25">
      <c r="A126">
        <v>251554</v>
      </c>
      <c r="B126" t="s">
        <v>11589</v>
      </c>
      <c r="C126" t="s">
        <v>5043</v>
      </c>
    </row>
    <row r="127" spans="1:3" x14ac:dyDescent="0.25">
      <c r="A127">
        <v>251555</v>
      </c>
      <c r="B127" t="s">
        <v>11589</v>
      </c>
      <c r="C127" t="s">
        <v>5043</v>
      </c>
    </row>
    <row r="128" spans="1:3" x14ac:dyDescent="0.25">
      <c r="A128">
        <v>251556</v>
      </c>
      <c r="B128" t="s">
        <v>11589</v>
      </c>
      <c r="C128" t="s">
        <v>5043</v>
      </c>
    </row>
    <row r="129" spans="1:3" x14ac:dyDescent="0.25">
      <c r="A129">
        <v>251558</v>
      </c>
      <c r="B129" t="s">
        <v>11589</v>
      </c>
      <c r="C129" t="s">
        <v>5043</v>
      </c>
    </row>
    <row r="130" spans="1:3" x14ac:dyDescent="0.25">
      <c r="A130">
        <v>251559</v>
      </c>
      <c r="B130" t="s">
        <v>11589</v>
      </c>
      <c r="C130" t="s">
        <v>5043</v>
      </c>
    </row>
    <row r="131" spans="1:3" x14ac:dyDescent="0.25">
      <c r="A131">
        <v>251560</v>
      </c>
      <c r="B131" t="s">
        <v>11589</v>
      </c>
      <c r="C131" t="s">
        <v>5043</v>
      </c>
    </row>
    <row r="132" spans="1:3" x14ac:dyDescent="0.25">
      <c r="A132">
        <v>251562</v>
      </c>
      <c r="B132" t="s">
        <v>11589</v>
      </c>
      <c r="C132" t="s">
        <v>5043</v>
      </c>
    </row>
    <row r="133" spans="1:3" x14ac:dyDescent="0.25">
      <c r="A133">
        <v>251563</v>
      </c>
      <c r="B133" t="s">
        <v>11589</v>
      </c>
      <c r="C133" t="s">
        <v>5043</v>
      </c>
    </row>
    <row r="134" spans="1:3" x14ac:dyDescent="0.25">
      <c r="A134">
        <v>251564</v>
      </c>
      <c r="B134" t="s">
        <v>11589</v>
      </c>
      <c r="C134" t="s">
        <v>5043</v>
      </c>
    </row>
    <row r="135" spans="1:3" x14ac:dyDescent="0.25">
      <c r="A135">
        <v>251565</v>
      </c>
      <c r="B135" t="s">
        <v>11589</v>
      </c>
      <c r="C135" t="s">
        <v>5043</v>
      </c>
    </row>
    <row r="136" spans="1:3" x14ac:dyDescent="0.25">
      <c r="A136">
        <v>251566</v>
      </c>
      <c r="B136" t="s">
        <v>11589</v>
      </c>
      <c r="C136" t="s">
        <v>5043</v>
      </c>
    </row>
    <row r="137" spans="1:3" x14ac:dyDescent="0.25">
      <c r="A137">
        <v>251567</v>
      </c>
      <c r="B137" t="s">
        <v>11589</v>
      </c>
      <c r="C137" t="s">
        <v>5043</v>
      </c>
    </row>
    <row r="138" spans="1:3" x14ac:dyDescent="0.25">
      <c r="A138">
        <v>251568</v>
      </c>
      <c r="B138" t="s">
        <v>11589</v>
      </c>
      <c r="C138" t="s">
        <v>5043</v>
      </c>
    </row>
    <row r="139" spans="1:3" x14ac:dyDescent="0.25">
      <c r="A139">
        <v>251407</v>
      </c>
      <c r="B139" t="s">
        <v>11194</v>
      </c>
      <c r="C139" t="s">
        <v>5043</v>
      </c>
    </row>
    <row r="140" spans="1:3" x14ac:dyDescent="0.25">
      <c r="A140">
        <v>12480</v>
      </c>
      <c r="B140" t="s">
        <v>11195</v>
      </c>
      <c r="C140" t="s">
        <v>5043</v>
      </c>
    </row>
    <row r="141" spans="1:3" x14ac:dyDescent="0.25">
      <c r="A141">
        <v>12481</v>
      </c>
      <c r="B141" t="s">
        <v>11518</v>
      </c>
      <c r="C141" t="s">
        <v>5043</v>
      </c>
    </row>
    <row r="142" spans="1:3" x14ac:dyDescent="0.25">
      <c r="A142">
        <v>12512</v>
      </c>
      <c r="B142" t="s">
        <v>11590</v>
      </c>
      <c r="C142" t="s">
        <v>5043</v>
      </c>
    </row>
    <row r="143" spans="1:3" x14ac:dyDescent="0.25">
      <c r="A143">
        <v>12513</v>
      </c>
      <c r="B143" t="s">
        <v>11590</v>
      </c>
      <c r="C143" t="s">
        <v>5043</v>
      </c>
    </row>
    <row r="144" spans="1:3" x14ac:dyDescent="0.25">
      <c r="A144">
        <v>12514</v>
      </c>
      <c r="B144" t="s">
        <v>11590</v>
      </c>
      <c r="C144" t="s">
        <v>5043</v>
      </c>
    </row>
    <row r="145" spans="1:3" x14ac:dyDescent="0.25">
      <c r="A145">
        <v>12515</v>
      </c>
      <c r="B145" t="s">
        <v>11590</v>
      </c>
      <c r="C145" t="s">
        <v>5043</v>
      </c>
    </row>
    <row r="146" spans="1:3" x14ac:dyDescent="0.25">
      <c r="A146">
        <v>12516</v>
      </c>
      <c r="B146" t="s">
        <v>11590</v>
      </c>
      <c r="C146" t="s">
        <v>5043</v>
      </c>
    </row>
    <row r="147" spans="1:3" x14ac:dyDescent="0.25">
      <c r="A147">
        <v>12517</v>
      </c>
      <c r="B147" t="s">
        <v>11590</v>
      </c>
      <c r="C147" t="s">
        <v>5043</v>
      </c>
    </row>
    <row r="148" spans="1:3" x14ac:dyDescent="0.25">
      <c r="A148">
        <v>12518</v>
      </c>
      <c r="B148" t="s">
        <v>11590</v>
      </c>
      <c r="C148" t="s">
        <v>5043</v>
      </c>
    </row>
    <row r="149" spans="1:3" x14ac:dyDescent="0.25">
      <c r="A149">
        <v>12519</v>
      </c>
      <c r="B149" t="s">
        <v>11590</v>
      </c>
      <c r="C149" t="s">
        <v>5043</v>
      </c>
    </row>
    <row r="150" spans="1:3" x14ac:dyDescent="0.25">
      <c r="A150">
        <v>12520</v>
      </c>
      <c r="B150" t="s">
        <v>11590</v>
      </c>
      <c r="C150" t="s">
        <v>5043</v>
      </c>
    </row>
    <row r="151" spans="1:3" x14ac:dyDescent="0.25">
      <c r="A151">
        <v>12521</v>
      </c>
      <c r="B151" t="s">
        <v>11590</v>
      </c>
      <c r="C151" t="s">
        <v>5043</v>
      </c>
    </row>
    <row r="152" spans="1:3" x14ac:dyDescent="0.25">
      <c r="A152">
        <v>12522</v>
      </c>
      <c r="B152" t="s">
        <v>11590</v>
      </c>
      <c r="C152" t="s">
        <v>5043</v>
      </c>
    </row>
    <row r="153" spans="1:3" x14ac:dyDescent="0.25">
      <c r="A153">
        <v>12523</v>
      </c>
      <c r="B153" t="s">
        <v>11590</v>
      </c>
      <c r="C153" t="s">
        <v>5043</v>
      </c>
    </row>
    <row r="154" spans="1:3" x14ac:dyDescent="0.25">
      <c r="A154">
        <v>12524</v>
      </c>
      <c r="B154" t="s">
        <v>11590</v>
      </c>
      <c r="C154" t="s">
        <v>5043</v>
      </c>
    </row>
    <row r="155" spans="1:3" x14ac:dyDescent="0.25">
      <c r="A155">
        <v>12525</v>
      </c>
      <c r="B155" t="s">
        <v>11590</v>
      </c>
      <c r="C155" t="s">
        <v>5043</v>
      </c>
    </row>
    <row r="156" spans="1:3" x14ac:dyDescent="0.25">
      <c r="A156">
        <v>12450</v>
      </c>
      <c r="B156" t="s">
        <v>9545</v>
      </c>
      <c r="C156" t="s">
        <v>5043</v>
      </c>
    </row>
  </sheetData>
  <sortState ref="A5:B11">
    <sortCondition descending="1" ref="A5:A1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18"/>
  <sheetViews>
    <sheetView workbookViewId="0">
      <selection activeCell="A14" sqref="A14:C118"/>
    </sheetView>
  </sheetViews>
  <sheetFormatPr defaultRowHeight="15" x14ac:dyDescent="0.25"/>
  <cols>
    <col min="1" max="1" width="9" style="2" customWidth="1"/>
    <col min="2" max="2" width="74.85546875" style="2" customWidth="1"/>
    <col min="3" max="3" width="10.28515625" style="2" customWidth="1"/>
  </cols>
  <sheetData>
    <row r="1" spans="1:3" ht="21.75" x14ac:dyDescent="0.25">
      <c r="A1" s="9" t="s">
        <v>15</v>
      </c>
    </row>
    <row r="2" spans="1:3" x14ac:dyDescent="0.25">
      <c r="A2" s="21" t="s">
        <v>8433</v>
      </c>
      <c r="B2"/>
    </row>
    <row r="3" spans="1:3" x14ac:dyDescent="0.25">
      <c r="A3" s="24" t="s">
        <v>9565</v>
      </c>
      <c r="B3"/>
    </row>
    <row r="4" spans="1:3" x14ac:dyDescent="0.25">
      <c r="A4" s="18">
        <f>COUNTIF($B$13:$B$265,"*routing\*")</f>
        <v>19</v>
      </c>
      <c r="B4" s="19" t="s">
        <v>9</v>
      </c>
      <c r="C4" s="30"/>
    </row>
    <row r="5" spans="1:3" x14ac:dyDescent="0.25">
      <c r="A5" s="18">
        <f>COUNTIF($B$13:$B$265,"*framework\*")</f>
        <v>6</v>
      </c>
      <c r="B5" s="19" t="s">
        <v>8</v>
      </c>
      <c r="C5" s="30"/>
    </row>
    <row r="6" spans="1:3" x14ac:dyDescent="0.25">
      <c r="A6" s="18">
        <f>COUNTIF($B$13:$B$265,"*access\*")</f>
        <v>2</v>
      </c>
      <c r="B6" s="19" t="s">
        <v>13</v>
      </c>
      <c r="C6" s="30"/>
    </row>
    <row r="7" spans="1:3" x14ac:dyDescent="0.25">
      <c r="A7" s="18">
        <f>COUNTIF($B$13:$B$265,"*traffic\*")</f>
        <v>1</v>
      </c>
      <c r="B7" s="19" t="s">
        <v>11</v>
      </c>
      <c r="C7" s="30"/>
    </row>
    <row r="8" spans="1:3" x14ac:dyDescent="0.25">
      <c r="A8" s="18">
        <f>COUNTIF($B$13:$B$265,"*kw_bll_ui\content\datacenter*")</f>
        <v>9</v>
      </c>
      <c r="B8" s="19" t="s">
        <v>8486</v>
      </c>
      <c r="C8" s="30"/>
    </row>
    <row r="9" spans="1:3" x14ac:dyDescent="0.25">
      <c r="A9" s="18">
        <f>COUNTIF($B$13:$B$265,"*kw_bll_ui\common\lib\*")</f>
        <v>45</v>
      </c>
      <c r="B9" s="19" t="s">
        <v>5598</v>
      </c>
      <c r="C9" s="30"/>
    </row>
    <row r="10" spans="1:3" ht="5.25" customHeight="1" x14ac:dyDescent="0.25">
      <c r="A10" s="53"/>
      <c r="B10" s="62"/>
      <c r="C10" s="30"/>
    </row>
    <row r="11" spans="1:3" x14ac:dyDescent="0.25">
      <c r="A11" s="61">
        <f>SUM(A3:A9)</f>
        <v>82</v>
      </c>
      <c r="B11" s="1" t="s">
        <v>2607</v>
      </c>
      <c r="C11" s="31"/>
    </row>
    <row r="12" spans="1:3" x14ac:dyDescent="0.25">
      <c r="A12"/>
      <c r="B12"/>
      <c r="C12" s="2">
        <f>COUNTA(A14:A265)</f>
        <v>105</v>
      </c>
    </row>
    <row r="13" spans="1:3" ht="14.45" x14ac:dyDescent="0.3">
      <c r="A13" s="20" t="s">
        <v>110</v>
      </c>
      <c r="B13" s="44" t="s">
        <v>111</v>
      </c>
    </row>
    <row r="14" spans="1:3" ht="14.45" x14ac:dyDescent="0.3">
      <c r="A14">
        <v>10524</v>
      </c>
      <c r="B14" t="s">
        <v>9606</v>
      </c>
      <c r="C14" t="s">
        <v>5043</v>
      </c>
    </row>
    <row r="15" spans="1:3" ht="14.45" x14ac:dyDescent="0.3">
      <c r="A15">
        <v>10528</v>
      </c>
      <c r="B15" t="s">
        <v>9606</v>
      </c>
      <c r="C15" t="s">
        <v>5043</v>
      </c>
    </row>
    <row r="16" spans="1:3" ht="14.45" x14ac:dyDescent="0.3">
      <c r="A16">
        <v>10533</v>
      </c>
      <c r="B16" t="s">
        <v>9606</v>
      </c>
      <c r="C16" t="s">
        <v>5043</v>
      </c>
    </row>
    <row r="17" spans="1:3" ht="14.45" x14ac:dyDescent="0.3">
      <c r="A17">
        <v>10538</v>
      </c>
      <c r="B17" t="s">
        <v>9606</v>
      </c>
      <c r="C17" t="s">
        <v>5043</v>
      </c>
    </row>
    <row r="18" spans="1:3" ht="14.45" x14ac:dyDescent="0.3">
      <c r="A18">
        <v>10541</v>
      </c>
      <c r="B18" t="s">
        <v>9606</v>
      </c>
      <c r="C18" t="s">
        <v>5043</v>
      </c>
    </row>
    <row r="19" spans="1:3" ht="14.45" x14ac:dyDescent="0.3">
      <c r="A19">
        <v>10542</v>
      </c>
      <c r="B19" t="s">
        <v>9606</v>
      </c>
      <c r="C19" t="s">
        <v>5043</v>
      </c>
    </row>
    <row r="20" spans="1:3" ht="14.45" x14ac:dyDescent="0.3">
      <c r="A20">
        <v>10552</v>
      </c>
      <c r="B20" t="s">
        <v>9606</v>
      </c>
      <c r="C20" t="s">
        <v>5043</v>
      </c>
    </row>
    <row r="21" spans="1:3" ht="14.45" x14ac:dyDescent="0.3">
      <c r="A21">
        <v>10564</v>
      </c>
      <c r="B21" t="s">
        <v>9606</v>
      </c>
      <c r="C21" t="s">
        <v>5043</v>
      </c>
    </row>
    <row r="22" spans="1:3" ht="14.45" x14ac:dyDescent="0.3">
      <c r="A22">
        <v>10594</v>
      </c>
      <c r="B22" t="s">
        <v>9606</v>
      </c>
      <c r="C22" t="s">
        <v>5043</v>
      </c>
    </row>
    <row r="23" spans="1:3" ht="14.45" x14ac:dyDescent="0.3">
      <c r="A23">
        <v>10595</v>
      </c>
      <c r="B23" t="s">
        <v>9606</v>
      </c>
      <c r="C23" t="s">
        <v>5043</v>
      </c>
    </row>
    <row r="24" spans="1:3" ht="14.45" x14ac:dyDescent="0.3">
      <c r="A24">
        <v>10637</v>
      </c>
      <c r="B24" t="s">
        <v>9606</v>
      </c>
      <c r="C24" t="s">
        <v>5043</v>
      </c>
    </row>
    <row r="25" spans="1:3" ht="14.45" x14ac:dyDescent="0.3">
      <c r="A25">
        <v>10648</v>
      </c>
      <c r="B25" t="s">
        <v>9606</v>
      </c>
      <c r="C25" t="s">
        <v>5043</v>
      </c>
    </row>
    <row r="26" spans="1:3" ht="14.45" x14ac:dyDescent="0.3">
      <c r="A26">
        <v>10656</v>
      </c>
      <c r="B26" t="s">
        <v>9606</v>
      </c>
      <c r="C26" t="s">
        <v>5043</v>
      </c>
    </row>
    <row r="27" spans="1:3" ht="14.45" x14ac:dyDescent="0.3">
      <c r="A27">
        <v>10675</v>
      </c>
      <c r="B27" t="s">
        <v>9606</v>
      </c>
      <c r="C27" t="s">
        <v>5043</v>
      </c>
    </row>
    <row r="28" spans="1:3" ht="14.45" x14ac:dyDescent="0.3">
      <c r="A28">
        <v>10699</v>
      </c>
      <c r="B28" t="s">
        <v>9606</v>
      </c>
      <c r="C28" t="s">
        <v>5043</v>
      </c>
    </row>
    <row r="29" spans="1:3" ht="14.45" x14ac:dyDescent="0.3">
      <c r="A29">
        <v>10706</v>
      </c>
      <c r="B29" t="s">
        <v>9606</v>
      </c>
      <c r="C29" t="s">
        <v>5043</v>
      </c>
    </row>
    <row r="30" spans="1:3" ht="14.45" x14ac:dyDescent="0.3">
      <c r="A30">
        <v>10717</v>
      </c>
      <c r="B30" t="s">
        <v>9606</v>
      </c>
      <c r="C30" t="s">
        <v>5043</v>
      </c>
    </row>
    <row r="31" spans="1:3" ht="14.45" x14ac:dyDescent="0.3">
      <c r="A31">
        <v>10724</v>
      </c>
      <c r="B31" t="s">
        <v>9606</v>
      </c>
      <c r="C31" t="s">
        <v>5043</v>
      </c>
    </row>
    <row r="32" spans="1:3" ht="14.45" x14ac:dyDescent="0.3">
      <c r="A32">
        <v>10727</v>
      </c>
      <c r="B32" t="s">
        <v>9606</v>
      </c>
      <c r="C32" t="s">
        <v>5043</v>
      </c>
    </row>
    <row r="33" spans="1:3" ht="14.45" x14ac:dyDescent="0.3">
      <c r="A33">
        <v>10733</v>
      </c>
      <c r="B33" t="s">
        <v>9606</v>
      </c>
      <c r="C33" t="s">
        <v>5043</v>
      </c>
    </row>
    <row r="34" spans="1:3" ht="14.45" x14ac:dyDescent="0.3">
      <c r="A34">
        <v>10735</v>
      </c>
      <c r="B34" t="s">
        <v>9606</v>
      </c>
      <c r="C34" t="s">
        <v>5043</v>
      </c>
    </row>
    <row r="35" spans="1:3" ht="14.45" x14ac:dyDescent="0.3">
      <c r="A35">
        <v>10737</v>
      </c>
      <c r="B35" t="s">
        <v>9606</v>
      </c>
      <c r="C35" t="s">
        <v>5043</v>
      </c>
    </row>
    <row r="36" spans="1:3" ht="14.45" x14ac:dyDescent="0.3">
      <c r="A36">
        <v>10741</v>
      </c>
      <c r="B36" t="s">
        <v>9606</v>
      </c>
      <c r="C36" t="s">
        <v>5043</v>
      </c>
    </row>
    <row r="37" spans="1:3" ht="14.45" x14ac:dyDescent="0.3">
      <c r="A37">
        <v>10750</v>
      </c>
      <c r="B37" t="s">
        <v>9606</v>
      </c>
      <c r="C37" t="s">
        <v>5043</v>
      </c>
    </row>
    <row r="38" spans="1:3" ht="14.45" x14ac:dyDescent="0.3">
      <c r="A38">
        <v>10751</v>
      </c>
      <c r="B38" t="s">
        <v>9606</v>
      </c>
      <c r="C38" t="s">
        <v>5043</v>
      </c>
    </row>
    <row r="39" spans="1:3" ht="14.45" x14ac:dyDescent="0.3">
      <c r="A39">
        <v>10769</v>
      </c>
      <c r="B39" t="s">
        <v>9606</v>
      </c>
      <c r="C39" t="s">
        <v>5043</v>
      </c>
    </row>
    <row r="40" spans="1:3" ht="14.45" x14ac:dyDescent="0.3">
      <c r="A40">
        <v>10811</v>
      </c>
      <c r="B40" t="s">
        <v>9606</v>
      </c>
      <c r="C40" t="s">
        <v>5043</v>
      </c>
    </row>
    <row r="41" spans="1:3" ht="14.45" x14ac:dyDescent="0.3">
      <c r="A41">
        <v>10812</v>
      </c>
      <c r="B41" t="s">
        <v>9606</v>
      </c>
      <c r="C41" t="s">
        <v>5043</v>
      </c>
    </row>
    <row r="42" spans="1:3" ht="14.45" x14ac:dyDescent="0.3">
      <c r="A42">
        <v>10813</v>
      </c>
      <c r="B42" t="s">
        <v>9606</v>
      </c>
      <c r="C42" t="s">
        <v>5043</v>
      </c>
    </row>
    <row r="43" spans="1:3" ht="14.45" x14ac:dyDescent="0.3">
      <c r="A43">
        <v>10814</v>
      </c>
      <c r="B43" t="s">
        <v>9606</v>
      </c>
      <c r="C43" t="s">
        <v>5043</v>
      </c>
    </row>
    <row r="44" spans="1:3" x14ac:dyDescent="0.25">
      <c r="A44">
        <v>10818</v>
      </c>
      <c r="B44" t="s">
        <v>9606</v>
      </c>
      <c r="C44" t="s">
        <v>5043</v>
      </c>
    </row>
    <row r="45" spans="1:3" x14ac:dyDescent="0.25">
      <c r="A45">
        <v>10824</v>
      </c>
      <c r="B45" t="s">
        <v>9606</v>
      </c>
      <c r="C45" t="s">
        <v>5043</v>
      </c>
    </row>
    <row r="46" spans="1:3" x14ac:dyDescent="0.25">
      <c r="A46">
        <v>10523</v>
      </c>
      <c r="B46" t="s">
        <v>9610</v>
      </c>
      <c r="C46" t="s">
        <v>5043</v>
      </c>
    </row>
    <row r="47" spans="1:3" x14ac:dyDescent="0.25">
      <c r="A47">
        <v>10525</v>
      </c>
      <c r="B47" t="s">
        <v>9610</v>
      </c>
      <c r="C47" t="s">
        <v>5043</v>
      </c>
    </row>
    <row r="48" spans="1:3" x14ac:dyDescent="0.25">
      <c r="A48">
        <v>10535</v>
      </c>
      <c r="B48" t="s">
        <v>9610</v>
      </c>
      <c r="C48" t="s">
        <v>5043</v>
      </c>
    </row>
    <row r="49" spans="1:3" x14ac:dyDescent="0.25">
      <c r="A49">
        <v>10572</v>
      </c>
      <c r="B49" t="s">
        <v>9610</v>
      </c>
      <c r="C49" t="s">
        <v>5043</v>
      </c>
    </row>
    <row r="50" spans="1:3" x14ac:dyDescent="0.25">
      <c r="A50">
        <v>10573</v>
      </c>
      <c r="B50" t="s">
        <v>9610</v>
      </c>
      <c r="C50" t="s">
        <v>5043</v>
      </c>
    </row>
    <row r="51" spans="1:3" x14ac:dyDescent="0.25">
      <c r="A51">
        <v>10574</v>
      </c>
      <c r="B51" t="s">
        <v>9610</v>
      </c>
      <c r="C51" t="s">
        <v>5043</v>
      </c>
    </row>
    <row r="52" spans="1:3" x14ac:dyDescent="0.25">
      <c r="A52">
        <v>10575</v>
      </c>
      <c r="B52" t="s">
        <v>9610</v>
      </c>
      <c r="C52" t="s">
        <v>5043</v>
      </c>
    </row>
    <row r="53" spans="1:3" x14ac:dyDescent="0.25">
      <c r="A53">
        <v>10587</v>
      </c>
      <c r="B53" t="s">
        <v>9610</v>
      </c>
      <c r="C53" t="s">
        <v>5043</v>
      </c>
    </row>
    <row r="54" spans="1:3" x14ac:dyDescent="0.25">
      <c r="A54">
        <v>10588</v>
      </c>
      <c r="B54" t="s">
        <v>9610</v>
      </c>
      <c r="C54" t="s">
        <v>5043</v>
      </c>
    </row>
    <row r="55" spans="1:3" x14ac:dyDescent="0.25">
      <c r="A55">
        <v>10657</v>
      </c>
      <c r="B55" t="s">
        <v>9610</v>
      </c>
      <c r="C55" t="s">
        <v>5043</v>
      </c>
    </row>
    <row r="56" spans="1:3" x14ac:dyDescent="0.25">
      <c r="A56">
        <v>10767</v>
      </c>
      <c r="B56" t="s">
        <v>9610</v>
      </c>
      <c r="C56" t="s">
        <v>5043</v>
      </c>
    </row>
    <row r="57" spans="1:3" x14ac:dyDescent="0.25">
      <c r="A57">
        <v>10768</v>
      </c>
      <c r="B57" t="s">
        <v>9610</v>
      </c>
      <c r="C57" t="s">
        <v>5043</v>
      </c>
    </row>
    <row r="58" spans="1:3" x14ac:dyDescent="0.25">
      <c r="A58">
        <v>10770</v>
      </c>
      <c r="B58" t="s">
        <v>9610</v>
      </c>
      <c r="C58" t="s">
        <v>5043</v>
      </c>
    </row>
    <row r="59" spans="1:3" x14ac:dyDescent="0.25">
      <c r="A59">
        <v>10611</v>
      </c>
      <c r="B59" t="s">
        <v>11500</v>
      </c>
      <c r="C59" t="s">
        <v>5043</v>
      </c>
    </row>
    <row r="60" spans="1:3" x14ac:dyDescent="0.25">
      <c r="A60">
        <v>10609</v>
      </c>
      <c r="B60" t="s">
        <v>11501</v>
      </c>
      <c r="C60" t="s">
        <v>5043</v>
      </c>
    </row>
    <row r="61" spans="1:3" x14ac:dyDescent="0.25">
      <c r="A61">
        <v>10720</v>
      </c>
      <c r="B61" t="s">
        <v>11532</v>
      </c>
      <c r="C61" t="s">
        <v>5043</v>
      </c>
    </row>
    <row r="62" spans="1:3" x14ac:dyDescent="0.25">
      <c r="A62">
        <v>10527</v>
      </c>
      <c r="B62" t="s">
        <v>9642</v>
      </c>
      <c r="C62" t="s">
        <v>5043</v>
      </c>
    </row>
    <row r="63" spans="1:3" x14ac:dyDescent="0.25">
      <c r="A63">
        <v>10718</v>
      </c>
      <c r="B63" t="s">
        <v>11533</v>
      </c>
      <c r="C63" t="s">
        <v>5043</v>
      </c>
    </row>
    <row r="64" spans="1:3" x14ac:dyDescent="0.25">
      <c r="A64">
        <v>10722</v>
      </c>
      <c r="B64" t="s">
        <v>11534</v>
      </c>
      <c r="C64" t="s">
        <v>5043</v>
      </c>
    </row>
    <row r="65" spans="1:3" x14ac:dyDescent="0.25">
      <c r="A65">
        <v>10529</v>
      </c>
      <c r="B65" t="s">
        <v>9643</v>
      </c>
      <c r="C65" t="s">
        <v>5043</v>
      </c>
    </row>
    <row r="66" spans="1:3" x14ac:dyDescent="0.25">
      <c r="A66">
        <v>10584</v>
      </c>
      <c r="B66" t="s">
        <v>11496</v>
      </c>
      <c r="C66" t="s">
        <v>5043</v>
      </c>
    </row>
    <row r="67" spans="1:3" x14ac:dyDescent="0.25">
      <c r="A67">
        <v>10556</v>
      </c>
      <c r="B67" t="s">
        <v>9644</v>
      </c>
      <c r="C67" t="s">
        <v>5043</v>
      </c>
    </row>
    <row r="68" spans="1:3" x14ac:dyDescent="0.25">
      <c r="A68">
        <v>10530</v>
      </c>
      <c r="B68" t="s">
        <v>9645</v>
      </c>
      <c r="C68" t="s">
        <v>5043</v>
      </c>
    </row>
    <row r="69" spans="1:3" x14ac:dyDescent="0.25">
      <c r="A69">
        <v>10531</v>
      </c>
      <c r="B69" t="s">
        <v>9646</v>
      </c>
      <c r="C69" t="s">
        <v>5043</v>
      </c>
    </row>
    <row r="70" spans="1:3" x14ac:dyDescent="0.25">
      <c r="A70">
        <v>10540</v>
      </c>
      <c r="B70" t="s">
        <v>9647</v>
      </c>
      <c r="C70" t="s">
        <v>5043</v>
      </c>
    </row>
    <row r="71" spans="1:3" x14ac:dyDescent="0.25">
      <c r="A71">
        <v>10591</v>
      </c>
      <c r="B71" t="s">
        <v>11497</v>
      </c>
      <c r="C71" t="s">
        <v>5043</v>
      </c>
    </row>
    <row r="72" spans="1:3" x14ac:dyDescent="0.25">
      <c r="A72">
        <v>10526</v>
      </c>
      <c r="B72" t="s">
        <v>9648</v>
      </c>
      <c r="C72" t="s">
        <v>5043</v>
      </c>
    </row>
    <row r="73" spans="1:3" x14ac:dyDescent="0.25">
      <c r="A73">
        <v>10560</v>
      </c>
      <c r="B73" t="s">
        <v>9649</v>
      </c>
      <c r="C73" t="s">
        <v>5043</v>
      </c>
    </row>
    <row r="74" spans="1:3" x14ac:dyDescent="0.25">
      <c r="A74">
        <v>10555</v>
      </c>
      <c r="B74" t="s">
        <v>9650</v>
      </c>
      <c r="C74" t="s">
        <v>5043</v>
      </c>
    </row>
    <row r="75" spans="1:3" x14ac:dyDescent="0.25">
      <c r="A75">
        <v>10532</v>
      </c>
      <c r="B75" t="s">
        <v>9651</v>
      </c>
      <c r="C75" t="s">
        <v>5043</v>
      </c>
    </row>
    <row r="76" spans="1:3" x14ac:dyDescent="0.25">
      <c r="A76">
        <v>10567</v>
      </c>
      <c r="B76" t="s">
        <v>11498</v>
      </c>
      <c r="C76" t="s">
        <v>5043</v>
      </c>
    </row>
    <row r="77" spans="1:3" x14ac:dyDescent="0.25">
      <c r="A77">
        <v>10537</v>
      </c>
      <c r="B77" t="s">
        <v>9652</v>
      </c>
      <c r="C77" t="s">
        <v>5043</v>
      </c>
    </row>
    <row r="78" spans="1:3" x14ac:dyDescent="0.25">
      <c r="A78">
        <v>10565</v>
      </c>
      <c r="B78" t="s">
        <v>9660</v>
      </c>
      <c r="C78" t="s">
        <v>5043</v>
      </c>
    </row>
    <row r="79" spans="1:3" x14ac:dyDescent="0.25">
      <c r="A79">
        <v>10734</v>
      </c>
      <c r="B79" t="s">
        <v>11535</v>
      </c>
      <c r="C79" t="s">
        <v>5043</v>
      </c>
    </row>
    <row r="80" spans="1:3" x14ac:dyDescent="0.25">
      <c r="A80">
        <v>10736</v>
      </c>
      <c r="B80" t="s">
        <v>11535</v>
      </c>
      <c r="C80" t="s">
        <v>5043</v>
      </c>
    </row>
    <row r="81" spans="1:3" x14ac:dyDescent="0.25">
      <c r="A81">
        <v>10742</v>
      </c>
      <c r="B81" t="s">
        <v>11536</v>
      </c>
      <c r="C81" t="s">
        <v>5043</v>
      </c>
    </row>
    <row r="82" spans="1:3" x14ac:dyDescent="0.25">
      <c r="A82">
        <v>10743</v>
      </c>
      <c r="B82" t="s">
        <v>11536</v>
      </c>
      <c r="C82" t="s">
        <v>5043</v>
      </c>
    </row>
    <row r="83" spans="1:3" x14ac:dyDescent="0.25">
      <c r="A83">
        <v>10749</v>
      </c>
      <c r="B83" t="s">
        <v>11537</v>
      </c>
      <c r="C83" t="s">
        <v>5043</v>
      </c>
    </row>
    <row r="84" spans="1:3" x14ac:dyDescent="0.25">
      <c r="A84">
        <v>10662</v>
      </c>
      <c r="B84" t="s">
        <v>11502</v>
      </c>
      <c r="C84" t="s">
        <v>5043</v>
      </c>
    </row>
    <row r="85" spans="1:3" x14ac:dyDescent="0.25">
      <c r="A85">
        <v>10789</v>
      </c>
      <c r="B85" t="s">
        <v>11538</v>
      </c>
      <c r="C85" t="s">
        <v>5043</v>
      </c>
    </row>
    <row r="86" spans="1:3" x14ac:dyDescent="0.25">
      <c r="A86">
        <v>10790</v>
      </c>
      <c r="B86" t="s">
        <v>11539</v>
      </c>
      <c r="C86" t="s">
        <v>5043</v>
      </c>
    </row>
    <row r="87" spans="1:3" x14ac:dyDescent="0.25">
      <c r="A87">
        <v>10820</v>
      </c>
      <c r="B87" t="s">
        <v>11540</v>
      </c>
      <c r="C87" t="s">
        <v>5043</v>
      </c>
    </row>
    <row r="88" spans="1:3" x14ac:dyDescent="0.25">
      <c r="A88">
        <v>10802</v>
      </c>
      <c r="B88" t="s">
        <v>11541</v>
      </c>
      <c r="C88" t="s">
        <v>5043</v>
      </c>
    </row>
    <row r="89" spans="1:3" x14ac:dyDescent="0.25">
      <c r="A89">
        <v>10499</v>
      </c>
      <c r="B89" t="s">
        <v>9686</v>
      </c>
      <c r="C89" t="s">
        <v>5043</v>
      </c>
    </row>
    <row r="90" spans="1:3" x14ac:dyDescent="0.25">
      <c r="A90">
        <v>10500</v>
      </c>
      <c r="B90" t="s">
        <v>9686</v>
      </c>
      <c r="C90" t="s">
        <v>5043</v>
      </c>
    </row>
    <row r="91" spans="1:3" x14ac:dyDescent="0.25">
      <c r="A91">
        <v>10561</v>
      </c>
      <c r="B91" t="s">
        <v>9688</v>
      </c>
      <c r="C91" t="s">
        <v>5043</v>
      </c>
    </row>
    <row r="92" spans="1:3" x14ac:dyDescent="0.25">
      <c r="A92">
        <v>10782</v>
      </c>
      <c r="B92" t="s">
        <v>11542</v>
      </c>
      <c r="C92" t="s">
        <v>5043</v>
      </c>
    </row>
    <row r="93" spans="1:3" x14ac:dyDescent="0.25">
      <c r="A93">
        <v>10784</v>
      </c>
      <c r="B93" t="s">
        <v>11542</v>
      </c>
      <c r="C93" t="s">
        <v>5043</v>
      </c>
    </row>
    <row r="94" spans="1:3" x14ac:dyDescent="0.25">
      <c r="A94">
        <v>10785</v>
      </c>
      <c r="B94" t="s">
        <v>11542</v>
      </c>
      <c r="C94" t="s">
        <v>5043</v>
      </c>
    </row>
    <row r="95" spans="1:3" x14ac:dyDescent="0.25">
      <c r="A95">
        <v>10786</v>
      </c>
      <c r="B95" t="s">
        <v>11542</v>
      </c>
      <c r="C95" t="s">
        <v>5043</v>
      </c>
    </row>
    <row r="96" spans="1:3" x14ac:dyDescent="0.25">
      <c r="A96">
        <v>10792</v>
      </c>
      <c r="B96" t="s">
        <v>11542</v>
      </c>
      <c r="C96" t="s">
        <v>5043</v>
      </c>
    </row>
    <row r="97" spans="1:3" x14ac:dyDescent="0.25">
      <c r="A97">
        <v>10832</v>
      </c>
      <c r="B97" t="s">
        <v>11542</v>
      </c>
      <c r="C97" t="s">
        <v>5043</v>
      </c>
    </row>
    <row r="98" spans="1:3" x14ac:dyDescent="0.25">
      <c r="A98">
        <v>10833</v>
      </c>
      <c r="B98" t="s">
        <v>11542</v>
      </c>
      <c r="C98" t="s">
        <v>5043</v>
      </c>
    </row>
    <row r="99" spans="1:3" x14ac:dyDescent="0.25">
      <c r="A99">
        <v>10694</v>
      </c>
      <c r="B99" t="s">
        <v>11543</v>
      </c>
      <c r="C99" t="s">
        <v>5043</v>
      </c>
    </row>
    <row r="100" spans="1:3" x14ac:dyDescent="0.25">
      <c r="A100">
        <v>10698</v>
      </c>
      <c r="B100" t="s">
        <v>8541</v>
      </c>
      <c r="C100" t="s">
        <v>5043</v>
      </c>
    </row>
    <row r="101" spans="1:3" x14ac:dyDescent="0.25">
      <c r="A101">
        <v>10774</v>
      </c>
      <c r="B101" t="s">
        <v>9700</v>
      </c>
      <c r="C101" t="s">
        <v>5043</v>
      </c>
    </row>
    <row r="102" spans="1:3" x14ac:dyDescent="0.25">
      <c r="A102">
        <v>10775</v>
      </c>
      <c r="B102" t="s">
        <v>9700</v>
      </c>
      <c r="C102" t="s">
        <v>5043</v>
      </c>
    </row>
    <row r="103" spans="1:3" x14ac:dyDescent="0.25">
      <c r="A103">
        <v>10776</v>
      </c>
      <c r="B103" t="s">
        <v>9700</v>
      </c>
      <c r="C103" t="s">
        <v>5043</v>
      </c>
    </row>
    <row r="104" spans="1:3" x14ac:dyDescent="0.25">
      <c r="A104">
        <v>10655</v>
      </c>
      <c r="B104" t="s">
        <v>8554</v>
      </c>
      <c r="C104" t="s">
        <v>5043</v>
      </c>
    </row>
    <row r="105" spans="1:3" x14ac:dyDescent="0.25">
      <c r="A105">
        <v>10702</v>
      </c>
      <c r="B105" t="s">
        <v>11544</v>
      </c>
      <c r="C105" t="s">
        <v>5043</v>
      </c>
    </row>
    <row r="106" spans="1:3" x14ac:dyDescent="0.25">
      <c r="A106">
        <v>10703</v>
      </c>
      <c r="B106" t="s">
        <v>11545</v>
      </c>
      <c r="C106" t="s">
        <v>5043</v>
      </c>
    </row>
    <row r="107" spans="1:3" x14ac:dyDescent="0.25">
      <c r="A107">
        <v>10762</v>
      </c>
      <c r="B107" t="s">
        <v>11546</v>
      </c>
      <c r="C107" t="s">
        <v>5083</v>
      </c>
    </row>
    <row r="108" spans="1:3" x14ac:dyDescent="0.25">
      <c r="A108">
        <v>10545</v>
      </c>
      <c r="B108" t="s">
        <v>9747</v>
      </c>
      <c r="C108" t="s">
        <v>5043</v>
      </c>
    </row>
    <row r="109" spans="1:3" x14ac:dyDescent="0.25">
      <c r="A109">
        <v>10799</v>
      </c>
      <c r="B109" t="s">
        <v>11548</v>
      </c>
      <c r="C109" t="s">
        <v>5043</v>
      </c>
    </row>
    <row r="110" spans="1:3" x14ac:dyDescent="0.25">
      <c r="A110">
        <v>10800</v>
      </c>
      <c r="B110" t="s">
        <v>11548</v>
      </c>
      <c r="C110" t="s">
        <v>5043</v>
      </c>
    </row>
    <row r="111" spans="1:3" x14ac:dyDescent="0.25">
      <c r="A111">
        <v>10828</v>
      </c>
      <c r="B111" t="s">
        <v>11549</v>
      </c>
      <c r="C111" t="s">
        <v>5043</v>
      </c>
    </row>
    <row r="112" spans="1:3" x14ac:dyDescent="0.25">
      <c r="A112">
        <v>10827</v>
      </c>
      <c r="B112" t="s">
        <v>11550</v>
      </c>
      <c r="C112" t="s">
        <v>5043</v>
      </c>
    </row>
    <row r="113" spans="1:3" x14ac:dyDescent="0.25">
      <c r="A113">
        <v>10809</v>
      </c>
      <c r="B113" t="s">
        <v>11551</v>
      </c>
      <c r="C113" t="s">
        <v>5043</v>
      </c>
    </row>
    <row r="114" spans="1:3" x14ac:dyDescent="0.25">
      <c r="A114">
        <v>10748</v>
      </c>
      <c r="B114" t="s">
        <v>9796</v>
      </c>
      <c r="C114" t="s">
        <v>5043</v>
      </c>
    </row>
    <row r="115" spans="1:3" x14ac:dyDescent="0.25">
      <c r="A115">
        <v>10682</v>
      </c>
      <c r="B115" t="s">
        <v>11552</v>
      </c>
      <c r="C115" t="s">
        <v>5043</v>
      </c>
    </row>
    <row r="116" spans="1:3" x14ac:dyDescent="0.25">
      <c r="A116">
        <v>10810</v>
      </c>
      <c r="B116" t="s">
        <v>11553</v>
      </c>
      <c r="C116" t="s">
        <v>5043</v>
      </c>
    </row>
    <row r="117" spans="1:3" x14ac:dyDescent="0.25">
      <c r="A117">
        <v>10823</v>
      </c>
      <c r="B117" t="s">
        <v>11553</v>
      </c>
      <c r="C117" t="s">
        <v>5043</v>
      </c>
    </row>
    <row r="118" spans="1:3" x14ac:dyDescent="0.25">
      <c r="A118">
        <v>10707</v>
      </c>
      <c r="B118" t="s">
        <v>11554</v>
      </c>
      <c r="C118" t="s">
        <v>5043</v>
      </c>
    </row>
  </sheetData>
  <sortState ref="A4:B13">
    <sortCondition descending="1" ref="A4"/>
  </sortState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4474"/>
  <sheetViews>
    <sheetView topLeftCell="A5" workbookViewId="0">
      <pane ySplit="3825" activePane="bottomLeft"/>
      <selection activeCell="B12" sqref="B12"/>
      <selection pane="bottomLeft" activeCell="A21" sqref="A21:D3915"/>
    </sheetView>
  </sheetViews>
  <sheetFormatPr defaultColWidth="9.140625" defaultRowHeight="11.25" x14ac:dyDescent="0.2"/>
  <cols>
    <col min="1" max="1" width="8" style="2" customWidth="1"/>
    <col min="2" max="2" width="143" style="2" bestFit="1" customWidth="1"/>
    <col min="3" max="3" width="8" style="2" bestFit="1" customWidth="1"/>
    <col min="4" max="16384" width="9.140625" style="2"/>
  </cols>
  <sheetData>
    <row r="1" spans="1:6" customFormat="1" ht="21.75" x14ac:dyDescent="0.25">
      <c r="A1" s="9" t="s">
        <v>8296</v>
      </c>
      <c r="B1" s="2"/>
      <c r="C1" s="2"/>
    </row>
    <row r="2" spans="1:6" customFormat="1" ht="15" x14ac:dyDescent="0.25">
      <c r="A2" s="24" t="s">
        <v>9567</v>
      </c>
      <c r="C2" s="2"/>
    </row>
    <row r="3" spans="1:6" customFormat="1" ht="5.25" customHeight="1" x14ac:dyDescent="0.25">
      <c r="A3" s="50"/>
      <c r="B3" s="51"/>
      <c r="C3" s="2"/>
    </row>
    <row r="4" spans="1:6" customFormat="1" ht="14.45" x14ac:dyDescent="0.3">
      <c r="A4" s="18">
        <f>COUNTIF($B$21:$B$8592,"*framework\ui\*")</f>
        <v>1656</v>
      </c>
      <c r="B4" s="19" t="s">
        <v>616</v>
      </c>
      <c r="C4" s="30"/>
    </row>
    <row r="5" spans="1:6" customFormat="1" ht="14.45" x14ac:dyDescent="0.3">
      <c r="A5" s="18">
        <f>COUNTIF($B$21:$B$8592,"*content\routing\*")</f>
        <v>1104</v>
      </c>
      <c r="B5" s="19" t="s">
        <v>9</v>
      </c>
      <c r="C5" s="30"/>
    </row>
    <row r="6" spans="1:6" customFormat="1" ht="14.45" x14ac:dyDescent="0.3">
      <c r="A6" s="18">
        <f>COUNTIF($B$21:$B$8592,"*content\traffic\*")</f>
        <v>323</v>
      </c>
      <c r="B6" s="19" t="s">
        <v>11</v>
      </c>
      <c r="C6" s="30"/>
    </row>
    <row r="7" spans="1:6" customFormat="1" ht="14.45" x14ac:dyDescent="0.3">
      <c r="A7" s="18">
        <f>COUNTIF($B$21:$B$8592,"*content\access\*")</f>
        <v>109</v>
      </c>
      <c r="B7" s="19" t="s">
        <v>13</v>
      </c>
      <c r="C7" s="30"/>
    </row>
    <row r="8" spans="1:6" customFormat="1" ht="14.45" x14ac:dyDescent="0.3">
      <c r="A8" s="18">
        <f>COUNTIF($B$21:$B$8592,"*content\admin\*")</f>
        <v>44</v>
      </c>
      <c r="B8" s="19" t="s">
        <v>615</v>
      </c>
      <c r="C8" s="30"/>
    </row>
    <row r="9" spans="1:6" customFormat="1" ht="14.45" x14ac:dyDescent="0.3">
      <c r="A9" s="18">
        <f>COUNTIF($B$21:$B$8592,"*content\device\configurator\*")</f>
        <v>16</v>
      </c>
      <c r="B9" s="19" t="s">
        <v>2683</v>
      </c>
      <c r="C9" s="30"/>
    </row>
    <row r="10" spans="1:6" customFormat="1" ht="14.45" x14ac:dyDescent="0.3">
      <c r="A10" s="18">
        <f>COUNTIF($B$21:$B$8592,"*content\sample\*")</f>
        <v>24</v>
      </c>
      <c r="B10" s="19" t="s">
        <v>617</v>
      </c>
      <c r="C10" s="30"/>
    </row>
    <row r="11" spans="1:6" customFormat="1" ht="14.45" x14ac:dyDescent="0.3">
      <c r="A11" s="18">
        <f>COUNTIF($B$21:$B$8592,"*content\mcast\*")</f>
        <v>9</v>
      </c>
      <c r="B11" s="19" t="s">
        <v>163</v>
      </c>
      <c r="C11" s="30"/>
    </row>
    <row r="12" spans="1:6" customFormat="1" ht="14.45" x14ac:dyDescent="0.3">
      <c r="A12" s="18">
        <f>COUNTIF($B$21:$B$8592,"*content\tripleplay\*")</f>
        <v>91</v>
      </c>
      <c r="B12" s="19" t="s">
        <v>2682</v>
      </c>
      <c r="C12" s="30"/>
    </row>
    <row r="13" spans="1:6" customFormat="1" ht="14.45" x14ac:dyDescent="0.3">
      <c r="A13" s="18">
        <f>COUNTIF($B$21:$B$8592,"*content\traffictests\*")</f>
        <v>314</v>
      </c>
      <c r="B13" s="19" t="s">
        <v>12</v>
      </c>
      <c r="C13" s="30"/>
    </row>
    <row r="14" spans="1:6" customFormat="1" ht="14.45" x14ac:dyDescent="0.3">
      <c r="A14" s="18">
        <f>COUNTIF($B$21:$B$8592,"*content\learning\*")</f>
        <v>0</v>
      </c>
      <c r="B14" s="19" t="s">
        <v>164</v>
      </c>
      <c r="C14" s="30"/>
    </row>
    <row r="15" spans="1:6" customFormat="1" ht="14.45" hidden="1" x14ac:dyDescent="0.3">
      <c r="A15" s="18">
        <f>COUNTIF($B$21:$B$8592,"*content\storage\*")</f>
        <v>58</v>
      </c>
      <c r="B15" s="19" t="s">
        <v>162</v>
      </c>
      <c r="C15" s="30"/>
      <c r="F15">
        <f>3397-3243</f>
        <v>154</v>
      </c>
    </row>
    <row r="16" spans="1:6" customFormat="1" ht="14.45" hidden="1" x14ac:dyDescent="0.3">
      <c r="A16" s="18">
        <f>COUNTIF($B$21:$B$8592,"*content\datacenter\*")</f>
        <v>124</v>
      </c>
      <c r="B16" s="19" t="s">
        <v>10</v>
      </c>
      <c r="C16" s="30"/>
    </row>
    <row r="17" spans="1:5" customFormat="1" ht="4.5" customHeight="1" x14ac:dyDescent="0.3">
      <c r="A17" s="50"/>
      <c r="B17" s="51"/>
      <c r="C17" s="2"/>
    </row>
    <row r="18" spans="1:5" customFormat="1" ht="14.45" x14ac:dyDescent="0.3">
      <c r="A18" s="59">
        <f>SUM(A3:A17)</f>
        <v>3872</v>
      </c>
      <c r="B18" s="1" t="s">
        <v>2572</v>
      </c>
      <c r="C18" s="31"/>
    </row>
    <row r="19" spans="1:5" customFormat="1" ht="14.45" x14ac:dyDescent="0.3">
      <c r="A19" s="59"/>
      <c r="B19" s="1"/>
      <c r="C19" s="31"/>
    </row>
    <row r="20" spans="1:5" customFormat="1" ht="14.45" x14ac:dyDescent="0.3">
      <c r="A20" s="59" t="s">
        <v>110</v>
      </c>
      <c r="B20" s="44" t="s">
        <v>111</v>
      </c>
      <c r="C20" s="2">
        <f>COUNTA(A20:A8589)-1</f>
        <v>3895</v>
      </c>
      <c r="E20">
        <f>3181-C20</f>
        <v>-714</v>
      </c>
    </row>
    <row r="21" spans="1:5" ht="15" x14ac:dyDescent="0.25">
      <c r="A21">
        <v>6594</v>
      </c>
      <c r="B21" t="s">
        <v>8618</v>
      </c>
      <c r="C21" t="s">
        <v>5043</v>
      </c>
      <c r="D21" t="s">
        <v>8401</v>
      </c>
    </row>
    <row r="22" spans="1:5" ht="14.45" x14ac:dyDescent="0.3">
      <c r="A22">
        <v>7626</v>
      </c>
      <c r="B22" t="s">
        <v>8618</v>
      </c>
      <c r="C22" t="s">
        <v>5043</v>
      </c>
      <c r="D22" t="s">
        <v>8401</v>
      </c>
    </row>
    <row r="23" spans="1:5" ht="14.45" x14ac:dyDescent="0.3">
      <c r="A23">
        <v>10294</v>
      </c>
      <c r="B23" t="s">
        <v>9871</v>
      </c>
      <c r="C23" t="s">
        <v>5043</v>
      </c>
      <c r="D23" t="s">
        <v>8401</v>
      </c>
    </row>
    <row r="24" spans="1:5" ht="14.45" x14ac:dyDescent="0.3">
      <c r="A24">
        <v>10772</v>
      </c>
      <c r="B24" t="s">
        <v>9871</v>
      </c>
      <c r="C24" t="s">
        <v>5043</v>
      </c>
      <c r="D24" t="s">
        <v>8401</v>
      </c>
    </row>
    <row r="25" spans="1:5" ht="14.45" x14ac:dyDescent="0.3">
      <c r="A25">
        <v>7766</v>
      </c>
      <c r="B25" t="s">
        <v>9871</v>
      </c>
      <c r="C25" t="s">
        <v>5043</v>
      </c>
      <c r="D25" t="s">
        <v>8401</v>
      </c>
    </row>
    <row r="26" spans="1:5" ht="14.45" x14ac:dyDescent="0.3">
      <c r="A26">
        <v>9291</v>
      </c>
      <c r="B26" t="s">
        <v>9871</v>
      </c>
      <c r="C26" t="s">
        <v>5043</v>
      </c>
      <c r="D26" t="s">
        <v>8401</v>
      </c>
    </row>
    <row r="27" spans="1:5" ht="14.45" x14ac:dyDescent="0.3">
      <c r="A27">
        <v>9702</v>
      </c>
      <c r="B27" t="s">
        <v>9871</v>
      </c>
      <c r="C27" t="s">
        <v>5043</v>
      </c>
      <c r="D27" t="s">
        <v>8401</v>
      </c>
    </row>
    <row r="28" spans="1:5" ht="14.45" x14ac:dyDescent="0.3">
      <c r="A28">
        <v>10666</v>
      </c>
      <c r="B28" t="s">
        <v>9872</v>
      </c>
      <c r="C28" t="s">
        <v>5043</v>
      </c>
      <c r="D28" t="s">
        <v>8401</v>
      </c>
    </row>
    <row r="29" spans="1:5" ht="14.45" x14ac:dyDescent="0.3">
      <c r="A29">
        <v>10990</v>
      </c>
      <c r="B29" t="s">
        <v>9872</v>
      </c>
      <c r="C29" t="s">
        <v>5043</v>
      </c>
      <c r="D29" t="s">
        <v>8401</v>
      </c>
    </row>
    <row r="30" spans="1:5" ht="14.45" x14ac:dyDescent="0.3">
      <c r="A30">
        <v>8479</v>
      </c>
      <c r="B30" t="s">
        <v>9872</v>
      </c>
      <c r="C30" t="s">
        <v>5043</v>
      </c>
      <c r="D30" t="s">
        <v>8401</v>
      </c>
    </row>
    <row r="31" spans="1:5" ht="14.45" x14ac:dyDescent="0.3">
      <c r="A31">
        <v>9576</v>
      </c>
      <c r="B31" t="s">
        <v>9872</v>
      </c>
      <c r="C31" t="s">
        <v>5043</v>
      </c>
      <c r="D31" t="s">
        <v>8401</v>
      </c>
    </row>
    <row r="32" spans="1:5" ht="14.45" x14ac:dyDescent="0.3">
      <c r="A32">
        <v>7547</v>
      </c>
      <c r="B32" t="s">
        <v>8619</v>
      </c>
      <c r="C32" t="s">
        <v>5043</v>
      </c>
      <c r="D32" t="s">
        <v>8401</v>
      </c>
    </row>
    <row r="33" spans="1:4" ht="14.45" x14ac:dyDescent="0.3">
      <c r="A33">
        <v>8151</v>
      </c>
      <c r="B33" t="s">
        <v>8619</v>
      </c>
      <c r="C33" t="s">
        <v>5043</v>
      </c>
      <c r="D33" t="s">
        <v>8401</v>
      </c>
    </row>
    <row r="34" spans="1:4" ht="14.45" x14ac:dyDescent="0.3">
      <c r="A34">
        <v>11327</v>
      </c>
      <c r="B34" t="s">
        <v>9873</v>
      </c>
      <c r="C34" t="s">
        <v>5043</v>
      </c>
      <c r="D34" t="s">
        <v>8401</v>
      </c>
    </row>
    <row r="35" spans="1:4" ht="14.45" x14ac:dyDescent="0.3">
      <c r="A35">
        <v>7745</v>
      </c>
      <c r="B35" t="s">
        <v>9874</v>
      </c>
      <c r="C35" t="s">
        <v>5043</v>
      </c>
      <c r="D35" t="s">
        <v>8401</v>
      </c>
    </row>
    <row r="36" spans="1:4" ht="14.45" x14ac:dyDescent="0.3">
      <c r="A36">
        <v>7239</v>
      </c>
      <c r="B36" t="s">
        <v>9875</v>
      </c>
      <c r="C36" t="s">
        <v>5043</v>
      </c>
      <c r="D36" t="s">
        <v>8401</v>
      </c>
    </row>
    <row r="37" spans="1:4" ht="14.45" x14ac:dyDescent="0.3">
      <c r="A37">
        <v>10781</v>
      </c>
      <c r="B37" t="s">
        <v>9876</v>
      </c>
      <c r="C37" t="s">
        <v>5043</v>
      </c>
      <c r="D37" t="s">
        <v>8401</v>
      </c>
    </row>
    <row r="38" spans="1:4" ht="14.45" x14ac:dyDescent="0.3">
      <c r="A38">
        <v>11694</v>
      </c>
      <c r="B38" t="s">
        <v>8620</v>
      </c>
      <c r="C38" t="s">
        <v>5043</v>
      </c>
      <c r="D38" t="s">
        <v>8401</v>
      </c>
    </row>
    <row r="39" spans="1:4" ht="14.45" x14ac:dyDescent="0.3">
      <c r="A39">
        <v>9602</v>
      </c>
      <c r="B39" t="s">
        <v>9877</v>
      </c>
      <c r="C39" t="s">
        <v>5043</v>
      </c>
      <c r="D39" t="s">
        <v>8401</v>
      </c>
    </row>
    <row r="40" spans="1:4" ht="14.45" x14ac:dyDescent="0.3">
      <c r="A40">
        <v>11448</v>
      </c>
      <c r="B40" t="s">
        <v>9878</v>
      </c>
      <c r="C40" t="s">
        <v>5043</v>
      </c>
      <c r="D40" t="s">
        <v>8401</v>
      </c>
    </row>
    <row r="41" spans="1:4" ht="14.45" x14ac:dyDescent="0.3">
      <c r="A41">
        <v>11564</v>
      </c>
      <c r="B41" t="s">
        <v>9878</v>
      </c>
      <c r="C41" t="s">
        <v>5043</v>
      </c>
      <c r="D41" t="s">
        <v>8401</v>
      </c>
    </row>
    <row r="42" spans="1:4" ht="14.45" x14ac:dyDescent="0.3">
      <c r="A42">
        <v>6666</v>
      </c>
      <c r="B42" t="s">
        <v>9878</v>
      </c>
      <c r="C42" t="s">
        <v>5043</v>
      </c>
      <c r="D42" t="s">
        <v>8401</v>
      </c>
    </row>
    <row r="43" spans="1:4" ht="14.45" x14ac:dyDescent="0.3">
      <c r="A43">
        <v>7622</v>
      </c>
      <c r="B43" t="s">
        <v>9878</v>
      </c>
      <c r="C43" t="s">
        <v>5043</v>
      </c>
      <c r="D43" t="s">
        <v>8401</v>
      </c>
    </row>
    <row r="44" spans="1:4" ht="14.45" x14ac:dyDescent="0.3">
      <c r="A44">
        <v>7939</v>
      </c>
      <c r="B44" t="s">
        <v>9878</v>
      </c>
      <c r="C44" t="s">
        <v>5043</v>
      </c>
      <c r="D44" t="s">
        <v>8401</v>
      </c>
    </row>
    <row r="45" spans="1:4" ht="14.45" x14ac:dyDescent="0.3">
      <c r="A45">
        <v>11551</v>
      </c>
      <c r="B45" t="s">
        <v>9879</v>
      </c>
      <c r="C45" t="s">
        <v>5043</v>
      </c>
      <c r="D45" t="s">
        <v>8401</v>
      </c>
    </row>
    <row r="46" spans="1:4" ht="14.45" x14ac:dyDescent="0.3">
      <c r="A46">
        <v>6957</v>
      </c>
      <c r="B46" t="s">
        <v>9879</v>
      </c>
      <c r="C46" t="s">
        <v>5043</v>
      </c>
      <c r="D46" t="s">
        <v>8401</v>
      </c>
    </row>
    <row r="47" spans="1:4" ht="14.45" x14ac:dyDescent="0.3">
      <c r="A47">
        <v>8443</v>
      </c>
      <c r="B47" t="s">
        <v>9879</v>
      </c>
      <c r="C47" t="s">
        <v>5043</v>
      </c>
      <c r="D47" t="s">
        <v>8401</v>
      </c>
    </row>
    <row r="48" spans="1:4" ht="14.45" x14ac:dyDescent="0.3">
      <c r="A48">
        <v>9140</v>
      </c>
      <c r="B48" t="s">
        <v>9879</v>
      </c>
      <c r="C48" t="s">
        <v>5043</v>
      </c>
      <c r="D48" t="s">
        <v>8401</v>
      </c>
    </row>
    <row r="49" spans="1:4" ht="14.45" x14ac:dyDescent="0.3">
      <c r="A49">
        <v>9648</v>
      </c>
      <c r="B49" t="s">
        <v>9880</v>
      </c>
      <c r="C49" t="s">
        <v>5043</v>
      </c>
      <c r="D49" t="s">
        <v>8401</v>
      </c>
    </row>
    <row r="50" spans="1:4" ht="14.45" x14ac:dyDescent="0.3">
      <c r="A50">
        <v>10838</v>
      </c>
      <c r="B50" t="s">
        <v>9881</v>
      </c>
      <c r="C50" t="s">
        <v>5043</v>
      </c>
      <c r="D50" t="s">
        <v>8401</v>
      </c>
    </row>
    <row r="51" spans="1:4" ht="14.45" x14ac:dyDescent="0.3">
      <c r="A51">
        <v>7398</v>
      </c>
      <c r="B51" t="s">
        <v>9881</v>
      </c>
      <c r="C51" t="s">
        <v>5043</v>
      </c>
      <c r="D51" t="s">
        <v>8401</v>
      </c>
    </row>
    <row r="52" spans="1:4" ht="14.45" x14ac:dyDescent="0.3">
      <c r="A52">
        <v>11225</v>
      </c>
      <c r="B52" t="s">
        <v>9882</v>
      </c>
      <c r="C52" t="s">
        <v>5043</v>
      </c>
      <c r="D52" t="s">
        <v>8401</v>
      </c>
    </row>
    <row r="53" spans="1:4" ht="14.45" x14ac:dyDescent="0.3">
      <c r="A53">
        <v>8708</v>
      </c>
      <c r="B53" t="s">
        <v>9882</v>
      </c>
      <c r="C53" t="s">
        <v>5043</v>
      </c>
      <c r="D53" t="s">
        <v>8401</v>
      </c>
    </row>
    <row r="54" spans="1:4" ht="14.45" x14ac:dyDescent="0.3">
      <c r="A54">
        <v>11603</v>
      </c>
      <c r="B54" t="s">
        <v>8621</v>
      </c>
      <c r="C54" t="s">
        <v>5043</v>
      </c>
      <c r="D54" t="s">
        <v>8401</v>
      </c>
    </row>
    <row r="55" spans="1:4" ht="14.45" x14ac:dyDescent="0.3">
      <c r="A55">
        <v>7434</v>
      </c>
      <c r="B55" t="s">
        <v>8621</v>
      </c>
      <c r="C55" t="s">
        <v>5043</v>
      </c>
      <c r="D55" t="s">
        <v>8401</v>
      </c>
    </row>
    <row r="56" spans="1:4" ht="14.45" x14ac:dyDescent="0.3">
      <c r="A56">
        <v>9500</v>
      </c>
      <c r="B56" t="s">
        <v>8621</v>
      </c>
      <c r="C56" t="s">
        <v>5043</v>
      </c>
      <c r="D56" t="s">
        <v>8401</v>
      </c>
    </row>
    <row r="57" spans="1:4" ht="14.45" x14ac:dyDescent="0.3">
      <c r="A57">
        <v>6679</v>
      </c>
      <c r="B57" t="s">
        <v>8622</v>
      </c>
      <c r="C57" t="s">
        <v>5043</v>
      </c>
      <c r="D57" t="s">
        <v>8401</v>
      </c>
    </row>
    <row r="58" spans="1:4" ht="14.45" x14ac:dyDescent="0.3">
      <c r="A58">
        <v>9891</v>
      </c>
      <c r="B58" t="s">
        <v>8622</v>
      </c>
      <c r="C58" t="s">
        <v>5043</v>
      </c>
      <c r="D58" t="s">
        <v>8401</v>
      </c>
    </row>
    <row r="59" spans="1:4" ht="14.45" x14ac:dyDescent="0.3">
      <c r="A59">
        <v>9880</v>
      </c>
      <c r="B59" t="s">
        <v>8623</v>
      </c>
      <c r="C59" t="s">
        <v>5043</v>
      </c>
      <c r="D59" t="s">
        <v>8401</v>
      </c>
    </row>
    <row r="60" spans="1:4" ht="14.45" x14ac:dyDescent="0.3">
      <c r="A60">
        <v>11148</v>
      </c>
      <c r="B60" t="s">
        <v>8624</v>
      </c>
      <c r="C60" t="s">
        <v>5043</v>
      </c>
      <c r="D60" t="s">
        <v>8401</v>
      </c>
    </row>
    <row r="61" spans="1:4" ht="14.45" x14ac:dyDescent="0.3">
      <c r="A61">
        <v>9280</v>
      </c>
      <c r="B61" t="s">
        <v>8624</v>
      </c>
      <c r="C61" t="s">
        <v>5043</v>
      </c>
      <c r="D61" t="s">
        <v>8401</v>
      </c>
    </row>
    <row r="62" spans="1:4" ht="14.45" x14ac:dyDescent="0.3">
      <c r="A62">
        <v>6966</v>
      </c>
      <c r="B62" t="s">
        <v>9883</v>
      </c>
      <c r="C62" t="s">
        <v>5043</v>
      </c>
      <c r="D62" t="s">
        <v>8401</v>
      </c>
    </row>
    <row r="63" spans="1:4" ht="14.45" x14ac:dyDescent="0.3">
      <c r="A63">
        <v>7594</v>
      </c>
      <c r="B63" t="s">
        <v>9883</v>
      </c>
      <c r="C63" t="s">
        <v>5043</v>
      </c>
      <c r="D63" t="s">
        <v>8401</v>
      </c>
    </row>
    <row r="64" spans="1:4" ht="14.45" x14ac:dyDescent="0.3">
      <c r="A64">
        <v>8242</v>
      </c>
      <c r="B64" t="s">
        <v>8625</v>
      </c>
      <c r="C64" t="s">
        <v>5043</v>
      </c>
      <c r="D64" t="s">
        <v>8401</v>
      </c>
    </row>
    <row r="65" spans="1:4" ht="14.45" x14ac:dyDescent="0.3">
      <c r="A65">
        <v>9682</v>
      </c>
      <c r="B65" t="s">
        <v>8625</v>
      </c>
      <c r="C65" t="s">
        <v>5043</v>
      </c>
      <c r="D65" t="s">
        <v>8401</v>
      </c>
    </row>
    <row r="66" spans="1:4" ht="14.45" x14ac:dyDescent="0.3">
      <c r="A66">
        <v>9330</v>
      </c>
      <c r="B66" t="s">
        <v>9884</v>
      </c>
      <c r="C66" t="s">
        <v>5043</v>
      </c>
      <c r="D66" t="s">
        <v>8401</v>
      </c>
    </row>
    <row r="67" spans="1:4" ht="14.45" x14ac:dyDescent="0.3">
      <c r="A67">
        <v>11234</v>
      </c>
      <c r="B67" t="s">
        <v>9885</v>
      </c>
      <c r="C67" t="s">
        <v>5043</v>
      </c>
      <c r="D67" t="s">
        <v>8401</v>
      </c>
    </row>
    <row r="68" spans="1:4" ht="14.45" x14ac:dyDescent="0.3">
      <c r="A68">
        <v>9078</v>
      </c>
      <c r="B68" t="s">
        <v>9885</v>
      </c>
      <c r="C68" t="s">
        <v>5043</v>
      </c>
      <c r="D68" t="s">
        <v>8401</v>
      </c>
    </row>
    <row r="69" spans="1:4" ht="14.45" x14ac:dyDescent="0.3">
      <c r="A69">
        <v>11130</v>
      </c>
      <c r="B69" t="s">
        <v>9886</v>
      </c>
      <c r="C69" t="s">
        <v>5043</v>
      </c>
      <c r="D69" t="s">
        <v>8401</v>
      </c>
    </row>
    <row r="70" spans="1:4" ht="14.45" x14ac:dyDescent="0.3">
      <c r="A70">
        <v>9969</v>
      </c>
      <c r="B70" t="s">
        <v>9886</v>
      </c>
      <c r="C70" t="s">
        <v>5043</v>
      </c>
      <c r="D70" t="s">
        <v>8401</v>
      </c>
    </row>
    <row r="71" spans="1:4" ht="14.45" x14ac:dyDescent="0.3">
      <c r="A71">
        <v>8876</v>
      </c>
      <c r="B71" t="s">
        <v>9887</v>
      </c>
      <c r="C71" t="s">
        <v>5043</v>
      </c>
      <c r="D71" t="s">
        <v>8401</v>
      </c>
    </row>
    <row r="72" spans="1:4" ht="14.45" x14ac:dyDescent="0.3">
      <c r="A72">
        <v>9451</v>
      </c>
      <c r="B72" t="s">
        <v>9888</v>
      </c>
      <c r="C72" t="s">
        <v>5043</v>
      </c>
      <c r="D72" t="s">
        <v>8401</v>
      </c>
    </row>
    <row r="73" spans="1:4" ht="14.45" x14ac:dyDescent="0.3">
      <c r="A73">
        <v>11272</v>
      </c>
      <c r="B73" t="s">
        <v>9889</v>
      </c>
      <c r="C73" t="s">
        <v>5043</v>
      </c>
      <c r="D73" t="s">
        <v>8401</v>
      </c>
    </row>
    <row r="74" spans="1:4" ht="14.45" x14ac:dyDescent="0.3">
      <c r="A74">
        <v>10311</v>
      </c>
      <c r="B74" t="s">
        <v>9890</v>
      </c>
      <c r="C74" t="s">
        <v>5043</v>
      </c>
      <c r="D74" t="s">
        <v>8401</v>
      </c>
    </row>
    <row r="75" spans="1:4" ht="14.45" x14ac:dyDescent="0.3">
      <c r="A75">
        <v>10134</v>
      </c>
      <c r="B75" t="s">
        <v>8626</v>
      </c>
      <c r="C75" t="s">
        <v>5043</v>
      </c>
      <c r="D75" t="s">
        <v>8401</v>
      </c>
    </row>
    <row r="76" spans="1:4" ht="14.45" x14ac:dyDescent="0.3">
      <c r="A76">
        <v>10203</v>
      </c>
      <c r="B76" t="s">
        <v>8626</v>
      </c>
      <c r="C76" t="s">
        <v>5043</v>
      </c>
      <c r="D76" t="s">
        <v>8401</v>
      </c>
    </row>
    <row r="77" spans="1:4" ht="14.45" x14ac:dyDescent="0.3">
      <c r="A77">
        <v>10295</v>
      </c>
      <c r="B77" t="s">
        <v>8626</v>
      </c>
      <c r="C77" t="s">
        <v>5043</v>
      </c>
      <c r="D77" t="s">
        <v>8401</v>
      </c>
    </row>
    <row r="78" spans="1:4" ht="14.45" x14ac:dyDescent="0.3">
      <c r="A78">
        <v>7953</v>
      </c>
      <c r="B78" t="s">
        <v>8626</v>
      </c>
      <c r="C78" t="s">
        <v>5043</v>
      </c>
      <c r="D78" t="s">
        <v>8401</v>
      </c>
    </row>
    <row r="79" spans="1:4" ht="14.45" x14ac:dyDescent="0.3">
      <c r="A79">
        <v>7983</v>
      </c>
      <c r="B79" t="s">
        <v>8626</v>
      </c>
      <c r="C79" t="s">
        <v>5043</v>
      </c>
      <c r="D79" t="s">
        <v>8401</v>
      </c>
    </row>
    <row r="80" spans="1:4" ht="14.45" x14ac:dyDescent="0.3">
      <c r="A80">
        <v>8091</v>
      </c>
      <c r="B80" t="s">
        <v>8626</v>
      </c>
      <c r="C80" t="s">
        <v>5043</v>
      </c>
      <c r="D80" t="s">
        <v>8401</v>
      </c>
    </row>
    <row r="81" spans="1:4" ht="14.45" x14ac:dyDescent="0.3">
      <c r="A81">
        <v>8196</v>
      </c>
      <c r="B81" t="s">
        <v>8626</v>
      </c>
      <c r="C81" t="s">
        <v>5043</v>
      </c>
      <c r="D81" t="s">
        <v>8401</v>
      </c>
    </row>
    <row r="82" spans="1:4" ht="14.45" x14ac:dyDescent="0.3">
      <c r="A82">
        <v>8393</v>
      </c>
      <c r="B82" t="s">
        <v>8626</v>
      </c>
      <c r="C82" t="s">
        <v>5043</v>
      </c>
      <c r="D82" t="s">
        <v>8401</v>
      </c>
    </row>
    <row r="83" spans="1:4" ht="14.45" x14ac:dyDescent="0.3">
      <c r="A83">
        <v>10229</v>
      </c>
      <c r="B83" t="s">
        <v>9891</v>
      </c>
      <c r="C83" t="s">
        <v>5043</v>
      </c>
      <c r="D83" t="s">
        <v>8401</v>
      </c>
    </row>
    <row r="84" spans="1:4" ht="14.45" x14ac:dyDescent="0.3">
      <c r="A84">
        <v>9713</v>
      </c>
      <c r="B84" t="s">
        <v>9892</v>
      </c>
      <c r="C84" t="s">
        <v>5043</v>
      </c>
      <c r="D84" t="s">
        <v>8401</v>
      </c>
    </row>
    <row r="85" spans="1:4" ht="14.45" x14ac:dyDescent="0.3">
      <c r="A85">
        <v>11645</v>
      </c>
      <c r="B85" t="s">
        <v>9893</v>
      </c>
      <c r="C85" t="s">
        <v>5043</v>
      </c>
      <c r="D85" t="s">
        <v>8401</v>
      </c>
    </row>
    <row r="86" spans="1:4" ht="14.45" x14ac:dyDescent="0.3">
      <c r="A86">
        <v>9271</v>
      </c>
      <c r="B86" t="s">
        <v>9894</v>
      </c>
      <c r="C86" t="s">
        <v>5043</v>
      </c>
      <c r="D86" t="s">
        <v>8401</v>
      </c>
    </row>
    <row r="87" spans="1:4" ht="14.45" x14ac:dyDescent="0.3">
      <c r="A87">
        <v>8880</v>
      </c>
      <c r="B87" t="s">
        <v>9895</v>
      </c>
      <c r="C87" t="s">
        <v>5043</v>
      </c>
      <c r="D87" t="s">
        <v>8401</v>
      </c>
    </row>
    <row r="88" spans="1:4" ht="14.45" x14ac:dyDescent="0.3">
      <c r="A88">
        <v>9147</v>
      </c>
      <c r="B88" t="s">
        <v>9896</v>
      </c>
      <c r="C88" t="s">
        <v>5043</v>
      </c>
      <c r="D88" t="s">
        <v>8401</v>
      </c>
    </row>
    <row r="89" spans="1:4" ht="14.45" x14ac:dyDescent="0.3">
      <c r="A89">
        <v>9950</v>
      </c>
      <c r="B89" t="s">
        <v>9897</v>
      </c>
      <c r="C89" t="s">
        <v>5043</v>
      </c>
      <c r="D89" t="s">
        <v>8401</v>
      </c>
    </row>
    <row r="90" spans="1:4" ht="14.45" x14ac:dyDescent="0.3">
      <c r="A90">
        <v>8300</v>
      </c>
      <c r="B90" t="s">
        <v>9898</v>
      </c>
      <c r="C90" t="s">
        <v>5043</v>
      </c>
      <c r="D90" t="s">
        <v>8401</v>
      </c>
    </row>
    <row r="91" spans="1:4" ht="14.45" x14ac:dyDescent="0.3">
      <c r="A91">
        <v>8712</v>
      </c>
      <c r="B91" t="s">
        <v>9898</v>
      </c>
      <c r="C91" t="s">
        <v>5043</v>
      </c>
      <c r="D91" t="s">
        <v>8401</v>
      </c>
    </row>
    <row r="92" spans="1:4" ht="14.45" x14ac:dyDescent="0.3">
      <c r="A92">
        <v>11138</v>
      </c>
      <c r="B92" t="s">
        <v>9899</v>
      </c>
      <c r="C92" t="s">
        <v>5043</v>
      </c>
      <c r="D92" t="s">
        <v>8401</v>
      </c>
    </row>
    <row r="93" spans="1:4" ht="14.45" x14ac:dyDescent="0.3">
      <c r="A93">
        <v>6495</v>
      </c>
      <c r="B93" t="s">
        <v>8627</v>
      </c>
      <c r="C93" t="s">
        <v>5043</v>
      </c>
      <c r="D93" t="s">
        <v>8401</v>
      </c>
    </row>
    <row r="94" spans="1:4" ht="14.45" x14ac:dyDescent="0.3">
      <c r="A94">
        <v>10085</v>
      </c>
      <c r="B94" t="s">
        <v>8628</v>
      </c>
      <c r="C94" t="s">
        <v>5043</v>
      </c>
      <c r="D94" t="s">
        <v>8401</v>
      </c>
    </row>
    <row r="95" spans="1:4" ht="14.45" x14ac:dyDescent="0.3">
      <c r="A95">
        <v>11392</v>
      </c>
      <c r="B95" t="s">
        <v>8628</v>
      </c>
      <c r="C95" t="s">
        <v>5043</v>
      </c>
      <c r="D95" t="s">
        <v>8401</v>
      </c>
    </row>
    <row r="96" spans="1:4" ht="14.45" x14ac:dyDescent="0.3">
      <c r="A96">
        <v>9170</v>
      </c>
      <c r="B96" t="s">
        <v>8629</v>
      </c>
      <c r="C96" t="s">
        <v>5043</v>
      </c>
      <c r="D96" t="s">
        <v>8401</v>
      </c>
    </row>
    <row r="97" spans="1:4" ht="14.45" x14ac:dyDescent="0.3">
      <c r="A97">
        <v>7167</v>
      </c>
      <c r="B97" t="s">
        <v>8630</v>
      </c>
      <c r="C97" t="s">
        <v>5043</v>
      </c>
      <c r="D97" t="s">
        <v>8401</v>
      </c>
    </row>
    <row r="98" spans="1:4" ht="14.45" x14ac:dyDescent="0.3">
      <c r="A98">
        <v>10389</v>
      </c>
      <c r="B98" t="s">
        <v>8631</v>
      </c>
      <c r="C98" t="s">
        <v>5043</v>
      </c>
      <c r="D98" t="s">
        <v>8401</v>
      </c>
    </row>
    <row r="99" spans="1:4" ht="14.45" x14ac:dyDescent="0.3">
      <c r="A99">
        <v>9257</v>
      </c>
      <c r="B99" t="s">
        <v>9900</v>
      </c>
      <c r="C99" t="s">
        <v>5043</v>
      </c>
      <c r="D99" t="s">
        <v>8401</v>
      </c>
    </row>
    <row r="100" spans="1:4" ht="14.45" x14ac:dyDescent="0.3">
      <c r="A100">
        <v>9312</v>
      </c>
      <c r="B100" t="s">
        <v>9901</v>
      </c>
      <c r="C100" t="s">
        <v>5043</v>
      </c>
      <c r="D100" t="s">
        <v>8401</v>
      </c>
    </row>
    <row r="101" spans="1:4" ht="14.45" x14ac:dyDescent="0.3">
      <c r="A101">
        <v>11726</v>
      </c>
      <c r="B101" t="s">
        <v>9902</v>
      </c>
      <c r="C101" t="s">
        <v>5043</v>
      </c>
      <c r="D101" t="s">
        <v>8401</v>
      </c>
    </row>
    <row r="102" spans="1:4" ht="14.45" x14ac:dyDescent="0.3">
      <c r="A102">
        <v>6746</v>
      </c>
      <c r="B102" t="s">
        <v>8632</v>
      </c>
      <c r="C102" t="s">
        <v>5043</v>
      </c>
      <c r="D102" t="s">
        <v>8401</v>
      </c>
    </row>
    <row r="103" spans="1:4" ht="14.45" x14ac:dyDescent="0.3">
      <c r="A103">
        <v>10490</v>
      </c>
      <c r="B103" t="s">
        <v>9903</v>
      </c>
      <c r="C103" t="s">
        <v>5043</v>
      </c>
      <c r="D103" t="s">
        <v>8401</v>
      </c>
    </row>
    <row r="104" spans="1:4" ht="14.45" x14ac:dyDescent="0.3">
      <c r="A104">
        <v>10688</v>
      </c>
      <c r="B104" t="s">
        <v>9904</v>
      </c>
      <c r="C104" t="s">
        <v>5043</v>
      </c>
      <c r="D104" t="s">
        <v>8401</v>
      </c>
    </row>
    <row r="105" spans="1:4" ht="14.45" x14ac:dyDescent="0.3">
      <c r="A105">
        <v>9955</v>
      </c>
      <c r="B105" t="s">
        <v>9905</v>
      </c>
      <c r="C105" t="s">
        <v>5043</v>
      </c>
      <c r="D105" t="s">
        <v>8401</v>
      </c>
    </row>
    <row r="106" spans="1:4" ht="14.45" x14ac:dyDescent="0.3">
      <c r="A106">
        <v>11962</v>
      </c>
      <c r="B106" t="s">
        <v>9906</v>
      </c>
      <c r="C106" t="s">
        <v>5043</v>
      </c>
      <c r="D106" t="s">
        <v>8401</v>
      </c>
    </row>
    <row r="107" spans="1:4" ht="14.45" x14ac:dyDescent="0.3">
      <c r="A107">
        <v>7117</v>
      </c>
      <c r="B107" t="s">
        <v>9906</v>
      </c>
      <c r="C107" t="s">
        <v>5043</v>
      </c>
      <c r="D107" t="s">
        <v>8401</v>
      </c>
    </row>
    <row r="108" spans="1:4" ht="14.45" x14ac:dyDescent="0.3">
      <c r="A108">
        <v>7611</v>
      </c>
      <c r="B108" t="s">
        <v>9906</v>
      </c>
      <c r="C108" t="s">
        <v>5043</v>
      </c>
      <c r="D108" t="s">
        <v>8401</v>
      </c>
    </row>
    <row r="109" spans="1:4" ht="14.45" x14ac:dyDescent="0.3">
      <c r="A109">
        <v>8610</v>
      </c>
      <c r="B109" t="s">
        <v>9906</v>
      </c>
      <c r="C109" t="s">
        <v>5043</v>
      </c>
      <c r="D109" t="s">
        <v>8401</v>
      </c>
    </row>
    <row r="110" spans="1:4" ht="14.45" x14ac:dyDescent="0.3">
      <c r="A110">
        <v>11455</v>
      </c>
      <c r="B110" t="s">
        <v>8633</v>
      </c>
      <c r="C110" t="s">
        <v>5043</v>
      </c>
      <c r="D110" t="s">
        <v>8401</v>
      </c>
    </row>
    <row r="111" spans="1:4" ht="14.45" x14ac:dyDescent="0.3">
      <c r="A111">
        <v>8090</v>
      </c>
      <c r="B111" t="s">
        <v>8633</v>
      </c>
      <c r="C111" t="s">
        <v>5043</v>
      </c>
      <c r="D111" t="s">
        <v>8401</v>
      </c>
    </row>
    <row r="112" spans="1:4" ht="14.45" x14ac:dyDescent="0.3">
      <c r="A112">
        <v>12553</v>
      </c>
      <c r="B112" t="s">
        <v>9907</v>
      </c>
      <c r="C112" t="s">
        <v>5043</v>
      </c>
      <c r="D112" t="s">
        <v>8401</v>
      </c>
    </row>
    <row r="113" spans="1:4" ht="14.45" x14ac:dyDescent="0.3">
      <c r="A113">
        <v>9205</v>
      </c>
      <c r="B113" t="s">
        <v>9908</v>
      </c>
      <c r="C113" t="s">
        <v>5043</v>
      </c>
      <c r="D113" t="s">
        <v>8401</v>
      </c>
    </row>
    <row r="114" spans="1:4" ht="14.45" x14ac:dyDescent="0.3">
      <c r="A114">
        <v>11687</v>
      </c>
      <c r="B114" t="s">
        <v>9909</v>
      </c>
      <c r="C114" t="s">
        <v>5043</v>
      </c>
      <c r="D114" t="s">
        <v>8401</v>
      </c>
    </row>
    <row r="115" spans="1:4" ht="14.45" x14ac:dyDescent="0.3">
      <c r="A115">
        <v>6859</v>
      </c>
      <c r="B115" t="s">
        <v>9909</v>
      </c>
      <c r="C115" t="s">
        <v>5043</v>
      </c>
      <c r="D115" t="s">
        <v>8401</v>
      </c>
    </row>
    <row r="116" spans="1:4" ht="14.45" x14ac:dyDescent="0.3">
      <c r="A116">
        <v>6967</v>
      </c>
      <c r="B116" t="s">
        <v>9909</v>
      </c>
      <c r="C116" t="s">
        <v>5043</v>
      </c>
      <c r="D116" t="s">
        <v>8401</v>
      </c>
    </row>
    <row r="117" spans="1:4" ht="14.45" x14ac:dyDescent="0.3">
      <c r="A117">
        <v>8063</v>
      </c>
      <c r="B117" t="s">
        <v>9909</v>
      </c>
      <c r="C117" t="s">
        <v>5043</v>
      </c>
      <c r="D117" t="s">
        <v>8401</v>
      </c>
    </row>
    <row r="118" spans="1:4" ht="14.45" x14ac:dyDescent="0.3">
      <c r="A118">
        <v>8199</v>
      </c>
      <c r="B118" t="s">
        <v>9909</v>
      </c>
      <c r="C118" t="s">
        <v>5043</v>
      </c>
      <c r="D118" t="s">
        <v>8401</v>
      </c>
    </row>
    <row r="119" spans="1:4" ht="14.45" x14ac:dyDescent="0.3">
      <c r="A119">
        <v>8302</v>
      </c>
      <c r="B119" t="s">
        <v>9909</v>
      </c>
      <c r="C119" t="s">
        <v>5043</v>
      </c>
      <c r="D119" t="s">
        <v>8401</v>
      </c>
    </row>
    <row r="120" spans="1:4" ht="14.45" x14ac:dyDescent="0.3">
      <c r="A120">
        <v>8908</v>
      </c>
      <c r="B120" t="s">
        <v>9909</v>
      </c>
      <c r="C120" t="s">
        <v>5043</v>
      </c>
      <c r="D120" t="s">
        <v>8401</v>
      </c>
    </row>
    <row r="121" spans="1:4" ht="14.45" x14ac:dyDescent="0.3">
      <c r="A121">
        <v>9032</v>
      </c>
      <c r="B121" t="s">
        <v>9909</v>
      </c>
      <c r="C121" t="s">
        <v>5043</v>
      </c>
      <c r="D121" t="s">
        <v>8401</v>
      </c>
    </row>
    <row r="122" spans="1:4" ht="14.45" x14ac:dyDescent="0.3">
      <c r="A122">
        <v>9566</v>
      </c>
      <c r="B122" t="s">
        <v>9909</v>
      </c>
      <c r="C122" t="s">
        <v>5043</v>
      </c>
      <c r="D122" t="s">
        <v>8401</v>
      </c>
    </row>
    <row r="123" spans="1:4" ht="14.45" x14ac:dyDescent="0.3">
      <c r="A123">
        <v>6509</v>
      </c>
      <c r="B123" t="s">
        <v>9910</v>
      </c>
      <c r="C123" t="s">
        <v>5043</v>
      </c>
      <c r="D123" t="s">
        <v>8401</v>
      </c>
    </row>
    <row r="124" spans="1:4" ht="14.45" x14ac:dyDescent="0.3">
      <c r="A124">
        <v>8038</v>
      </c>
      <c r="B124" t="s">
        <v>9910</v>
      </c>
      <c r="C124" t="s">
        <v>5043</v>
      </c>
      <c r="D124" t="s">
        <v>8401</v>
      </c>
    </row>
    <row r="125" spans="1:4" ht="14.45" x14ac:dyDescent="0.3">
      <c r="A125">
        <v>9188</v>
      </c>
      <c r="B125" t="s">
        <v>9910</v>
      </c>
      <c r="C125" t="s">
        <v>5043</v>
      </c>
      <c r="D125" t="s">
        <v>8401</v>
      </c>
    </row>
    <row r="126" spans="1:4" ht="14.45" x14ac:dyDescent="0.3">
      <c r="A126">
        <v>9462</v>
      </c>
      <c r="B126" t="s">
        <v>9910</v>
      </c>
      <c r="C126" t="s">
        <v>5043</v>
      </c>
      <c r="D126" t="s">
        <v>8401</v>
      </c>
    </row>
    <row r="127" spans="1:4" ht="14.45" x14ac:dyDescent="0.3">
      <c r="A127">
        <v>9297</v>
      </c>
      <c r="B127" t="s">
        <v>9911</v>
      </c>
      <c r="C127" t="s">
        <v>5043</v>
      </c>
      <c r="D127" t="s">
        <v>8401</v>
      </c>
    </row>
    <row r="128" spans="1:4" ht="14.45" x14ac:dyDescent="0.3">
      <c r="A128">
        <v>7458</v>
      </c>
      <c r="B128" t="s">
        <v>9912</v>
      </c>
      <c r="C128" t="s">
        <v>5043</v>
      </c>
      <c r="D128" t="s">
        <v>8401</v>
      </c>
    </row>
    <row r="129" spans="1:4" ht="14.45" x14ac:dyDescent="0.3">
      <c r="A129">
        <v>7981</v>
      </c>
      <c r="B129" t="s">
        <v>9913</v>
      </c>
      <c r="C129" t="s">
        <v>5043</v>
      </c>
      <c r="D129" t="s">
        <v>8401</v>
      </c>
    </row>
    <row r="130" spans="1:4" ht="14.45" x14ac:dyDescent="0.3">
      <c r="A130">
        <v>7977</v>
      </c>
      <c r="B130" t="s">
        <v>9914</v>
      </c>
      <c r="C130" t="s">
        <v>5043</v>
      </c>
      <c r="D130" t="s">
        <v>8401</v>
      </c>
    </row>
    <row r="131" spans="1:4" ht="14.45" x14ac:dyDescent="0.3">
      <c r="A131">
        <v>11068</v>
      </c>
      <c r="B131" t="s">
        <v>9915</v>
      </c>
      <c r="C131" t="s">
        <v>5043</v>
      </c>
      <c r="D131" t="s">
        <v>8401</v>
      </c>
    </row>
    <row r="132" spans="1:4" ht="14.45" x14ac:dyDescent="0.3">
      <c r="A132">
        <v>9877</v>
      </c>
      <c r="B132" t="s">
        <v>9915</v>
      </c>
      <c r="C132" t="s">
        <v>5043</v>
      </c>
      <c r="D132" t="s">
        <v>8401</v>
      </c>
    </row>
    <row r="133" spans="1:4" ht="14.45" x14ac:dyDescent="0.3">
      <c r="A133">
        <v>11421</v>
      </c>
      <c r="B133" t="s">
        <v>8634</v>
      </c>
      <c r="C133" t="s">
        <v>5043</v>
      </c>
      <c r="D133" t="s">
        <v>8401</v>
      </c>
    </row>
    <row r="134" spans="1:4" ht="14.45" x14ac:dyDescent="0.3">
      <c r="A134">
        <v>11649</v>
      </c>
      <c r="B134" t="s">
        <v>8634</v>
      </c>
      <c r="C134" t="s">
        <v>5043</v>
      </c>
      <c r="D134" t="s">
        <v>8401</v>
      </c>
    </row>
    <row r="135" spans="1:4" ht="14.45" x14ac:dyDescent="0.3">
      <c r="A135">
        <v>8419</v>
      </c>
      <c r="B135" t="s">
        <v>8634</v>
      </c>
      <c r="C135" t="s">
        <v>5043</v>
      </c>
      <c r="D135" t="s">
        <v>8401</v>
      </c>
    </row>
    <row r="136" spans="1:4" ht="14.45" x14ac:dyDescent="0.3">
      <c r="A136">
        <v>8603</v>
      </c>
      <c r="B136" t="s">
        <v>8634</v>
      </c>
      <c r="C136" t="s">
        <v>5043</v>
      </c>
      <c r="D136" t="s">
        <v>8401</v>
      </c>
    </row>
    <row r="137" spans="1:4" ht="14.45" x14ac:dyDescent="0.3">
      <c r="A137">
        <v>11112</v>
      </c>
      <c r="B137" t="s">
        <v>9916</v>
      </c>
      <c r="C137" t="s">
        <v>5043</v>
      </c>
      <c r="D137" t="s">
        <v>8401</v>
      </c>
    </row>
    <row r="138" spans="1:4" ht="14.45" x14ac:dyDescent="0.3">
      <c r="A138">
        <v>8958</v>
      </c>
      <c r="B138" t="s">
        <v>9916</v>
      </c>
      <c r="C138" t="s">
        <v>5043</v>
      </c>
      <c r="D138" t="s">
        <v>8401</v>
      </c>
    </row>
    <row r="139" spans="1:4" ht="14.45" x14ac:dyDescent="0.3">
      <c r="A139">
        <v>7561</v>
      </c>
      <c r="B139" t="s">
        <v>8635</v>
      </c>
      <c r="C139" t="s">
        <v>5043</v>
      </c>
      <c r="D139" t="s">
        <v>8401</v>
      </c>
    </row>
    <row r="140" spans="1:4" ht="14.45" x14ac:dyDescent="0.3">
      <c r="A140">
        <v>7800</v>
      </c>
      <c r="B140" t="s">
        <v>8636</v>
      </c>
      <c r="C140" t="s">
        <v>5043</v>
      </c>
      <c r="D140" t="s">
        <v>8401</v>
      </c>
    </row>
    <row r="141" spans="1:4" ht="14.45" x14ac:dyDescent="0.3">
      <c r="A141">
        <v>7974</v>
      </c>
      <c r="B141" t="s">
        <v>8636</v>
      </c>
      <c r="C141" t="s">
        <v>5043</v>
      </c>
      <c r="D141" t="s">
        <v>8401</v>
      </c>
    </row>
    <row r="142" spans="1:4" ht="14.45" x14ac:dyDescent="0.3">
      <c r="A142">
        <v>8174</v>
      </c>
      <c r="B142" t="s">
        <v>8636</v>
      </c>
      <c r="C142" t="s">
        <v>5043</v>
      </c>
      <c r="D142" t="s">
        <v>8401</v>
      </c>
    </row>
    <row r="143" spans="1:4" ht="14.45" x14ac:dyDescent="0.3">
      <c r="A143">
        <v>8324</v>
      </c>
      <c r="B143" t="s">
        <v>9917</v>
      </c>
      <c r="C143" t="s">
        <v>5043</v>
      </c>
      <c r="D143" t="s">
        <v>8401</v>
      </c>
    </row>
    <row r="144" spans="1:4" ht="14.45" x14ac:dyDescent="0.3">
      <c r="A144">
        <v>9242</v>
      </c>
      <c r="B144" t="s">
        <v>9917</v>
      </c>
      <c r="C144" t="s">
        <v>5043</v>
      </c>
      <c r="D144" t="s">
        <v>8401</v>
      </c>
    </row>
    <row r="145" spans="1:4" ht="14.45" x14ac:dyDescent="0.3">
      <c r="A145">
        <v>9492</v>
      </c>
      <c r="B145" t="s">
        <v>9917</v>
      </c>
      <c r="C145" t="s">
        <v>5043</v>
      </c>
      <c r="D145" t="s">
        <v>8401</v>
      </c>
    </row>
    <row r="146" spans="1:4" ht="14.45" x14ac:dyDescent="0.3">
      <c r="A146">
        <v>9764</v>
      </c>
      <c r="B146" t="s">
        <v>9917</v>
      </c>
      <c r="C146" t="s">
        <v>5043</v>
      </c>
      <c r="D146" t="s">
        <v>8401</v>
      </c>
    </row>
    <row r="147" spans="1:4" ht="14.45" x14ac:dyDescent="0.3">
      <c r="A147">
        <v>9606</v>
      </c>
      <c r="B147" t="s">
        <v>9918</v>
      </c>
      <c r="C147" t="s">
        <v>5043</v>
      </c>
      <c r="D147" t="s">
        <v>8401</v>
      </c>
    </row>
    <row r="148" spans="1:4" ht="14.45" x14ac:dyDescent="0.3">
      <c r="A148">
        <v>6963</v>
      </c>
      <c r="B148" t="s">
        <v>9919</v>
      </c>
      <c r="C148" t="s">
        <v>5043</v>
      </c>
      <c r="D148" t="s">
        <v>8401</v>
      </c>
    </row>
    <row r="149" spans="1:4" ht="14.45" x14ac:dyDescent="0.3">
      <c r="A149">
        <v>7994</v>
      </c>
      <c r="B149" t="s">
        <v>9920</v>
      </c>
      <c r="C149" t="s">
        <v>5043</v>
      </c>
      <c r="D149" t="s">
        <v>8401</v>
      </c>
    </row>
    <row r="150" spans="1:4" ht="14.45" x14ac:dyDescent="0.3">
      <c r="A150">
        <v>10482</v>
      </c>
      <c r="B150" t="s">
        <v>9921</v>
      </c>
      <c r="C150" t="s">
        <v>5043</v>
      </c>
      <c r="D150" t="s">
        <v>8401</v>
      </c>
    </row>
    <row r="151" spans="1:4" ht="14.45" x14ac:dyDescent="0.3">
      <c r="A151">
        <v>11150</v>
      </c>
      <c r="B151" t="s">
        <v>9922</v>
      </c>
      <c r="C151" t="s">
        <v>5043</v>
      </c>
      <c r="D151" t="s">
        <v>8401</v>
      </c>
    </row>
    <row r="152" spans="1:4" ht="14.45" x14ac:dyDescent="0.3">
      <c r="A152">
        <v>6612</v>
      </c>
      <c r="B152" t="s">
        <v>8637</v>
      </c>
      <c r="C152" t="s">
        <v>5043</v>
      </c>
      <c r="D152" t="s">
        <v>8401</v>
      </c>
    </row>
    <row r="153" spans="1:4" ht="14.45" x14ac:dyDescent="0.3">
      <c r="A153">
        <v>7451</v>
      </c>
      <c r="B153" t="s">
        <v>8637</v>
      </c>
      <c r="C153" t="s">
        <v>5043</v>
      </c>
      <c r="D153" t="s">
        <v>8401</v>
      </c>
    </row>
    <row r="154" spans="1:4" ht="14.45" x14ac:dyDescent="0.3">
      <c r="A154">
        <v>10191</v>
      </c>
      <c r="B154" t="s">
        <v>8638</v>
      </c>
      <c r="C154" t="s">
        <v>5043</v>
      </c>
      <c r="D154" t="s">
        <v>8401</v>
      </c>
    </row>
    <row r="155" spans="1:4" ht="14.45" x14ac:dyDescent="0.3">
      <c r="A155">
        <v>10315</v>
      </c>
      <c r="B155" t="s">
        <v>8638</v>
      </c>
      <c r="C155" t="s">
        <v>5043</v>
      </c>
      <c r="D155" t="s">
        <v>8401</v>
      </c>
    </row>
    <row r="156" spans="1:4" ht="14.45" x14ac:dyDescent="0.3">
      <c r="A156">
        <v>10565</v>
      </c>
      <c r="B156" t="s">
        <v>8638</v>
      </c>
      <c r="C156" t="s">
        <v>5043</v>
      </c>
      <c r="D156" t="s">
        <v>8401</v>
      </c>
    </row>
    <row r="157" spans="1:4" ht="14.45" x14ac:dyDescent="0.3">
      <c r="A157">
        <v>11646</v>
      </c>
      <c r="B157" t="s">
        <v>8638</v>
      </c>
      <c r="C157" t="s">
        <v>5043</v>
      </c>
      <c r="D157" t="s">
        <v>8401</v>
      </c>
    </row>
    <row r="158" spans="1:4" ht="14.45" x14ac:dyDescent="0.3">
      <c r="A158">
        <v>11705</v>
      </c>
      <c r="B158" t="s">
        <v>8638</v>
      </c>
      <c r="C158" t="s">
        <v>5043</v>
      </c>
      <c r="D158" t="s">
        <v>8401</v>
      </c>
    </row>
    <row r="159" spans="1:4" ht="14.45" x14ac:dyDescent="0.3">
      <c r="A159">
        <v>6701</v>
      </c>
      <c r="B159" t="s">
        <v>8638</v>
      </c>
      <c r="C159" t="s">
        <v>5043</v>
      </c>
      <c r="D159" t="s">
        <v>8401</v>
      </c>
    </row>
    <row r="160" spans="1:4" ht="14.45" x14ac:dyDescent="0.3">
      <c r="A160">
        <v>7156</v>
      </c>
      <c r="B160" t="s">
        <v>8638</v>
      </c>
      <c r="C160" t="s">
        <v>5043</v>
      </c>
      <c r="D160" t="s">
        <v>8401</v>
      </c>
    </row>
    <row r="161" spans="1:4" ht="14.45" x14ac:dyDescent="0.3">
      <c r="A161">
        <v>7214</v>
      </c>
      <c r="B161" t="s">
        <v>8638</v>
      </c>
      <c r="C161" t="s">
        <v>5043</v>
      </c>
      <c r="D161" t="s">
        <v>8401</v>
      </c>
    </row>
    <row r="162" spans="1:4" ht="14.45" x14ac:dyDescent="0.3">
      <c r="A162">
        <v>7755</v>
      </c>
      <c r="B162" t="s">
        <v>8638</v>
      </c>
      <c r="C162" t="s">
        <v>5043</v>
      </c>
      <c r="D162" t="s">
        <v>8401</v>
      </c>
    </row>
    <row r="163" spans="1:4" ht="14.45" x14ac:dyDescent="0.3">
      <c r="A163">
        <v>9630</v>
      </c>
      <c r="B163" t="s">
        <v>8638</v>
      </c>
      <c r="C163" t="s">
        <v>5043</v>
      </c>
      <c r="D163" t="s">
        <v>8401</v>
      </c>
    </row>
    <row r="164" spans="1:4" ht="14.45" x14ac:dyDescent="0.3">
      <c r="A164">
        <v>9647</v>
      </c>
      <c r="B164" t="s">
        <v>8638</v>
      </c>
      <c r="C164" t="s">
        <v>5043</v>
      </c>
      <c r="D164" t="s">
        <v>8401</v>
      </c>
    </row>
    <row r="165" spans="1:4" ht="14.45" x14ac:dyDescent="0.3">
      <c r="A165">
        <v>9836</v>
      </c>
      <c r="B165" t="s">
        <v>8638</v>
      </c>
      <c r="C165" t="s">
        <v>5043</v>
      </c>
      <c r="D165" t="s">
        <v>8401</v>
      </c>
    </row>
    <row r="166" spans="1:4" ht="14.45" x14ac:dyDescent="0.3">
      <c r="A166">
        <v>11021</v>
      </c>
      <c r="B166" t="s">
        <v>9923</v>
      </c>
      <c r="C166" t="s">
        <v>5043</v>
      </c>
      <c r="D166" t="s">
        <v>8401</v>
      </c>
    </row>
    <row r="167" spans="1:4" ht="14.45" x14ac:dyDescent="0.3">
      <c r="A167">
        <v>9623</v>
      </c>
      <c r="B167" t="s">
        <v>8639</v>
      </c>
      <c r="C167" t="s">
        <v>5043</v>
      </c>
      <c r="D167" t="s">
        <v>8401</v>
      </c>
    </row>
    <row r="168" spans="1:4" ht="14.45" x14ac:dyDescent="0.3">
      <c r="A168">
        <v>9040</v>
      </c>
      <c r="B168" t="s">
        <v>8640</v>
      </c>
      <c r="C168" t="s">
        <v>5043</v>
      </c>
      <c r="D168" t="s">
        <v>8401</v>
      </c>
    </row>
    <row r="169" spans="1:4" ht="14.45" x14ac:dyDescent="0.3">
      <c r="A169">
        <v>7047</v>
      </c>
      <c r="B169" t="s">
        <v>8641</v>
      </c>
      <c r="C169" t="s">
        <v>5043</v>
      </c>
      <c r="D169" t="s">
        <v>8401</v>
      </c>
    </row>
    <row r="170" spans="1:4" ht="14.45" x14ac:dyDescent="0.3">
      <c r="A170">
        <v>9398</v>
      </c>
      <c r="B170" t="s">
        <v>8642</v>
      </c>
      <c r="C170" t="s">
        <v>5043</v>
      </c>
      <c r="D170" t="s">
        <v>8401</v>
      </c>
    </row>
    <row r="171" spans="1:4" ht="14.45" x14ac:dyDescent="0.3">
      <c r="A171">
        <v>10330</v>
      </c>
      <c r="B171" t="s">
        <v>8643</v>
      </c>
      <c r="C171" t="s">
        <v>5043</v>
      </c>
      <c r="D171" t="s">
        <v>8401</v>
      </c>
    </row>
    <row r="172" spans="1:4" ht="14.45" x14ac:dyDescent="0.3">
      <c r="A172">
        <v>7835</v>
      </c>
      <c r="B172" t="s">
        <v>8643</v>
      </c>
      <c r="C172" t="s">
        <v>5043</v>
      </c>
      <c r="D172" t="s">
        <v>8401</v>
      </c>
    </row>
    <row r="173" spans="1:4" ht="14.45" x14ac:dyDescent="0.3">
      <c r="A173">
        <v>11605</v>
      </c>
      <c r="B173" t="s">
        <v>8644</v>
      </c>
      <c r="C173" t="s">
        <v>5043</v>
      </c>
      <c r="D173" t="s">
        <v>8401</v>
      </c>
    </row>
    <row r="174" spans="1:4" ht="14.45" x14ac:dyDescent="0.3">
      <c r="A174">
        <v>7415</v>
      </c>
      <c r="B174" t="s">
        <v>9924</v>
      </c>
      <c r="C174" t="s">
        <v>5043</v>
      </c>
      <c r="D174" t="s">
        <v>8401</v>
      </c>
    </row>
    <row r="175" spans="1:4" ht="14.45" x14ac:dyDescent="0.3">
      <c r="A175">
        <v>7612</v>
      </c>
      <c r="B175" t="s">
        <v>9924</v>
      </c>
      <c r="C175" t="s">
        <v>5043</v>
      </c>
      <c r="D175" t="s">
        <v>8401</v>
      </c>
    </row>
    <row r="176" spans="1:4" ht="14.45" x14ac:dyDescent="0.3">
      <c r="A176">
        <v>8185</v>
      </c>
      <c r="B176" t="s">
        <v>9925</v>
      </c>
      <c r="C176" t="s">
        <v>5043</v>
      </c>
      <c r="D176" t="s">
        <v>8401</v>
      </c>
    </row>
    <row r="177" spans="1:4" ht="14.45" x14ac:dyDescent="0.3">
      <c r="A177">
        <v>9755</v>
      </c>
      <c r="B177" t="s">
        <v>9925</v>
      </c>
      <c r="C177" t="s">
        <v>5043</v>
      </c>
      <c r="D177" t="s">
        <v>8401</v>
      </c>
    </row>
    <row r="178" spans="1:4" ht="14.45" x14ac:dyDescent="0.3">
      <c r="A178">
        <v>7806</v>
      </c>
      <c r="B178" t="s">
        <v>9926</v>
      </c>
      <c r="C178" t="s">
        <v>5043</v>
      </c>
      <c r="D178" t="s">
        <v>8401</v>
      </c>
    </row>
    <row r="179" spans="1:4" ht="14.45" x14ac:dyDescent="0.3">
      <c r="A179">
        <v>8556</v>
      </c>
      <c r="B179" t="s">
        <v>9927</v>
      </c>
      <c r="C179" t="s">
        <v>5043</v>
      </c>
      <c r="D179" t="s">
        <v>8401</v>
      </c>
    </row>
    <row r="180" spans="1:4" ht="14.45" x14ac:dyDescent="0.3">
      <c r="A180">
        <v>12635</v>
      </c>
      <c r="B180" t="s">
        <v>11555</v>
      </c>
      <c r="C180" t="s">
        <v>5043</v>
      </c>
      <c r="D180" t="s">
        <v>8401</v>
      </c>
    </row>
    <row r="181" spans="1:4" ht="14.45" x14ac:dyDescent="0.3">
      <c r="A181">
        <v>12636</v>
      </c>
      <c r="B181" t="s">
        <v>11555</v>
      </c>
      <c r="C181" t="s">
        <v>5043</v>
      </c>
      <c r="D181" t="s">
        <v>8401</v>
      </c>
    </row>
    <row r="182" spans="1:4" ht="14.45" x14ac:dyDescent="0.3">
      <c r="A182">
        <v>12638</v>
      </c>
      <c r="B182" t="s">
        <v>11555</v>
      </c>
      <c r="C182" t="s">
        <v>5043</v>
      </c>
      <c r="D182" t="s">
        <v>8401</v>
      </c>
    </row>
    <row r="183" spans="1:4" ht="14.45" x14ac:dyDescent="0.3">
      <c r="A183">
        <v>9821</v>
      </c>
      <c r="B183" t="s">
        <v>9928</v>
      </c>
      <c r="C183" t="s">
        <v>5043</v>
      </c>
      <c r="D183" t="s">
        <v>8401</v>
      </c>
    </row>
    <row r="184" spans="1:4" ht="14.45" x14ac:dyDescent="0.3">
      <c r="A184">
        <v>10443</v>
      </c>
      <c r="B184" t="s">
        <v>9929</v>
      </c>
      <c r="C184" t="s">
        <v>5043</v>
      </c>
      <c r="D184" t="s">
        <v>8401</v>
      </c>
    </row>
    <row r="185" spans="1:4" ht="14.45" x14ac:dyDescent="0.3">
      <c r="A185">
        <v>11235</v>
      </c>
      <c r="B185" t="s">
        <v>9929</v>
      </c>
      <c r="C185" t="s">
        <v>5043</v>
      </c>
      <c r="D185" t="s">
        <v>8401</v>
      </c>
    </row>
    <row r="186" spans="1:4" ht="14.45" x14ac:dyDescent="0.3">
      <c r="A186">
        <v>6665</v>
      </c>
      <c r="B186" t="s">
        <v>9929</v>
      </c>
      <c r="C186" t="s">
        <v>5043</v>
      </c>
      <c r="D186" t="s">
        <v>8401</v>
      </c>
    </row>
    <row r="187" spans="1:4" ht="14.45" x14ac:dyDescent="0.3">
      <c r="A187">
        <v>8429</v>
      </c>
      <c r="B187" t="s">
        <v>9929</v>
      </c>
      <c r="C187" t="s">
        <v>5043</v>
      </c>
      <c r="D187" t="s">
        <v>8401</v>
      </c>
    </row>
    <row r="188" spans="1:4" ht="14.45" x14ac:dyDescent="0.3">
      <c r="A188">
        <v>6778</v>
      </c>
      <c r="B188" t="s">
        <v>9930</v>
      </c>
      <c r="C188" t="s">
        <v>5043</v>
      </c>
      <c r="D188" t="s">
        <v>8401</v>
      </c>
    </row>
    <row r="189" spans="1:4" ht="14.45" x14ac:dyDescent="0.3">
      <c r="A189">
        <v>11208</v>
      </c>
      <c r="B189" t="s">
        <v>9931</v>
      </c>
      <c r="C189" t="s">
        <v>5043</v>
      </c>
      <c r="D189" t="s">
        <v>8401</v>
      </c>
    </row>
    <row r="190" spans="1:4" ht="14.45" x14ac:dyDescent="0.3">
      <c r="A190">
        <v>12580</v>
      </c>
      <c r="B190" t="s">
        <v>9932</v>
      </c>
      <c r="C190" t="s">
        <v>5043</v>
      </c>
      <c r="D190" t="s">
        <v>8401</v>
      </c>
    </row>
    <row r="191" spans="1:4" ht="14.45" x14ac:dyDescent="0.3">
      <c r="A191">
        <v>6693</v>
      </c>
      <c r="B191" t="s">
        <v>9933</v>
      </c>
      <c r="C191" t="s">
        <v>5043</v>
      </c>
      <c r="D191" t="s">
        <v>8401</v>
      </c>
    </row>
    <row r="192" spans="1:4" ht="14.45" x14ac:dyDescent="0.3">
      <c r="A192">
        <v>9157</v>
      </c>
      <c r="B192" t="s">
        <v>9933</v>
      </c>
      <c r="C192" t="s">
        <v>5043</v>
      </c>
      <c r="D192" t="s">
        <v>8401</v>
      </c>
    </row>
    <row r="193" spans="1:4" ht="14.45" x14ac:dyDescent="0.3">
      <c r="A193">
        <v>11118</v>
      </c>
      <c r="B193" t="s">
        <v>9934</v>
      </c>
      <c r="C193" t="s">
        <v>5043</v>
      </c>
      <c r="D193" t="s">
        <v>8401</v>
      </c>
    </row>
    <row r="194" spans="1:4" ht="14.45" x14ac:dyDescent="0.3">
      <c r="A194">
        <v>12008</v>
      </c>
      <c r="B194" t="s">
        <v>9935</v>
      </c>
      <c r="C194" t="s">
        <v>5043</v>
      </c>
      <c r="D194" t="s">
        <v>8401</v>
      </c>
    </row>
    <row r="195" spans="1:4" ht="14.45" x14ac:dyDescent="0.3">
      <c r="A195">
        <v>6425</v>
      </c>
      <c r="B195" t="s">
        <v>9935</v>
      </c>
      <c r="C195" t="s">
        <v>5043</v>
      </c>
      <c r="D195" t="s">
        <v>8401</v>
      </c>
    </row>
    <row r="196" spans="1:4" ht="14.45" x14ac:dyDescent="0.3">
      <c r="A196">
        <v>9898</v>
      </c>
      <c r="B196" t="s">
        <v>9935</v>
      </c>
      <c r="C196" t="s">
        <v>5043</v>
      </c>
      <c r="D196" t="s">
        <v>8401</v>
      </c>
    </row>
    <row r="197" spans="1:4" ht="14.45" x14ac:dyDescent="0.3">
      <c r="A197">
        <v>11642</v>
      </c>
      <c r="B197" t="s">
        <v>9936</v>
      </c>
      <c r="C197" t="s">
        <v>5043</v>
      </c>
      <c r="D197" t="s">
        <v>8401</v>
      </c>
    </row>
    <row r="198" spans="1:4" ht="14.45" x14ac:dyDescent="0.3">
      <c r="A198">
        <v>6827</v>
      </c>
      <c r="B198" t="s">
        <v>9936</v>
      </c>
      <c r="C198" t="s">
        <v>5043</v>
      </c>
      <c r="D198" t="s">
        <v>8401</v>
      </c>
    </row>
    <row r="199" spans="1:4" ht="14.45" x14ac:dyDescent="0.3">
      <c r="A199">
        <v>11099</v>
      </c>
      <c r="B199" t="s">
        <v>9937</v>
      </c>
      <c r="C199" t="s">
        <v>5043</v>
      </c>
      <c r="D199" t="s">
        <v>8401</v>
      </c>
    </row>
    <row r="200" spans="1:4" ht="14.45" x14ac:dyDescent="0.3">
      <c r="A200">
        <v>10603</v>
      </c>
      <c r="B200" t="s">
        <v>9938</v>
      </c>
      <c r="C200" t="s">
        <v>5043</v>
      </c>
      <c r="D200" t="s">
        <v>8401</v>
      </c>
    </row>
    <row r="201" spans="1:4" ht="14.45" x14ac:dyDescent="0.3">
      <c r="A201">
        <v>6487</v>
      </c>
      <c r="B201" t="s">
        <v>9938</v>
      </c>
      <c r="C201" t="s">
        <v>5043</v>
      </c>
      <c r="D201" t="s">
        <v>8401</v>
      </c>
    </row>
    <row r="202" spans="1:4" ht="14.45" x14ac:dyDescent="0.3">
      <c r="A202">
        <v>7550</v>
      </c>
      <c r="B202" t="s">
        <v>9938</v>
      </c>
      <c r="C202" t="s">
        <v>5043</v>
      </c>
      <c r="D202" t="s">
        <v>8401</v>
      </c>
    </row>
    <row r="203" spans="1:4" ht="14.45" x14ac:dyDescent="0.3">
      <c r="A203">
        <v>7775</v>
      </c>
      <c r="B203" t="s">
        <v>9938</v>
      </c>
      <c r="C203" t="s">
        <v>5043</v>
      </c>
      <c r="D203" t="s">
        <v>8401</v>
      </c>
    </row>
    <row r="204" spans="1:4" ht="14.45" x14ac:dyDescent="0.3">
      <c r="A204">
        <v>8149</v>
      </c>
      <c r="B204" t="s">
        <v>9938</v>
      </c>
      <c r="C204" t="s">
        <v>5043</v>
      </c>
      <c r="D204" t="s">
        <v>8401</v>
      </c>
    </row>
    <row r="205" spans="1:4" ht="14.45" x14ac:dyDescent="0.3">
      <c r="A205">
        <v>6756</v>
      </c>
      <c r="B205" t="s">
        <v>9939</v>
      </c>
      <c r="C205" t="s">
        <v>5043</v>
      </c>
      <c r="D205" t="s">
        <v>8401</v>
      </c>
    </row>
    <row r="206" spans="1:4" ht="14.45" x14ac:dyDescent="0.3">
      <c r="A206">
        <v>9206</v>
      </c>
      <c r="B206" t="s">
        <v>9939</v>
      </c>
      <c r="C206" t="s">
        <v>5043</v>
      </c>
      <c r="D206" t="s">
        <v>8401</v>
      </c>
    </row>
    <row r="207" spans="1:4" ht="14.45" x14ac:dyDescent="0.3">
      <c r="A207">
        <v>9596</v>
      </c>
      <c r="B207" t="s">
        <v>9940</v>
      </c>
      <c r="C207" t="s">
        <v>5043</v>
      </c>
      <c r="D207" t="s">
        <v>8401</v>
      </c>
    </row>
    <row r="208" spans="1:4" ht="14.45" x14ac:dyDescent="0.3">
      <c r="A208">
        <v>10717</v>
      </c>
      <c r="B208" t="s">
        <v>9941</v>
      </c>
      <c r="C208" t="s">
        <v>5043</v>
      </c>
      <c r="D208" t="s">
        <v>8401</v>
      </c>
    </row>
    <row r="209" spans="1:4" ht="14.45" x14ac:dyDescent="0.3">
      <c r="A209">
        <v>10246</v>
      </c>
      <c r="B209" t="s">
        <v>9942</v>
      </c>
      <c r="C209" t="s">
        <v>5043</v>
      </c>
      <c r="D209" t="s">
        <v>8401</v>
      </c>
    </row>
    <row r="210" spans="1:4" ht="14.45" x14ac:dyDescent="0.3">
      <c r="A210">
        <v>9071</v>
      </c>
      <c r="B210" t="s">
        <v>9942</v>
      </c>
      <c r="C210" t="s">
        <v>5043</v>
      </c>
      <c r="D210" t="s">
        <v>8401</v>
      </c>
    </row>
    <row r="211" spans="1:4" ht="14.45" x14ac:dyDescent="0.3">
      <c r="A211">
        <v>6936</v>
      </c>
      <c r="B211" t="s">
        <v>9943</v>
      </c>
      <c r="C211" t="s">
        <v>5043</v>
      </c>
      <c r="D211" t="s">
        <v>8401</v>
      </c>
    </row>
    <row r="212" spans="1:4" ht="14.45" x14ac:dyDescent="0.3">
      <c r="A212">
        <v>7080</v>
      </c>
      <c r="B212" t="s">
        <v>9943</v>
      </c>
      <c r="C212" t="s">
        <v>5043</v>
      </c>
      <c r="D212" t="s">
        <v>8401</v>
      </c>
    </row>
    <row r="213" spans="1:4" ht="14.45" x14ac:dyDescent="0.3">
      <c r="A213">
        <v>12446</v>
      </c>
      <c r="B213" t="s">
        <v>11556</v>
      </c>
      <c r="C213" t="s">
        <v>5043</v>
      </c>
      <c r="D213" t="s">
        <v>8401</v>
      </c>
    </row>
    <row r="214" spans="1:4" ht="14.45" x14ac:dyDescent="0.3">
      <c r="A214">
        <v>12640</v>
      </c>
      <c r="B214" t="s">
        <v>11557</v>
      </c>
      <c r="C214" t="s">
        <v>5043</v>
      </c>
      <c r="D214" t="s">
        <v>8401</v>
      </c>
    </row>
    <row r="215" spans="1:4" ht="14.45" x14ac:dyDescent="0.3">
      <c r="A215">
        <v>12633</v>
      </c>
      <c r="B215" t="s">
        <v>11558</v>
      </c>
      <c r="C215" t="s">
        <v>5043</v>
      </c>
      <c r="D215" t="s">
        <v>8401</v>
      </c>
    </row>
    <row r="216" spans="1:4" ht="14.45" x14ac:dyDescent="0.3">
      <c r="A216">
        <v>12637</v>
      </c>
      <c r="B216" t="s">
        <v>11558</v>
      </c>
      <c r="C216" t="s">
        <v>5043</v>
      </c>
      <c r="D216" t="s">
        <v>8401</v>
      </c>
    </row>
    <row r="217" spans="1:4" ht="14.45" x14ac:dyDescent="0.3">
      <c r="A217">
        <v>11056</v>
      </c>
      <c r="B217" t="s">
        <v>9944</v>
      </c>
      <c r="C217" t="s">
        <v>5043</v>
      </c>
      <c r="D217" t="s">
        <v>8401</v>
      </c>
    </row>
    <row r="218" spans="1:4" ht="14.45" x14ac:dyDescent="0.3">
      <c r="A218">
        <v>8865</v>
      </c>
      <c r="B218" t="s">
        <v>9945</v>
      </c>
      <c r="C218" t="s">
        <v>5043</v>
      </c>
      <c r="D218" t="s">
        <v>8401</v>
      </c>
    </row>
    <row r="219" spans="1:4" ht="14.45" x14ac:dyDescent="0.3">
      <c r="A219">
        <v>9532</v>
      </c>
      <c r="B219" t="s">
        <v>9945</v>
      </c>
      <c r="C219" t="s">
        <v>5043</v>
      </c>
      <c r="D219" t="s">
        <v>8401</v>
      </c>
    </row>
    <row r="220" spans="1:4" ht="14.45" x14ac:dyDescent="0.3">
      <c r="A220">
        <v>7011</v>
      </c>
      <c r="B220" t="s">
        <v>9946</v>
      </c>
      <c r="C220" t="s">
        <v>5043</v>
      </c>
      <c r="D220" t="s">
        <v>8401</v>
      </c>
    </row>
    <row r="221" spans="1:4" ht="14.45" x14ac:dyDescent="0.3">
      <c r="A221">
        <v>7759</v>
      </c>
      <c r="B221" t="s">
        <v>9947</v>
      </c>
      <c r="C221" t="s">
        <v>5043</v>
      </c>
      <c r="D221" t="s">
        <v>8401</v>
      </c>
    </row>
    <row r="222" spans="1:4" ht="14.45" x14ac:dyDescent="0.3">
      <c r="A222">
        <v>8034</v>
      </c>
      <c r="B222" t="s">
        <v>9948</v>
      </c>
      <c r="C222" t="s">
        <v>5043</v>
      </c>
      <c r="D222" t="s">
        <v>8401</v>
      </c>
    </row>
    <row r="223" spans="1:4" ht="14.45" x14ac:dyDescent="0.3">
      <c r="A223">
        <v>9632</v>
      </c>
      <c r="B223" t="s">
        <v>9948</v>
      </c>
      <c r="C223" t="s">
        <v>5043</v>
      </c>
      <c r="D223" t="s">
        <v>8401</v>
      </c>
    </row>
    <row r="224" spans="1:4" ht="14.45" x14ac:dyDescent="0.3">
      <c r="A224">
        <v>10731</v>
      </c>
      <c r="B224" t="s">
        <v>9949</v>
      </c>
      <c r="C224" t="s">
        <v>5043</v>
      </c>
      <c r="D224" t="s">
        <v>8401</v>
      </c>
    </row>
    <row r="225" spans="1:4" ht="14.45" x14ac:dyDescent="0.3">
      <c r="A225">
        <v>10249</v>
      </c>
      <c r="B225" t="s">
        <v>9950</v>
      </c>
      <c r="C225" t="s">
        <v>5043</v>
      </c>
      <c r="D225" t="s">
        <v>8401</v>
      </c>
    </row>
    <row r="226" spans="1:4" ht="14.45" x14ac:dyDescent="0.3">
      <c r="A226">
        <v>6608</v>
      </c>
      <c r="B226" t="s">
        <v>9950</v>
      </c>
      <c r="C226" t="s">
        <v>5043</v>
      </c>
      <c r="D226" t="s">
        <v>8401</v>
      </c>
    </row>
    <row r="227" spans="1:4" ht="14.45" x14ac:dyDescent="0.3">
      <c r="A227">
        <v>8093</v>
      </c>
      <c r="B227" t="s">
        <v>9950</v>
      </c>
      <c r="C227" t="s">
        <v>5043</v>
      </c>
      <c r="D227" t="s">
        <v>8401</v>
      </c>
    </row>
    <row r="228" spans="1:4" ht="14.45" x14ac:dyDescent="0.3">
      <c r="A228">
        <v>10037</v>
      </c>
      <c r="B228" t="s">
        <v>9951</v>
      </c>
      <c r="C228" t="s">
        <v>5043</v>
      </c>
      <c r="D228" t="s">
        <v>8401</v>
      </c>
    </row>
    <row r="229" spans="1:4" ht="14.45" x14ac:dyDescent="0.3">
      <c r="A229">
        <v>8968</v>
      </c>
      <c r="B229" t="s">
        <v>9951</v>
      </c>
      <c r="C229" t="s">
        <v>5043</v>
      </c>
      <c r="D229" t="s">
        <v>8401</v>
      </c>
    </row>
    <row r="230" spans="1:4" ht="14.45" x14ac:dyDescent="0.3">
      <c r="A230">
        <v>6447</v>
      </c>
      <c r="B230" t="s">
        <v>9952</v>
      </c>
      <c r="C230" t="s">
        <v>5043</v>
      </c>
      <c r="D230" t="s">
        <v>8401</v>
      </c>
    </row>
    <row r="231" spans="1:4" ht="14.45" x14ac:dyDescent="0.3">
      <c r="A231">
        <v>7022</v>
      </c>
      <c r="B231" t="s">
        <v>9953</v>
      </c>
      <c r="C231" t="s">
        <v>5043</v>
      </c>
      <c r="D231" t="s">
        <v>8401</v>
      </c>
    </row>
    <row r="232" spans="1:4" ht="14.45" x14ac:dyDescent="0.3">
      <c r="A232">
        <v>8566</v>
      </c>
      <c r="B232" t="s">
        <v>9953</v>
      </c>
      <c r="C232" t="s">
        <v>5043</v>
      </c>
      <c r="D232" t="s">
        <v>8401</v>
      </c>
    </row>
    <row r="233" spans="1:4" ht="14.45" x14ac:dyDescent="0.3">
      <c r="A233">
        <v>8623</v>
      </c>
      <c r="B233" t="s">
        <v>9953</v>
      </c>
      <c r="C233" t="s">
        <v>5043</v>
      </c>
      <c r="D233" t="s">
        <v>8401</v>
      </c>
    </row>
    <row r="234" spans="1:4" ht="14.45" x14ac:dyDescent="0.3">
      <c r="A234">
        <v>8651</v>
      </c>
      <c r="B234" t="s">
        <v>9953</v>
      </c>
      <c r="C234" t="s">
        <v>5043</v>
      </c>
      <c r="D234" t="s">
        <v>8401</v>
      </c>
    </row>
    <row r="235" spans="1:4" ht="14.45" x14ac:dyDescent="0.3">
      <c r="A235">
        <v>8710</v>
      </c>
      <c r="B235" t="s">
        <v>9953</v>
      </c>
      <c r="C235" t="s">
        <v>5043</v>
      </c>
      <c r="D235" t="s">
        <v>8401</v>
      </c>
    </row>
    <row r="236" spans="1:4" ht="14.45" x14ac:dyDescent="0.3">
      <c r="A236">
        <v>7259</v>
      </c>
      <c r="B236" t="s">
        <v>9954</v>
      </c>
      <c r="C236" t="s">
        <v>5043</v>
      </c>
      <c r="D236" t="s">
        <v>8401</v>
      </c>
    </row>
    <row r="237" spans="1:4" ht="14.45" x14ac:dyDescent="0.3">
      <c r="A237">
        <v>9135</v>
      </c>
      <c r="B237" t="s">
        <v>9954</v>
      </c>
      <c r="C237" t="s">
        <v>5043</v>
      </c>
      <c r="D237" t="s">
        <v>8401</v>
      </c>
    </row>
    <row r="238" spans="1:4" ht="14.45" x14ac:dyDescent="0.3">
      <c r="A238">
        <v>6448</v>
      </c>
      <c r="B238" t="s">
        <v>9955</v>
      </c>
      <c r="C238" t="s">
        <v>5043</v>
      </c>
      <c r="D238" t="s">
        <v>8401</v>
      </c>
    </row>
    <row r="239" spans="1:4" ht="14.45" x14ac:dyDescent="0.3">
      <c r="A239">
        <v>9785</v>
      </c>
      <c r="B239" t="s">
        <v>9955</v>
      </c>
      <c r="C239" t="s">
        <v>5043</v>
      </c>
      <c r="D239" t="s">
        <v>8401</v>
      </c>
    </row>
    <row r="240" spans="1:4" ht="14.45" x14ac:dyDescent="0.3">
      <c r="A240">
        <v>10773</v>
      </c>
      <c r="B240" t="s">
        <v>9956</v>
      </c>
      <c r="C240" t="s">
        <v>5043</v>
      </c>
      <c r="D240" t="s">
        <v>8401</v>
      </c>
    </row>
    <row r="241" spans="1:4" ht="14.45" x14ac:dyDescent="0.3">
      <c r="A241">
        <v>11062</v>
      </c>
      <c r="B241" t="s">
        <v>9956</v>
      </c>
      <c r="C241" t="s">
        <v>5043</v>
      </c>
      <c r="D241" t="s">
        <v>8401</v>
      </c>
    </row>
    <row r="242" spans="1:4" ht="14.45" x14ac:dyDescent="0.3">
      <c r="A242">
        <v>11669</v>
      </c>
      <c r="B242" t="s">
        <v>9956</v>
      </c>
      <c r="C242" t="s">
        <v>5043</v>
      </c>
      <c r="D242" t="s">
        <v>8401</v>
      </c>
    </row>
    <row r="243" spans="1:4" ht="14.45" x14ac:dyDescent="0.3">
      <c r="A243">
        <v>6657</v>
      </c>
      <c r="B243" t="s">
        <v>9956</v>
      </c>
      <c r="C243" t="s">
        <v>5043</v>
      </c>
      <c r="D243" t="s">
        <v>8401</v>
      </c>
    </row>
    <row r="244" spans="1:4" ht="14.45" x14ac:dyDescent="0.3">
      <c r="A244">
        <v>6875</v>
      </c>
      <c r="B244" t="s">
        <v>9956</v>
      </c>
      <c r="C244" t="s">
        <v>5043</v>
      </c>
      <c r="D244" t="s">
        <v>8401</v>
      </c>
    </row>
    <row r="245" spans="1:4" ht="14.45" x14ac:dyDescent="0.3">
      <c r="A245">
        <v>7021</v>
      </c>
      <c r="B245" t="s">
        <v>9956</v>
      </c>
      <c r="C245" t="s">
        <v>5043</v>
      </c>
      <c r="D245" t="s">
        <v>8401</v>
      </c>
    </row>
    <row r="246" spans="1:4" ht="14.45" x14ac:dyDescent="0.3">
      <c r="A246">
        <v>7029</v>
      </c>
      <c r="B246" t="s">
        <v>9956</v>
      </c>
      <c r="C246" t="s">
        <v>5043</v>
      </c>
      <c r="D246" t="s">
        <v>8401</v>
      </c>
    </row>
    <row r="247" spans="1:4" ht="14.45" x14ac:dyDescent="0.3">
      <c r="A247">
        <v>7301</v>
      </c>
      <c r="B247" t="s">
        <v>9956</v>
      </c>
      <c r="C247" t="s">
        <v>5043</v>
      </c>
      <c r="D247" t="s">
        <v>8401</v>
      </c>
    </row>
    <row r="248" spans="1:4" ht="14.45" x14ac:dyDescent="0.3">
      <c r="A248">
        <v>7566</v>
      </c>
      <c r="B248" t="s">
        <v>9956</v>
      </c>
      <c r="C248" t="s">
        <v>5043</v>
      </c>
      <c r="D248" t="s">
        <v>8401</v>
      </c>
    </row>
    <row r="249" spans="1:4" ht="14.45" x14ac:dyDescent="0.3">
      <c r="A249">
        <v>7676</v>
      </c>
      <c r="B249" t="s">
        <v>9956</v>
      </c>
      <c r="C249" t="s">
        <v>5043</v>
      </c>
      <c r="D249" t="s">
        <v>8401</v>
      </c>
    </row>
    <row r="250" spans="1:4" ht="14.45" x14ac:dyDescent="0.3">
      <c r="A250">
        <v>8238</v>
      </c>
      <c r="B250" t="s">
        <v>9956</v>
      </c>
      <c r="C250" t="s">
        <v>5043</v>
      </c>
      <c r="D250" t="s">
        <v>8401</v>
      </c>
    </row>
    <row r="251" spans="1:4" ht="14.45" x14ac:dyDescent="0.3">
      <c r="A251">
        <v>8859</v>
      </c>
      <c r="B251" t="s">
        <v>9956</v>
      </c>
      <c r="C251" t="s">
        <v>5043</v>
      </c>
      <c r="D251" t="s">
        <v>8401</v>
      </c>
    </row>
    <row r="252" spans="1:4" ht="14.45" x14ac:dyDescent="0.3">
      <c r="A252">
        <v>8886</v>
      </c>
      <c r="B252" t="s">
        <v>9956</v>
      </c>
      <c r="C252" t="s">
        <v>5043</v>
      </c>
      <c r="D252" t="s">
        <v>8401</v>
      </c>
    </row>
    <row r="253" spans="1:4" ht="14.45" x14ac:dyDescent="0.3">
      <c r="A253">
        <v>8946</v>
      </c>
      <c r="B253" t="s">
        <v>9956</v>
      </c>
      <c r="C253" t="s">
        <v>5043</v>
      </c>
      <c r="D253" t="s">
        <v>8401</v>
      </c>
    </row>
    <row r="254" spans="1:4" ht="14.45" x14ac:dyDescent="0.3">
      <c r="A254">
        <v>9002</v>
      </c>
      <c r="B254" t="s">
        <v>9956</v>
      </c>
      <c r="C254" t="s">
        <v>5043</v>
      </c>
      <c r="D254" t="s">
        <v>8401</v>
      </c>
    </row>
    <row r="255" spans="1:4" ht="14.45" x14ac:dyDescent="0.3">
      <c r="A255">
        <v>9144</v>
      </c>
      <c r="B255" t="s">
        <v>9956</v>
      </c>
      <c r="C255" t="s">
        <v>5043</v>
      </c>
      <c r="D255" t="s">
        <v>8401</v>
      </c>
    </row>
    <row r="256" spans="1:4" ht="14.45" x14ac:dyDescent="0.3">
      <c r="A256">
        <v>9401</v>
      </c>
      <c r="B256" t="s">
        <v>9956</v>
      </c>
      <c r="C256" t="s">
        <v>5043</v>
      </c>
      <c r="D256" t="s">
        <v>8401</v>
      </c>
    </row>
    <row r="257" spans="1:4" ht="14.45" x14ac:dyDescent="0.3">
      <c r="A257">
        <v>9508</v>
      </c>
      <c r="B257" t="s">
        <v>9956</v>
      </c>
      <c r="C257" t="s">
        <v>5043</v>
      </c>
      <c r="D257" t="s">
        <v>8401</v>
      </c>
    </row>
    <row r="258" spans="1:4" ht="14.45" x14ac:dyDescent="0.3">
      <c r="A258">
        <v>9624</v>
      </c>
      <c r="B258" t="s">
        <v>9956</v>
      </c>
      <c r="C258" t="s">
        <v>5043</v>
      </c>
      <c r="D258" t="s">
        <v>8401</v>
      </c>
    </row>
    <row r="259" spans="1:4" ht="14.45" x14ac:dyDescent="0.3">
      <c r="A259">
        <v>6499</v>
      </c>
      <c r="B259" t="s">
        <v>9957</v>
      </c>
      <c r="C259" t="s">
        <v>5043</v>
      </c>
      <c r="D259" t="s">
        <v>8401</v>
      </c>
    </row>
    <row r="260" spans="1:4" ht="14.45" x14ac:dyDescent="0.3">
      <c r="A260">
        <v>7353</v>
      </c>
      <c r="B260" t="s">
        <v>9958</v>
      </c>
      <c r="C260" t="s">
        <v>5043</v>
      </c>
      <c r="D260" t="s">
        <v>8401</v>
      </c>
    </row>
    <row r="261" spans="1:4" ht="14.45" x14ac:dyDescent="0.3">
      <c r="A261">
        <v>8152</v>
      </c>
      <c r="B261" t="s">
        <v>9959</v>
      </c>
      <c r="C261" t="s">
        <v>5043</v>
      </c>
      <c r="D261" t="s">
        <v>8401</v>
      </c>
    </row>
    <row r="262" spans="1:4" ht="14.45" x14ac:dyDescent="0.3">
      <c r="A262">
        <v>8941</v>
      </c>
      <c r="B262" t="s">
        <v>9959</v>
      </c>
      <c r="C262" t="s">
        <v>5043</v>
      </c>
      <c r="D262" t="s">
        <v>8401</v>
      </c>
    </row>
    <row r="263" spans="1:4" ht="14.45" x14ac:dyDescent="0.3">
      <c r="A263">
        <v>7855</v>
      </c>
      <c r="B263" t="s">
        <v>9960</v>
      </c>
      <c r="C263" t="s">
        <v>5043</v>
      </c>
      <c r="D263" t="s">
        <v>8401</v>
      </c>
    </row>
    <row r="264" spans="1:4" ht="14.45" x14ac:dyDescent="0.3">
      <c r="A264">
        <v>11542</v>
      </c>
      <c r="B264" t="s">
        <v>9961</v>
      </c>
      <c r="C264" t="s">
        <v>5043</v>
      </c>
      <c r="D264" t="s">
        <v>8401</v>
      </c>
    </row>
    <row r="265" spans="1:4" ht="14.45" x14ac:dyDescent="0.3">
      <c r="A265">
        <v>7654</v>
      </c>
      <c r="B265" t="s">
        <v>9961</v>
      </c>
      <c r="C265" t="s">
        <v>5043</v>
      </c>
      <c r="D265" t="s">
        <v>8401</v>
      </c>
    </row>
    <row r="266" spans="1:4" ht="14.45" x14ac:dyDescent="0.3">
      <c r="A266">
        <v>9190</v>
      </c>
      <c r="B266" t="s">
        <v>9961</v>
      </c>
      <c r="C266" t="s">
        <v>5043</v>
      </c>
      <c r="D266" t="s">
        <v>8401</v>
      </c>
    </row>
    <row r="267" spans="1:4" ht="14.45" x14ac:dyDescent="0.3">
      <c r="A267">
        <v>9411</v>
      </c>
      <c r="B267" t="s">
        <v>9961</v>
      </c>
      <c r="C267" t="s">
        <v>5043</v>
      </c>
      <c r="D267" t="s">
        <v>8401</v>
      </c>
    </row>
    <row r="268" spans="1:4" ht="14.45" x14ac:dyDescent="0.3">
      <c r="A268">
        <v>6561</v>
      </c>
      <c r="B268" t="s">
        <v>9962</v>
      </c>
      <c r="C268" t="s">
        <v>5043</v>
      </c>
      <c r="D268" t="s">
        <v>8401</v>
      </c>
    </row>
    <row r="269" spans="1:4" ht="14.45" x14ac:dyDescent="0.3">
      <c r="A269">
        <v>11487</v>
      </c>
      <c r="B269" t="s">
        <v>9963</v>
      </c>
      <c r="C269" t="s">
        <v>5043</v>
      </c>
      <c r="D269" t="s">
        <v>8401</v>
      </c>
    </row>
    <row r="270" spans="1:4" ht="14.45" x14ac:dyDescent="0.3">
      <c r="A270">
        <v>10312</v>
      </c>
      <c r="B270" t="s">
        <v>9964</v>
      </c>
      <c r="C270" t="s">
        <v>5043</v>
      </c>
      <c r="D270" t="s">
        <v>8401</v>
      </c>
    </row>
    <row r="271" spans="1:4" ht="14.45" x14ac:dyDescent="0.3">
      <c r="A271">
        <v>10510</v>
      </c>
      <c r="B271" t="s">
        <v>9964</v>
      </c>
      <c r="C271" t="s">
        <v>5043</v>
      </c>
      <c r="D271" t="s">
        <v>8401</v>
      </c>
    </row>
    <row r="272" spans="1:4" ht="14.45" x14ac:dyDescent="0.3">
      <c r="A272">
        <v>11300</v>
      </c>
      <c r="B272" t="s">
        <v>9964</v>
      </c>
      <c r="C272" t="s">
        <v>5043</v>
      </c>
      <c r="D272" t="s">
        <v>8401</v>
      </c>
    </row>
    <row r="273" spans="1:4" ht="14.45" x14ac:dyDescent="0.3">
      <c r="A273">
        <v>12376</v>
      </c>
      <c r="B273" t="s">
        <v>9964</v>
      </c>
      <c r="C273" t="s">
        <v>5043</v>
      </c>
      <c r="D273" t="s">
        <v>8401</v>
      </c>
    </row>
    <row r="274" spans="1:4" ht="14.45" x14ac:dyDescent="0.3">
      <c r="A274">
        <v>12377</v>
      </c>
      <c r="B274" t="s">
        <v>9964</v>
      </c>
      <c r="C274" t="s">
        <v>5043</v>
      </c>
      <c r="D274" t="s">
        <v>8401</v>
      </c>
    </row>
    <row r="275" spans="1:4" ht="14.45" x14ac:dyDescent="0.3">
      <c r="A275">
        <v>12378</v>
      </c>
      <c r="B275" t="s">
        <v>9964</v>
      </c>
      <c r="C275" t="s">
        <v>5043</v>
      </c>
      <c r="D275" t="s">
        <v>8401</v>
      </c>
    </row>
    <row r="276" spans="1:4" ht="14.45" x14ac:dyDescent="0.3">
      <c r="A276">
        <v>12379</v>
      </c>
      <c r="B276" t="s">
        <v>9964</v>
      </c>
      <c r="C276" t="s">
        <v>5043</v>
      </c>
      <c r="D276" t="s">
        <v>8401</v>
      </c>
    </row>
    <row r="277" spans="1:4" ht="14.45" x14ac:dyDescent="0.3">
      <c r="A277">
        <v>12380</v>
      </c>
      <c r="B277" t="s">
        <v>9964</v>
      </c>
      <c r="C277" t="s">
        <v>5043</v>
      </c>
      <c r="D277" t="s">
        <v>8401</v>
      </c>
    </row>
    <row r="278" spans="1:4" ht="14.45" x14ac:dyDescent="0.3">
      <c r="A278">
        <v>12381</v>
      </c>
      <c r="B278" t="s">
        <v>9964</v>
      </c>
      <c r="C278" t="s">
        <v>5043</v>
      </c>
      <c r="D278" t="s">
        <v>8401</v>
      </c>
    </row>
    <row r="279" spans="1:4" ht="14.45" x14ac:dyDescent="0.3">
      <c r="A279">
        <v>7552</v>
      </c>
      <c r="B279" t="s">
        <v>9964</v>
      </c>
      <c r="C279" t="s">
        <v>5043</v>
      </c>
      <c r="D279" t="s">
        <v>8401</v>
      </c>
    </row>
    <row r="280" spans="1:4" ht="14.45" x14ac:dyDescent="0.3">
      <c r="A280">
        <v>7737</v>
      </c>
      <c r="B280" t="s">
        <v>9964</v>
      </c>
      <c r="C280" t="s">
        <v>5043</v>
      </c>
      <c r="D280" t="s">
        <v>8401</v>
      </c>
    </row>
    <row r="281" spans="1:4" ht="14.45" x14ac:dyDescent="0.3">
      <c r="A281">
        <v>8083</v>
      </c>
      <c r="B281" t="s">
        <v>9964</v>
      </c>
      <c r="C281" t="s">
        <v>5043</v>
      </c>
      <c r="D281" t="s">
        <v>8401</v>
      </c>
    </row>
    <row r="282" spans="1:4" ht="14.45" x14ac:dyDescent="0.3">
      <c r="A282">
        <v>8501</v>
      </c>
      <c r="B282" t="s">
        <v>9964</v>
      </c>
      <c r="C282" t="s">
        <v>5043</v>
      </c>
      <c r="D282" t="s">
        <v>8401</v>
      </c>
    </row>
    <row r="283" spans="1:4" ht="14.45" x14ac:dyDescent="0.3">
      <c r="A283">
        <v>9155</v>
      </c>
      <c r="B283" t="s">
        <v>9964</v>
      </c>
      <c r="C283" t="s">
        <v>5043</v>
      </c>
      <c r="D283" t="s">
        <v>8401</v>
      </c>
    </row>
    <row r="284" spans="1:4" ht="14.45" x14ac:dyDescent="0.3">
      <c r="A284">
        <v>10852</v>
      </c>
      <c r="B284" t="s">
        <v>9965</v>
      </c>
      <c r="C284" t="s">
        <v>5043</v>
      </c>
      <c r="D284" t="s">
        <v>8401</v>
      </c>
    </row>
    <row r="285" spans="1:4" ht="14.45" x14ac:dyDescent="0.3">
      <c r="A285">
        <v>12486</v>
      </c>
      <c r="B285" t="s">
        <v>9965</v>
      </c>
      <c r="C285" t="s">
        <v>5043</v>
      </c>
      <c r="D285" t="s">
        <v>8401</v>
      </c>
    </row>
    <row r="286" spans="1:4" ht="14.45" x14ac:dyDescent="0.3">
      <c r="A286">
        <v>10244</v>
      </c>
      <c r="B286" t="s">
        <v>9966</v>
      </c>
      <c r="C286" t="s">
        <v>5043</v>
      </c>
      <c r="D286" t="s">
        <v>8401</v>
      </c>
    </row>
    <row r="287" spans="1:4" ht="14.45" x14ac:dyDescent="0.3">
      <c r="A287">
        <v>12578</v>
      </c>
      <c r="B287" t="s">
        <v>9966</v>
      </c>
      <c r="C287" t="s">
        <v>5043</v>
      </c>
      <c r="D287" t="s">
        <v>8401</v>
      </c>
    </row>
    <row r="288" spans="1:4" ht="14.45" x14ac:dyDescent="0.3">
      <c r="A288">
        <v>11230</v>
      </c>
      <c r="B288" t="s">
        <v>9967</v>
      </c>
      <c r="C288" t="s">
        <v>5043</v>
      </c>
      <c r="D288" t="s">
        <v>8401</v>
      </c>
    </row>
    <row r="289" spans="1:4" ht="14.45" x14ac:dyDescent="0.3">
      <c r="A289">
        <v>6775</v>
      </c>
      <c r="B289" t="s">
        <v>9967</v>
      </c>
      <c r="C289" t="s">
        <v>5043</v>
      </c>
      <c r="D289" t="s">
        <v>8401</v>
      </c>
    </row>
    <row r="290" spans="1:4" ht="14.45" x14ac:dyDescent="0.3">
      <c r="A290">
        <v>11513</v>
      </c>
      <c r="B290" t="s">
        <v>9968</v>
      </c>
      <c r="C290" t="s">
        <v>5043</v>
      </c>
      <c r="D290" t="s">
        <v>8401</v>
      </c>
    </row>
    <row r="291" spans="1:4" ht="14.45" x14ac:dyDescent="0.3">
      <c r="A291">
        <v>12576</v>
      </c>
      <c r="B291" t="s">
        <v>9968</v>
      </c>
      <c r="C291" t="s">
        <v>5043</v>
      </c>
      <c r="D291" t="s">
        <v>8401</v>
      </c>
    </row>
    <row r="292" spans="1:4" ht="14.45" x14ac:dyDescent="0.3">
      <c r="A292">
        <v>12577</v>
      </c>
      <c r="B292" t="s">
        <v>9968</v>
      </c>
      <c r="C292" t="s">
        <v>5043</v>
      </c>
      <c r="D292" t="s">
        <v>8401</v>
      </c>
    </row>
    <row r="293" spans="1:4" ht="14.45" x14ac:dyDescent="0.3">
      <c r="A293">
        <v>12579</v>
      </c>
      <c r="B293" t="s">
        <v>9968</v>
      </c>
      <c r="C293" t="s">
        <v>5043</v>
      </c>
      <c r="D293" t="s">
        <v>8401</v>
      </c>
    </row>
    <row r="294" spans="1:4" ht="14.45" x14ac:dyDescent="0.3">
      <c r="A294">
        <v>12581</v>
      </c>
      <c r="B294" t="s">
        <v>9968</v>
      </c>
      <c r="C294" t="s">
        <v>5043</v>
      </c>
      <c r="D294" t="s">
        <v>8401</v>
      </c>
    </row>
    <row r="295" spans="1:4" ht="14.45" x14ac:dyDescent="0.3">
      <c r="A295">
        <v>12582</v>
      </c>
      <c r="B295" t="s">
        <v>9968</v>
      </c>
      <c r="C295" t="s">
        <v>5043</v>
      </c>
      <c r="D295" t="s">
        <v>8401</v>
      </c>
    </row>
    <row r="296" spans="1:4" ht="14.45" x14ac:dyDescent="0.3">
      <c r="A296">
        <v>12583</v>
      </c>
      <c r="B296" t="s">
        <v>9968</v>
      </c>
      <c r="C296" t="s">
        <v>5043</v>
      </c>
      <c r="D296" t="s">
        <v>8401</v>
      </c>
    </row>
    <row r="297" spans="1:4" ht="14.45" x14ac:dyDescent="0.3">
      <c r="A297">
        <v>9697</v>
      </c>
      <c r="B297" t="s">
        <v>9968</v>
      </c>
      <c r="C297" t="s">
        <v>5043</v>
      </c>
      <c r="D297" t="s">
        <v>8401</v>
      </c>
    </row>
    <row r="298" spans="1:4" ht="14.45" x14ac:dyDescent="0.3">
      <c r="A298">
        <v>10272</v>
      </c>
      <c r="B298" t="s">
        <v>9969</v>
      </c>
      <c r="C298" t="s">
        <v>5043</v>
      </c>
      <c r="D298" t="s">
        <v>8401</v>
      </c>
    </row>
    <row r="299" spans="1:4" ht="14.45" x14ac:dyDescent="0.3">
      <c r="A299">
        <v>10556</v>
      </c>
      <c r="B299" t="s">
        <v>9969</v>
      </c>
      <c r="C299" t="s">
        <v>5043</v>
      </c>
      <c r="D299" t="s">
        <v>8401</v>
      </c>
    </row>
    <row r="300" spans="1:4" ht="14.45" x14ac:dyDescent="0.3">
      <c r="A300">
        <v>11447</v>
      </c>
      <c r="B300" t="s">
        <v>9969</v>
      </c>
      <c r="C300" t="s">
        <v>5043</v>
      </c>
      <c r="D300" t="s">
        <v>8401</v>
      </c>
    </row>
    <row r="301" spans="1:4" ht="14.45" x14ac:dyDescent="0.3">
      <c r="A301">
        <v>7580</v>
      </c>
      <c r="B301" t="s">
        <v>9969</v>
      </c>
      <c r="C301" t="s">
        <v>5043</v>
      </c>
      <c r="D301" t="s">
        <v>8401</v>
      </c>
    </row>
    <row r="302" spans="1:4" ht="14.45" x14ac:dyDescent="0.3">
      <c r="A302">
        <v>10044</v>
      </c>
      <c r="B302" t="s">
        <v>8645</v>
      </c>
      <c r="C302" t="s">
        <v>5043</v>
      </c>
      <c r="D302" t="s">
        <v>8401</v>
      </c>
    </row>
    <row r="303" spans="1:4" ht="14.45" x14ac:dyDescent="0.3">
      <c r="A303">
        <v>11614</v>
      </c>
      <c r="B303" t="s">
        <v>8646</v>
      </c>
      <c r="C303" t="s">
        <v>5043</v>
      </c>
      <c r="D303" t="s">
        <v>8401</v>
      </c>
    </row>
    <row r="304" spans="1:4" ht="14.45" x14ac:dyDescent="0.3">
      <c r="A304">
        <v>9397</v>
      </c>
      <c r="B304" t="s">
        <v>8646</v>
      </c>
      <c r="C304" t="s">
        <v>5043</v>
      </c>
      <c r="D304" t="s">
        <v>8401</v>
      </c>
    </row>
    <row r="305" spans="1:4" ht="14.45" x14ac:dyDescent="0.3">
      <c r="A305">
        <v>9577</v>
      </c>
      <c r="B305" t="s">
        <v>8647</v>
      </c>
      <c r="C305" t="s">
        <v>5043</v>
      </c>
      <c r="D305" t="s">
        <v>8401</v>
      </c>
    </row>
    <row r="306" spans="1:4" ht="14.45" x14ac:dyDescent="0.3">
      <c r="A306">
        <v>6578</v>
      </c>
      <c r="B306" t="s">
        <v>8648</v>
      </c>
      <c r="C306" t="s">
        <v>5043</v>
      </c>
      <c r="D306" t="s">
        <v>8401</v>
      </c>
    </row>
    <row r="307" spans="1:4" ht="14.45" x14ac:dyDescent="0.3">
      <c r="A307">
        <v>7809</v>
      </c>
      <c r="B307" t="s">
        <v>8648</v>
      </c>
      <c r="C307" t="s">
        <v>5043</v>
      </c>
      <c r="D307" t="s">
        <v>8401</v>
      </c>
    </row>
    <row r="308" spans="1:4" ht="14.45" x14ac:dyDescent="0.3">
      <c r="A308">
        <v>6623</v>
      </c>
      <c r="B308" t="s">
        <v>9970</v>
      </c>
      <c r="C308" t="s">
        <v>5043</v>
      </c>
      <c r="D308" t="s">
        <v>8401</v>
      </c>
    </row>
    <row r="309" spans="1:4" ht="14.45" x14ac:dyDescent="0.3">
      <c r="A309">
        <v>9800</v>
      </c>
      <c r="B309" t="s">
        <v>9970</v>
      </c>
      <c r="C309" t="s">
        <v>5043</v>
      </c>
      <c r="D309" t="s">
        <v>8401</v>
      </c>
    </row>
    <row r="310" spans="1:4" ht="14.45" x14ac:dyDescent="0.3">
      <c r="A310">
        <v>10503</v>
      </c>
      <c r="B310" t="s">
        <v>8649</v>
      </c>
      <c r="C310" t="s">
        <v>5043</v>
      </c>
      <c r="D310" t="s">
        <v>8401</v>
      </c>
    </row>
    <row r="311" spans="1:4" ht="14.45" x14ac:dyDescent="0.3">
      <c r="A311">
        <v>6544</v>
      </c>
      <c r="B311" t="s">
        <v>8649</v>
      </c>
      <c r="C311" t="s">
        <v>5043</v>
      </c>
      <c r="D311" t="s">
        <v>8401</v>
      </c>
    </row>
    <row r="312" spans="1:4" ht="14.45" x14ac:dyDescent="0.3">
      <c r="A312">
        <v>6864</v>
      </c>
      <c r="B312" t="s">
        <v>8649</v>
      </c>
      <c r="C312" t="s">
        <v>5043</v>
      </c>
      <c r="D312" t="s">
        <v>8401</v>
      </c>
    </row>
    <row r="313" spans="1:4" ht="14.45" x14ac:dyDescent="0.3">
      <c r="A313">
        <v>7034</v>
      </c>
      <c r="B313" t="s">
        <v>8649</v>
      </c>
      <c r="C313" t="s">
        <v>5043</v>
      </c>
      <c r="D313" t="s">
        <v>8401</v>
      </c>
    </row>
    <row r="314" spans="1:4" ht="14.45" x14ac:dyDescent="0.3">
      <c r="A314">
        <v>8249</v>
      </c>
      <c r="B314" t="s">
        <v>8649</v>
      </c>
      <c r="C314" t="s">
        <v>5043</v>
      </c>
      <c r="D314" t="s">
        <v>8401</v>
      </c>
    </row>
    <row r="315" spans="1:4" ht="14.45" x14ac:dyDescent="0.3">
      <c r="A315">
        <v>7393</v>
      </c>
      <c r="B315" t="s">
        <v>8650</v>
      </c>
      <c r="C315" t="s">
        <v>5043</v>
      </c>
      <c r="D315" t="s">
        <v>8401</v>
      </c>
    </row>
    <row r="316" spans="1:4" ht="14.45" x14ac:dyDescent="0.3">
      <c r="A316">
        <v>11450</v>
      </c>
      <c r="B316" t="s">
        <v>8651</v>
      </c>
      <c r="C316" t="s">
        <v>5043</v>
      </c>
      <c r="D316" t="s">
        <v>8401</v>
      </c>
    </row>
    <row r="317" spans="1:4" ht="14.45" x14ac:dyDescent="0.3">
      <c r="A317">
        <v>8520</v>
      </c>
      <c r="B317" t="s">
        <v>8652</v>
      </c>
      <c r="C317" t="s">
        <v>5043</v>
      </c>
      <c r="D317" t="s">
        <v>8401</v>
      </c>
    </row>
    <row r="318" spans="1:4" ht="14.45" x14ac:dyDescent="0.3">
      <c r="A318">
        <v>10532</v>
      </c>
      <c r="B318" t="s">
        <v>9971</v>
      </c>
      <c r="C318" t="s">
        <v>5043</v>
      </c>
      <c r="D318" t="s">
        <v>8401</v>
      </c>
    </row>
    <row r="319" spans="1:4" ht="14.45" x14ac:dyDescent="0.3">
      <c r="A319">
        <v>8661</v>
      </c>
      <c r="B319" t="s">
        <v>9971</v>
      </c>
      <c r="C319" t="s">
        <v>5043</v>
      </c>
      <c r="D319" t="s">
        <v>8401</v>
      </c>
    </row>
    <row r="320" spans="1:4" ht="14.45" x14ac:dyDescent="0.3">
      <c r="A320">
        <v>9873</v>
      </c>
      <c r="B320" t="s">
        <v>9971</v>
      </c>
      <c r="C320" t="s">
        <v>5043</v>
      </c>
      <c r="D320" t="s">
        <v>8401</v>
      </c>
    </row>
    <row r="321" spans="1:4" ht="14.45" x14ac:dyDescent="0.3">
      <c r="A321">
        <v>9777</v>
      </c>
      <c r="B321" t="s">
        <v>9972</v>
      </c>
      <c r="C321" t="s">
        <v>5043</v>
      </c>
      <c r="D321" t="s">
        <v>8401</v>
      </c>
    </row>
    <row r="322" spans="1:4" ht="14.45" x14ac:dyDescent="0.3">
      <c r="A322">
        <v>6844</v>
      </c>
      <c r="B322" t="s">
        <v>9973</v>
      </c>
      <c r="C322" t="s">
        <v>5043</v>
      </c>
      <c r="D322" t="s">
        <v>8401</v>
      </c>
    </row>
    <row r="323" spans="1:4" ht="14.45" x14ac:dyDescent="0.3">
      <c r="A323">
        <v>10105</v>
      </c>
      <c r="B323" t="s">
        <v>9974</v>
      </c>
      <c r="C323" t="s">
        <v>5043</v>
      </c>
      <c r="D323" t="s">
        <v>8401</v>
      </c>
    </row>
    <row r="324" spans="1:4" ht="14.45" x14ac:dyDescent="0.3">
      <c r="A324">
        <v>7096</v>
      </c>
      <c r="B324" t="s">
        <v>9974</v>
      </c>
      <c r="C324" t="s">
        <v>5043</v>
      </c>
      <c r="D324" t="s">
        <v>8401</v>
      </c>
    </row>
    <row r="325" spans="1:4" ht="14.45" x14ac:dyDescent="0.3">
      <c r="A325">
        <v>7285</v>
      </c>
      <c r="B325" t="s">
        <v>9974</v>
      </c>
      <c r="C325" t="s">
        <v>5043</v>
      </c>
      <c r="D325" t="s">
        <v>8401</v>
      </c>
    </row>
    <row r="326" spans="1:4" ht="14.45" x14ac:dyDescent="0.3">
      <c r="A326">
        <v>6596</v>
      </c>
      <c r="B326" t="s">
        <v>9975</v>
      </c>
      <c r="C326" t="s">
        <v>5043</v>
      </c>
      <c r="D326" t="s">
        <v>8401</v>
      </c>
    </row>
    <row r="327" spans="1:4" ht="14.45" x14ac:dyDescent="0.3">
      <c r="A327">
        <v>10812</v>
      </c>
      <c r="B327" t="s">
        <v>9976</v>
      </c>
      <c r="C327" t="s">
        <v>5043</v>
      </c>
      <c r="D327" t="s">
        <v>8401</v>
      </c>
    </row>
    <row r="328" spans="1:4" ht="14.45" x14ac:dyDescent="0.3">
      <c r="A328">
        <v>11039</v>
      </c>
      <c r="B328" t="s">
        <v>9976</v>
      </c>
      <c r="C328" t="s">
        <v>5043</v>
      </c>
      <c r="D328" t="s">
        <v>8401</v>
      </c>
    </row>
    <row r="329" spans="1:4" ht="14.45" x14ac:dyDescent="0.3">
      <c r="A329">
        <v>11064</v>
      </c>
      <c r="B329" t="s">
        <v>9976</v>
      </c>
      <c r="C329" t="s">
        <v>5043</v>
      </c>
      <c r="D329" t="s">
        <v>8401</v>
      </c>
    </row>
    <row r="330" spans="1:4" ht="14.45" x14ac:dyDescent="0.3">
      <c r="A330">
        <v>9679</v>
      </c>
      <c r="B330" t="s">
        <v>9976</v>
      </c>
      <c r="C330" t="s">
        <v>5043</v>
      </c>
      <c r="D330" t="s">
        <v>8401</v>
      </c>
    </row>
    <row r="331" spans="1:4" ht="14.45" x14ac:dyDescent="0.3">
      <c r="A331">
        <v>7390</v>
      </c>
      <c r="B331" t="s">
        <v>9977</v>
      </c>
      <c r="C331" t="s">
        <v>5043</v>
      </c>
      <c r="D331" t="s">
        <v>8401</v>
      </c>
    </row>
    <row r="332" spans="1:4" ht="14.45" x14ac:dyDescent="0.3">
      <c r="A332">
        <v>8298</v>
      </c>
      <c r="B332" t="s">
        <v>9977</v>
      </c>
      <c r="C332" t="s">
        <v>5043</v>
      </c>
      <c r="D332" t="s">
        <v>8401</v>
      </c>
    </row>
    <row r="333" spans="1:4" ht="14.45" x14ac:dyDescent="0.3">
      <c r="A333">
        <v>11528</v>
      </c>
      <c r="B333" t="s">
        <v>9978</v>
      </c>
      <c r="C333" t="s">
        <v>5043</v>
      </c>
      <c r="D333" t="s">
        <v>8401</v>
      </c>
    </row>
    <row r="334" spans="1:4" ht="14.45" x14ac:dyDescent="0.3">
      <c r="A334">
        <v>8464</v>
      </c>
      <c r="B334" t="s">
        <v>9978</v>
      </c>
      <c r="C334" t="s">
        <v>5043</v>
      </c>
      <c r="D334" t="s">
        <v>8401</v>
      </c>
    </row>
    <row r="335" spans="1:4" ht="14.45" x14ac:dyDescent="0.3">
      <c r="A335">
        <v>8879</v>
      </c>
      <c r="B335" t="s">
        <v>9978</v>
      </c>
      <c r="C335" t="s">
        <v>5043</v>
      </c>
      <c r="D335" t="s">
        <v>8401</v>
      </c>
    </row>
    <row r="336" spans="1:4" ht="14.45" x14ac:dyDescent="0.3">
      <c r="A336">
        <v>10652</v>
      </c>
      <c r="B336" t="s">
        <v>9979</v>
      </c>
      <c r="C336" t="s">
        <v>5043</v>
      </c>
      <c r="D336" t="s">
        <v>8401</v>
      </c>
    </row>
    <row r="337" spans="1:4" ht="14.45" x14ac:dyDescent="0.3">
      <c r="A337">
        <v>10883</v>
      </c>
      <c r="B337" t="s">
        <v>9980</v>
      </c>
      <c r="C337" t="s">
        <v>5043</v>
      </c>
      <c r="D337" t="s">
        <v>8401</v>
      </c>
    </row>
    <row r="338" spans="1:4" ht="14.45" x14ac:dyDescent="0.3">
      <c r="A338">
        <v>11581</v>
      </c>
      <c r="B338" t="s">
        <v>9981</v>
      </c>
      <c r="C338" t="s">
        <v>5043</v>
      </c>
      <c r="D338" t="s">
        <v>8401</v>
      </c>
    </row>
    <row r="339" spans="1:4" ht="14.45" x14ac:dyDescent="0.3">
      <c r="A339">
        <v>8728</v>
      </c>
      <c r="B339" t="s">
        <v>9981</v>
      </c>
      <c r="C339" t="s">
        <v>5043</v>
      </c>
      <c r="D339" t="s">
        <v>8401</v>
      </c>
    </row>
    <row r="340" spans="1:4" ht="14.45" x14ac:dyDescent="0.3">
      <c r="A340">
        <v>11306</v>
      </c>
      <c r="B340" t="s">
        <v>9982</v>
      </c>
      <c r="C340" t="s">
        <v>5043</v>
      </c>
      <c r="D340" t="s">
        <v>8401</v>
      </c>
    </row>
    <row r="341" spans="1:4" ht="14.45" x14ac:dyDescent="0.3">
      <c r="A341">
        <v>7066</v>
      </c>
      <c r="B341" t="s">
        <v>9982</v>
      </c>
      <c r="C341" t="s">
        <v>5043</v>
      </c>
      <c r="D341" t="s">
        <v>8401</v>
      </c>
    </row>
    <row r="342" spans="1:4" ht="14.45" x14ac:dyDescent="0.3">
      <c r="A342">
        <v>10040</v>
      </c>
      <c r="B342" t="s">
        <v>8653</v>
      </c>
      <c r="C342" t="s">
        <v>5043</v>
      </c>
      <c r="D342" t="s">
        <v>8401</v>
      </c>
    </row>
    <row r="343" spans="1:4" ht="14.45" x14ac:dyDescent="0.3">
      <c r="A343">
        <v>10058</v>
      </c>
      <c r="B343" t="s">
        <v>8653</v>
      </c>
      <c r="C343" t="s">
        <v>5043</v>
      </c>
      <c r="D343" t="s">
        <v>8401</v>
      </c>
    </row>
    <row r="344" spans="1:4" ht="14.45" x14ac:dyDescent="0.3">
      <c r="A344">
        <v>10080</v>
      </c>
      <c r="B344" t="s">
        <v>8653</v>
      </c>
      <c r="C344" t="s">
        <v>5043</v>
      </c>
      <c r="D344" t="s">
        <v>8401</v>
      </c>
    </row>
    <row r="345" spans="1:4" ht="14.45" x14ac:dyDescent="0.3">
      <c r="A345">
        <v>10102</v>
      </c>
      <c r="B345" t="s">
        <v>8653</v>
      </c>
      <c r="C345" t="s">
        <v>5043</v>
      </c>
      <c r="D345" t="s">
        <v>8401</v>
      </c>
    </row>
    <row r="346" spans="1:4" ht="14.45" x14ac:dyDescent="0.3">
      <c r="A346">
        <v>10204</v>
      </c>
      <c r="B346" t="s">
        <v>8653</v>
      </c>
      <c r="C346" t="s">
        <v>5043</v>
      </c>
      <c r="D346" t="s">
        <v>8401</v>
      </c>
    </row>
    <row r="347" spans="1:4" ht="14.45" x14ac:dyDescent="0.3">
      <c r="A347">
        <v>10306</v>
      </c>
      <c r="B347" t="s">
        <v>8653</v>
      </c>
      <c r="C347" t="s">
        <v>5043</v>
      </c>
      <c r="D347" t="s">
        <v>8401</v>
      </c>
    </row>
    <row r="348" spans="1:4" ht="14.45" x14ac:dyDescent="0.3">
      <c r="A348">
        <v>10520</v>
      </c>
      <c r="B348" t="s">
        <v>8653</v>
      </c>
      <c r="C348" t="s">
        <v>5043</v>
      </c>
      <c r="D348" t="s">
        <v>8401</v>
      </c>
    </row>
    <row r="349" spans="1:4" ht="14.45" x14ac:dyDescent="0.3">
      <c r="A349">
        <v>10654</v>
      </c>
      <c r="B349" t="s">
        <v>8653</v>
      </c>
      <c r="C349" t="s">
        <v>5043</v>
      </c>
      <c r="D349" t="s">
        <v>8401</v>
      </c>
    </row>
    <row r="350" spans="1:4" ht="14.45" x14ac:dyDescent="0.3">
      <c r="A350">
        <v>10715</v>
      </c>
      <c r="B350" t="s">
        <v>8653</v>
      </c>
      <c r="C350" t="s">
        <v>5043</v>
      </c>
      <c r="D350" t="s">
        <v>8401</v>
      </c>
    </row>
    <row r="351" spans="1:4" ht="14.45" x14ac:dyDescent="0.3">
      <c r="A351">
        <v>10978</v>
      </c>
      <c r="B351" t="s">
        <v>8653</v>
      </c>
      <c r="C351" t="s">
        <v>5043</v>
      </c>
      <c r="D351" t="s">
        <v>8401</v>
      </c>
    </row>
    <row r="352" spans="1:4" ht="14.45" x14ac:dyDescent="0.3">
      <c r="A352">
        <v>10981</v>
      </c>
      <c r="B352" t="s">
        <v>8653</v>
      </c>
      <c r="C352" t="s">
        <v>5043</v>
      </c>
      <c r="D352" t="s">
        <v>8401</v>
      </c>
    </row>
    <row r="353" spans="1:4" ht="14.45" x14ac:dyDescent="0.3">
      <c r="A353">
        <v>11033</v>
      </c>
      <c r="B353" t="s">
        <v>8653</v>
      </c>
      <c r="C353" t="s">
        <v>5043</v>
      </c>
      <c r="D353" t="s">
        <v>8401</v>
      </c>
    </row>
    <row r="354" spans="1:4" ht="14.45" x14ac:dyDescent="0.3">
      <c r="A354">
        <v>11106</v>
      </c>
      <c r="B354" t="s">
        <v>8653</v>
      </c>
      <c r="C354" t="s">
        <v>5043</v>
      </c>
      <c r="D354" t="s">
        <v>8401</v>
      </c>
    </row>
    <row r="355" spans="1:4" ht="14.45" x14ac:dyDescent="0.3">
      <c r="A355">
        <v>11284</v>
      </c>
      <c r="B355" t="s">
        <v>8653</v>
      </c>
      <c r="C355" t="s">
        <v>5043</v>
      </c>
      <c r="D355" t="s">
        <v>8401</v>
      </c>
    </row>
    <row r="356" spans="1:4" ht="14.45" x14ac:dyDescent="0.3">
      <c r="A356">
        <v>11399</v>
      </c>
      <c r="B356" t="s">
        <v>8653</v>
      </c>
      <c r="C356" t="s">
        <v>5043</v>
      </c>
      <c r="D356" t="s">
        <v>8401</v>
      </c>
    </row>
    <row r="357" spans="1:4" ht="14.45" x14ac:dyDescent="0.3">
      <c r="A357">
        <v>11961</v>
      </c>
      <c r="B357" t="s">
        <v>8653</v>
      </c>
      <c r="C357" t="s">
        <v>5043</v>
      </c>
      <c r="D357" t="s">
        <v>8401</v>
      </c>
    </row>
    <row r="358" spans="1:4" ht="14.45" x14ac:dyDescent="0.3">
      <c r="A358">
        <v>11963</v>
      </c>
      <c r="B358" t="s">
        <v>8653</v>
      </c>
      <c r="C358" t="s">
        <v>5043</v>
      </c>
      <c r="D358" t="s">
        <v>8401</v>
      </c>
    </row>
    <row r="359" spans="1:4" ht="14.45" x14ac:dyDescent="0.3">
      <c r="A359">
        <v>11964</v>
      </c>
      <c r="B359" t="s">
        <v>8653</v>
      </c>
      <c r="C359" t="s">
        <v>5043</v>
      </c>
      <c r="D359" t="s">
        <v>8401</v>
      </c>
    </row>
    <row r="360" spans="1:4" ht="14.45" x14ac:dyDescent="0.3">
      <c r="A360">
        <v>12131</v>
      </c>
      <c r="B360" t="s">
        <v>8653</v>
      </c>
      <c r="C360" t="s">
        <v>5043</v>
      </c>
      <c r="D360" t="s">
        <v>8401</v>
      </c>
    </row>
    <row r="361" spans="1:4" ht="14.45" x14ac:dyDescent="0.3">
      <c r="A361">
        <v>12132</v>
      </c>
      <c r="B361" t="s">
        <v>8653</v>
      </c>
      <c r="C361" t="s">
        <v>5043</v>
      </c>
      <c r="D361" t="s">
        <v>8401</v>
      </c>
    </row>
    <row r="362" spans="1:4" ht="14.45" x14ac:dyDescent="0.3">
      <c r="A362">
        <v>12399</v>
      </c>
      <c r="B362" t="s">
        <v>8653</v>
      </c>
      <c r="C362" t="s">
        <v>5043</v>
      </c>
      <c r="D362" t="s">
        <v>8401</v>
      </c>
    </row>
    <row r="363" spans="1:4" ht="14.45" x14ac:dyDescent="0.3">
      <c r="A363">
        <v>6444</v>
      </c>
      <c r="B363" t="s">
        <v>8653</v>
      </c>
      <c r="C363" t="s">
        <v>5043</v>
      </c>
      <c r="D363" t="s">
        <v>8401</v>
      </c>
    </row>
    <row r="364" spans="1:4" ht="14.45" x14ac:dyDescent="0.3">
      <c r="A364">
        <v>6614</v>
      </c>
      <c r="B364" t="s">
        <v>8653</v>
      </c>
      <c r="C364" t="s">
        <v>5043</v>
      </c>
      <c r="D364" t="s">
        <v>8401</v>
      </c>
    </row>
    <row r="365" spans="1:4" ht="14.45" x14ac:dyDescent="0.3">
      <c r="A365">
        <v>6747</v>
      </c>
      <c r="B365" t="s">
        <v>8653</v>
      </c>
      <c r="C365" t="s">
        <v>5043</v>
      </c>
      <c r="D365" t="s">
        <v>8401</v>
      </c>
    </row>
    <row r="366" spans="1:4" ht="14.45" x14ac:dyDescent="0.3">
      <c r="A366">
        <v>6923</v>
      </c>
      <c r="B366" t="s">
        <v>8653</v>
      </c>
      <c r="C366" t="s">
        <v>5043</v>
      </c>
      <c r="D366" t="s">
        <v>8401</v>
      </c>
    </row>
    <row r="367" spans="1:4" ht="14.45" x14ac:dyDescent="0.3">
      <c r="A367">
        <v>7207</v>
      </c>
      <c r="B367" t="s">
        <v>8653</v>
      </c>
      <c r="C367" t="s">
        <v>5043</v>
      </c>
      <c r="D367" t="s">
        <v>8401</v>
      </c>
    </row>
    <row r="368" spans="1:4" ht="14.45" x14ac:dyDescent="0.3">
      <c r="A368">
        <v>7593</v>
      </c>
      <c r="B368" t="s">
        <v>8653</v>
      </c>
      <c r="C368" t="s">
        <v>5043</v>
      </c>
      <c r="D368" t="s">
        <v>8401</v>
      </c>
    </row>
    <row r="369" spans="1:4" ht="14.45" x14ac:dyDescent="0.3">
      <c r="A369">
        <v>7607</v>
      </c>
      <c r="B369" t="s">
        <v>8653</v>
      </c>
      <c r="C369" t="s">
        <v>5043</v>
      </c>
      <c r="D369" t="s">
        <v>8401</v>
      </c>
    </row>
    <row r="370" spans="1:4" ht="14.45" x14ac:dyDescent="0.3">
      <c r="A370">
        <v>7781</v>
      </c>
      <c r="B370" t="s">
        <v>8653</v>
      </c>
      <c r="C370" t="s">
        <v>5043</v>
      </c>
      <c r="D370" t="s">
        <v>8401</v>
      </c>
    </row>
    <row r="371" spans="1:4" ht="14.45" x14ac:dyDescent="0.3">
      <c r="A371">
        <v>8031</v>
      </c>
      <c r="B371" t="s">
        <v>8653</v>
      </c>
      <c r="C371" t="s">
        <v>5043</v>
      </c>
      <c r="D371" t="s">
        <v>8401</v>
      </c>
    </row>
    <row r="372" spans="1:4" ht="14.45" x14ac:dyDescent="0.3">
      <c r="A372">
        <v>8202</v>
      </c>
      <c r="B372" t="s">
        <v>8653</v>
      </c>
      <c r="C372" t="s">
        <v>5043</v>
      </c>
      <c r="D372" t="s">
        <v>8401</v>
      </c>
    </row>
    <row r="373" spans="1:4" ht="14.45" x14ac:dyDescent="0.3">
      <c r="A373">
        <v>8251</v>
      </c>
      <c r="B373" t="s">
        <v>8653</v>
      </c>
      <c r="C373" t="s">
        <v>5043</v>
      </c>
      <c r="D373" t="s">
        <v>8401</v>
      </c>
    </row>
    <row r="374" spans="1:4" ht="14.45" x14ac:dyDescent="0.3">
      <c r="A374">
        <v>8435</v>
      </c>
      <c r="B374" t="s">
        <v>8653</v>
      </c>
      <c r="C374" t="s">
        <v>5043</v>
      </c>
      <c r="D374" t="s">
        <v>8401</v>
      </c>
    </row>
    <row r="375" spans="1:4" ht="14.45" x14ac:dyDescent="0.3">
      <c r="A375">
        <v>8697</v>
      </c>
      <c r="B375" t="s">
        <v>8653</v>
      </c>
      <c r="C375" t="s">
        <v>5043</v>
      </c>
      <c r="D375" t="s">
        <v>8401</v>
      </c>
    </row>
    <row r="376" spans="1:4" ht="14.45" x14ac:dyDescent="0.3">
      <c r="A376">
        <v>8882</v>
      </c>
      <c r="B376" t="s">
        <v>8653</v>
      </c>
      <c r="C376" t="s">
        <v>5043</v>
      </c>
      <c r="D376" t="s">
        <v>8401</v>
      </c>
    </row>
    <row r="377" spans="1:4" ht="14.45" x14ac:dyDescent="0.3">
      <c r="A377">
        <v>9230</v>
      </c>
      <c r="B377" t="s">
        <v>8653</v>
      </c>
      <c r="C377" t="s">
        <v>5043</v>
      </c>
      <c r="D377" t="s">
        <v>8401</v>
      </c>
    </row>
    <row r="378" spans="1:4" ht="14.45" x14ac:dyDescent="0.3">
      <c r="A378">
        <v>9282</v>
      </c>
      <c r="B378" t="s">
        <v>8653</v>
      </c>
      <c r="C378" t="s">
        <v>5043</v>
      </c>
      <c r="D378" t="s">
        <v>8401</v>
      </c>
    </row>
    <row r="379" spans="1:4" ht="14.45" x14ac:dyDescent="0.3">
      <c r="A379">
        <v>9493</v>
      </c>
      <c r="B379" t="s">
        <v>8653</v>
      </c>
      <c r="C379" t="s">
        <v>5043</v>
      </c>
      <c r="D379" t="s">
        <v>8401</v>
      </c>
    </row>
    <row r="380" spans="1:4" ht="14.45" x14ac:dyDescent="0.3">
      <c r="A380">
        <v>9578</v>
      </c>
      <c r="B380" t="s">
        <v>8653</v>
      </c>
      <c r="C380" t="s">
        <v>5043</v>
      </c>
      <c r="D380" t="s">
        <v>8401</v>
      </c>
    </row>
    <row r="381" spans="1:4" ht="14.45" x14ac:dyDescent="0.3">
      <c r="A381">
        <v>9683</v>
      </c>
      <c r="B381" t="s">
        <v>8653</v>
      </c>
      <c r="C381" t="s">
        <v>5043</v>
      </c>
      <c r="D381" t="s">
        <v>8401</v>
      </c>
    </row>
    <row r="382" spans="1:4" ht="14.45" x14ac:dyDescent="0.3">
      <c r="A382">
        <v>9743</v>
      </c>
      <c r="B382" t="s">
        <v>8653</v>
      </c>
      <c r="C382" t="s">
        <v>5043</v>
      </c>
      <c r="D382" t="s">
        <v>8401</v>
      </c>
    </row>
    <row r="383" spans="1:4" ht="14.45" x14ac:dyDescent="0.3">
      <c r="A383">
        <v>9815</v>
      </c>
      <c r="B383" t="s">
        <v>8653</v>
      </c>
      <c r="C383" t="s">
        <v>5043</v>
      </c>
      <c r="D383" t="s">
        <v>8401</v>
      </c>
    </row>
    <row r="384" spans="1:4" ht="14.45" x14ac:dyDescent="0.3">
      <c r="A384">
        <v>8809</v>
      </c>
      <c r="B384" t="s">
        <v>9983</v>
      </c>
      <c r="C384" t="s">
        <v>5043</v>
      </c>
      <c r="D384" t="s">
        <v>8401</v>
      </c>
    </row>
    <row r="385" spans="1:4" ht="14.45" x14ac:dyDescent="0.3">
      <c r="A385">
        <v>9410</v>
      </c>
      <c r="B385" t="s">
        <v>9983</v>
      </c>
      <c r="C385" t="s">
        <v>5043</v>
      </c>
      <c r="D385" t="s">
        <v>8401</v>
      </c>
    </row>
    <row r="386" spans="1:4" ht="14.45" x14ac:dyDescent="0.3">
      <c r="A386">
        <v>12036</v>
      </c>
      <c r="B386" t="s">
        <v>9984</v>
      </c>
      <c r="C386" t="s">
        <v>5043</v>
      </c>
      <c r="D386" t="s">
        <v>8401</v>
      </c>
    </row>
    <row r="387" spans="1:4" ht="14.45" x14ac:dyDescent="0.3">
      <c r="A387">
        <v>12037</v>
      </c>
      <c r="B387" t="s">
        <v>9984</v>
      </c>
      <c r="C387" t="s">
        <v>5043</v>
      </c>
      <c r="D387" t="s">
        <v>8401</v>
      </c>
    </row>
    <row r="388" spans="1:4" ht="14.45" x14ac:dyDescent="0.3">
      <c r="A388">
        <v>12038</v>
      </c>
      <c r="B388" t="s">
        <v>9984</v>
      </c>
      <c r="C388" t="s">
        <v>5043</v>
      </c>
      <c r="D388" t="s">
        <v>8401</v>
      </c>
    </row>
    <row r="389" spans="1:4" ht="14.45" x14ac:dyDescent="0.3">
      <c r="A389">
        <v>10021</v>
      </c>
      <c r="B389" t="s">
        <v>9985</v>
      </c>
      <c r="C389" t="s">
        <v>5043</v>
      </c>
      <c r="D389" t="s">
        <v>8401</v>
      </c>
    </row>
    <row r="390" spans="1:4" ht="14.45" x14ac:dyDescent="0.3">
      <c r="A390">
        <v>10208</v>
      </c>
      <c r="B390" t="s">
        <v>9985</v>
      </c>
      <c r="C390" t="s">
        <v>5043</v>
      </c>
      <c r="D390" t="s">
        <v>8401</v>
      </c>
    </row>
    <row r="391" spans="1:4" ht="14.45" x14ac:dyDescent="0.3">
      <c r="A391">
        <v>10313</v>
      </c>
      <c r="B391" t="s">
        <v>9985</v>
      </c>
      <c r="C391" t="s">
        <v>5043</v>
      </c>
      <c r="D391" t="s">
        <v>8401</v>
      </c>
    </row>
    <row r="392" spans="1:4" ht="14.45" x14ac:dyDescent="0.3">
      <c r="A392">
        <v>10459</v>
      </c>
      <c r="B392" t="s">
        <v>9985</v>
      </c>
      <c r="C392" t="s">
        <v>5043</v>
      </c>
      <c r="D392" t="s">
        <v>8401</v>
      </c>
    </row>
    <row r="393" spans="1:4" ht="14.45" x14ac:dyDescent="0.3">
      <c r="A393">
        <v>10779</v>
      </c>
      <c r="B393" t="s">
        <v>9985</v>
      </c>
      <c r="C393" t="s">
        <v>5043</v>
      </c>
      <c r="D393" t="s">
        <v>8401</v>
      </c>
    </row>
    <row r="394" spans="1:4" ht="14.45" x14ac:dyDescent="0.3">
      <c r="A394">
        <v>11622</v>
      </c>
      <c r="B394" t="s">
        <v>9985</v>
      </c>
      <c r="C394" t="s">
        <v>5043</v>
      </c>
      <c r="D394" t="s">
        <v>8401</v>
      </c>
    </row>
    <row r="395" spans="1:4" ht="14.45" x14ac:dyDescent="0.3">
      <c r="A395">
        <v>6694</v>
      </c>
      <c r="B395" t="s">
        <v>9985</v>
      </c>
      <c r="C395" t="s">
        <v>5043</v>
      </c>
      <c r="D395" t="s">
        <v>8401</v>
      </c>
    </row>
    <row r="396" spans="1:4" ht="14.45" x14ac:dyDescent="0.3">
      <c r="A396">
        <v>7303</v>
      </c>
      <c r="B396" t="s">
        <v>9985</v>
      </c>
      <c r="C396" t="s">
        <v>5043</v>
      </c>
      <c r="D396" t="s">
        <v>8401</v>
      </c>
    </row>
    <row r="397" spans="1:4" ht="14.45" x14ac:dyDescent="0.3">
      <c r="A397">
        <v>7465</v>
      </c>
      <c r="B397" t="s">
        <v>9985</v>
      </c>
      <c r="C397" t="s">
        <v>5043</v>
      </c>
      <c r="D397" t="s">
        <v>8401</v>
      </c>
    </row>
    <row r="398" spans="1:4" ht="14.45" x14ac:dyDescent="0.3">
      <c r="A398">
        <v>7786</v>
      </c>
      <c r="B398" t="s">
        <v>9985</v>
      </c>
      <c r="C398" t="s">
        <v>5043</v>
      </c>
      <c r="D398" t="s">
        <v>8401</v>
      </c>
    </row>
    <row r="399" spans="1:4" ht="14.45" x14ac:dyDescent="0.3">
      <c r="A399">
        <v>8054</v>
      </c>
      <c r="B399" t="s">
        <v>9985</v>
      </c>
      <c r="C399" t="s">
        <v>5043</v>
      </c>
      <c r="D399" t="s">
        <v>8401</v>
      </c>
    </row>
    <row r="400" spans="1:4" ht="14.45" x14ac:dyDescent="0.3">
      <c r="A400">
        <v>8194</v>
      </c>
      <c r="B400" t="s">
        <v>9985</v>
      </c>
      <c r="C400" t="s">
        <v>5043</v>
      </c>
      <c r="D400" t="s">
        <v>8401</v>
      </c>
    </row>
    <row r="401" spans="1:4" ht="14.45" x14ac:dyDescent="0.3">
      <c r="A401">
        <v>8250</v>
      </c>
      <c r="B401" t="s">
        <v>9985</v>
      </c>
      <c r="C401" t="s">
        <v>5043</v>
      </c>
      <c r="D401" t="s">
        <v>8401</v>
      </c>
    </row>
    <row r="402" spans="1:4" ht="14.45" x14ac:dyDescent="0.3">
      <c r="A402">
        <v>8924</v>
      </c>
      <c r="B402" t="s">
        <v>9985</v>
      </c>
      <c r="C402" t="s">
        <v>5043</v>
      </c>
      <c r="D402" t="s">
        <v>8401</v>
      </c>
    </row>
    <row r="403" spans="1:4" ht="14.45" x14ac:dyDescent="0.3">
      <c r="A403">
        <v>9084</v>
      </c>
      <c r="B403" t="s">
        <v>9985</v>
      </c>
      <c r="C403" t="s">
        <v>5043</v>
      </c>
      <c r="D403" t="s">
        <v>8401</v>
      </c>
    </row>
    <row r="404" spans="1:4" ht="14.45" x14ac:dyDescent="0.3">
      <c r="A404">
        <v>10574</v>
      </c>
      <c r="B404" t="s">
        <v>9986</v>
      </c>
      <c r="C404" t="s">
        <v>5043</v>
      </c>
      <c r="D404" t="s">
        <v>8401</v>
      </c>
    </row>
    <row r="405" spans="1:4" ht="14.45" x14ac:dyDescent="0.3">
      <c r="A405">
        <v>6871</v>
      </c>
      <c r="B405" t="s">
        <v>9987</v>
      </c>
      <c r="C405" t="s">
        <v>5043</v>
      </c>
      <c r="D405" t="s">
        <v>8401</v>
      </c>
    </row>
    <row r="406" spans="1:4" ht="14.45" x14ac:dyDescent="0.3">
      <c r="A406">
        <v>11696</v>
      </c>
      <c r="B406" t="s">
        <v>9988</v>
      </c>
      <c r="C406" t="s">
        <v>5043</v>
      </c>
      <c r="D406" t="s">
        <v>8401</v>
      </c>
    </row>
    <row r="407" spans="1:4" ht="14.45" x14ac:dyDescent="0.3">
      <c r="A407">
        <v>12001</v>
      </c>
      <c r="B407" t="s">
        <v>9989</v>
      </c>
      <c r="C407" t="s">
        <v>5043</v>
      </c>
      <c r="D407" t="s">
        <v>8401</v>
      </c>
    </row>
    <row r="408" spans="1:4" ht="14.45" x14ac:dyDescent="0.3">
      <c r="A408">
        <v>12002</v>
      </c>
      <c r="B408" t="s">
        <v>9989</v>
      </c>
      <c r="C408" t="s">
        <v>5043</v>
      </c>
      <c r="D408" t="s">
        <v>8401</v>
      </c>
    </row>
    <row r="409" spans="1:4" ht="14.45" x14ac:dyDescent="0.3">
      <c r="A409">
        <v>12003</v>
      </c>
      <c r="B409" t="s">
        <v>9989</v>
      </c>
      <c r="C409" t="s">
        <v>5043</v>
      </c>
      <c r="D409" t="s">
        <v>8401</v>
      </c>
    </row>
    <row r="410" spans="1:4" ht="14.45" x14ac:dyDescent="0.3">
      <c r="A410">
        <v>8089</v>
      </c>
      <c r="B410" t="s">
        <v>9990</v>
      </c>
      <c r="C410" t="s">
        <v>5043</v>
      </c>
      <c r="D410" t="s">
        <v>8401</v>
      </c>
    </row>
    <row r="411" spans="1:4" ht="14.45" x14ac:dyDescent="0.3">
      <c r="A411">
        <v>10656</v>
      </c>
      <c r="B411" t="s">
        <v>9991</v>
      </c>
      <c r="C411" t="s">
        <v>5043</v>
      </c>
      <c r="D411" t="s">
        <v>8401</v>
      </c>
    </row>
    <row r="412" spans="1:4" ht="14.45" x14ac:dyDescent="0.3">
      <c r="A412">
        <v>10915</v>
      </c>
      <c r="B412" t="s">
        <v>9991</v>
      </c>
      <c r="C412" t="s">
        <v>5043</v>
      </c>
      <c r="D412" t="s">
        <v>8401</v>
      </c>
    </row>
    <row r="413" spans="1:4" ht="14.45" x14ac:dyDescent="0.3">
      <c r="A413">
        <v>8771</v>
      </c>
      <c r="B413" t="s">
        <v>9991</v>
      </c>
      <c r="C413" t="s">
        <v>5043</v>
      </c>
      <c r="D413" t="s">
        <v>8401</v>
      </c>
    </row>
    <row r="414" spans="1:4" ht="14.45" x14ac:dyDescent="0.3">
      <c r="A414">
        <v>11729</v>
      </c>
      <c r="B414" t="s">
        <v>9992</v>
      </c>
      <c r="C414" t="s">
        <v>5043</v>
      </c>
      <c r="D414" t="s">
        <v>8401</v>
      </c>
    </row>
    <row r="415" spans="1:4" ht="14.45" x14ac:dyDescent="0.3">
      <c r="A415">
        <v>10804</v>
      </c>
      <c r="B415" t="s">
        <v>9993</v>
      </c>
      <c r="C415" t="s">
        <v>5043</v>
      </c>
      <c r="D415" t="s">
        <v>8401</v>
      </c>
    </row>
    <row r="416" spans="1:4" ht="14.45" x14ac:dyDescent="0.3">
      <c r="A416">
        <v>10068</v>
      </c>
      <c r="B416" t="s">
        <v>9994</v>
      </c>
      <c r="C416" t="s">
        <v>5043</v>
      </c>
      <c r="D416" t="s">
        <v>8401</v>
      </c>
    </row>
    <row r="417" spans="1:4" ht="14.45" x14ac:dyDescent="0.3">
      <c r="A417">
        <v>8602</v>
      </c>
      <c r="B417" t="s">
        <v>9994</v>
      </c>
      <c r="C417" t="s">
        <v>5043</v>
      </c>
      <c r="D417" t="s">
        <v>8401</v>
      </c>
    </row>
    <row r="418" spans="1:4" ht="14.45" x14ac:dyDescent="0.3">
      <c r="A418">
        <v>8643</v>
      </c>
      <c r="B418" t="s">
        <v>9994</v>
      </c>
      <c r="C418" t="s">
        <v>5043</v>
      </c>
      <c r="D418" t="s">
        <v>8401</v>
      </c>
    </row>
    <row r="419" spans="1:4" ht="14.45" x14ac:dyDescent="0.3">
      <c r="A419">
        <v>8654</v>
      </c>
      <c r="B419" t="s">
        <v>9994</v>
      </c>
      <c r="C419" t="s">
        <v>5043</v>
      </c>
      <c r="D419" t="s">
        <v>8401</v>
      </c>
    </row>
    <row r="420" spans="1:4" ht="14.45" x14ac:dyDescent="0.3">
      <c r="A420">
        <v>11009</v>
      </c>
      <c r="B420" t="s">
        <v>9995</v>
      </c>
      <c r="C420" t="s">
        <v>5043</v>
      </c>
      <c r="D420" t="s">
        <v>8401</v>
      </c>
    </row>
    <row r="421" spans="1:4" ht="14.45" x14ac:dyDescent="0.3">
      <c r="A421">
        <v>9611</v>
      </c>
      <c r="B421" t="s">
        <v>9996</v>
      </c>
      <c r="C421" t="s">
        <v>5043</v>
      </c>
      <c r="D421" t="s">
        <v>8401</v>
      </c>
    </row>
    <row r="422" spans="1:4" ht="14.45" x14ac:dyDescent="0.3">
      <c r="A422">
        <v>11194</v>
      </c>
      <c r="B422" t="s">
        <v>9997</v>
      </c>
      <c r="C422" t="s">
        <v>5043</v>
      </c>
      <c r="D422" t="s">
        <v>8401</v>
      </c>
    </row>
    <row r="423" spans="1:4" ht="14.45" x14ac:dyDescent="0.3">
      <c r="A423">
        <v>9837</v>
      </c>
      <c r="B423" t="s">
        <v>9998</v>
      </c>
      <c r="C423" t="s">
        <v>5043</v>
      </c>
      <c r="D423" t="s">
        <v>8401</v>
      </c>
    </row>
    <row r="424" spans="1:4" ht="14.45" x14ac:dyDescent="0.3">
      <c r="A424">
        <v>8851</v>
      </c>
      <c r="B424" t="s">
        <v>9999</v>
      </c>
      <c r="C424" t="s">
        <v>5043</v>
      </c>
      <c r="D424" t="s">
        <v>8401</v>
      </c>
    </row>
    <row r="425" spans="1:4" ht="14.45" x14ac:dyDescent="0.3">
      <c r="A425">
        <v>9987</v>
      </c>
      <c r="B425" t="s">
        <v>10000</v>
      </c>
      <c r="C425" t="s">
        <v>5043</v>
      </c>
      <c r="D425" t="s">
        <v>8401</v>
      </c>
    </row>
    <row r="426" spans="1:4" ht="14.45" x14ac:dyDescent="0.3">
      <c r="A426">
        <v>7713</v>
      </c>
      <c r="B426" t="s">
        <v>10001</v>
      </c>
      <c r="C426" t="s">
        <v>5043</v>
      </c>
      <c r="D426" t="s">
        <v>8401</v>
      </c>
    </row>
    <row r="427" spans="1:4" ht="14.45" x14ac:dyDescent="0.3">
      <c r="A427">
        <v>10400</v>
      </c>
      <c r="B427" t="s">
        <v>10002</v>
      </c>
      <c r="C427" t="s">
        <v>5043</v>
      </c>
      <c r="D427" t="s">
        <v>8401</v>
      </c>
    </row>
    <row r="428" spans="1:4" ht="14.45" x14ac:dyDescent="0.3">
      <c r="A428">
        <v>9270</v>
      </c>
      <c r="B428" t="s">
        <v>10003</v>
      </c>
      <c r="C428" t="s">
        <v>5043</v>
      </c>
      <c r="D428" t="s">
        <v>8401</v>
      </c>
    </row>
    <row r="429" spans="1:4" ht="14.45" x14ac:dyDescent="0.3">
      <c r="A429">
        <v>9108</v>
      </c>
      <c r="B429" t="s">
        <v>10004</v>
      </c>
      <c r="C429" t="s">
        <v>5043</v>
      </c>
      <c r="D429" t="s">
        <v>8401</v>
      </c>
    </row>
    <row r="430" spans="1:4" ht="14.45" x14ac:dyDescent="0.3">
      <c r="A430">
        <v>10418</v>
      </c>
      <c r="B430" t="s">
        <v>10005</v>
      </c>
      <c r="C430" t="s">
        <v>5043</v>
      </c>
      <c r="D430" t="s">
        <v>8401</v>
      </c>
    </row>
    <row r="431" spans="1:4" ht="14.45" x14ac:dyDescent="0.3">
      <c r="A431">
        <v>7369</v>
      </c>
      <c r="B431" t="s">
        <v>10005</v>
      </c>
      <c r="C431" t="s">
        <v>5043</v>
      </c>
      <c r="D431" t="s">
        <v>8401</v>
      </c>
    </row>
    <row r="432" spans="1:4" ht="14.45" x14ac:dyDescent="0.3">
      <c r="A432">
        <v>9455</v>
      </c>
      <c r="B432" t="s">
        <v>10005</v>
      </c>
      <c r="C432" t="s">
        <v>5043</v>
      </c>
      <c r="D432" t="s">
        <v>8401</v>
      </c>
    </row>
    <row r="433" spans="1:4" ht="14.45" x14ac:dyDescent="0.3">
      <c r="A433">
        <v>7952</v>
      </c>
      <c r="B433" t="s">
        <v>10006</v>
      </c>
      <c r="C433" t="s">
        <v>5043</v>
      </c>
      <c r="D433" t="s">
        <v>8401</v>
      </c>
    </row>
    <row r="434" spans="1:4" ht="14.45" x14ac:dyDescent="0.3">
      <c r="A434">
        <v>8834</v>
      </c>
      <c r="B434" t="s">
        <v>10007</v>
      </c>
      <c r="C434" t="s">
        <v>5043</v>
      </c>
      <c r="D434" t="s">
        <v>8401</v>
      </c>
    </row>
    <row r="435" spans="1:4" ht="14.45" x14ac:dyDescent="0.3">
      <c r="A435">
        <v>7068</v>
      </c>
      <c r="B435" t="s">
        <v>10008</v>
      </c>
      <c r="C435" t="s">
        <v>5043</v>
      </c>
      <c r="D435" t="s">
        <v>8401</v>
      </c>
    </row>
    <row r="436" spans="1:4" ht="14.45" x14ac:dyDescent="0.3">
      <c r="A436">
        <v>11304</v>
      </c>
      <c r="B436" t="s">
        <v>10009</v>
      </c>
      <c r="C436" t="s">
        <v>5043</v>
      </c>
      <c r="D436" t="s">
        <v>8401</v>
      </c>
    </row>
    <row r="437" spans="1:4" ht="14.45" x14ac:dyDescent="0.3">
      <c r="A437">
        <v>10150</v>
      </c>
      <c r="B437" t="s">
        <v>10010</v>
      </c>
      <c r="C437" t="s">
        <v>5043</v>
      </c>
      <c r="D437" t="s">
        <v>8401</v>
      </c>
    </row>
    <row r="438" spans="1:4" ht="14.45" x14ac:dyDescent="0.3">
      <c r="A438">
        <v>7061</v>
      </c>
      <c r="B438" t="s">
        <v>10011</v>
      </c>
      <c r="C438" t="s">
        <v>5043</v>
      </c>
      <c r="D438" t="s">
        <v>8401</v>
      </c>
    </row>
    <row r="439" spans="1:4" ht="14.45" x14ac:dyDescent="0.3">
      <c r="A439">
        <v>8833</v>
      </c>
      <c r="B439" t="s">
        <v>10011</v>
      </c>
      <c r="C439" t="s">
        <v>5043</v>
      </c>
      <c r="D439" t="s">
        <v>8401</v>
      </c>
    </row>
    <row r="440" spans="1:4" ht="14.45" x14ac:dyDescent="0.3">
      <c r="A440">
        <v>10007</v>
      </c>
      <c r="B440" t="s">
        <v>8654</v>
      </c>
      <c r="C440" t="s">
        <v>5043</v>
      </c>
      <c r="D440" t="s">
        <v>8401</v>
      </c>
    </row>
    <row r="441" spans="1:4" ht="14.45" x14ac:dyDescent="0.3">
      <c r="A441">
        <v>8545</v>
      </c>
      <c r="B441" t="s">
        <v>10012</v>
      </c>
      <c r="C441" t="s">
        <v>5043</v>
      </c>
      <c r="D441" t="s">
        <v>8401</v>
      </c>
    </row>
    <row r="442" spans="1:4" ht="14.45" x14ac:dyDescent="0.3">
      <c r="A442">
        <v>11035</v>
      </c>
      <c r="B442" t="s">
        <v>10013</v>
      </c>
      <c r="C442" t="s">
        <v>5043</v>
      </c>
      <c r="D442" t="s">
        <v>8401</v>
      </c>
    </row>
    <row r="443" spans="1:4" ht="14.45" x14ac:dyDescent="0.3">
      <c r="A443">
        <v>8095</v>
      </c>
      <c r="B443" t="s">
        <v>10014</v>
      </c>
      <c r="C443" t="s">
        <v>5043</v>
      </c>
      <c r="D443" t="s">
        <v>8401</v>
      </c>
    </row>
    <row r="444" spans="1:4" ht="14.45" x14ac:dyDescent="0.3">
      <c r="A444">
        <v>8523</v>
      </c>
      <c r="B444" t="s">
        <v>10014</v>
      </c>
      <c r="C444" t="s">
        <v>5043</v>
      </c>
      <c r="D444" t="s">
        <v>8401</v>
      </c>
    </row>
    <row r="445" spans="1:4" ht="14.45" x14ac:dyDescent="0.3">
      <c r="A445">
        <v>9095</v>
      </c>
      <c r="B445" t="s">
        <v>10014</v>
      </c>
      <c r="C445" t="s">
        <v>5043</v>
      </c>
      <c r="D445" t="s">
        <v>8401</v>
      </c>
    </row>
    <row r="446" spans="1:4" ht="14.45" x14ac:dyDescent="0.3">
      <c r="A446">
        <v>7180</v>
      </c>
      <c r="B446" t="s">
        <v>10015</v>
      </c>
      <c r="C446" t="s">
        <v>5043</v>
      </c>
      <c r="D446" t="s">
        <v>8401</v>
      </c>
    </row>
    <row r="447" spans="1:4" ht="14.45" x14ac:dyDescent="0.3">
      <c r="A447">
        <v>12375</v>
      </c>
      <c r="B447" t="s">
        <v>11559</v>
      </c>
      <c r="C447" t="s">
        <v>5043</v>
      </c>
      <c r="D447" t="s">
        <v>8401</v>
      </c>
    </row>
    <row r="448" spans="1:4" ht="14.45" x14ac:dyDescent="0.3">
      <c r="A448">
        <v>11547</v>
      </c>
      <c r="B448" t="s">
        <v>10016</v>
      </c>
      <c r="C448" t="s">
        <v>5043</v>
      </c>
      <c r="D448" t="s">
        <v>8401</v>
      </c>
    </row>
    <row r="449" spans="1:4" ht="14.45" x14ac:dyDescent="0.3">
      <c r="A449">
        <v>6765</v>
      </c>
      <c r="B449" t="s">
        <v>10016</v>
      </c>
      <c r="C449" t="s">
        <v>5043</v>
      </c>
      <c r="D449" t="s">
        <v>8401</v>
      </c>
    </row>
    <row r="450" spans="1:4" ht="14.45" x14ac:dyDescent="0.3">
      <c r="A450">
        <v>8416</v>
      </c>
      <c r="B450" t="s">
        <v>10016</v>
      </c>
      <c r="C450" t="s">
        <v>5043</v>
      </c>
      <c r="D450" t="s">
        <v>8401</v>
      </c>
    </row>
    <row r="451" spans="1:4" ht="14.45" x14ac:dyDescent="0.3">
      <c r="A451">
        <v>8448</v>
      </c>
      <c r="B451" t="s">
        <v>10016</v>
      </c>
      <c r="C451" t="s">
        <v>5043</v>
      </c>
      <c r="D451" t="s">
        <v>8401</v>
      </c>
    </row>
    <row r="452" spans="1:4" ht="14.45" x14ac:dyDescent="0.3">
      <c r="A452">
        <v>8495</v>
      </c>
      <c r="B452" t="s">
        <v>10016</v>
      </c>
      <c r="C452" t="s">
        <v>5043</v>
      </c>
      <c r="D452" t="s">
        <v>8401</v>
      </c>
    </row>
    <row r="453" spans="1:4" ht="14.45" x14ac:dyDescent="0.3">
      <c r="A453">
        <v>9523</v>
      </c>
      <c r="B453" t="s">
        <v>10016</v>
      </c>
      <c r="C453" t="s">
        <v>5043</v>
      </c>
      <c r="D453" t="s">
        <v>8401</v>
      </c>
    </row>
    <row r="454" spans="1:4" ht="14.45" x14ac:dyDescent="0.3">
      <c r="A454">
        <v>9797</v>
      </c>
      <c r="B454" t="s">
        <v>10016</v>
      </c>
      <c r="C454" t="s">
        <v>5043</v>
      </c>
      <c r="D454" t="s">
        <v>8401</v>
      </c>
    </row>
    <row r="455" spans="1:4" ht="14.45" x14ac:dyDescent="0.3">
      <c r="A455">
        <v>7017</v>
      </c>
      <c r="B455" t="s">
        <v>10017</v>
      </c>
      <c r="C455" t="s">
        <v>5043</v>
      </c>
      <c r="D455" t="s">
        <v>8401</v>
      </c>
    </row>
    <row r="456" spans="1:4" ht="14.45" x14ac:dyDescent="0.3">
      <c r="A456">
        <v>7228</v>
      </c>
      <c r="B456" t="s">
        <v>10017</v>
      </c>
      <c r="C456" t="s">
        <v>5043</v>
      </c>
      <c r="D456" t="s">
        <v>8401</v>
      </c>
    </row>
    <row r="457" spans="1:4" ht="14.45" x14ac:dyDescent="0.3">
      <c r="A457">
        <v>8027</v>
      </c>
      <c r="B457" t="s">
        <v>10018</v>
      </c>
      <c r="C457" t="s">
        <v>5043</v>
      </c>
      <c r="D457" t="s">
        <v>8401</v>
      </c>
    </row>
    <row r="458" spans="1:4" ht="14.45" x14ac:dyDescent="0.3">
      <c r="A458">
        <v>9049</v>
      </c>
      <c r="B458" t="s">
        <v>10018</v>
      </c>
      <c r="C458" t="s">
        <v>5043</v>
      </c>
      <c r="D458" t="s">
        <v>8401</v>
      </c>
    </row>
    <row r="459" spans="1:4" ht="14.45" x14ac:dyDescent="0.3">
      <c r="A459">
        <v>10993</v>
      </c>
      <c r="B459" t="s">
        <v>10019</v>
      </c>
      <c r="C459" t="s">
        <v>5043</v>
      </c>
      <c r="D459" t="s">
        <v>8401</v>
      </c>
    </row>
    <row r="460" spans="1:4" ht="14.45" x14ac:dyDescent="0.3">
      <c r="A460">
        <v>11589</v>
      </c>
      <c r="B460" t="s">
        <v>10020</v>
      </c>
      <c r="C460" t="s">
        <v>5043</v>
      </c>
      <c r="D460" t="s">
        <v>8401</v>
      </c>
    </row>
    <row r="461" spans="1:4" ht="14.45" x14ac:dyDescent="0.3">
      <c r="A461">
        <v>9442</v>
      </c>
      <c r="B461" t="s">
        <v>10020</v>
      </c>
      <c r="C461" t="s">
        <v>5043</v>
      </c>
      <c r="D461" t="s">
        <v>8401</v>
      </c>
    </row>
    <row r="462" spans="1:4" ht="14.45" x14ac:dyDescent="0.3">
      <c r="A462">
        <v>11441</v>
      </c>
      <c r="B462" t="s">
        <v>10021</v>
      </c>
      <c r="C462" t="s">
        <v>5043</v>
      </c>
      <c r="D462" t="s">
        <v>8401</v>
      </c>
    </row>
    <row r="463" spans="1:4" ht="14.45" x14ac:dyDescent="0.3">
      <c r="A463">
        <v>8769</v>
      </c>
      <c r="B463" t="s">
        <v>10021</v>
      </c>
      <c r="C463" t="s">
        <v>5043</v>
      </c>
      <c r="D463" t="s">
        <v>8401</v>
      </c>
    </row>
    <row r="464" spans="1:4" ht="14.45" x14ac:dyDescent="0.3">
      <c r="A464">
        <v>8687</v>
      </c>
      <c r="B464" t="s">
        <v>10022</v>
      </c>
      <c r="C464" t="s">
        <v>5043</v>
      </c>
      <c r="D464" t="s">
        <v>8401</v>
      </c>
    </row>
    <row r="465" spans="1:4" ht="14.45" x14ac:dyDescent="0.3">
      <c r="A465">
        <v>6668</v>
      </c>
      <c r="B465" t="s">
        <v>10023</v>
      </c>
      <c r="C465" t="s">
        <v>5043</v>
      </c>
      <c r="D465" t="s">
        <v>8401</v>
      </c>
    </row>
    <row r="466" spans="1:4" ht="14.45" x14ac:dyDescent="0.3">
      <c r="A466">
        <v>8498</v>
      </c>
      <c r="B466" t="s">
        <v>10023</v>
      </c>
      <c r="C466" t="s">
        <v>5043</v>
      </c>
      <c r="D466" t="s">
        <v>8401</v>
      </c>
    </row>
    <row r="467" spans="1:4" ht="14.45" x14ac:dyDescent="0.3">
      <c r="A467">
        <v>12468</v>
      </c>
      <c r="B467" t="s">
        <v>11560</v>
      </c>
      <c r="C467" t="s">
        <v>5043</v>
      </c>
      <c r="D467" t="s">
        <v>8401</v>
      </c>
    </row>
    <row r="468" spans="1:4" ht="14.45" x14ac:dyDescent="0.3">
      <c r="A468">
        <v>10900</v>
      </c>
      <c r="B468" t="s">
        <v>10024</v>
      </c>
      <c r="C468" t="s">
        <v>5043</v>
      </c>
      <c r="D468" t="s">
        <v>8401</v>
      </c>
    </row>
    <row r="469" spans="1:4" ht="14.45" x14ac:dyDescent="0.3">
      <c r="A469">
        <v>8778</v>
      </c>
      <c r="B469" t="s">
        <v>10024</v>
      </c>
      <c r="C469" t="s">
        <v>5043</v>
      </c>
      <c r="D469" t="s">
        <v>8401</v>
      </c>
    </row>
    <row r="470" spans="1:4" ht="14.45" x14ac:dyDescent="0.3">
      <c r="A470">
        <v>11954</v>
      </c>
      <c r="B470" t="s">
        <v>8655</v>
      </c>
      <c r="C470" t="s">
        <v>5043</v>
      </c>
      <c r="D470" t="s">
        <v>8401</v>
      </c>
    </row>
    <row r="471" spans="1:4" ht="14.45" x14ac:dyDescent="0.3">
      <c r="A471">
        <v>10902</v>
      </c>
      <c r="B471" t="s">
        <v>10025</v>
      </c>
      <c r="C471" t="s">
        <v>5043</v>
      </c>
      <c r="D471" t="s">
        <v>8401</v>
      </c>
    </row>
    <row r="472" spans="1:4" ht="14.45" x14ac:dyDescent="0.3">
      <c r="A472">
        <v>8747</v>
      </c>
      <c r="B472" t="s">
        <v>10025</v>
      </c>
      <c r="C472" t="s">
        <v>5043</v>
      </c>
      <c r="D472" t="s">
        <v>8401</v>
      </c>
    </row>
    <row r="473" spans="1:4" ht="14.45" x14ac:dyDescent="0.3">
      <c r="A473">
        <v>10028</v>
      </c>
      <c r="B473" t="s">
        <v>10026</v>
      </c>
      <c r="C473" t="s">
        <v>5043</v>
      </c>
      <c r="D473" t="s">
        <v>8401</v>
      </c>
    </row>
    <row r="474" spans="1:4" ht="14.45" x14ac:dyDescent="0.3">
      <c r="A474">
        <v>10655</v>
      </c>
      <c r="B474" t="s">
        <v>10026</v>
      </c>
      <c r="C474" t="s">
        <v>5043</v>
      </c>
      <c r="D474" t="s">
        <v>8401</v>
      </c>
    </row>
    <row r="475" spans="1:4" ht="14.45" x14ac:dyDescent="0.3">
      <c r="A475">
        <v>11616</v>
      </c>
      <c r="B475" t="s">
        <v>10026</v>
      </c>
      <c r="C475" t="s">
        <v>5043</v>
      </c>
      <c r="D475" t="s">
        <v>8401</v>
      </c>
    </row>
    <row r="476" spans="1:4" ht="14.45" x14ac:dyDescent="0.3">
      <c r="A476">
        <v>6754</v>
      </c>
      <c r="B476" t="s">
        <v>10026</v>
      </c>
      <c r="C476" t="s">
        <v>5043</v>
      </c>
      <c r="D476" t="s">
        <v>8401</v>
      </c>
    </row>
    <row r="477" spans="1:4" ht="14.45" x14ac:dyDescent="0.3">
      <c r="A477">
        <v>8230</v>
      </c>
      <c r="B477" t="s">
        <v>10026</v>
      </c>
      <c r="C477" t="s">
        <v>5043</v>
      </c>
      <c r="D477" t="s">
        <v>8401</v>
      </c>
    </row>
    <row r="478" spans="1:4" ht="14.45" x14ac:dyDescent="0.3">
      <c r="A478">
        <v>10597</v>
      </c>
      <c r="B478" t="s">
        <v>10027</v>
      </c>
      <c r="C478" t="s">
        <v>5043</v>
      </c>
      <c r="D478" t="s">
        <v>8401</v>
      </c>
    </row>
    <row r="479" spans="1:4" ht="14.45" x14ac:dyDescent="0.3">
      <c r="A479">
        <v>10069</v>
      </c>
      <c r="B479" t="s">
        <v>10028</v>
      </c>
      <c r="C479" t="s">
        <v>5043</v>
      </c>
      <c r="D479" t="s">
        <v>8401</v>
      </c>
    </row>
    <row r="480" spans="1:4" ht="14.45" x14ac:dyDescent="0.3">
      <c r="A480">
        <v>11317</v>
      </c>
      <c r="B480" t="s">
        <v>10028</v>
      </c>
      <c r="C480" t="s">
        <v>5043</v>
      </c>
      <c r="D480" t="s">
        <v>8401</v>
      </c>
    </row>
    <row r="481" spans="1:4" ht="14.45" x14ac:dyDescent="0.3">
      <c r="A481">
        <v>10142</v>
      </c>
      <c r="B481" t="s">
        <v>10029</v>
      </c>
      <c r="C481" t="s">
        <v>5043</v>
      </c>
      <c r="D481" t="s">
        <v>8401</v>
      </c>
    </row>
    <row r="482" spans="1:4" ht="14.45" x14ac:dyDescent="0.3">
      <c r="A482">
        <v>7197</v>
      </c>
      <c r="B482" t="s">
        <v>10029</v>
      </c>
      <c r="C482" t="s">
        <v>5043</v>
      </c>
      <c r="D482" t="s">
        <v>8401</v>
      </c>
    </row>
    <row r="483" spans="1:4" ht="14.45" x14ac:dyDescent="0.3">
      <c r="A483">
        <v>6789</v>
      </c>
      <c r="B483" t="s">
        <v>8656</v>
      </c>
      <c r="C483" t="s">
        <v>5043</v>
      </c>
      <c r="D483" t="s">
        <v>8401</v>
      </c>
    </row>
    <row r="484" spans="1:4" ht="14.45" x14ac:dyDescent="0.3">
      <c r="A484">
        <v>11653</v>
      </c>
      <c r="B484" t="s">
        <v>8657</v>
      </c>
      <c r="C484" t="s">
        <v>5043</v>
      </c>
      <c r="D484" t="s">
        <v>8401</v>
      </c>
    </row>
    <row r="485" spans="1:4" ht="14.45" x14ac:dyDescent="0.3">
      <c r="A485">
        <v>6942</v>
      </c>
      <c r="B485" t="s">
        <v>8658</v>
      </c>
      <c r="C485" t="s">
        <v>5043</v>
      </c>
      <c r="D485" t="s">
        <v>8401</v>
      </c>
    </row>
    <row r="486" spans="1:4" ht="14.45" x14ac:dyDescent="0.3">
      <c r="A486">
        <v>6836</v>
      </c>
      <c r="B486" t="s">
        <v>10030</v>
      </c>
      <c r="C486" t="s">
        <v>5043</v>
      </c>
      <c r="D486" t="s">
        <v>8401</v>
      </c>
    </row>
    <row r="487" spans="1:4" ht="14.45" x14ac:dyDescent="0.3">
      <c r="A487">
        <v>11332</v>
      </c>
      <c r="B487" t="s">
        <v>10031</v>
      </c>
      <c r="C487" t="s">
        <v>5043</v>
      </c>
      <c r="D487" t="s">
        <v>8401</v>
      </c>
    </row>
    <row r="488" spans="1:4" ht="14.45" x14ac:dyDescent="0.3">
      <c r="A488">
        <v>10333</v>
      </c>
      <c r="B488" t="s">
        <v>10032</v>
      </c>
      <c r="C488" t="s">
        <v>5043</v>
      </c>
      <c r="D488" t="s">
        <v>8401</v>
      </c>
    </row>
    <row r="489" spans="1:4" ht="14.45" x14ac:dyDescent="0.3">
      <c r="A489">
        <v>10341</v>
      </c>
      <c r="B489" t="s">
        <v>10033</v>
      </c>
      <c r="C489" t="s">
        <v>5043</v>
      </c>
      <c r="D489" t="s">
        <v>8401</v>
      </c>
    </row>
    <row r="490" spans="1:4" ht="14.45" x14ac:dyDescent="0.3">
      <c r="A490">
        <v>10827</v>
      </c>
      <c r="B490" t="s">
        <v>10034</v>
      </c>
      <c r="C490" t="s">
        <v>5043</v>
      </c>
      <c r="D490" t="s">
        <v>8401</v>
      </c>
    </row>
    <row r="491" spans="1:4" ht="14.45" x14ac:dyDescent="0.3">
      <c r="A491">
        <v>10578</v>
      </c>
      <c r="B491" t="s">
        <v>10035</v>
      </c>
      <c r="C491" t="s">
        <v>5043</v>
      </c>
      <c r="D491" t="s">
        <v>8401</v>
      </c>
    </row>
    <row r="492" spans="1:4" ht="14.45" x14ac:dyDescent="0.3">
      <c r="A492">
        <v>7178</v>
      </c>
      <c r="B492" t="s">
        <v>10036</v>
      </c>
      <c r="C492" t="s">
        <v>5043</v>
      </c>
      <c r="D492" t="s">
        <v>8401</v>
      </c>
    </row>
    <row r="493" spans="1:4" ht="14.45" x14ac:dyDescent="0.3">
      <c r="A493">
        <v>9001</v>
      </c>
      <c r="B493" t="s">
        <v>10037</v>
      </c>
      <c r="C493" t="s">
        <v>5043</v>
      </c>
      <c r="D493" t="s">
        <v>8401</v>
      </c>
    </row>
    <row r="494" spans="1:4" ht="14.45" x14ac:dyDescent="0.3">
      <c r="A494">
        <v>8439</v>
      </c>
      <c r="B494" t="s">
        <v>10038</v>
      </c>
      <c r="C494" t="s">
        <v>5043</v>
      </c>
      <c r="D494" t="s">
        <v>8401</v>
      </c>
    </row>
    <row r="495" spans="1:4" ht="14.45" x14ac:dyDescent="0.3">
      <c r="A495">
        <v>8407</v>
      </c>
      <c r="B495" t="s">
        <v>10039</v>
      </c>
      <c r="C495" t="s">
        <v>5043</v>
      </c>
      <c r="D495" t="s">
        <v>8401</v>
      </c>
    </row>
    <row r="496" spans="1:4" ht="14.45" x14ac:dyDescent="0.3">
      <c r="A496">
        <v>6832</v>
      </c>
      <c r="B496" t="s">
        <v>10040</v>
      </c>
      <c r="C496" t="s">
        <v>5043</v>
      </c>
      <c r="D496" t="s">
        <v>8401</v>
      </c>
    </row>
    <row r="497" spans="1:4" ht="14.45" x14ac:dyDescent="0.3">
      <c r="A497">
        <v>11078</v>
      </c>
      <c r="B497" t="s">
        <v>10041</v>
      </c>
      <c r="C497" t="s">
        <v>5043</v>
      </c>
      <c r="D497" t="s">
        <v>8401</v>
      </c>
    </row>
    <row r="498" spans="1:4" ht="14.45" x14ac:dyDescent="0.3">
      <c r="A498">
        <v>7092</v>
      </c>
      <c r="B498" t="s">
        <v>10042</v>
      </c>
      <c r="C498" t="s">
        <v>5043</v>
      </c>
      <c r="D498" t="s">
        <v>8401</v>
      </c>
    </row>
    <row r="499" spans="1:4" ht="14.45" x14ac:dyDescent="0.3">
      <c r="A499">
        <v>10402</v>
      </c>
      <c r="B499" t="s">
        <v>10043</v>
      </c>
      <c r="C499" t="s">
        <v>5043</v>
      </c>
      <c r="D499" t="s">
        <v>8401</v>
      </c>
    </row>
    <row r="500" spans="1:4" ht="14.45" x14ac:dyDescent="0.3">
      <c r="A500">
        <v>7874</v>
      </c>
      <c r="B500" t="s">
        <v>10044</v>
      </c>
      <c r="C500" t="s">
        <v>5043</v>
      </c>
      <c r="D500" t="s">
        <v>8401</v>
      </c>
    </row>
    <row r="501" spans="1:4" ht="14.45" x14ac:dyDescent="0.3">
      <c r="A501">
        <v>8538</v>
      </c>
      <c r="B501" t="s">
        <v>10045</v>
      </c>
      <c r="C501" t="s">
        <v>5043</v>
      </c>
      <c r="D501" t="s">
        <v>8401</v>
      </c>
    </row>
    <row r="502" spans="1:4" ht="14.45" x14ac:dyDescent="0.3">
      <c r="A502">
        <v>6644</v>
      </c>
      <c r="B502" t="s">
        <v>10046</v>
      </c>
      <c r="C502" t="s">
        <v>5043</v>
      </c>
      <c r="D502" t="s">
        <v>8401</v>
      </c>
    </row>
    <row r="503" spans="1:4" ht="14.45" x14ac:dyDescent="0.3">
      <c r="A503">
        <v>8001</v>
      </c>
      <c r="B503" t="s">
        <v>10047</v>
      </c>
      <c r="C503" t="s">
        <v>5043</v>
      </c>
      <c r="D503" t="s">
        <v>8401</v>
      </c>
    </row>
    <row r="504" spans="1:4" ht="14.45" x14ac:dyDescent="0.3">
      <c r="A504">
        <v>9778</v>
      </c>
      <c r="B504" t="s">
        <v>8659</v>
      </c>
      <c r="C504" t="s">
        <v>5043</v>
      </c>
      <c r="D504" t="s">
        <v>8401</v>
      </c>
    </row>
    <row r="505" spans="1:4" ht="14.45" x14ac:dyDescent="0.3">
      <c r="A505">
        <v>10048</v>
      </c>
      <c r="B505" t="s">
        <v>8660</v>
      </c>
      <c r="C505" t="s">
        <v>5043</v>
      </c>
      <c r="D505" t="s">
        <v>8401</v>
      </c>
    </row>
    <row r="506" spans="1:4" ht="14.45" x14ac:dyDescent="0.3">
      <c r="A506">
        <v>11285</v>
      </c>
      <c r="B506" t="s">
        <v>8660</v>
      </c>
      <c r="C506" t="s">
        <v>5043</v>
      </c>
      <c r="D506" t="s">
        <v>8401</v>
      </c>
    </row>
    <row r="507" spans="1:4" ht="14.45" x14ac:dyDescent="0.3">
      <c r="A507">
        <v>11356</v>
      </c>
      <c r="B507" t="s">
        <v>8660</v>
      </c>
      <c r="C507" t="s">
        <v>5043</v>
      </c>
      <c r="D507" t="s">
        <v>8401</v>
      </c>
    </row>
    <row r="508" spans="1:4" ht="14.45" x14ac:dyDescent="0.3">
      <c r="A508">
        <v>7163</v>
      </c>
      <c r="B508" t="s">
        <v>8660</v>
      </c>
      <c r="C508" t="s">
        <v>5043</v>
      </c>
      <c r="D508" t="s">
        <v>8401</v>
      </c>
    </row>
    <row r="509" spans="1:4" ht="14.45" x14ac:dyDescent="0.3">
      <c r="A509">
        <v>7601</v>
      </c>
      <c r="B509" t="s">
        <v>8660</v>
      </c>
      <c r="C509" t="s">
        <v>5043</v>
      </c>
      <c r="D509" t="s">
        <v>8401</v>
      </c>
    </row>
    <row r="510" spans="1:4" ht="14.45" x14ac:dyDescent="0.3">
      <c r="A510">
        <v>7978</v>
      </c>
      <c r="B510" t="s">
        <v>8660</v>
      </c>
      <c r="C510" t="s">
        <v>5043</v>
      </c>
      <c r="D510" t="s">
        <v>8401</v>
      </c>
    </row>
    <row r="511" spans="1:4" ht="14.45" x14ac:dyDescent="0.3">
      <c r="A511">
        <v>8032</v>
      </c>
      <c r="B511" t="s">
        <v>8660</v>
      </c>
      <c r="C511" t="s">
        <v>5043</v>
      </c>
      <c r="D511" t="s">
        <v>8401</v>
      </c>
    </row>
    <row r="512" spans="1:4" ht="14.45" x14ac:dyDescent="0.3">
      <c r="A512">
        <v>8641</v>
      </c>
      <c r="B512" t="s">
        <v>8660</v>
      </c>
      <c r="C512" t="s">
        <v>5043</v>
      </c>
      <c r="D512" t="s">
        <v>8401</v>
      </c>
    </row>
    <row r="513" spans="1:4" ht="14.45" x14ac:dyDescent="0.3">
      <c r="A513">
        <v>9677</v>
      </c>
      <c r="B513" t="s">
        <v>8660</v>
      </c>
      <c r="C513" t="s">
        <v>5043</v>
      </c>
      <c r="D513" t="s">
        <v>8401</v>
      </c>
    </row>
    <row r="514" spans="1:4" ht="14.45" x14ac:dyDescent="0.3">
      <c r="A514">
        <v>9859</v>
      </c>
      <c r="B514" t="s">
        <v>8660</v>
      </c>
      <c r="C514" t="s">
        <v>5043</v>
      </c>
      <c r="D514" t="s">
        <v>8401</v>
      </c>
    </row>
    <row r="515" spans="1:4" ht="14.45" x14ac:dyDescent="0.3">
      <c r="A515">
        <v>9990</v>
      </c>
      <c r="B515" t="s">
        <v>8660</v>
      </c>
      <c r="C515" t="s">
        <v>5043</v>
      </c>
      <c r="D515" t="s">
        <v>8401</v>
      </c>
    </row>
    <row r="516" spans="1:4" ht="14.45" x14ac:dyDescent="0.3">
      <c r="A516">
        <v>10358</v>
      </c>
      <c r="B516" t="s">
        <v>8661</v>
      </c>
      <c r="C516" t="s">
        <v>5043</v>
      </c>
      <c r="D516" t="s">
        <v>8401</v>
      </c>
    </row>
    <row r="517" spans="1:4" ht="14.45" x14ac:dyDescent="0.3">
      <c r="A517">
        <v>11629</v>
      </c>
      <c r="B517" t="s">
        <v>8661</v>
      </c>
      <c r="C517" t="s">
        <v>5043</v>
      </c>
      <c r="D517" t="s">
        <v>8401</v>
      </c>
    </row>
    <row r="518" spans="1:4" ht="14.45" x14ac:dyDescent="0.3">
      <c r="A518">
        <v>8165</v>
      </c>
      <c r="B518" t="s">
        <v>8661</v>
      </c>
      <c r="C518" t="s">
        <v>5043</v>
      </c>
      <c r="D518" t="s">
        <v>8401</v>
      </c>
    </row>
    <row r="519" spans="1:4" ht="14.45" x14ac:dyDescent="0.3">
      <c r="A519">
        <v>8205</v>
      </c>
      <c r="B519" t="s">
        <v>8661</v>
      </c>
      <c r="C519" t="s">
        <v>5043</v>
      </c>
      <c r="D519" t="s">
        <v>8401</v>
      </c>
    </row>
    <row r="520" spans="1:4" ht="14.45" x14ac:dyDescent="0.3">
      <c r="A520">
        <v>8748</v>
      </c>
      <c r="B520" t="s">
        <v>8661</v>
      </c>
      <c r="C520" t="s">
        <v>5043</v>
      </c>
      <c r="D520" t="s">
        <v>8401</v>
      </c>
    </row>
    <row r="521" spans="1:4" ht="14.45" x14ac:dyDescent="0.3">
      <c r="A521">
        <v>8945</v>
      </c>
      <c r="B521" t="s">
        <v>8661</v>
      </c>
      <c r="C521" t="s">
        <v>5043</v>
      </c>
      <c r="D521" t="s">
        <v>8401</v>
      </c>
    </row>
    <row r="522" spans="1:4" ht="14.45" x14ac:dyDescent="0.3">
      <c r="A522">
        <v>9511</v>
      </c>
      <c r="B522" t="s">
        <v>8661</v>
      </c>
      <c r="C522" t="s">
        <v>5043</v>
      </c>
      <c r="D522" t="s">
        <v>8401</v>
      </c>
    </row>
    <row r="523" spans="1:4" ht="14.45" x14ac:dyDescent="0.3">
      <c r="A523">
        <v>9804</v>
      </c>
      <c r="B523" t="s">
        <v>8661</v>
      </c>
      <c r="C523" t="s">
        <v>5043</v>
      </c>
      <c r="D523" t="s">
        <v>8401</v>
      </c>
    </row>
    <row r="524" spans="1:4" ht="14.45" x14ac:dyDescent="0.3">
      <c r="A524">
        <v>11214</v>
      </c>
      <c r="B524" t="s">
        <v>8662</v>
      </c>
      <c r="C524" t="s">
        <v>5043</v>
      </c>
      <c r="D524" t="s">
        <v>8401</v>
      </c>
    </row>
    <row r="525" spans="1:4" ht="14.45" x14ac:dyDescent="0.3">
      <c r="A525">
        <v>7545</v>
      </c>
      <c r="B525" t="s">
        <v>8662</v>
      </c>
      <c r="C525" t="s">
        <v>5043</v>
      </c>
      <c r="D525" t="s">
        <v>8401</v>
      </c>
    </row>
    <row r="526" spans="1:4" ht="14.45" x14ac:dyDescent="0.3">
      <c r="A526">
        <v>7655</v>
      </c>
      <c r="B526" t="s">
        <v>8662</v>
      </c>
      <c r="C526" t="s">
        <v>5043</v>
      </c>
      <c r="D526" t="s">
        <v>8401</v>
      </c>
    </row>
    <row r="527" spans="1:4" ht="14.45" x14ac:dyDescent="0.3">
      <c r="A527">
        <v>8377</v>
      </c>
      <c r="B527" t="s">
        <v>8662</v>
      </c>
      <c r="C527" t="s">
        <v>5043</v>
      </c>
      <c r="D527" t="s">
        <v>8401</v>
      </c>
    </row>
    <row r="528" spans="1:4" ht="14.45" x14ac:dyDescent="0.3">
      <c r="A528">
        <v>8454</v>
      </c>
      <c r="B528" t="s">
        <v>8662</v>
      </c>
      <c r="C528" t="s">
        <v>5043</v>
      </c>
      <c r="D528" t="s">
        <v>8401</v>
      </c>
    </row>
    <row r="529" spans="1:4" ht="14.45" x14ac:dyDescent="0.3">
      <c r="A529">
        <v>9369</v>
      </c>
      <c r="B529" t="s">
        <v>8662</v>
      </c>
      <c r="C529" t="s">
        <v>5043</v>
      </c>
      <c r="D529" t="s">
        <v>8401</v>
      </c>
    </row>
    <row r="530" spans="1:4" ht="14.45" x14ac:dyDescent="0.3">
      <c r="A530">
        <v>10359</v>
      </c>
      <c r="B530" t="s">
        <v>8663</v>
      </c>
      <c r="C530" t="s">
        <v>5043</v>
      </c>
      <c r="D530" t="s">
        <v>8401</v>
      </c>
    </row>
    <row r="531" spans="1:4" ht="14.45" x14ac:dyDescent="0.3">
      <c r="A531">
        <v>10533</v>
      </c>
      <c r="B531" t="s">
        <v>8663</v>
      </c>
      <c r="C531" t="s">
        <v>5043</v>
      </c>
      <c r="D531" t="s">
        <v>8401</v>
      </c>
    </row>
    <row r="532" spans="1:4" ht="14.45" x14ac:dyDescent="0.3">
      <c r="A532">
        <v>10643</v>
      </c>
      <c r="B532" t="s">
        <v>8663</v>
      </c>
      <c r="C532" t="s">
        <v>5043</v>
      </c>
      <c r="D532" t="s">
        <v>8401</v>
      </c>
    </row>
    <row r="533" spans="1:4" ht="14.45" x14ac:dyDescent="0.3">
      <c r="A533">
        <v>11019</v>
      </c>
      <c r="B533" t="s">
        <v>8663</v>
      </c>
      <c r="C533" t="s">
        <v>5043</v>
      </c>
      <c r="D533" t="s">
        <v>8401</v>
      </c>
    </row>
    <row r="534" spans="1:4" ht="14.45" x14ac:dyDescent="0.3">
      <c r="A534">
        <v>11569</v>
      </c>
      <c r="B534" t="s">
        <v>8663</v>
      </c>
      <c r="C534" t="s">
        <v>5043</v>
      </c>
      <c r="D534" t="s">
        <v>8401</v>
      </c>
    </row>
    <row r="535" spans="1:4" ht="14.45" x14ac:dyDescent="0.3">
      <c r="A535">
        <v>7867</v>
      </c>
      <c r="B535" t="s">
        <v>8663</v>
      </c>
      <c r="C535" t="s">
        <v>5043</v>
      </c>
      <c r="D535" t="s">
        <v>8401</v>
      </c>
    </row>
    <row r="536" spans="1:4" ht="14.45" x14ac:dyDescent="0.3">
      <c r="A536">
        <v>7900</v>
      </c>
      <c r="B536" t="s">
        <v>8663</v>
      </c>
      <c r="C536" t="s">
        <v>5043</v>
      </c>
      <c r="D536" t="s">
        <v>8401</v>
      </c>
    </row>
    <row r="537" spans="1:4" ht="14.45" x14ac:dyDescent="0.3">
      <c r="A537">
        <v>9396</v>
      </c>
      <c r="B537" t="s">
        <v>8663</v>
      </c>
      <c r="C537" t="s">
        <v>5043</v>
      </c>
      <c r="D537" t="s">
        <v>8401</v>
      </c>
    </row>
    <row r="538" spans="1:4" ht="14.45" x14ac:dyDescent="0.3">
      <c r="A538">
        <v>9883</v>
      </c>
      <c r="B538" t="s">
        <v>8663</v>
      </c>
      <c r="C538" t="s">
        <v>5043</v>
      </c>
      <c r="D538" t="s">
        <v>8401</v>
      </c>
    </row>
    <row r="539" spans="1:4" ht="14.45" x14ac:dyDescent="0.3">
      <c r="A539">
        <v>10282</v>
      </c>
      <c r="B539" t="s">
        <v>8664</v>
      </c>
      <c r="C539" t="s">
        <v>5043</v>
      </c>
      <c r="D539" t="s">
        <v>8401</v>
      </c>
    </row>
    <row r="540" spans="1:4" ht="14.45" x14ac:dyDescent="0.3">
      <c r="A540">
        <v>10885</v>
      </c>
      <c r="B540" t="s">
        <v>8664</v>
      </c>
      <c r="C540" t="s">
        <v>5043</v>
      </c>
      <c r="D540" t="s">
        <v>8401</v>
      </c>
    </row>
    <row r="541" spans="1:4" ht="14.45" x14ac:dyDescent="0.3">
      <c r="A541">
        <v>6426</v>
      </c>
      <c r="B541" t="s">
        <v>8664</v>
      </c>
      <c r="C541" t="s">
        <v>5043</v>
      </c>
      <c r="D541" t="s">
        <v>8401</v>
      </c>
    </row>
    <row r="542" spans="1:4" ht="14.45" x14ac:dyDescent="0.3">
      <c r="A542">
        <v>8283</v>
      </c>
      <c r="B542" t="s">
        <v>8664</v>
      </c>
      <c r="C542" t="s">
        <v>5043</v>
      </c>
      <c r="D542" t="s">
        <v>8401</v>
      </c>
    </row>
    <row r="543" spans="1:4" ht="14.45" x14ac:dyDescent="0.3">
      <c r="A543">
        <v>8805</v>
      </c>
      <c r="B543" t="s">
        <v>8664</v>
      </c>
      <c r="C543" t="s">
        <v>5043</v>
      </c>
      <c r="D543" t="s">
        <v>8401</v>
      </c>
    </row>
    <row r="544" spans="1:4" ht="14.45" x14ac:dyDescent="0.3">
      <c r="A544">
        <v>8866</v>
      </c>
      <c r="B544" t="s">
        <v>8664</v>
      </c>
      <c r="C544" t="s">
        <v>5043</v>
      </c>
      <c r="D544" t="s">
        <v>8401</v>
      </c>
    </row>
    <row r="545" spans="1:4" ht="14.45" x14ac:dyDescent="0.3">
      <c r="A545">
        <v>9202</v>
      </c>
      <c r="B545" t="s">
        <v>8664</v>
      </c>
      <c r="C545" t="s">
        <v>5043</v>
      </c>
      <c r="D545" t="s">
        <v>8401</v>
      </c>
    </row>
    <row r="546" spans="1:4" ht="14.45" x14ac:dyDescent="0.3">
      <c r="A546">
        <v>9287</v>
      </c>
      <c r="B546" t="s">
        <v>8664</v>
      </c>
      <c r="C546" t="s">
        <v>5043</v>
      </c>
      <c r="D546" t="s">
        <v>8401</v>
      </c>
    </row>
    <row r="547" spans="1:4" ht="14.45" x14ac:dyDescent="0.3">
      <c r="A547">
        <v>9378</v>
      </c>
      <c r="B547" t="s">
        <v>8664</v>
      </c>
      <c r="C547" t="s">
        <v>5043</v>
      </c>
      <c r="D547" t="s">
        <v>8401</v>
      </c>
    </row>
    <row r="548" spans="1:4" ht="14.45" x14ac:dyDescent="0.3">
      <c r="A548">
        <v>10994</v>
      </c>
      <c r="B548" t="s">
        <v>8665</v>
      </c>
      <c r="C548" t="s">
        <v>5043</v>
      </c>
      <c r="D548" t="s">
        <v>8401</v>
      </c>
    </row>
    <row r="549" spans="1:4" ht="14.45" x14ac:dyDescent="0.3">
      <c r="A549">
        <v>11061</v>
      </c>
      <c r="B549" t="s">
        <v>8665</v>
      </c>
      <c r="C549" t="s">
        <v>5043</v>
      </c>
      <c r="D549" t="s">
        <v>8401</v>
      </c>
    </row>
    <row r="550" spans="1:4" ht="14.45" x14ac:dyDescent="0.3">
      <c r="A550">
        <v>6611</v>
      </c>
      <c r="B550" t="s">
        <v>8665</v>
      </c>
      <c r="C550" t="s">
        <v>5043</v>
      </c>
      <c r="D550" t="s">
        <v>8401</v>
      </c>
    </row>
    <row r="551" spans="1:4" ht="14.45" x14ac:dyDescent="0.3">
      <c r="A551">
        <v>7019</v>
      </c>
      <c r="B551" t="s">
        <v>8665</v>
      </c>
      <c r="C551" t="s">
        <v>5043</v>
      </c>
      <c r="D551" t="s">
        <v>8401</v>
      </c>
    </row>
    <row r="552" spans="1:4" ht="14.45" x14ac:dyDescent="0.3">
      <c r="A552">
        <v>7359</v>
      </c>
      <c r="B552" t="s">
        <v>8665</v>
      </c>
      <c r="C552" t="s">
        <v>5043</v>
      </c>
      <c r="D552" t="s">
        <v>8401</v>
      </c>
    </row>
    <row r="553" spans="1:4" ht="14.45" x14ac:dyDescent="0.3">
      <c r="A553">
        <v>7828</v>
      </c>
      <c r="B553" t="s">
        <v>8665</v>
      </c>
      <c r="C553" t="s">
        <v>5043</v>
      </c>
      <c r="D553" t="s">
        <v>8401</v>
      </c>
    </row>
    <row r="554" spans="1:4" ht="14.45" x14ac:dyDescent="0.3">
      <c r="A554">
        <v>9412</v>
      </c>
      <c r="B554" t="s">
        <v>8665</v>
      </c>
      <c r="C554" t="s">
        <v>5043</v>
      </c>
      <c r="D554" t="s">
        <v>8401</v>
      </c>
    </row>
    <row r="555" spans="1:4" ht="14.45" x14ac:dyDescent="0.3">
      <c r="A555">
        <v>9547</v>
      </c>
      <c r="B555" t="s">
        <v>8665</v>
      </c>
      <c r="C555" t="s">
        <v>5043</v>
      </c>
      <c r="D555" t="s">
        <v>8401</v>
      </c>
    </row>
    <row r="556" spans="1:4" ht="14.45" x14ac:dyDescent="0.3">
      <c r="A556">
        <v>11167</v>
      </c>
      <c r="B556" t="s">
        <v>8666</v>
      </c>
      <c r="C556" t="s">
        <v>5043</v>
      </c>
      <c r="D556" t="s">
        <v>8401</v>
      </c>
    </row>
    <row r="557" spans="1:4" ht="14.45" x14ac:dyDescent="0.3">
      <c r="A557">
        <v>6394</v>
      </c>
      <c r="B557" t="s">
        <v>8666</v>
      </c>
      <c r="C557" t="s">
        <v>5043</v>
      </c>
      <c r="D557" t="s">
        <v>8401</v>
      </c>
    </row>
    <row r="558" spans="1:4" ht="14.45" x14ac:dyDescent="0.3">
      <c r="A558">
        <v>6417</v>
      </c>
      <c r="B558" t="s">
        <v>8666</v>
      </c>
      <c r="C558" t="s">
        <v>5043</v>
      </c>
      <c r="D558" t="s">
        <v>8401</v>
      </c>
    </row>
    <row r="559" spans="1:4" ht="14.45" x14ac:dyDescent="0.3">
      <c r="A559">
        <v>6584</v>
      </c>
      <c r="B559" t="s">
        <v>8666</v>
      </c>
      <c r="C559" t="s">
        <v>5043</v>
      </c>
      <c r="D559" t="s">
        <v>8401</v>
      </c>
    </row>
    <row r="560" spans="1:4" ht="14.45" x14ac:dyDescent="0.3">
      <c r="A560">
        <v>6710</v>
      </c>
      <c r="B560" t="s">
        <v>8666</v>
      </c>
      <c r="C560" t="s">
        <v>5043</v>
      </c>
      <c r="D560" t="s">
        <v>8401</v>
      </c>
    </row>
    <row r="561" spans="1:4" ht="14.45" x14ac:dyDescent="0.3">
      <c r="A561">
        <v>7969</v>
      </c>
      <c r="B561" t="s">
        <v>8666</v>
      </c>
      <c r="C561" t="s">
        <v>5043</v>
      </c>
      <c r="D561" t="s">
        <v>8401</v>
      </c>
    </row>
    <row r="562" spans="1:4" ht="14.45" x14ac:dyDescent="0.3">
      <c r="A562">
        <v>8720</v>
      </c>
      <c r="B562" t="s">
        <v>8666</v>
      </c>
      <c r="C562" t="s">
        <v>5043</v>
      </c>
      <c r="D562" t="s">
        <v>8401</v>
      </c>
    </row>
    <row r="563" spans="1:4" ht="14.45" x14ac:dyDescent="0.3">
      <c r="A563">
        <v>9100</v>
      </c>
      <c r="B563" t="s">
        <v>8666</v>
      </c>
      <c r="C563" t="s">
        <v>5043</v>
      </c>
      <c r="D563" t="s">
        <v>8401</v>
      </c>
    </row>
    <row r="564" spans="1:4" ht="14.45" x14ac:dyDescent="0.3">
      <c r="A564">
        <v>10120</v>
      </c>
      <c r="B564" t="s">
        <v>8667</v>
      </c>
      <c r="C564" t="s">
        <v>5043</v>
      </c>
      <c r="D564" t="s">
        <v>8401</v>
      </c>
    </row>
    <row r="565" spans="1:4" ht="14.45" x14ac:dyDescent="0.3">
      <c r="A565">
        <v>11098</v>
      </c>
      <c r="B565" t="s">
        <v>8667</v>
      </c>
      <c r="C565" t="s">
        <v>5043</v>
      </c>
      <c r="D565" t="s">
        <v>8401</v>
      </c>
    </row>
    <row r="566" spans="1:4" ht="14.45" x14ac:dyDescent="0.3">
      <c r="A566">
        <v>11116</v>
      </c>
      <c r="B566" t="s">
        <v>8667</v>
      </c>
      <c r="C566" t="s">
        <v>5043</v>
      </c>
      <c r="D566" t="s">
        <v>8401</v>
      </c>
    </row>
    <row r="567" spans="1:4" ht="14.45" x14ac:dyDescent="0.3">
      <c r="A567">
        <v>6585</v>
      </c>
      <c r="B567" t="s">
        <v>8667</v>
      </c>
      <c r="C567" t="s">
        <v>5043</v>
      </c>
      <c r="D567" t="s">
        <v>8401</v>
      </c>
    </row>
    <row r="568" spans="1:4" ht="14.45" x14ac:dyDescent="0.3">
      <c r="A568">
        <v>7270</v>
      </c>
      <c r="B568" t="s">
        <v>8667</v>
      </c>
      <c r="C568" t="s">
        <v>5043</v>
      </c>
      <c r="D568" t="s">
        <v>8401</v>
      </c>
    </row>
    <row r="569" spans="1:4" ht="14.45" x14ac:dyDescent="0.3">
      <c r="A569">
        <v>8532</v>
      </c>
      <c r="B569" t="s">
        <v>8667</v>
      </c>
      <c r="C569" t="s">
        <v>5043</v>
      </c>
      <c r="D569" t="s">
        <v>8401</v>
      </c>
    </row>
    <row r="570" spans="1:4" ht="14.45" x14ac:dyDescent="0.3">
      <c r="A570">
        <v>8989</v>
      </c>
      <c r="B570" t="s">
        <v>8667</v>
      </c>
      <c r="C570" t="s">
        <v>5043</v>
      </c>
      <c r="D570" t="s">
        <v>8401</v>
      </c>
    </row>
    <row r="571" spans="1:4" ht="14.45" x14ac:dyDescent="0.3">
      <c r="A571">
        <v>9417</v>
      </c>
      <c r="B571" t="s">
        <v>8667</v>
      </c>
      <c r="C571" t="s">
        <v>5043</v>
      </c>
      <c r="D571" t="s">
        <v>8401</v>
      </c>
    </row>
    <row r="572" spans="1:4" ht="14.45" x14ac:dyDescent="0.3">
      <c r="A572">
        <v>9637</v>
      </c>
      <c r="B572" t="s">
        <v>8667</v>
      </c>
      <c r="C572" t="s">
        <v>5043</v>
      </c>
      <c r="D572" t="s">
        <v>8401</v>
      </c>
    </row>
    <row r="573" spans="1:4" ht="14.45" x14ac:dyDescent="0.3">
      <c r="A573">
        <v>10980</v>
      </c>
      <c r="B573" t="s">
        <v>8668</v>
      </c>
      <c r="C573" t="s">
        <v>5043</v>
      </c>
      <c r="D573" t="s">
        <v>8401</v>
      </c>
    </row>
    <row r="574" spans="1:4" ht="14.45" x14ac:dyDescent="0.3">
      <c r="A574">
        <v>11336</v>
      </c>
      <c r="B574" t="s">
        <v>8668</v>
      </c>
      <c r="C574" t="s">
        <v>5043</v>
      </c>
      <c r="D574" t="s">
        <v>8401</v>
      </c>
    </row>
    <row r="575" spans="1:4" ht="14.45" x14ac:dyDescent="0.3">
      <c r="A575">
        <v>6433</v>
      </c>
      <c r="B575" t="s">
        <v>8668</v>
      </c>
      <c r="C575" t="s">
        <v>5043</v>
      </c>
      <c r="D575" t="s">
        <v>8401</v>
      </c>
    </row>
    <row r="576" spans="1:4" ht="14.45" x14ac:dyDescent="0.3">
      <c r="A576">
        <v>6589</v>
      </c>
      <c r="B576" t="s">
        <v>8668</v>
      </c>
      <c r="C576" t="s">
        <v>5043</v>
      </c>
      <c r="D576" t="s">
        <v>8401</v>
      </c>
    </row>
    <row r="577" spans="1:4" ht="14.45" x14ac:dyDescent="0.3">
      <c r="A577">
        <v>6876</v>
      </c>
      <c r="B577" t="s">
        <v>8668</v>
      </c>
      <c r="C577" t="s">
        <v>5043</v>
      </c>
      <c r="D577" t="s">
        <v>8401</v>
      </c>
    </row>
    <row r="578" spans="1:4" ht="14.45" x14ac:dyDescent="0.3">
      <c r="A578">
        <v>7935</v>
      </c>
      <c r="B578" t="s">
        <v>8668</v>
      </c>
      <c r="C578" t="s">
        <v>5043</v>
      </c>
      <c r="D578" t="s">
        <v>8401</v>
      </c>
    </row>
    <row r="579" spans="1:4" ht="14.45" x14ac:dyDescent="0.3">
      <c r="A579">
        <v>8296</v>
      </c>
      <c r="B579" t="s">
        <v>8668</v>
      </c>
      <c r="C579" t="s">
        <v>5043</v>
      </c>
      <c r="D579" t="s">
        <v>8401</v>
      </c>
    </row>
    <row r="580" spans="1:4" ht="14.45" x14ac:dyDescent="0.3">
      <c r="A580">
        <v>8933</v>
      </c>
      <c r="B580" t="s">
        <v>8668</v>
      </c>
      <c r="C580" t="s">
        <v>5043</v>
      </c>
      <c r="D580" t="s">
        <v>8401</v>
      </c>
    </row>
    <row r="581" spans="1:4" ht="14.45" x14ac:dyDescent="0.3">
      <c r="A581">
        <v>9808</v>
      </c>
      <c r="B581" t="s">
        <v>8668</v>
      </c>
      <c r="C581" t="s">
        <v>5043</v>
      </c>
      <c r="D581" t="s">
        <v>8401</v>
      </c>
    </row>
    <row r="582" spans="1:4" ht="14.45" x14ac:dyDescent="0.3">
      <c r="A582">
        <v>10113</v>
      </c>
      <c r="B582" t="s">
        <v>8669</v>
      </c>
      <c r="C582" t="s">
        <v>5043</v>
      </c>
      <c r="D582" t="s">
        <v>8401</v>
      </c>
    </row>
    <row r="583" spans="1:4" ht="14.45" x14ac:dyDescent="0.3">
      <c r="A583">
        <v>10408</v>
      </c>
      <c r="B583" t="s">
        <v>8669</v>
      </c>
      <c r="C583" t="s">
        <v>5043</v>
      </c>
      <c r="D583" t="s">
        <v>8401</v>
      </c>
    </row>
    <row r="584" spans="1:4" ht="14.45" x14ac:dyDescent="0.3">
      <c r="A584">
        <v>10911</v>
      </c>
      <c r="B584" t="s">
        <v>8669</v>
      </c>
      <c r="C584" t="s">
        <v>5043</v>
      </c>
      <c r="D584" t="s">
        <v>8401</v>
      </c>
    </row>
    <row r="585" spans="1:4" ht="14.45" x14ac:dyDescent="0.3">
      <c r="A585">
        <v>6445</v>
      </c>
      <c r="B585" t="s">
        <v>8669</v>
      </c>
      <c r="C585" t="s">
        <v>5043</v>
      </c>
      <c r="D585" t="s">
        <v>8401</v>
      </c>
    </row>
    <row r="586" spans="1:4" ht="14.45" x14ac:dyDescent="0.3">
      <c r="A586">
        <v>6566</v>
      </c>
      <c r="B586" t="s">
        <v>8669</v>
      </c>
      <c r="C586" t="s">
        <v>5043</v>
      </c>
      <c r="D586" t="s">
        <v>8401</v>
      </c>
    </row>
    <row r="587" spans="1:4" ht="14.45" x14ac:dyDescent="0.3">
      <c r="A587">
        <v>7309</v>
      </c>
      <c r="B587" t="s">
        <v>8669</v>
      </c>
      <c r="C587" t="s">
        <v>5043</v>
      </c>
      <c r="D587" t="s">
        <v>8401</v>
      </c>
    </row>
    <row r="588" spans="1:4" ht="14.45" x14ac:dyDescent="0.3">
      <c r="A588">
        <v>7481</v>
      </c>
      <c r="B588" t="s">
        <v>8669</v>
      </c>
      <c r="C588" t="s">
        <v>5043</v>
      </c>
      <c r="D588" t="s">
        <v>8401</v>
      </c>
    </row>
    <row r="589" spans="1:4" ht="14.45" x14ac:dyDescent="0.3">
      <c r="A589">
        <v>7968</v>
      </c>
      <c r="B589" t="s">
        <v>8669</v>
      </c>
      <c r="C589" t="s">
        <v>5043</v>
      </c>
      <c r="D589" t="s">
        <v>8401</v>
      </c>
    </row>
    <row r="590" spans="1:4" ht="14.45" x14ac:dyDescent="0.3">
      <c r="A590">
        <v>8766</v>
      </c>
      <c r="B590" t="s">
        <v>8669</v>
      </c>
      <c r="C590" t="s">
        <v>5043</v>
      </c>
      <c r="D590" t="s">
        <v>8401</v>
      </c>
    </row>
    <row r="591" spans="1:4" ht="14.45" x14ac:dyDescent="0.3">
      <c r="A591">
        <v>10302</v>
      </c>
      <c r="B591" t="s">
        <v>8670</v>
      </c>
      <c r="C591" t="s">
        <v>5043</v>
      </c>
      <c r="D591" t="s">
        <v>8401</v>
      </c>
    </row>
    <row r="592" spans="1:4" ht="14.45" x14ac:dyDescent="0.3">
      <c r="A592">
        <v>10387</v>
      </c>
      <c r="B592" t="s">
        <v>8670</v>
      </c>
      <c r="C592" t="s">
        <v>5043</v>
      </c>
      <c r="D592" t="s">
        <v>8401</v>
      </c>
    </row>
    <row r="593" spans="1:4" ht="14.45" x14ac:dyDescent="0.3">
      <c r="A593">
        <v>6796</v>
      </c>
      <c r="B593" t="s">
        <v>8670</v>
      </c>
      <c r="C593" t="s">
        <v>5043</v>
      </c>
      <c r="D593" t="s">
        <v>8401</v>
      </c>
    </row>
    <row r="594" spans="1:4" ht="14.45" x14ac:dyDescent="0.3">
      <c r="A594">
        <v>7234</v>
      </c>
      <c r="B594" t="s">
        <v>8670</v>
      </c>
      <c r="C594" t="s">
        <v>5043</v>
      </c>
      <c r="D594" t="s">
        <v>8401</v>
      </c>
    </row>
    <row r="595" spans="1:4" ht="14.45" x14ac:dyDescent="0.3">
      <c r="A595">
        <v>7933</v>
      </c>
      <c r="B595" t="s">
        <v>8670</v>
      </c>
      <c r="C595" t="s">
        <v>5043</v>
      </c>
      <c r="D595" t="s">
        <v>8401</v>
      </c>
    </row>
    <row r="596" spans="1:4" ht="14.45" x14ac:dyDescent="0.3">
      <c r="A596">
        <v>8878</v>
      </c>
      <c r="B596" t="s">
        <v>8670</v>
      </c>
      <c r="C596" t="s">
        <v>5043</v>
      </c>
      <c r="D596" t="s">
        <v>8401</v>
      </c>
    </row>
    <row r="597" spans="1:4" ht="14.45" x14ac:dyDescent="0.3">
      <c r="A597">
        <v>9349</v>
      </c>
      <c r="B597" t="s">
        <v>8670</v>
      </c>
      <c r="C597" t="s">
        <v>5043</v>
      </c>
      <c r="D597" t="s">
        <v>8401</v>
      </c>
    </row>
    <row r="598" spans="1:4" ht="14.45" x14ac:dyDescent="0.3">
      <c r="A598">
        <v>10091</v>
      </c>
      <c r="B598" t="s">
        <v>8671</v>
      </c>
      <c r="C598" t="s">
        <v>5043</v>
      </c>
      <c r="D598" t="s">
        <v>8401</v>
      </c>
    </row>
    <row r="599" spans="1:4" ht="14.45" x14ac:dyDescent="0.3">
      <c r="A599">
        <v>10169</v>
      </c>
      <c r="B599" t="s">
        <v>8671</v>
      </c>
      <c r="C599" t="s">
        <v>5043</v>
      </c>
      <c r="D599" t="s">
        <v>8401</v>
      </c>
    </row>
    <row r="600" spans="1:4" ht="14.45" x14ac:dyDescent="0.3">
      <c r="A600">
        <v>10657</v>
      </c>
      <c r="B600" t="s">
        <v>8671</v>
      </c>
      <c r="C600" t="s">
        <v>5043</v>
      </c>
      <c r="D600" t="s">
        <v>8401</v>
      </c>
    </row>
    <row r="601" spans="1:4" ht="14.45" x14ac:dyDescent="0.3">
      <c r="A601">
        <v>10975</v>
      </c>
      <c r="B601" t="s">
        <v>8671</v>
      </c>
      <c r="C601" t="s">
        <v>5043</v>
      </c>
      <c r="D601" t="s">
        <v>8401</v>
      </c>
    </row>
    <row r="602" spans="1:4" ht="14.45" x14ac:dyDescent="0.3">
      <c r="A602">
        <v>7794</v>
      </c>
      <c r="B602" t="s">
        <v>8671</v>
      </c>
      <c r="C602" t="s">
        <v>5043</v>
      </c>
      <c r="D602" t="s">
        <v>8401</v>
      </c>
    </row>
    <row r="603" spans="1:4" ht="14.45" x14ac:dyDescent="0.3">
      <c r="A603">
        <v>7175</v>
      </c>
      <c r="B603" t="s">
        <v>10048</v>
      </c>
      <c r="C603" t="s">
        <v>5043</v>
      </c>
      <c r="D603" t="s">
        <v>8401</v>
      </c>
    </row>
    <row r="604" spans="1:4" ht="14.45" x14ac:dyDescent="0.3">
      <c r="A604">
        <v>7728</v>
      </c>
      <c r="B604" t="s">
        <v>10048</v>
      </c>
      <c r="C604" t="s">
        <v>5043</v>
      </c>
      <c r="D604" t="s">
        <v>8401</v>
      </c>
    </row>
    <row r="605" spans="1:4" ht="14.45" x14ac:dyDescent="0.3">
      <c r="A605">
        <v>8786</v>
      </c>
      <c r="B605" t="s">
        <v>10048</v>
      </c>
      <c r="C605" t="s">
        <v>5043</v>
      </c>
      <c r="D605" t="s">
        <v>8401</v>
      </c>
    </row>
    <row r="606" spans="1:4" ht="14.45" x14ac:dyDescent="0.3">
      <c r="A606">
        <v>9318</v>
      </c>
      <c r="B606" t="s">
        <v>10048</v>
      </c>
      <c r="C606" t="s">
        <v>5043</v>
      </c>
      <c r="D606" t="s">
        <v>8401</v>
      </c>
    </row>
    <row r="607" spans="1:4" ht="14.45" x14ac:dyDescent="0.3">
      <c r="A607">
        <v>11554</v>
      </c>
      <c r="B607" t="s">
        <v>10049</v>
      </c>
      <c r="C607" t="s">
        <v>5043</v>
      </c>
      <c r="D607" t="s">
        <v>8401</v>
      </c>
    </row>
    <row r="608" spans="1:4" ht="14.45" x14ac:dyDescent="0.3">
      <c r="A608">
        <v>11231</v>
      </c>
      <c r="B608" t="s">
        <v>10050</v>
      </c>
      <c r="C608" t="s">
        <v>5043</v>
      </c>
      <c r="D608" t="s">
        <v>8401</v>
      </c>
    </row>
    <row r="609" spans="1:4" ht="14.45" x14ac:dyDescent="0.3">
      <c r="A609">
        <v>11385</v>
      </c>
      <c r="B609" t="s">
        <v>10051</v>
      </c>
      <c r="C609" t="s">
        <v>5043</v>
      </c>
      <c r="D609" t="s">
        <v>8401</v>
      </c>
    </row>
    <row r="610" spans="1:4" ht="14.45" x14ac:dyDescent="0.3">
      <c r="A610">
        <v>8992</v>
      </c>
      <c r="B610" t="s">
        <v>10051</v>
      </c>
      <c r="C610" t="s">
        <v>5043</v>
      </c>
      <c r="D610" t="s">
        <v>8401</v>
      </c>
    </row>
    <row r="611" spans="1:4" ht="14.45" x14ac:dyDescent="0.3">
      <c r="A611">
        <v>9917</v>
      </c>
      <c r="B611" t="s">
        <v>10051</v>
      </c>
      <c r="C611" t="s">
        <v>5043</v>
      </c>
      <c r="D611" t="s">
        <v>8401</v>
      </c>
    </row>
    <row r="612" spans="1:4" ht="14.45" x14ac:dyDescent="0.3">
      <c r="A612">
        <v>10089</v>
      </c>
      <c r="B612" t="s">
        <v>10052</v>
      </c>
      <c r="C612" t="s">
        <v>5043</v>
      </c>
      <c r="D612" t="s">
        <v>8401</v>
      </c>
    </row>
    <row r="613" spans="1:4" ht="14.45" x14ac:dyDescent="0.3">
      <c r="A613">
        <v>10371</v>
      </c>
      <c r="B613" t="s">
        <v>10052</v>
      </c>
      <c r="C613" t="s">
        <v>5043</v>
      </c>
      <c r="D613" t="s">
        <v>8401</v>
      </c>
    </row>
    <row r="614" spans="1:4" ht="14.45" x14ac:dyDescent="0.3">
      <c r="A614">
        <v>7284</v>
      </c>
      <c r="B614" t="s">
        <v>10052</v>
      </c>
      <c r="C614" t="s">
        <v>5043</v>
      </c>
      <c r="D614" t="s">
        <v>8401</v>
      </c>
    </row>
    <row r="615" spans="1:4" ht="14.45" x14ac:dyDescent="0.3">
      <c r="A615">
        <v>7482</v>
      </c>
      <c r="B615" t="s">
        <v>10052</v>
      </c>
      <c r="C615" t="s">
        <v>5043</v>
      </c>
      <c r="D615" t="s">
        <v>8401</v>
      </c>
    </row>
    <row r="616" spans="1:4" ht="14.45" x14ac:dyDescent="0.3">
      <c r="A616">
        <v>8341</v>
      </c>
      <c r="B616" t="s">
        <v>10052</v>
      </c>
      <c r="C616" t="s">
        <v>5043</v>
      </c>
      <c r="D616" t="s">
        <v>8401</v>
      </c>
    </row>
    <row r="617" spans="1:4" ht="14.45" x14ac:dyDescent="0.3">
      <c r="A617">
        <v>9164</v>
      </c>
      <c r="B617" t="s">
        <v>10052</v>
      </c>
      <c r="C617" t="s">
        <v>5043</v>
      </c>
      <c r="D617" t="s">
        <v>8401</v>
      </c>
    </row>
    <row r="618" spans="1:4" ht="14.45" x14ac:dyDescent="0.3">
      <c r="A618">
        <v>9215</v>
      </c>
      <c r="B618" t="s">
        <v>10052</v>
      </c>
      <c r="C618" t="s">
        <v>5043</v>
      </c>
      <c r="D618" t="s">
        <v>8401</v>
      </c>
    </row>
    <row r="619" spans="1:4" ht="14.45" x14ac:dyDescent="0.3">
      <c r="A619">
        <v>9252</v>
      </c>
      <c r="B619" t="s">
        <v>10052</v>
      </c>
      <c r="C619" t="s">
        <v>5043</v>
      </c>
      <c r="D619" t="s">
        <v>8401</v>
      </c>
    </row>
    <row r="620" spans="1:4" ht="14.45" x14ac:dyDescent="0.3">
      <c r="A620">
        <v>10046</v>
      </c>
      <c r="B620" t="s">
        <v>8672</v>
      </c>
      <c r="C620" t="s">
        <v>5043</v>
      </c>
      <c r="D620" t="s">
        <v>8401</v>
      </c>
    </row>
    <row r="621" spans="1:4" ht="14.45" x14ac:dyDescent="0.3">
      <c r="A621">
        <v>11041</v>
      </c>
      <c r="B621" t="s">
        <v>8672</v>
      </c>
      <c r="C621" t="s">
        <v>5043</v>
      </c>
      <c r="D621" t="s">
        <v>8401</v>
      </c>
    </row>
    <row r="622" spans="1:4" ht="14.45" x14ac:dyDescent="0.3">
      <c r="A622">
        <v>11523</v>
      </c>
      <c r="B622" t="s">
        <v>8672</v>
      </c>
      <c r="C622" t="s">
        <v>5043</v>
      </c>
      <c r="D622" t="s">
        <v>8401</v>
      </c>
    </row>
    <row r="623" spans="1:4" ht="14.45" x14ac:dyDescent="0.3">
      <c r="A623">
        <v>6532</v>
      </c>
      <c r="B623" t="s">
        <v>8672</v>
      </c>
      <c r="C623" t="s">
        <v>5043</v>
      </c>
      <c r="D623" t="s">
        <v>8401</v>
      </c>
    </row>
    <row r="624" spans="1:4" ht="14.45" x14ac:dyDescent="0.3">
      <c r="A624">
        <v>6841</v>
      </c>
      <c r="B624" t="s">
        <v>8672</v>
      </c>
      <c r="C624" t="s">
        <v>5043</v>
      </c>
      <c r="D624" t="s">
        <v>8401</v>
      </c>
    </row>
    <row r="625" spans="1:4" ht="14.45" x14ac:dyDescent="0.3">
      <c r="A625">
        <v>6852</v>
      </c>
      <c r="B625" t="s">
        <v>8672</v>
      </c>
      <c r="C625" t="s">
        <v>5043</v>
      </c>
      <c r="D625" t="s">
        <v>8401</v>
      </c>
    </row>
    <row r="626" spans="1:4" ht="14.45" x14ac:dyDescent="0.3">
      <c r="A626">
        <v>7054</v>
      </c>
      <c r="B626" t="s">
        <v>8672</v>
      </c>
      <c r="C626" t="s">
        <v>5043</v>
      </c>
      <c r="D626" t="s">
        <v>8401</v>
      </c>
    </row>
    <row r="627" spans="1:4" ht="14.45" x14ac:dyDescent="0.3">
      <c r="A627">
        <v>7110</v>
      </c>
      <c r="B627" t="s">
        <v>8672</v>
      </c>
      <c r="C627" t="s">
        <v>5043</v>
      </c>
      <c r="D627" t="s">
        <v>8401</v>
      </c>
    </row>
    <row r="628" spans="1:4" ht="14.45" x14ac:dyDescent="0.3">
      <c r="A628">
        <v>7669</v>
      </c>
      <c r="B628" t="s">
        <v>8672</v>
      </c>
      <c r="C628" t="s">
        <v>5043</v>
      </c>
      <c r="D628" t="s">
        <v>8401</v>
      </c>
    </row>
    <row r="629" spans="1:4" ht="14.45" x14ac:dyDescent="0.3">
      <c r="A629">
        <v>7690</v>
      </c>
      <c r="B629" t="s">
        <v>8672</v>
      </c>
      <c r="C629" t="s">
        <v>5043</v>
      </c>
      <c r="D629" t="s">
        <v>8401</v>
      </c>
    </row>
    <row r="630" spans="1:4" ht="14.45" x14ac:dyDescent="0.3">
      <c r="A630">
        <v>7907</v>
      </c>
      <c r="B630" t="s">
        <v>8672</v>
      </c>
      <c r="C630" t="s">
        <v>5043</v>
      </c>
      <c r="D630" t="s">
        <v>8401</v>
      </c>
    </row>
    <row r="631" spans="1:4" ht="14.45" x14ac:dyDescent="0.3">
      <c r="A631">
        <v>7910</v>
      </c>
      <c r="B631" t="s">
        <v>8672</v>
      </c>
      <c r="C631" t="s">
        <v>5043</v>
      </c>
      <c r="D631" t="s">
        <v>8401</v>
      </c>
    </row>
    <row r="632" spans="1:4" ht="14.45" x14ac:dyDescent="0.3">
      <c r="A632">
        <v>7920</v>
      </c>
      <c r="B632" t="s">
        <v>8672</v>
      </c>
      <c r="C632" t="s">
        <v>5043</v>
      </c>
      <c r="D632" t="s">
        <v>8401</v>
      </c>
    </row>
    <row r="633" spans="1:4" ht="14.45" x14ac:dyDescent="0.3">
      <c r="A633">
        <v>8072</v>
      </c>
      <c r="B633" t="s">
        <v>8672</v>
      </c>
      <c r="C633" t="s">
        <v>5043</v>
      </c>
      <c r="D633" t="s">
        <v>8401</v>
      </c>
    </row>
    <row r="634" spans="1:4" ht="14.45" x14ac:dyDescent="0.3">
      <c r="A634">
        <v>8290</v>
      </c>
      <c r="B634" t="s">
        <v>8672</v>
      </c>
      <c r="C634" t="s">
        <v>5043</v>
      </c>
      <c r="D634" t="s">
        <v>8401</v>
      </c>
    </row>
    <row r="635" spans="1:4" ht="14.45" x14ac:dyDescent="0.3">
      <c r="A635">
        <v>8305</v>
      </c>
      <c r="B635" t="s">
        <v>8672</v>
      </c>
      <c r="C635" t="s">
        <v>5043</v>
      </c>
      <c r="D635" t="s">
        <v>8401</v>
      </c>
    </row>
    <row r="636" spans="1:4" ht="14.45" x14ac:dyDescent="0.3">
      <c r="A636">
        <v>8659</v>
      </c>
      <c r="B636" t="s">
        <v>8672</v>
      </c>
      <c r="C636" t="s">
        <v>5043</v>
      </c>
      <c r="D636" t="s">
        <v>8401</v>
      </c>
    </row>
    <row r="637" spans="1:4" ht="14.45" x14ac:dyDescent="0.3">
      <c r="A637">
        <v>8684</v>
      </c>
      <c r="B637" t="s">
        <v>8672</v>
      </c>
      <c r="C637" t="s">
        <v>5043</v>
      </c>
      <c r="D637" t="s">
        <v>8401</v>
      </c>
    </row>
    <row r="638" spans="1:4" ht="14.45" x14ac:dyDescent="0.3">
      <c r="A638">
        <v>8742</v>
      </c>
      <c r="B638" t="s">
        <v>8672</v>
      </c>
      <c r="C638" t="s">
        <v>5043</v>
      </c>
      <c r="D638" t="s">
        <v>8401</v>
      </c>
    </row>
    <row r="639" spans="1:4" ht="14.45" x14ac:dyDescent="0.3">
      <c r="A639">
        <v>9099</v>
      </c>
      <c r="B639" t="s">
        <v>8672</v>
      </c>
      <c r="C639" t="s">
        <v>5043</v>
      </c>
      <c r="D639" t="s">
        <v>8401</v>
      </c>
    </row>
    <row r="640" spans="1:4" ht="14.45" x14ac:dyDescent="0.3">
      <c r="A640">
        <v>9673</v>
      </c>
      <c r="B640" t="s">
        <v>8672</v>
      </c>
      <c r="C640" t="s">
        <v>5043</v>
      </c>
      <c r="D640" t="s">
        <v>8401</v>
      </c>
    </row>
    <row r="641" spans="1:4" ht="14.45" x14ac:dyDescent="0.3">
      <c r="A641">
        <v>9719</v>
      </c>
      <c r="B641" t="s">
        <v>8672</v>
      </c>
      <c r="C641" t="s">
        <v>5043</v>
      </c>
      <c r="D641" t="s">
        <v>8401</v>
      </c>
    </row>
    <row r="642" spans="1:4" ht="14.45" x14ac:dyDescent="0.3">
      <c r="A642">
        <v>9729</v>
      </c>
      <c r="B642" t="s">
        <v>8672</v>
      </c>
      <c r="C642" t="s">
        <v>5043</v>
      </c>
      <c r="D642" t="s">
        <v>8401</v>
      </c>
    </row>
    <row r="643" spans="1:4" ht="14.45" x14ac:dyDescent="0.3">
      <c r="A643">
        <v>9812</v>
      </c>
      <c r="B643" t="s">
        <v>8672</v>
      </c>
      <c r="C643" t="s">
        <v>5043</v>
      </c>
      <c r="D643" t="s">
        <v>8401</v>
      </c>
    </row>
    <row r="644" spans="1:4" ht="14.45" x14ac:dyDescent="0.3">
      <c r="A644">
        <v>11055</v>
      </c>
      <c r="B644" t="s">
        <v>10053</v>
      </c>
      <c r="C644" t="s">
        <v>5043</v>
      </c>
      <c r="D644" t="s">
        <v>8401</v>
      </c>
    </row>
    <row r="645" spans="1:4" ht="14.45" x14ac:dyDescent="0.3">
      <c r="A645">
        <v>7002</v>
      </c>
      <c r="B645" t="s">
        <v>10053</v>
      </c>
      <c r="C645" t="s">
        <v>5043</v>
      </c>
      <c r="D645" t="s">
        <v>8401</v>
      </c>
    </row>
    <row r="646" spans="1:4" ht="14.45" x14ac:dyDescent="0.3">
      <c r="A646">
        <v>7174</v>
      </c>
      <c r="B646" t="s">
        <v>10053</v>
      </c>
      <c r="C646" t="s">
        <v>5043</v>
      </c>
      <c r="D646" t="s">
        <v>8401</v>
      </c>
    </row>
    <row r="647" spans="1:4" ht="14.45" x14ac:dyDescent="0.3">
      <c r="A647">
        <v>7318</v>
      </c>
      <c r="B647" t="s">
        <v>10053</v>
      </c>
      <c r="C647" t="s">
        <v>5043</v>
      </c>
      <c r="D647" t="s">
        <v>8401</v>
      </c>
    </row>
    <row r="648" spans="1:4" ht="14.45" x14ac:dyDescent="0.3">
      <c r="A648">
        <v>7472</v>
      </c>
      <c r="B648" t="s">
        <v>10053</v>
      </c>
      <c r="C648" t="s">
        <v>5043</v>
      </c>
      <c r="D648" t="s">
        <v>8401</v>
      </c>
    </row>
    <row r="649" spans="1:4" ht="14.45" x14ac:dyDescent="0.3">
      <c r="A649">
        <v>7868</v>
      </c>
      <c r="B649" t="s">
        <v>10053</v>
      </c>
      <c r="C649" t="s">
        <v>5043</v>
      </c>
      <c r="D649" t="s">
        <v>8401</v>
      </c>
    </row>
    <row r="650" spans="1:4" ht="14.45" x14ac:dyDescent="0.3">
      <c r="A650">
        <v>8342</v>
      </c>
      <c r="B650" t="s">
        <v>10053</v>
      </c>
      <c r="C650" t="s">
        <v>5043</v>
      </c>
      <c r="D650" t="s">
        <v>8401</v>
      </c>
    </row>
    <row r="651" spans="1:4" ht="14.45" x14ac:dyDescent="0.3">
      <c r="A651">
        <v>8449</v>
      </c>
      <c r="B651" t="s">
        <v>10053</v>
      </c>
      <c r="C651" t="s">
        <v>5043</v>
      </c>
      <c r="D651" t="s">
        <v>8401</v>
      </c>
    </row>
    <row r="652" spans="1:4" ht="14.45" x14ac:dyDescent="0.3">
      <c r="A652">
        <v>8585</v>
      </c>
      <c r="B652" t="s">
        <v>10053</v>
      </c>
      <c r="C652" t="s">
        <v>5043</v>
      </c>
      <c r="D652" t="s">
        <v>8401</v>
      </c>
    </row>
    <row r="653" spans="1:4" ht="14.45" x14ac:dyDescent="0.3">
      <c r="A653">
        <v>8729</v>
      </c>
      <c r="B653" t="s">
        <v>10053</v>
      </c>
      <c r="C653" t="s">
        <v>5043</v>
      </c>
      <c r="D653" t="s">
        <v>8401</v>
      </c>
    </row>
    <row r="654" spans="1:4" ht="14.45" x14ac:dyDescent="0.3">
      <c r="A654">
        <v>8764</v>
      </c>
      <c r="B654" t="s">
        <v>10053</v>
      </c>
      <c r="C654" t="s">
        <v>5043</v>
      </c>
      <c r="D654" t="s">
        <v>8401</v>
      </c>
    </row>
    <row r="655" spans="1:4" ht="14.45" x14ac:dyDescent="0.3">
      <c r="A655">
        <v>9598</v>
      </c>
      <c r="B655" t="s">
        <v>10053</v>
      </c>
      <c r="C655" t="s">
        <v>5043</v>
      </c>
      <c r="D655" t="s">
        <v>8401</v>
      </c>
    </row>
    <row r="656" spans="1:4" ht="14.45" x14ac:dyDescent="0.3">
      <c r="A656">
        <v>10513</v>
      </c>
      <c r="B656" t="s">
        <v>10054</v>
      </c>
      <c r="C656" t="s">
        <v>5043</v>
      </c>
      <c r="D656" t="s">
        <v>8401</v>
      </c>
    </row>
    <row r="657" spans="1:4" ht="14.45" x14ac:dyDescent="0.3">
      <c r="A657">
        <v>10714</v>
      </c>
      <c r="B657" t="s">
        <v>10054</v>
      </c>
      <c r="C657" t="s">
        <v>5043</v>
      </c>
      <c r="D657" t="s">
        <v>8401</v>
      </c>
    </row>
    <row r="658" spans="1:4" ht="14.45" x14ac:dyDescent="0.3">
      <c r="A658">
        <v>10864</v>
      </c>
      <c r="B658" t="s">
        <v>10054</v>
      </c>
      <c r="C658" t="s">
        <v>5043</v>
      </c>
      <c r="D658" t="s">
        <v>8401</v>
      </c>
    </row>
    <row r="659" spans="1:4" ht="14.45" x14ac:dyDescent="0.3">
      <c r="A659">
        <v>10935</v>
      </c>
      <c r="B659" t="s">
        <v>10054</v>
      </c>
      <c r="C659" t="s">
        <v>5043</v>
      </c>
      <c r="D659" t="s">
        <v>8401</v>
      </c>
    </row>
    <row r="660" spans="1:4" ht="14.45" x14ac:dyDescent="0.3">
      <c r="A660">
        <v>11452</v>
      </c>
      <c r="B660" t="s">
        <v>10054</v>
      </c>
      <c r="C660" t="s">
        <v>5043</v>
      </c>
      <c r="D660" t="s">
        <v>8401</v>
      </c>
    </row>
    <row r="661" spans="1:4" ht="14.45" x14ac:dyDescent="0.3">
      <c r="A661">
        <v>11460</v>
      </c>
      <c r="B661" t="s">
        <v>10054</v>
      </c>
      <c r="C661" t="s">
        <v>5043</v>
      </c>
      <c r="D661" t="s">
        <v>8401</v>
      </c>
    </row>
    <row r="662" spans="1:4" ht="14.45" x14ac:dyDescent="0.3">
      <c r="A662">
        <v>6539</v>
      </c>
      <c r="B662" t="s">
        <v>10054</v>
      </c>
      <c r="C662" t="s">
        <v>5043</v>
      </c>
      <c r="D662" t="s">
        <v>8401</v>
      </c>
    </row>
    <row r="663" spans="1:4" ht="14.45" x14ac:dyDescent="0.3">
      <c r="A663">
        <v>6639</v>
      </c>
      <c r="B663" t="s">
        <v>10054</v>
      </c>
      <c r="C663" t="s">
        <v>5043</v>
      </c>
      <c r="D663" t="s">
        <v>8401</v>
      </c>
    </row>
    <row r="664" spans="1:4" ht="14.45" x14ac:dyDescent="0.3">
      <c r="A664">
        <v>6724</v>
      </c>
      <c r="B664" t="s">
        <v>10054</v>
      </c>
      <c r="C664" t="s">
        <v>5043</v>
      </c>
      <c r="D664" t="s">
        <v>8401</v>
      </c>
    </row>
    <row r="665" spans="1:4" ht="14.45" x14ac:dyDescent="0.3">
      <c r="A665">
        <v>7069</v>
      </c>
      <c r="B665" t="s">
        <v>10054</v>
      </c>
      <c r="C665" t="s">
        <v>5043</v>
      </c>
      <c r="D665" t="s">
        <v>8401</v>
      </c>
    </row>
    <row r="666" spans="1:4" ht="14.45" x14ac:dyDescent="0.3">
      <c r="A666">
        <v>7469</v>
      </c>
      <c r="B666" t="s">
        <v>10054</v>
      </c>
      <c r="C666" t="s">
        <v>5043</v>
      </c>
      <c r="D666" t="s">
        <v>8401</v>
      </c>
    </row>
    <row r="667" spans="1:4" ht="14.45" x14ac:dyDescent="0.3">
      <c r="A667">
        <v>7578</v>
      </c>
      <c r="B667" t="s">
        <v>10054</v>
      </c>
      <c r="C667" t="s">
        <v>5043</v>
      </c>
      <c r="D667" t="s">
        <v>8401</v>
      </c>
    </row>
    <row r="668" spans="1:4" ht="14.45" x14ac:dyDescent="0.3">
      <c r="A668">
        <v>7689</v>
      </c>
      <c r="B668" t="s">
        <v>10054</v>
      </c>
      <c r="C668" t="s">
        <v>5043</v>
      </c>
      <c r="D668" t="s">
        <v>8401</v>
      </c>
    </row>
    <row r="669" spans="1:4" ht="14.45" x14ac:dyDescent="0.3">
      <c r="A669">
        <v>8455</v>
      </c>
      <c r="B669" t="s">
        <v>10054</v>
      </c>
      <c r="C669" t="s">
        <v>5043</v>
      </c>
      <c r="D669" t="s">
        <v>8401</v>
      </c>
    </row>
    <row r="670" spans="1:4" ht="14.45" x14ac:dyDescent="0.3">
      <c r="A670">
        <v>8887</v>
      </c>
      <c r="B670" t="s">
        <v>10054</v>
      </c>
      <c r="C670" t="s">
        <v>5043</v>
      </c>
      <c r="D670" t="s">
        <v>8401</v>
      </c>
    </row>
    <row r="671" spans="1:4" ht="14.45" x14ac:dyDescent="0.3">
      <c r="A671">
        <v>8898</v>
      </c>
      <c r="B671" t="s">
        <v>10054</v>
      </c>
      <c r="C671" t="s">
        <v>5043</v>
      </c>
      <c r="D671" t="s">
        <v>8401</v>
      </c>
    </row>
    <row r="672" spans="1:4" ht="14.45" x14ac:dyDescent="0.3">
      <c r="A672">
        <v>8960</v>
      </c>
      <c r="B672" t="s">
        <v>10054</v>
      </c>
      <c r="C672" t="s">
        <v>5043</v>
      </c>
      <c r="D672" t="s">
        <v>8401</v>
      </c>
    </row>
    <row r="673" spans="1:4" ht="14.45" x14ac:dyDescent="0.3">
      <c r="A673">
        <v>9207</v>
      </c>
      <c r="B673" t="s">
        <v>10054</v>
      </c>
      <c r="C673" t="s">
        <v>5043</v>
      </c>
      <c r="D673" t="s">
        <v>8401</v>
      </c>
    </row>
    <row r="674" spans="1:4" ht="14.45" x14ac:dyDescent="0.3">
      <c r="A674">
        <v>9232</v>
      </c>
      <c r="B674" t="s">
        <v>10054</v>
      </c>
      <c r="C674" t="s">
        <v>5043</v>
      </c>
      <c r="D674" t="s">
        <v>8401</v>
      </c>
    </row>
    <row r="675" spans="1:4" ht="14.45" x14ac:dyDescent="0.3">
      <c r="A675">
        <v>9251</v>
      </c>
      <c r="B675" t="s">
        <v>10054</v>
      </c>
      <c r="C675" t="s">
        <v>5043</v>
      </c>
      <c r="D675" t="s">
        <v>8401</v>
      </c>
    </row>
    <row r="676" spans="1:4" ht="14.45" x14ac:dyDescent="0.3">
      <c r="A676">
        <v>10497</v>
      </c>
      <c r="B676" t="s">
        <v>10055</v>
      </c>
      <c r="C676" t="s">
        <v>5043</v>
      </c>
      <c r="D676" t="s">
        <v>8401</v>
      </c>
    </row>
    <row r="677" spans="1:4" ht="14.45" x14ac:dyDescent="0.3">
      <c r="A677">
        <v>10548</v>
      </c>
      <c r="B677" t="s">
        <v>10055</v>
      </c>
      <c r="C677" t="s">
        <v>5043</v>
      </c>
      <c r="D677" t="s">
        <v>8401</v>
      </c>
    </row>
    <row r="678" spans="1:4" ht="14.45" x14ac:dyDescent="0.3">
      <c r="A678">
        <v>10573</v>
      </c>
      <c r="B678" t="s">
        <v>10055</v>
      </c>
      <c r="C678" t="s">
        <v>5043</v>
      </c>
      <c r="D678" t="s">
        <v>8401</v>
      </c>
    </row>
    <row r="679" spans="1:4" ht="14.45" x14ac:dyDescent="0.3">
      <c r="A679">
        <v>10794</v>
      </c>
      <c r="B679" t="s">
        <v>10055</v>
      </c>
      <c r="C679" t="s">
        <v>5043</v>
      </c>
      <c r="D679" t="s">
        <v>8401</v>
      </c>
    </row>
    <row r="680" spans="1:4" ht="14.45" x14ac:dyDescent="0.3">
      <c r="A680">
        <v>10833</v>
      </c>
      <c r="B680" t="s">
        <v>10055</v>
      </c>
      <c r="C680" t="s">
        <v>5043</v>
      </c>
      <c r="D680" t="s">
        <v>8401</v>
      </c>
    </row>
    <row r="681" spans="1:4" ht="14.45" x14ac:dyDescent="0.3">
      <c r="A681">
        <v>11165</v>
      </c>
      <c r="B681" t="s">
        <v>10055</v>
      </c>
      <c r="C681" t="s">
        <v>5043</v>
      </c>
      <c r="D681" t="s">
        <v>8401</v>
      </c>
    </row>
    <row r="682" spans="1:4" ht="14.45" x14ac:dyDescent="0.3">
      <c r="A682">
        <v>6538</v>
      </c>
      <c r="B682" t="s">
        <v>10055</v>
      </c>
      <c r="C682" t="s">
        <v>5043</v>
      </c>
      <c r="D682" t="s">
        <v>8401</v>
      </c>
    </row>
    <row r="683" spans="1:4" ht="14.45" x14ac:dyDescent="0.3">
      <c r="A683">
        <v>6739</v>
      </c>
      <c r="B683" t="s">
        <v>10055</v>
      </c>
      <c r="C683" t="s">
        <v>5043</v>
      </c>
      <c r="D683" t="s">
        <v>8401</v>
      </c>
    </row>
    <row r="684" spans="1:4" ht="14.45" x14ac:dyDescent="0.3">
      <c r="A684">
        <v>7587</v>
      </c>
      <c r="B684" t="s">
        <v>10055</v>
      </c>
      <c r="C684" t="s">
        <v>5043</v>
      </c>
      <c r="D684" t="s">
        <v>8401</v>
      </c>
    </row>
    <row r="685" spans="1:4" ht="14.45" x14ac:dyDescent="0.3">
      <c r="A685">
        <v>8177</v>
      </c>
      <c r="B685" t="s">
        <v>10055</v>
      </c>
      <c r="C685" t="s">
        <v>5043</v>
      </c>
      <c r="D685" t="s">
        <v>8401</v>
      </c>
    </row>
    <row r="686" spans="1:4" ht="14.45" x14ac:dyDescent="0.3">
      <c r="A686">
        <v>9695</v>
      </c>
      <c r="B686" t="s">
        <v>10055</v>
      </c>
      <c r="C686" t="s">
        <v>5043</v>
      </c>
      <c r="D686" t="s">
        <v>8401</v>
      </c>
    </row>
    <row r="687" spans="1:4" ht="14.45" x14ac:dyDescent="0.3">
      <c r="A687">
        <v>9703</v>
      </c>
      <c r="B687" t="s">
        <v>10055</v>
      </c>
      <c r="C687" t="s">
        <v>5043</v>
      </c>
      <c r="D687" t="s">
        <v>8401</v>
      </c>
    </row>
    <row r="688" spans="1:4" ht="14.45" x14ac:dyDescent="0.3">
      <c r="A688">
        <v>10829</v>
      </c>
      <c r="B688" t="s">
        <v>10056</v>
      </c>
      <c r="C688" t="s">
        <v>5043</v>
      </c>
      <c r="D688" t="s">
        <v>8401</v>
      </c>
    </row>
    <row r="689" spans="1:4" ht="14.45" x14ac:dyDescent="0.3">
      <c r="A689">
        <v>10273</v>
      </c>
      <c r="B689" t="s">
        <v>8673</v>
      </c>
      <c r="C689" t="s">
        <v>5043</v>
      </c>
      <c r="D689" t="s">
        <v>8401</v>
      </c>
    </row>
    <row r="690" spans="1:4" ht="14.45" x14ac:dyDescent="0.3">
      <c r="A690">
        <v>6456</v>
      </c>
      <c r="B690" t="s">
        <v>8673</v>
      </c>
      <c r="C690" t="s">
        <v>5043</v>
      </c>
      <c r="D690" t="s">
        <v>8401</v>
      </c>
    </row>
    <row r="691" spans="1:4" ht="14.45" x14ac:dyDescent="0.3">
      <c r="A691">
        <v>6603</v>
      </c>
      <c r="B691" t="s">
        <v>8673</v>
      </c>
      <c r="C691" t="s">
        <v>5043</v>
      </c>
      <c r="D691" t="s">
        <v>8401</v>
      </c>
    </row>
    <row r="692" spans="1:4" ht="14.45" x14ac:dyDescent="0.3">
      <c r="A692">
        <v>7071</v>
      </c>
      <c r="B692" t="s">
        <v>8673</v>
      </c>
      <c r="C692" t="s">
        <v>5043</v>
      </c>
      <c r="D692" t="s">
        <v>8401</v>
      </c>
    </row>
    <row r="693" spans="1:4" ht="14.45" x14ac:dyDescent="0.3">
      <c r="A693">
        <v>10849</v>
      </c>
      <c r="B693" t="s">
        <v>8674</v>
      </c>
      <c r="C693" t="s">
        <v>5043</v>
      </c>
      <c r="D693" t="s">
        <v>8401</v>
      </c>
    </row>
    <row r="694" spans="1:4" ht="14.45" x14ac:dyDescent="0.3">
      <c r="A694">
        <v>11034</v>
      </c>
      <c r="B694" t="s">
        <v>8674</v>
      </c>
      <c r="C694" t="s">
        <v>5043</v>
      </c>
      <c r="D694" t="s">
        <v>8401</v>
      </c>
    </row>
    <row r="695" spans="1:4" ht="14.45" x14ac:dyDescent="0.3">
      <c r="A695">
        <v>11457</v>
      </c>
      <c r="B695" t="s">
        <v>8674</v>
      </c>
      <c r="C695" t="s">
        <v>5043</v>
      </c>
      <c r="D695" t="s">
        <v>8401</v>
      </c>
    </row>
    <row r="696" spans="1:4" ht="14.45" x14ac:dyDescent="0.3">
      <c r="A696">
        <v>6571</v>
      </c>
      <c r="B696" t="s">
        <v>8674</v>
      </c>
      <c r="C696" t="s">
        <v>5043</v>
      </c>
      <c r="D696" t="s">
        <v>8401</v>
      </c>
    </row>
    <row r="697" spans="1:4" ht="14.45" x14ac:dyDescent="0.3">
      <c r="A697">
        <v>6658</v>
      </c>
      <c r="B697" t="s">
        <v>8674</v>
      </c>
      <c r="C697" t="s">
        <v>5043</v>
      </c>
      <c r="D697" t="s">
        <v>8401</v>
      </c>
    </row>
    <row r="698" spans="1:4" ht="14.45" x14ac:dyDescent="0.3">
      <c r="A698">
        <v>6782</v>
      </c>
      <c r="B698" t="s">
        <v>8674</v>
      </c>
      <c r="C698" t="s">
        <v>5043</v>
      </c>
      <c r="D698" t="s">
        <v>8401</v>
      </c>
    </row>
    <row r="699" spans="1:4" ht="14.45" x14ac:dyDescent="0.3">
      <c r="A699">
        <v>9189</v>
      </c>
      <c r="B699" t="s">
        <v>8674</v>
      </c>
      <c r="C699" t="s">
        <v>5043</v>
      </c>
      <c r="D699" t="s">
        <v>8401</v>
      </c>
    </row>
    <row r="700" spans="1:4" ht="14.45" x14ac:dyDescent="0.3">
      <c r="A700">
        <v>9863</v>
      </c>
      <c r="B700" t="s">
        <v>8674</v>
      </c>
      <c r="C700" t="s">
        <v>5043</v>
      </c>
      <c r="D700" t="s">
        <v>8401</v>
      </c>
    </row>
    <row r="701" spans="1:4" ht="14.45" x14ac:dyDescent="0.3">
      <c r="A701">
        <v>10884</v>
      </c>
      <c r="B701" t="s">
        <v>8675</v>
      </c>
      <c r="C701" t="s">
        <v>5043</v>
      </c>
      <c r="D701" t="s">
        <v>8401</v>
      </c>
    </row>
    <row r="702" spans="1:4" ht="14.45" x14ac:dyDescent="0.3">
      <c r="A702">
        <v>7413</v>
      </c>
      <c r="B702" t="s">
        <v>8675</v>
      </c>
      <c r="C702" t="s">
        <v>5043</v>
      </c>
      <c r="D702" t="s">
        <v>8401</v>
      </c>
    </row>
    <row r="703" spans="1:4" ht="14.45" x14ac:dyDescent="0.3">
      <c r="A703">
        <v>9199</v>
      </c>
      <c r="B703" t="s">
        <v>8675</v>
      </c>
      <c r="C703" t="s">
        <v>5043</v>
      </c>
      <c r="D703" t="s">
        <v>8401</v>
      </c>
    </row>
    <row r="704" spans="1:4" ht="14.45" x14ac:dyDescent="0.3">
      <c r="A704">
        <v>10492</v>
      </c>
      <c r="B704" t="s">
        <v>8676</v>
      </c>
      <c r="C704" t="s">
        <v>5043</v>
      </c>
      <c r="D704" t="s">
        <v>8401</v>
      </c>
    </row>
    <row r="705" spans="1:4" ht="14.45" x14ac:dyDescent="0.3">
      <c r="A705">
        <v>11428</v>
      </c>
      <c r="B705" t="s">
        <v>8676</v>
      </c>
      <c r="C705" t="s">
        <v>5043</v>
      </c>
      <c r="D705" t="s">
        <v>8401</v>
      </c>
    </row>
    <row r="706" spans="1:4" ht="14.45" x14ac:dyDescent="0.3">
      <c r="A706">
        <v>11623</v>
      </c>
      <c r="B706" t="s">
        <v>8676</v>
      </c>
      <c r="C706" t="s">
        <v>5043</v>
      </c>
      <c r="D706" t="s">
        <v>8401</v>
      </c>
    </row>
    <row r="707" spans="1:4" ht="14.45" x14ac:dyDescent="0.3">
      <c r="A707">
        <v>11361</v>
      </c>
      <c r="B707" t="s">
        <v>10057</v>
      </c>
      <c r="C707" t="s">
        <v>5043</v>
      </c>
      <c r="D707" t="s">
        <v>8401</v>
      </c>
    </row>
    <row r="708" spans="1:4" ht="14.45" x14ac:dyDescent="0.3">
      <c r="A708">
        <v>7435</v>
      </c>
      <c r="B708" t="s">
        <v>10057</v>
      </c>
      <c r="C708" t="s">
        <v>5043</v>
      </c>
      <c r="D708" t="s">
        <v>8401</v>
      </c>
    </row>
    <row r="709" spans="1:4" ht="14.45" x14ac:dyDescent="0.3">
      <c r="A709">
        <v>7640</v>
      </c>
      <c r="B709" t="s">
        <v>10057</v>
      </c>
      <c r="C709" t="s">
        <v>5043</v>
      </c>
      <c r="D709" t="s">
        <v>8401</v>
      </c>
    </row>
    <row r="710" spans="1:4" ht="14.45" x14ac:dyDescent="0.3">
      <c r="A710">
        <v>8244</v>
      </c>
      <c r="B710" t="s">
        <v>10057</v>
      </c>
      <c r="C710" t="s">
        <v>5043</v>
      </c>
      <c r="D710" t="s">
        <v>8401</v>
      </c>
    </row>
    <row r="711" spans="1:4" ht="14.45" x14ac:dyDescent="0.3">
      <c r="A711">
        <v>8683</v>
      </c>
      <c r="B711" t="s">
        <v>10057</v>
      </c>
      <c r="C711" t="s">
        <v>5043</v>
      </c>
      <c r="D711" t="s">
        <v>8401</v>
      </c>
    </row>
    <row r="712" spans="1:4" ht="14.45" x14ac:dyDescent="0.3">
      <c r="A712">
        <v>8930</v>
      </c>
      <c r="B712" t="s">
        <v>10057</v>
      </c>
      <c r="C712" t="s">
        <v>5043</v>
      </c>
      <c r="D712" t="s">
        <v>8401</v>
      </c>
    </row>
    <row r="713" spans="1:4" ht="14.45" x14ac:dyDescent="0.3">
      <c r="A713">
        <v>9513</v>
      </c>
      <c r="B713" t="s">
        <v>10057</v>
      </c>
      <c r="C713" t="s">
        <v>5043</v>
      </c>
      <c r="D713" t="s">
        <v>8401</v>
      </c>
    </row>
    <row r="714" spans="1:4" ht="14.45" x14ac:dyDescent="0.3">
      <c r="A714">
        <v>9685</v>
      </c>
      <c r="B714" t="s">
        <v>10057</v>
      </c>
      <c r="C714" t="s">
        <v>5043</v>
      </c>
      <c r="D714" t="s">
        <v>8401</v>
      </c>
    </row>
    <row r="715" spans="1:4" ht="14.45" x14ac:dyDescent="0.3">
      <c r="A715">
        <v>10639</v>
      </c>
      <c r="B715" t="s">
        <v>8677</v>
      </c>
      <c r="C715" t="s">
        <v>5043</v>
      </c>
      <c r="D715" t="s">
        <v>8401</v>
      </c>
    </row>
    <row r="716" spans="1:4" ht="14.45" x14ac:dyDescent="0.3">
      <c r="A716">
        <v>11018</v>
      </c>
      <c r="B716" t="s">
        <v>8677</v>
      </c>
      <c r="C716" t="s">
        <v>5043</v>
      </c>
      <c r="D716" t="s">
        <v>8401</v>
      </c>
    </row>
    <row r="717" spans="1:4" ht="14.45" x14ac:dyDescent="0.3">
      <c r="A717">
        <v>7067</v>
      </c>
      <c r="B717" t="s">
        <v>8677</v>
      </c>
      <c r="C717" t="s">
        <v>5043</v>
      </c>
      <c r="D717" t="s">
        <v>8401</v>
      </c>
    </row>
    <row r="718" spans="1:4" ht="14.45" x14ac:dyDescent="0.3">
      <c r="A718">
        <v>7269</v>
      </c>
      <c r="B718" t="s">
        <v>8677</v>
      </c>
      <c r="C718" t="s">
        <v>5043</v>
      </c>
      <c r="D718" t="s">
        <v>8401</v>
      </c>
    </row>
    <row r="719" spans="1:4" ht="14.45" x14ac:dyDescent="0.3">
      <c r="A719">
        <v>7279</v>
      </c>
      <c r="B719" t="s">
        <v>8677</v>
      </c>
      <c r="C719" t="s">
        <v>5043</v>
      </c>
      <c r="D719" t="s">
        <v>8401</v>
      </c>
    </row>
    <row r="720" spans="1:4" ht="14.45" x14ac:dyDescent="0.3">
      <c r="A720">
        <v>8920</v>
      </c>
      <c r="B720" t="s">
        <v>8677</v>
      </c>
      <c r="C720" t="s">
        <v>5043</v>
      </c>
      <c r="D720" t="s">
        <v>8401</v>
      </c>
    </row>
    <row r="721" spans="1:4" ht="14.45" x14ac:dyDescent="0.3">
      <c r="A721">
        <v>9904</v>
      </c>
      <c r="B721" t="s">
        <v>8677</v>
      </c>
      <c r="C721" t="s">
        <v>5043</v>
      </c>
      <c r="D721" t="s">
        <v>8401</v>
      </c>
    </row>
    <row r="722" spans="1:4" ht="14.45" x14ac:dyDescent="0.3">
      <c r="A722">
        <v>9846</v>
      </c>
      <c r="B722" t="s">
        <v>8678</v>
      </c>
      <c r="C722" t="s">
        <v>5043</v>
      </c>
      <c r="D722" t="s">
        <v>8401</v>
      </c>
    </row>
    <row r="723" spans="1:4" ht="14.45" x14ac:dyDescent="0.3">
      <c r="A723">
        <v>8500</v>
      </c>
      <c r="B723" t="s">
        <v>8679</v>
      </c>
      <c r="C723" t="s">
        <v>5043</v>
      </c>
      <c r="D723" t="s">
        <v>8401</v>
      </c>
    </row>
    <row r="724" spans="1:4" ht="14.45" x14ac:dyDescent="0.3">
      <c r="A724">
        <v>12262</v>
      </c>
      <c r="B724" t="s">
        <v>8680</v>
      </c>
      <c r="C724" t="s">
        <v>5043</v>
      </c>
      <c r="D724" t="s">
        <v>8401</v>
      </c>
    </row>
    <row r="725" spans="1:4" ht="14.45" x14ac:dyDescent="0.3">
      <c r="A725">
        <v>12270</v>
      </c>
      <c r="B725" t="s">
        <v>10058</v>
      </c>
      <c r="C725" t="s">
        <v>5043</v>
      </c>
      <c r="D725" t="s">
        <v>8401</v>
      </c>
    </row>
    <row r="726" spans="1:4" ht="14.45" x14ac:dyDescent="0.3">
      <c r="A726">
        <v>12274</v>
      </c>
      <c r="B726" t="s">
        <v>10058</v>
      </c>
      <c r="C726" t="s">
        <v>5043</v>
      </c>
      <c r="D726" t="s">
        <v>8401</v>
      </c>
    </row>
    <row r="727" spans="1:4" ht="14.45" x14ac:dyDescent="0.3">
      <c r="A727">
        <v>11430</v>
      </c>
      <c r="B727" t="s">
        <v>8681</v>
      </c>
      <c r="C727" t="s">
        <v>5043</v>
      </c>
      <c r="D727" t="s">
        <v>8401</v>
      </c>
    </row>
    <row r="728" spans="1:4" ht="14.45" x14ac:dyDescent="0.3">
      <c r="A728">
        <v>11658</v>
      </c>
      <c r="B728" t="s">
        <v>8681</v>
      </c>
      <c r="C728" t="s">
        <v>5043</v>
      </c>
      <c r="D728" t="s">
        <v>8401</v>
      </c>
    </row>
    <row r="729" spans="1:4" ht="14.45" x14ac:dyDescent="0.3">
      <c r="A729">
        <v>6681</v>
      </c>
      <c r="B729" t="s">
        <v>8681</v>
      </c>
      <c r="C729" t="s">
        <v>5043</v>
      </c>
      <c r="D729" t="s">
        <v>8401</v>
      </c>
    </row>
    <row r="730" spans="1:4" ht="14.45" x14ac:dyDescent="0.3">
      <c r="A730">
        <v>6847</v>
      </c>
      <c r="B730" t="s">
        <v>8681</v>
      </c>
      <c r="C730" t="s">
        <v>5043</v>
      </c>
      <c r="D730" t="s">
        <v>8401</v>
      </c>
    </row>
    <row r="731" spans="1:4" ht="14.45" x14ac:dyDescent="0.3">
      <c r="A731">
        <v>7392</v>
      </c>
      <c r="B731" t="s">
        <v>8681</v>
      </c>
      <c r="C731" t="s">
        <v>5043</v>
      </c>
      <c r="D731" t="s">
        <v>8401</v>
      </c>
    </row>
    <row r="732" spans="1:4" ht="14.45" x14ac:dyDescent="0.3">
      <c r="A732">
        <v>8604</v>
      </c>
      <c r="B732" t="s">
        <v>8681</v>
      </c>
      <c r="C732" t="s">
        <v>5043</v>
      </c>
      <c r="D732" t="s">
        <v>8401</v>
      </c>
    </row>
    <row r="733" spans="1:4" ht="14.45" x14ac:dyDescent="0.3">
      <c r="A733">
        <v>9643</v>
      </c>
      <c r="B733" t="s">
        <v>8681</v>
      </c>
      <c r="C733" t="s">
        <v>5043</v>
      </c>
      <c r="D733" t="s">
        <v>8401</v>
      </c>
    </row>
    <row r="734" spans="1:4" ht="14.45" x14ac:dyDescent="0.3">
      <c r="A734">
        <v>9763</v>
      </c>
      <c r="B734" t="s">
        <v>8681</v>
      </c>
      <c r="C734" t="s">
        <v>5043</v>
      </c>
      <c r="D734" t="s">
        <v>8401</v>
      </c>
    </row>
    <row r="735" spans="1:4" ht="14.45" x14ac:dyDescent="0.3">
      <c r="A735">
        <v>9970</v>
      </c>
      <c r="B735" t="s">
        <v>8681</v>
      </c>
      <c r="C735" t="s">
        <v>5043</v>
      </c>
      <c r="D735" t="s">
        <v>8401</v>
      </c>
    </row>
    <row r="736" spans="1:4" ht="14.45" x14ac:dyDescent="0.3">
      <c r="A736">
        <v>6840</v>
      </c>
      <c r="B736" t="s">
        <v>8682</v>
      </c>
      <c r="C736" t="s">
        <v>5043</v>
      </c>
      <c r="D736" t="s">
        <v>8401</v>
      </c>
    </row>
    <row r="737" spans="1:4" ht="14.45" x14ac:dyDescent="0.3">
      <c r="A737">
        <v>9136</v>
      </c>
      <c r="B737" t="s">
        <v>8682</v>
      </c>
      <c r="C737" t="s">
        <v>5043</v>
      </c>
      <c r="D737" t="s">
        <v>8401</v>
      </c>
    </row>
    <row r="738" spans="1:4" ht="14.45" x14ac:dyDescent="0.3">
      <c r="A738">
        <v>11221</v>
      </c>
      <c r="B738" t="s">
        <v>8683</v>
      </c>
      <c r="C738" t="s">
        <v>5043</v>
      </c>
      <c r="D738" t="s">
        <v>8401</v>
      </c>
    </row>
    <row r="739" spans="1:4" ht="14.45" x14ac:dyDescent="0.3">
      <c r="A739">
        <v>12340</v>
      </c>
      <c r="B739" t="s">
        <v>8683</v>
      </c>
      <c r="C739" t="s">
        <v>5043</v>
      </c>
      <c r="D739" t="s">
        <v>8401</v>
      </c>
    </row>
    <row r="740" spans="1:4" ht="14.45" x14ac:dyDescent="0.3">
      <c r="A740">
        <v>12327</v>
      </c>
      <c r="B740" t="s">
        <v>8684</v>
      </c>
      <c r="C740" t="s">
        <v>5043</v>
      </c>
      <c r="D740" t="s">
        <v>8401</v>
      </c>
    </row>
    <row r="741" spans="1:4" ht="14.45" x14ac:dyDescent="0.3">
      <c r="A741">
        <v>12334</v>
      </c>
      <c r="B741" t="s">
        <v>8684</v>
      </c>
      <c r="C741" t="s">
        <v>5043</v>
      </c>
      <c r="D741" t="s">
        <v>8401</v>
      </c>
    </row>
    <row r="742" spans="1:4" ht="14.45" x14ac:dyDescent="0.3">
      <c r="A742">
        <v>7646</v>
      </c>
      <c r="B742" t="s">
        <v>10059</v>
      </c>
      <c r="C742" t="s">
        <v>5043</v>
      </c>
      <c r="D742" t="s">
        <v>8401</v>
      </c>
    </row>
    <row r="743" spans="1:4" ht="14.45" x14ac:dyDescent="0.3">
      <c r="A743">
        <v>7248</v>
      </c>
      <c r="B743" t="s">
        <v>10060</v>
      </c>
      <c r="C743" t="s">
        <v>5043</v>
      </c>
      <c r="D743" t="s">
        <v>8401</v>
      </c>
    </row>
    <row r="744" spans="1:4" ht="14.45" x14ac:dyDescent="0.3">
      <c r="A744">
        <v>8145</v>
      </c>
      <c r="B744" t="s">
        <v>10061</v>
      </c>
      <c r="C744" t="s">
        <v>5043</v>
      </c>
      <c r="D744" t="s">
        <v>8401</v>
      </c>
    </row>
    <row r="745" spans="1:4" ht="14.45" x14ac:dyDescent="0.3">
      <c r="A745">
        <v>11680</v>
      </c>
      <c r="B745" t="s">
        <v>10062</v>
      </c>
      <c r="C745" t="s">
        <v>5043</v>
      </c>
      <c r="D745" t="s">
        <v>8401</v>
      </c>
    </row>
    <row r="746" spans="1:4" ht="14.45" x14ac:dyDescent="0.3">
      <c r="A746">
        <v>8276</v>
      </c>
      <c r="B746" t="s">
        <v>10063</v>
      </c>
      <c r="C746" t="s">
        <v>5043</v>
      </c>
      <c r="D746" t="s">
        <v>8401</v>
      </c>
    </row>
    <row r="747" spans="1:4" ht="14.45" x14ac:dyDescent="0.3">
      <c r="A747">
        <v>7203</v>
      </c>
      <c r="B747" t="s">
        <v>10064</v>
      </c>
      <c r="C747" t="s">
        <v>5043</v>
      </c>
      <c r="D747" t="s">
        <v>8401</v>
      </c>
    </row>
    <row r="748" spans="1:4" ht="14.45" x14ac:dyDescent="0.3">
      <c r="A748">
        <v>7463</v>
      </c>
      <c r="B748" t="s">
        <v>10064</v>
      </c>
      <c r="C748" t="s">
        <v>5043</v>
      </c>
      <c r="D748" t="s">
        <v>8401</v>
      </c>
    </row>
    <row r="749" spans="1:4" ht="14.45" x14ac:dyDescent="0.3">
      <c r="A749">
        <v>10261</v>
      </c>
      <c r="B749" t="s">
        <v>10065</v>
      </c>
      <c r="C749" t="s">
        <v>5043</v>
      </c>
      <c r="D749" t="s">
        <v>8401</v>
      </c>
    </row>
    <row r="750" spans="1:4" ht="14.45" x14ac:dyDescent="0.3">
      <c r="A750">
        <v>8314</v>
      </c>
      <c r="B750" t="s">
        <v>10065</v>
      </c>
      <c r="C750" t="s">
        <v>5043</v>
      </c>
      <c r="D750" t="s">
        <v>8401</v>
      </c>
    </row>
    <row r="751" spans="1:4" ht="14.45" x14ac:dyDescent="0.3">
      <c r="A751">
        <v>11266</v>
      </c>
      <c r="B751" t="s">
        <v>10066</v>
      </c>
      <c r="C751" t="s">
        <v>5043</v>
      </c>
      <c r="D751" t="s">
        <v>8401</v>
      </c>
    </row>
    <row r="752" spans="1:4" ht="14.45" x14ac:dyDescent="0.3">
      <c r="A752">
        <v>8219</v>
      </c>
      <c r="B752" t="s">
        <v>10066</v>
      </c>
      <c r="C752" t="s">
        <v>5043</v>
      </c>
      <c r="D752" t="s">
        <v>8401</v>
      </c>
    </row>
    <row r="753" spans="1:4" ht="14.45" x14ac:dyDescent="0.3">
      <c r="A753">
        <v>7476</v>
      </c>
      <c r="B753" t="s">
        <v>10067</v>
      </c>
      <c r="C753" t="s">
        <v>5043</v>
      </c>
      <c r="D753" t="s">
        <v>8401</v>
      </c>
    </row>
    <row r="754" spans="1:4" ht="14.45" x14ac:dyDescent="0.3">
      <c r="A754">
        <v>9013</v>
      </c>
      <c r="B754" t="s">
        <v>10067</v>
      </c>
      <c r="C754" t="s">
        <v>5043</v>
      </c>
      <c r="D754" t="s">
        <v>8401</v>
      </c>
    </row>
    <row r="755" spans="1:4" ht="14.45" x14ac:dyDescent="0.3">
      <c r="A755">
        <v>10948</v>
      </c>
      <c r="B755" t="s">
        <v>10068</v>
      </c>
      <c r="C755" t="s">
        <v>5043</v>
      </c>
      <c r="D755" t="s">
        <v>8401</v>
      </c>
    </row>
    <row r="756" spans="1:4" ht="14.45" x14ac:dyDescent="0.3">
      <c r="A756">
        <v>6662</v>
      </c>
      <c r="B756" t="s">
        <v>10068</v>
      </c>
      <c r="C756" t="s">
        <v>5043</v>
      </c>
      <c r="D756" t="s">
        <v>8401</v>
      </c>
    </row>
    <row r="757" spans="1:4" ht="14.45" x14ac:dyDescent="0.3">
      <c r="A757">
        <v>7349</v>
      </c>
      <c r="B757" t="s">
        <v>10069</v>
      </c>
      <c r="C757" t="s">
        <v>5043</v>
      </c>
      <c r="D757" t="s">
        <v>8401</v>
      </c>
    </row>
    <row r="758" spans="1:4" ht="14.45" x14ac:dyDescent="0.3">
      <c r="A758">
        <v>12439</v>
      </c>
      <c r="B758" t="s">
        <v>11561</v>
      </c>
      <c r="C758" t="s">
        <v>5043</v>
      </c>
      <c r="D758" t="s">
        <v>8401</v>
      </c>
    </row>
    <row r="759" spans="1:4" ht="14.45" x14ac:dyDescent="0.3">
      <c r="A759">
        <v>12510</v>
      </c>
      <c r="B759" t="s">
        <v>11561</v>
      </c>
      <c r="C759" t="s">
        <v>5043</v>
      </c>
      <c r="D759" t="s">
        <v>8401</v>
      </c>
    </row>
    <row r="760" spans="1:4" ht="14.45" x14ac:dyDescent="0.3">
      <c r="A760">
        <v>6727</v>
      </c>
      <c r="B760" t="s">
        <v>10070</v>
      </c>
      <c r="C760" t="s">
        <v>5043</v>
      </c>
      <c r="D760" t="s">
        <v>8401</v>
      </c>
    </row>
    <row r="761" spans="1:4" ht="14.45" x14ac:dyDescent="0.3">
      <c r="A761">
        <v>10164</v>
      </c>
      <c r="B761" t="s">
        <v>10071</v>
      </c>
      <c r="C761" t="s">
        <v>5043</v>
      </c>
      <c r="D761" t="s">
        <v>8401</v>
      </c>
    </row>
    <row r="762" spans="1:4" ht="14.45" x14ac:dyDescent="0.3">
      <c r="A762">
        <v>6948</v>
      </c>
      <c r="B762" t="s">
        <v>10072</v>
      </c>
      <c r="C762" t="s">
        <v>5043</v>
      </c>
      <c r="D762" t="s">
        <v>8401</v>
      </c>
    </row>
    <row r="763" spans="1:4" ht="14.45" x14ac:dyDescent="0.3">
      <c r="A763">
        <v>10859</v>
      </c>
      <c r="B763" t="s">
        <v>10073</v>
      </c>
      <c r="C763" t="s">
        <v>5043</v>
      </c>
      <c r="D763" t="s">
        <v>8401</v>
      </c>
    </row>
    <row r="764" spans="1:4" ht="14.45" x14ac:dyDescent="0.3">
      <c r="A764">
        <v>8988</v>
      </c>
      <c r="B764" t="s">
        <v>10074</v>
      </c>
      <c r="C764" t="s">
        <v>5043</v>
      </c>
      <c r="D764" t="s">
        <v>8401</v>
      </c>
    </row>
    <row r="765" spans="1:4" ht="14.45" x14ac:dyDescent="0.3">
      <c r="A765">
        <v>10354</v>
      </c>
      <c r="B765" t="s">
        <v>10075</v>
      </c>
      <c r="C765" t="s">
        <v>5043</v>
      </c>
      <c r="D765" t="s">
        <v>8401</v>
      </c>
    </row>
    <row r="766" spans="1:4" ht="14.45" x14ac:dyDescent="0.3">
      <c r="A766">
        <v>10602</v>
      </c>
      <c r="B766" t="s">
        <v>10075</v>
      </c>
      <c r="C766" t="s">
        <v>5043</v>
      </c>
      <c r="D766" t="s">
        <v>8401</v>
      </c>
    </row>
    <row r="767" spans="1:4" ht="14.45" x14ac:dyDescent="0.3">
      <c r="A767">
        <v>10879</v>
      </c>
      <c r="B767" t="s">
        <v>10075</v>
      </c>
      <c r="C767" t="s">
        <v>5043</v>
      </c>
      <c r="D767" t="s">
        <v>8401</v>
      </c>
    </row>
    <row r="768" spans="1:4" ht="14.45" x14ac:dyDescent="0.3">
      <c r="A768">
        <v>11402</v>
      </c>
      <c r="B768" t="s">
        <v>10075</v>
      </c>
      <c r="C768" t="s">
        <v>5043</v>
      </c>
      <c r="D768" t="s">
        <v>8401</v>
      </c>
    </row>
    <row r="769" spans="1:4" ht="14.45" x14ac:dyDescent="0.3">
      <c r="A769">
        <v>11556</v>
      </c>
      <c r="B769" t="s">
        <v>10075</v>
      </c>
      <c r="C769" t="s">
        <v>5043</v>
      </c>
      <c r="D769" t="s">
        <v>8401</v>
      </c>
    </row>
    <row r="770" spans="1:4" ht="14.45" x14ac:dyDescent="0.3">
      <c r="A770">
        <v>12440</v>
      </c>
      <c r="B770" t="s">
        <v>10075</v>
      </c>
      <c r="C770" t="s">
        <v>5043</v>
      </c>
      <c r="D770" t="s">
        <v>8401</v>
      </c>
    </row>
    <row r="771" spans="1:4" ht="14.45" x14ac:dyDescent="0.3">
      <c r="A771">
        <v>7405</v>
      </c>
      <c r="B771" t="s">
        <v>10075</v>
      </c>
      <c r="C771" t="s">
        <v>5043</v>
      </c>
      <c r="D771" t="s">
        <v>8401</v>
      </c>
    </row>
    <row r="772" spans="1:4" ht="14.45" x14ac:dyDescent="0.3">
      <c r="A772">
        <v>7462</v>
      </c>
      <c r="B772" t="s">
        <v>10075</v>
      </c>
      <c r="C772" t="s">
        <v>5043</v>
      </c>
      <c r="D772" t="s">
        <v>8401</v>
      </c>
    </row>
    <row r="773" spans="1:4" ht="14.45" x14ac:dyDescent="0.3">
      <c r="A773">
        <v>8163</v>
      </c>
      <c r="B773" t="s">
        <v>10075</v>
      </c>
      <c r="C773" t="s">
        <v>5043</v>
      </c>
      <c r="D773" t="s">
        <v>8401</v>
      </c>
    </row>
    <row r="774" spans="1:4" ht="14.45" x14ac:dyDescent="0.3">
      <c r="A774">
        <v>8737</v>
      </c>
      <c r="B774" t="s">
        <v>10075</v>
      </c>
      <c r="C774" t="s">
        <v>5043</v>
      </c>
      <c r="D774" t="s">
        <v>8401</v>
      </c>
    </row>
    <row r="775" spans="1:4" ht="14.45" x14ac:dyDescent="0.3">
      <c r="A775">
        <v>9009</v>
      </c>
      <c r="B775" t="s">
        <v>10075</v>
      </c>
      <c r="C775" t="s">
        <v>5043</v>
      </c>
      <c r="D775" t="s">
        <v>8401</v>
      </c>
    </row>
    <row r="776" spans="1:4" ht="14.45" x14ac:dyDescent="0.3">
      <c r="A776">
        <v>9016</v>
      </c>
      <c r="B776" t="s">
        <v>10075</v>
      </c>
      <c r="C776" t="s">
        <v>5043</v>
      </c>
      <c r="D776" t="s">
        <v>8401</v>
      </c>
    </row>
    <row r="777" spans="1:4" ht="14.45" x14ac:dyDescent="0.3">
      <c r="A777">
        <v>9334</v>
      </c>
      <c r="B777" t="s">
        <v>10075</v>
      </c>
      <c r="C777" t="s">
        <v>5043</v>
      </c>
      <c r="D777" t="s">
        <v>8401</v>
      </c>
    </row>
    <row r="778" spans="1:4" ht="14.45" x14ac:dyDescent="0.3">
      <c r="A778">
        <v>9385</v>
      </c>
      <c r="B778" t="s">
        <v>10075</v>
      </c>
      <c r="C778" t="s">
        <v>5043</v>
      </c>
      <c r="D778" t="s">
        <v>8401</v>
      </c>
    </row>
    <row r="779" spans="1:4" ht="14.45" x14ac:dyDescent="0.3">
      <c r="A779">
        <v>9496</v>
      </c>
      <c r="B779" t="s">
        <v>10075</v>
      </c>
      <c r="C779" t="s">
        <v>5043</v>
      </c>
      <c r="D779" t="s">
        <v>8401</v>
      </c>
    </row>
    <row r="780" spans="1:4" ht="14.45" x14ac:dyDescent="0.3">
      <c r="A780">
        <v>9544</v>
      </c>
      <c r="B780" t="s">
        <v>10075</v>
      </c>
      <c r="C780" t="s">
        <v>5043</v>
      </c>
      <c r="D780" t="s">
        <v>8401</v>
      </c>
    </row>
    <row r="781" spans="1:4" ht="14.45" x14ac:dyDescent="0.3">
      <c r="A781">
        <v>9963</v>
      </c>
      <c r="B781" t="s">
        <v>10075</v>
      </c>
      <c r="C781" t="s">
        <v>5043</v>
      </c>
      <c r="D781" t="s">
        <v>8401</v>
      </c>
    </row>
    <row r="782" spans="1:4" ht="14.45" x14ac:dyDescent="0.3">
      <c r="A782">
        <v>8650</v>
      </c>
      <c r="B782" t="s">
        <v>10076</v>
      </c>
      <c r="C782" t="s">
        <v>5043</v>
      </c>
      <c r="D782" t="s">
        <v>8401</v>
      </c>
    </row>
    <row r="783" spans="1:4" ht="14.45" x14ac:dyDescent="0.3">
      <c r="A783">
        <v>10866</v>
      </c>
      <c r="B783" t="s">
        <v>10077</v>
      </c>
      <c r="C783" t="s">
        <v>5043</v>
      </c>
      <c r="D783" t="s">
        <v>8401</v>
      </c>
    </row>
    <row r="784" spans="1:4" ht="14.45" x14ac:dyDescent="0.3">
      <c r="A784">
        <v>6450</v>
      </c>
      <c r="B784" t="s">
        <v>10078</v>
      </c>
      <c r="C784" t="s">
        <v>5043</v>
      </c>
      <c r="D784" t="s">
        <v>8401</v>
      </c>
    </row>
    <row r="785" spans="1:4" ht="14.45" x14ac:dyDescent="0.3">
      <c r="A785">
        <v>8677</v>
      </c>
      <c r="B785" t="s">
        <v>10079</v>
      </c>
      <c r="C785" t="s">
        <v>5043</v>
      </c>
      <c r="D785" t="s">
        <v>8401</v>
      </c>
    </row>
    <row r="786" spans="1:4" ht="14.45" x14ac:dyDescent="0.3">
      <c r="A786">
        <v>8896</v>
      </c>
      <c r="B786" t="s">
        <v>10079</v>
      </c>
      <c r="C786" t="s">
        <v>5043</v>
      </c>
      <c r="D786" t="s">
        <v>8401</v>
      </c>
    </row>
    <row r="787" spans="1:4" ht="14.45" x14ac:dyDescent="0.3">
      <c r="A787">
        <v>9432</v>
      </c>
      <c r="B787" t="s">
        <v>10079</v>
      </c>
      <c r="C787" t="s">
        <v>5043</v>
      </c>
      <c r="D787" t="s">
        <v>8401</v>
      </c>
    </row>
    <row r="788" spans="1:4" ht="14.45" x14ac:dyDescent="0.3">
      <c r="A788">
        <v>9520</v>
      </c>
      <c r="B788" t="s">
        <v>10079</v>
      </c>
      <c r="C788" t="s">
        <v>5043</v>
      </c>
      <c r="D788" t="s">
        <v>8401</v>
      </c>
    </row>
    <row r="789" spans="1:4" ht="14.45" x14ac:dyDescent="0.3">
      <c r="A789">
        <v>8490</v>
      </c>
      <c r="B789" t="s">
        <v>10080</v>
      </c>
      <c r="C789" t="s">
        <v>5043</v>
      </c>
      <c r="D789" t="s">
        <v>8401</v>
      </c>
    </row>
    <row r="790" spans="1:4" ht="14.45" x14ac:dyDescent="0.3">
      <c r="A790">
        <v>8927</v>
      </c>
      <c r="B790" t="s">
        <v>10081</v>
      </c>
      <c r="C790" t="s">
        <v>5043</v>
      </c>
      <c r="D790" t="s">
        <v>8401</v>
      </c>
    </row>
    <row r="791" spans="1:4" ht="14.45" x14ac:dyDescent="0.3">
      <c r="A791">
        <v>9802</v>
      </c>
      <c r="B791" t="s">
        <v>10082</v>
      </c>
      <c r="C791" t="s">
        <v>5043</v>
      </c>
      <c r="D791" t="s">
        <v>8401</v>
      </c>
    </row>
    <row r="792" spans="1:4" ht="14.45" x14ac:dyDescent="0.3">
      <c r="A792">
        <v>6535</v>
      </c>
      <c r="B792" t="s">
        <v>10083</v>
      </c>
      <c r="C792" t="s">
        <v>5043</v>
      </c>
      <c r="D792" t="s">
        <v>8401</v>
      </c>
    </row>
    <row r="793" spans="1:4" ht="14.45" x14ac:dyDescent="0.3">
      <c r="A793">
        <v>10065</v>
      </c>
      <c r="B793" t="s">
        <v>10084</v>
      </c>
      <c r="C793" t="s">
        <v>5043</v>
      </c>
      <c r="D793" t="s">
        <v>8401</v>
      </c>
    </row>
    <row r="794" spans="1:4" ht="14.45" x14ac:dyDescent="0.3">
      <c r="A794">
        <v>10155</v>
      </c>
      <c r="B794" t="s">
        <v>10085</v>
      </c>
      <c r="C794" t="s">
        <v>5043</v>
      </c>
      <c r="D794" t="s">
        <v>8401</v>
      </c>
    </row>
    <row r="795" spans="1:4" ht="14.45" x14ac:dyDescent="0.3">
      <c r="A795">
        <v>7508</v>
      </c>
      <c r="B795" t="s">
        <v>10086</v>
      </c>
      <c r="C795" t="s">
        <v>5043</v>
      </c>
      <c r="D795" t="s">
        <v>8401</v>
      </c>
    </row>
    <row r="796" spans="1:4" ht="14.45" x14ac:dyDescent="0.3">
      <c r="A796">
        <v>10585</v>
      </c>
      <c r="B796" t="s">
        <v>10087</v>
      </c>
      <c r="C796" t="s">
        <v>5043</v>
      </c>
      <c r="D796" t="s">
        <v>8401</v>
      </c>
    </row>
    <row r="797" spans="1:4" ht="14.45" x14ac:dyDescent="0.3">
      <c r="A797">
        <v>6974</v>
      </c>
      <c r="B797" t="s">
        <v>10087</v>
      </c>
      <c r="C797" t="s">
        <v>5043</v>
      </c>
      <c r="D797" t="s">
        <v>8401</v>
      </c>
    </row>
    <row r="798" spans="1:4" ht="14.45" x14ac:dyDescent="0.3">
      <c r="A798">
        <v>9603</v>
      </c>
      <c r="B798" t="s">
        <v>10088</v>
      </c>
      <c r="C798" t="s">
        <v>5043</v>
      </c>
      <c r="D798" t="s">
        <v>8401</v>
      </c>
    </row>
    <row r="799" spans="1:4" ht="14.45" x14ac:dyDescent="0.3">
      <c r="A799">
        <v>9930</v>
      </c>
      <c r="B799" t="s">
        <v>10089</v>
      </c>
      <c r="C799" t="s">
        <v>5043</v>
      </c>
      <c r="D799" t="s">
        <v>8401</v>
      </c>
    </row>
    <row r="800" spans="1:4" ht="14.45" x14ac:dyDescent="0.3">
      <c r="A800">
        <v>8801</v>
      </c>
      <c r="B800" t="s">
        <v>10090</v>
      </c>
      <c r="C800" t="s">
        <v>5043</v>
      </c>
      <c r="D800" t="s">
        <v>8401</v>
      </c>
    </row>
    <row r="801" spans="1:4" ht="14.45" x14ac:dyDescent="0.3">
      <c r="A801">
        <v>9134</v>
      </c>
      <c r="B801" t="s">
        <v>10091</v>
      </c>
      <c r="C801" t="s">
        <v>5043</v>
      </c>
      <c r="D801" t="s">
        <v>8401</v>
      </c>
    </row>
    <row r="802" spans="1:4" ht="14.45" x14ac:dyDescent="0.3">
      <c r="A802">
        <v>11111</v>
      </c>
      <c r="B802" t="s">
        <v>10092</v>
      </c>
      <c r="C802" t="s">
        <v>5043</v>
      </c>
      <c r="D802" t="s">
        <v>8401</v>
      </c>
    </row>
    <row r="803" spans="1:4" ht="14.45" x14ac:dyDescent="0.3">
      <c r="A803">
        <v>10795</v>
      </c>
      <c r="B803" t="s">
        <v>8685</v>
      </c>
      <c r="C803" t="s">
        <v>5043</v>
      </c>
      <c r="D803" t="s">
        <v>8401</v>
      </c>
    </row>
    <row r="804" spans="1:4" ht="14.45" x14ac:dyDescent="0.3">
      <c r="A804">
        <v>9381</v>
      </c>
      <c r="B804" t="s">
        <v>8685</v>
      </c>
      <c r="C804" t="s">
        <v>5043</v>
      </c>
      <c r="D804" t="s">
        <v>8401</v>
      </c>
    </row>
    <row r="805" spans="1:4" ht="14.45" x14ac:dyDescent="0.3">
      <c r="A805">
        <v>11250</v>
      </c>
      <c r="B805" t="s">
        <v>10093</v>
      </c>
      <c r="C805" t="s">
        <v>5043</v>
      </c>
      <c r="D805" t="s">
        <v>8401</v>
      </c>
    </row>
    <row r="806" spans="1:4" ht="14.45" x14ac:dyDescent="0.3">
      <c r="A806">
        <v>11365</v>
      </c>
      <c r="B806" t="s">
        <v>10094</v>
      </c>
      <c r="C806" t="s">
        <v>5043</v>
      </c>
      <c r="D806" t="s">
        <v>8401</v>
      </c>
    </row>
    <row r="807" spans="1:4" ht="14.45" x14ac:dyDescent="0.3">
      <c r="A807">
        <v>11410</v>
      </c>
      <c r="B807" t="s">
        <v>10095</v>
      </c>
      <c r="C807" t="s">
        <v>5043</v>
      </c>
      <c r="D807" t="s">
        <v>8401</v>
      </c>
    </row>
    <row r="808" spans="1:4" ht="14.45" x14ac:dyDescent="0.3">
      <c r="A808">
        <v>6711</v>
      </c>
      <c r="B808" t="s">
        <v>10096</v>
      </c>
      <c r="C808" t="s">
        <v>5043</v>
      </c>
      <c r="D808" t="s">
        <v>8401</v>
      </c>
    </row>
    <row r="809" spans="1:4" ht="14.45" x14ac:dyDescent="0.3">
      <c r="A809">
        <v>10166</v>
      </c>
      <c r="B809" t="s">
        <v>8686</v>
      </c>
      <c r="C809" t="s">
        <v>5043</v>
      </c>
      <c r="D809" t="s">
        <v>8401</v>
      </c>
    </row>
    <row r="810" spans="1:4" ht="14.45" x14ac:dyDescent="0.3">
      <c r="A810">
        <v>11059</v>
      </c>
      <c r="B810" t="s">
        <v>8686</v>
      </c>
      <c r="C810" t="s">
        <v>5043</v>
      </c>
      <c r="D810" t="s">
        <v>8401</v>
      </c>
    </row>
    <row r="811" spans="1:4" ht="14.45" x14ac:dyDescent="0.3">
      <c r="A811">
        <v>11159</v>
      </c>
      <c r="B811" t="s">
        <v>8686</v>
      </c>
      <c r="C811" t="s">
        <v>5043</v>
      </c>
      <c r="D811" t="s">
        <v>8401</v>
      </c>
    </row>
    <row r="812" spans="1:4" ht="14.45" x14ac:dyDescent="0.3">
      <c r="A812">
        <v>6460</v>
      </c>
      <c r="B812" t="s">
        <v>8686</v>
      </c>
      <c r="C812" t="s">
        <v>5043</v>
      </c>
      <c r="D812" t="s">
        <v>8401</v>
      </c>
    </row>
    <row r="813" spans="1:4" ht="14.45" x14ac:dyDescent="0.3">
      <c r="A813">
        <v>6732</v>
      </c>
      <c r="B813" t="s">
        <v>8686</v>
      </c>
      <c r="C813" t="s">
        <v>5043</v>
      </c>
      <c r="D813" t="s">
        <v>8401</v>
      </c>
    </row>
    <row r="814" spans="1:4" ht="14.45" x14ac:dyDescent="0.3">
      <c r="A814">
        <v>7020</v>
      </c>
      <c r="B814" t="s">
        <v>8686</v>
      </c>
      <c r="C814" t="s">
        <v>5043</v>
      </c>
      <c r="D814" t="s">
        <v>8401</v>
      </c>
    </row>
    <row r="815" spans="1:4" ht="14.45" x14ac:dyDescent="0.3">
      <c r="A815">
        <v>7814</v>
      </c>
      <c r="B815" t="s">
        <v>8686</v>
      </c>
      <c r="C815" t="s">
        <v>5043</v>
      </c>
      <c r="D815" t="s">
        <v>8401</v>
      </c>
    </row>
    <row r="816" spans="1:4" ht="14.45" x14ac:dyDescent="0.3">
      <c r="A816">
        <v>8263</v>
      </c>
      <c r="B816" t="s">
        <v>8686</v>
      </c>
      <c r="C816" t="s">
        <v>5043</v>
      </c>
      <c r="D816" t="s">
        <v>8401</v>
      </c>
    </row>
    <row r="817" spans="1:4" ht="14.45" x14ac:dyDescent="0.3">
      <c r="A817">
        <v>9133</v>
      </c>
      <c r="B817" t="s">
        <v>8686</v>
      </c>
      <c r="C817" t="s">
        <v>5043</v>
      </c>
      <c r="D817" t="s">
        <v>8401</v>
      </c>
    </row>
    <row r="818" spans="1:4" ht="14.45" x14ac:dyDescent="0.3">
      <c r="A818">
        <v>9400</v>
      </c>
      <c r="B818" t="s">
        <v>8686</v>
      </c>
      <c r="C818" t="s">
        <v>5043</v>
      </c>
      <c r="D818" t="s">
        <v>8401</v>
      </c>
    </row>
    <row r="819" spans="1:4" ht="14.45" x14ac:dyDescent="0.3">
      <c r="A819">
        <v>9614</v>
      </c>
      <c r="B819" t="s">
        <v>8686</v>
      </c>
      <c r="C819" t="s">
        <v>5043</v>
      </c>
      <c r="D819" t="s">
        <v>8401</v>
      </c>
    </row>
    <row r="820" spans="1:4" ht="14.45" x14ac:dyDescent="0.3">
      <c r="A820">
        <v>9757</v>
      </c>
      <c r="B820" t="s">
        <v>8686</v>
      </c>
      <c r="C820" t="s">
        <v>5043</v>
      </c>
      <c r="D820" t="s">
        <v>8401</v>
      </c>
    </row>
    <row r="821" spans="1:4" ht="14.45" x14ac:dyDescent="0.3">
      <c r="A821">
        <v>7250</v>
      </c>
      <c r="B821" t="s">
        <v>10097</v>
      </c>
      <c r="C821" t="s">
        <v>5043</v>
      </c>
      <c r="D821" t="s">
        <v>8401</v>
      </c>
    </row>
    <row r="822" spans="1:4" ht="14.45" x14ac:dyDescent="0.3">
      <c r="A822">
        <v>7400</v>
      </c>
      <c r="B822" t="s">
        <v>10097</v>
      </c>
      <c r="C822" t="s">
        <v>5043</v>
      </c>
      <c r="D822" t="s">
        <v>8401</v>
      </c>
    </row>
    <row r="823" spans="1:4" ht="14.45" x14ac:dyDescent="0.3">
      <c r="A823">
        <v>7929</v>
      </c>
      <c r="B823" t="s">
        <v>10097</v>
      </c>
      <c r="C823" t="s">
        <v>5043</v>
      </c>
      <c r="D823" t="s">
        <v>8401</v>
      </c>
    </row>
    <row r="824" spans="1:4" ht="14.45" x14ac:dyDescent="0.3">
      <c r="A824">
        <v>7055</v>
      </c>
      <c r="B824" t="s">
        <v>10098</v>
      </c>
      <c r="C824" t="s">
        <v>5043</v>
      </c>
      <c r="D824" t="s">
        <v>8401</v>
      </c>
    </row>
    <row r="825" spans="1:4" ht="14.45" x14ac:dyDescent="0.3">
      <c r="A825">
        <v>10769</v>
      </c>
      <c r="B825" t="s">
        <v>10099</v>
      </c>
      <c r="C825" t="s">
        <v>5043</v>
      </c>
      <c r="D825" t="s">
        <v>8401</v>
      </c>
    </row>
    <row r="826" spans="1:4" ht="14.45" x14ac:dyDescent="0.3">
      <c r="A826">
        <v>11537</v>
      </c>
      <c r="B826" t="s">
        <v>10099</v>
      </c>
      <c r="C826" t="s">
        <v>5043</v>
      </c>
      <c r="D826" t="s">
        <v>8401</v>
      </c>
    </row>
    <row r="827" spans="1:4" ht="14.45" x14ac:dyDescent="0.3">
      <c r="A827">
        <v>9736</v>
      </c>
      <c r="B827" t="s">
        <v>10099</v>
      </c>
      <c r="C827" t="s">
        <v>5043</v>
      </c>
      <c r="D827" t="s">
        <v>8401</v>
      </c>
    </row>
    <row r="828" spans="1:4" ht="14.45" x14ac:dyDescent="0.3">
      <c r="A828">
        <v>10321</v>
      </c>
      <c r="B828" t="s">
        <v>8687</v>
      </c>
      <c r="C828" t="s">
        <v>5043</v>
      </c>
      <c r="D828" t="s">
        <v>8401</v>
      </c>
    </row>
    <row r="829" spans="1:4" ht="14.45" x14ac:dyDescent="0.3">
      <c r="A829">
        <v>11479</v>
      </c>
      <c r="B829" t="s">
        <v>8687</v>
      </c>
      <c r="C829" t="s">
        <v>5043</v>
      </c>
      <c r="D829" t="s">
        <v>8401</v>
      </c>
    </row>
    <row r="830" spans="1:4" ht="14.45" x14ac:dyDescent="0.3">
      <c r="A830">
        <v>11693</v>
      </c>
      <c r="B830" t="s">
        <v>8687</v>
      </c>
      <c r="C830" t="s">
        <v>5043</v>
      </c>
      <c r="D830" t="s">
        <v>8401</v>
      </c>
    </row>
    <row r="831" spans="1:4" ht="14.45" x14ac:dyDescent="0.3">
      <c r="A831">
        <v>7376</v>
      </c>
      <c r="B831" t="s">
        <v>8687</v>
      </c>
      <c r="C831" t="s">
        <v>5043</v>
      </c>
      <c r="D831" t="s">
        <v>8401</v>
      </c>
    </row>
    <row r="832" spans="1:4" ht="14.45" x14ac:dyDescent="0.3">
      <c r="A832">
        <v>9876</v>
      </c>
      <c r="B832" t="s">
        <v>8687</v>
      </c>
      <c r="C832" t="s">
        <v>5043</v>
      </c>
      <c r="D832" t="s">
        <v>8401</v>
      </c>
    </row>
    <row r="833" spans="1:4" ht="14.45" x14ac:dyDescent="0.3">
      <c r="A833">
        <v>11247</v>
      </c>
      <c r="B833" t="s">
        <v>10100</v>
      </c>
      <c r="C833" t="s">
        <v>5043</v>
      </c>
      <c r="D833" t="s">
        <v>8401</v>
      </c>
    </row>
    <row r="834" spans="1:4" ht="14.45" x14ac:dyDescent="0.3">
      <c r="A834">
        <v>9552</v>
      </c>
      <c r="B834" t="s">
        <v>8688</v>
      </c>
      <c r="C834" t="s">
        <v>5043</v>
      </c>
      <c r="D834" t="s">
        <v>8401</v>
      </c>
    </row>
    <row r="835" spans="1:4" ht="14.45" x14ac:dyDescent="0.3">
      <c r="A835">
        <v>6462</v>
      </c>
      <c r="B835" t="s">
        <v>8689</v>
      </c>
      <c r="C835" t="s">
        <v>5043</v>
      </c>
      <c r="D835" t="s">
        <v>8401</v>
      </c>
    </row>
    <row r="836" spans="1:4" ht="14.45" x14ac:dyDescent="0.3">
      <c r="A836">
        <v>9651</v>
      </c>
      <c r="B836" t="s">
        <v>8690</v>
      </c>
      <c r="C836" t="s">
        <v>5043</v>
      </c>
      <c r="D836" t="s">
        <v>8401</v>
      </c>
    </row>
    <row r="837" spans="1:4" ht="14.45" x14ac:dyDescent="0.3">
      <c r="A837">
        <v>7338</v>
      </c>
      <c r="B837" t="s">
        <v>8691</v>
      </c>
      <c r="C837" t="s">
        <v>5043</v>
      </c>
      <c r="D837" t="s">
        <v>8401</v>
      </c>
    </row>
    <row r="838" spans="1:4" ht="14.45" x14ac:dyDescent="0.3">
      <c r="A838">
        <v>8161</v>
      </c>
      <c r="B838" t="s">
        <v>8692</v>
      </c>
      <c r="C838" t="s">
        <v>5043</v>
      </c>
      <c r="D838" t="s">
        <v>8401</v>
      </c>
    </row>
    <row r="839" spans="1:4" ht="14.45" x14ac:dyDescent="0.3">
      <c r="A839">
        <v>8550</v>
      </c>
      <c r="B839" t="s">
        <v>8693</v>
      </c>
      <c r="C839" t="s">
        <v>5043</v>
      </c>
      <c r="D839" t="s">
        <v>8401</v>
      </c>
    </row>
    <row r="840" spans="1:4" ht="14.45" x14ac:dyDescent="0.3">
      <c r="A840">
        <v>9913</v>
      </c>
      <c r="B840" t="s">
        <v>8694</v>
      </c>
      <c r="C840" t="s">
        <v>5043</v>
      </c>
      <c r="D840" t="s">
        <v>8401</v>
      </c>
    </row>
    <row r="841" spans="1:4" ht="14.45" x14ac:dyDescent="0.3">
      <c r="A841">
        <v>8322</v>
      </c>
      <c r="B841" t="s">
        <v>8695</v>
      </c>
      <c r="C841" t="s">
        <v>5043</v>
      </c>
      <c r="D841" t="s">
        <v>8401</v>
      </c>
    </row>
    <row r="842" spans="1:4" ht="14.45" x14ac:dyDescent="0.3">
      <c r="A842">
        <v>7938</v>
      </c>
      <c r="B842" t="s">
        <v>8696</v>
      </c>
      <c r="C842" t="s">
        <v>5043</v>
      </c>
      <c r="D842" t="s">
        <v>8401</v>
      </c>
    </row>
    <row r="843" spans="1:4" ht="14.45" x14ac:dyDescent="0.3">
      <c r="A843">
        <v>9960</v>
      </c>
      <c r="B843" t="s">
        <v>8696</v>
      </c>
      <c r="C843" t="s">
        <v>5043</v>
      </c>
      <c r="D843" t="s">
        <v>8401</v>
      </c>
    </row>
    <row r="844" spans="1:4" ht="14.45" x14ac:dyDescent="0.3">
      <c r="A844">
        <v>6884</v>
      </c>
      <c r="B844" t="s">
        <v>10101</v>
      </c>
      <c r="C844" t="s">
        <v>5043</v>
      </c>
      <c r="D844" t="s">
        <v>8401</v>
      </c>
    </row>
    <row r="845" spans="1:4" ht="14.45" x14ac:dyDescent="0.3">
      <c r="A845">
        <v>9197</v>
      </c>
      <c r="B845" t="s">
        <v>10101</v>
      </c>
      <c r="C845" t="s">
        <v>5043</v>
      </c>
      <c r="D845" t="s">
        <v>8401</v>
      </c>
    </row>
    <row r="846" spans="1:4" ht="14.45" x14ac:dyDescent="0.3">
      <c r="A846">
        <v>9081</v>
      </c>
      <c r="B846" t="s">
        <v>10102</v>
      </c>
      <c r="C846" t="s">
        <v>5043</v>
      </c>
      <c r="D846" t="s">
        <v>8401</v>
      </c>
    </row>
    <row r="847" spans="1:4" ht="14.45" x14ac:dyDescent="0.3">
      <c r="A847">
        <v>10999</v>
      </c>
      <c r="B847" t="s">
        <v>10103</v>
      </c>
      <c r="C847" t="s">
        <v>5043</v>
      </c>
      <c r="D847" t="s">
        <v>8401</v>
      </c>
    </row>
    <row r="848" spans="1:4" ht="14.45" x14ac:dyDescent="0.3">
      <c r="A848">
        <v>7721</v>
      </c>
      <c r="B848" t="s">
        <v>10103</v>
      </c>
      <c r="C848" t="s">
        <v>5043</v>
      </c>
      <c r="D848" t="s">
        <v>8401</v>
      </c>
    </row>
    <row r="849" spans="1:4" ht="14.45" x14ac:dyDescent="0.3">
      <c r="A849">
        <v>8306</v>
      </c>
      <c r="B849" t="s">
        <v>10103</v>
      </c>
      <c r="C849" t="s">
        <v>5043</v>
      </c>
      <c r="D849" t="s">
        <v>8401</v>
      </c>
    </row>
    <row r="850" spans="1:4" ht="14.45" x14ac:dyDescent="0.3">
      <c r="A850">
        <v>8351</v>
      </c>
      <c r="B850" t="s">
        <v>10103</v>
      </c>
      <c r="C850" t="s">
        <v>5043</v>
      </c>
      <c r="D850" t="s">
        <v>8401</v>
      </c>
    </row>
    <row r="851" spans="1:4" ht="14.45" x14ac:dyDescent="0.3">
      <c r="A851">
        <v>8396</v>
      </c>
      <c r="B851" t="s">
        <v>10103</v>
      </c>
      <c r="C851" t="s">
        <v>5043</v>
      </c>
      <c r="D851" t="s">
        <v>8401</v>
      </c>
    </row>
    <row r="852" spans="1:4" ht="14.45" x14ac:dyDescent="0.3">
      <c r="A852">
        <v>9283</v>
      </c>
      <c r="B852" t="s">
        <v>10104</v>
      </c>
      <c r="C852" t="s">
        <v>5043</v>
      </c>
      <c r="D852" t="s">
        <v>8401</v>
      </c>
    </row>
    <row r="853" spans="1:4" ht="14.45" x14ac:dyDescent="0.3">
      <c r="A853">
        <v>10789</v>
      </c>
      <c r="B853" t="s">
        <v>8697</v>
      </c>
      <c r="C853" t="s">
        <v>5043</v>
      </c>
      <c r="D853" t="s">
        <v>8401</v>
      </c>
    </row>
    <row r="854" spans="1:4" ht="14.45" x14ac:dyDescent="0.3">
      <c r="A854">
        <v>11354</v>
      </c>
      <c r="B854" t="s">
        <v>8697</v>
      </c>
      <c r="C854" t="s">
        <v>5043</v>
      </c>
      <c r="D854" t="s">
        <v>8401</v>
      </c>
    </row>
    <row r="855" spans="1:4" ht="14.45" x14ac:dyDescent="0.3">
      <c r="A855">
        <v>11624</v>
      </c>
      <c r="B855" t="s">
        <v>8697</v>
      </c>
      <c r="C855" t="s">
        <v>5043</v>
      </c>
      <c r="D855" t="s">
        <v>8401</v>
      </c>
    </row>
    <row r="856" spans="1:4" ht="14.45" x14ac:dyDescent="0.3">
      <c r="A856">
        <v>7599</v>
      </c>
      <c r="B856" t="s">
        <v>8697</v>
      </c>
      <c r="C856" t="s">
        <v>5043</v>
      </c>
      <c r="D856" t="s">
        <v>8401</v>
      </c>
    </row>
    <row r="857" spans="1:4" ht="14.45" x14ac:dyDescent="0.3">
      <c r="A857">
        <v>10226</v>
      </c>
      <c r="B857" t="s">
        <v>8698</v>
      </c>
      <c r="C857" t="s">
        <v>5043</v>
      </c>
      <c r="D857" t="s">
        <v>8401</v>
      </c>
    </row>
    <row r="858" spans="1:4" ht="14.45" x14ac:dyDescent="0.3">
      <c r="A858">
        <v>7882</v>
      </c>
      <c r="B858" t="s">
        <v>10105</v>
      </c>
      <c r="C858" t="s">
        <v>5043</v>
      </c>
      <c r="D858" t="s">
        <v>8401</v>
      </c>
    </row>
    <row r="859" spans="1:4" ht="14.45" x14ac:dyDescent="0.3">
      <c r="A859">
        <v>11088</v>
      </c>
      <c r="B859" t="s">
        <v>10106</v>
      </c>
      <c r="C859" t="s">
        <v>5043</v>
      </c>
      <c r="D859" t="s">
        <v>8401</v>
      </c>
    </row>
    <row r="860" spans="1:4" ht="14.45" x14ac:dyDescent="0.3">
      <c r="A860">
        <v>7724</v>
      </c>
      <c r="B860" t="s">
        <v>10106</v>
      </c>
      <c r="C860" t="s">
        <v>5043</v>
      </c>
      <c r="D860" t="s">
        <v>8401</v>
      </c>
    </row>
    <row r="861" spans="1:4" ht="14.45" x14ac:dyDescent="0.3">
      <c r="A861">
        <v>8269</v>
      </c>
      <c r="B861" t="s">
        <v>10106</v>
      </c>
      <c r="C861" t="s">
        <v>5043</v>
      </c>
      <c r="D861" t="s">
        <v>8401</v>
      </c>
    </row>
    <row r="862" spans="1:4" ht="14.45" x14ac:dyDescent="0.3">
      <c r="A862">
        <v>8647</v>
      </c>
      <c r="B862" t="s">
        <v>10106</v>
      </c>
      <c r="C862" t="s">
        <v>5043</v>
      </c>
      <c r="D862" t="s">
        <v>8401</v>
      </c>
    </row>
    <row r="863" spans="1:4" ht="14.45" x14ac:dyDescent="0.3">
      <c r="A863">
        <v>9055</v>
      </c>
      <c r="B863" t="s">
        <v>10106</v>
      </c>
      <c r="C863" t="s">
        <v>5043</v>
      </c>
      <c r="D863" t="s">
        <v>8401</v>
      </c>
    </row>
    <row r="864" spans="1:4" ht="14.45" x14ac:dyDescent="0.3">
      <c r="A864">
        <v>7480</v>
      </c>
      <c r="B864" t="s">
        <v>10107</v>
      </c>
      <c r="C864" t="s">
        <v>5043</v>
      </c>
      <c r="D864" t="s">
        <v>8401</v>
      </c>
    </row>
    <row r="865" spans="1:4" ht="14.45" x14ac:dyDescent="0.3">
      <c r="A865">
        <v>6683</v>
      </c>
      <c r="B865" t="s">
        <v>10108</v>
      </c>
      <c r="C865" t="s">
        <v>5043</v>
      </c>
      <c r="D865" t="s">
        <v>8401</v>
      </c>
    </row>
    <row r="866" spans="1:4" ht="14.45" x14ac:dyDescent="0.3">
      <c r="A866">
        <v>10316</v>
      </c>
      <c r="B866" t="s">
        <v>10109</v>
      </c>
      <c r="C866" t="s">
        <v>5043</v>
      </c>
      <c r="D866" t="s">
        <v>8401</v>
      </c>
    </row>
    <row r="867" spans="1:4" ht="14.45" x14ac:dyDescent="0.3">
      <c r="A867">
        <v>11326</v>
      </c>
      <c r="B867" t="s">
        <v>10109</v>
      </c>
      <c r="C867" t="s">
        <v>5043</v>
      </c>
      <c r="D867" t="s">
        <v>8401</v>
      </c>
    </row>
    <row r="868" spans="1:4" ht="14.45" x14ac:dyDescent="0.3">
      <c r="A868">
        <v>11388</v>
      </c>
      <c r="B868" t="s">
        <v>10109</v>
      </c>
      <c r="C868" t="s">
        <v>5043</v>
      </c>
      <c r="D868" t="s">
        <v>8401</v>
      </c>
    </row>
    <row r="869" spans="1:4" ht="14.45" x14ac:dyDescent="0.3">
      <c r="A869">
        <v>11522</v>
      </c>
      <c r="B869" t="s">
        <v>10109</v>
      </c>
      <c r="C869" t="s">
        <v>5043</v>
      </c>
      <c r="D869" t="s">
        <v>8401</v>
      </c>
    </row>
    <row r="870" spans="1:4" ht="14.45" x14ac:dyDescent="0.3">
      <c r="A870">
        <v>7501</v>
      </c>
      <c r="B870" t="s">
        <v>10109</v>
      </c>
      <c r="C870" t="s">
        <v>5043</v>
      </c>
      <c r="D870" t="s">
        <v>8401</v>
      </c>
    </row>
    <row r="871" spans="1:4" ht="14.45" x14ac:dyDescent="0.3">
      <c r="A871">
        <v>11459</v>
      </c>
      <c r="B871" t="s">
        <v>10110</v>
      </c>
      <c r="C871" t="s">
        <v>5043</v>
      </c>
      <c r="D871" t="s">
        <v>8401</v>
      </c>
    </row>
    <row r="872" spans="1:4" ht="14.45" x14ac:dyDescent="0.3">
      <c r="A872">
        <v>6575</v>
      </c>
      <c r="B872" t="s">
        <v>10110</v>
      </c>
      <c r="C872" t="s">
        <v>5043</v>
      </c>
      <c r="D872" t="s">
        <v>8401</v>
      </c>
    </row>
    <row r="873" spans="1:4" ht="14.45" x14ac:dyDescent="0.3">
      <c r="A873">
        <v>6815</v>
      </c>
      <c r="B873" t="s">
        <v>10110</v>
      </c>
      <c r="C873" t="s">
        <v>5043</v>
      </c>
      <c r="D873" t="s">
        <v>8401</v>
      </c>
    </row>
    <row r="874" spans="1:4" ht="14.45" x14ac:dyDescent="0.3">
      <c r="A874">
        <v>8361</v>
      </c>
      <c r="B874" t="s">
        <v>10110</v>
      </c>
      <c r="C874" t="s">
        <v>5043</v>
      </c>
      <c r="D874" t="s">
        <v>8401</v>
      </c>
    </row>
    <row r="875" spans="1:4" ht="14.45" x14ac:dyDescent="0.3">
      <c r="A875">
        <v>8511</v>
      </c>
      <c r="B875" t="s">
        <v>10110</v>
      </c>
      <c r="C875" t="s">
        <v>5043</v>
      </c>
      <c r="D875" t="s">
        <v>8401</v>
      </c>
    </row>
    <row r="876" spans="1:4" ht="14.45" x14ac:dyDescent="0.3">
      <c r="A876">
        <v>10916</v>
      </c>
      <c r="B876" t="s">
        <v>10111</v>
      </c>
      <c r="C876" t="s">
        <v>5043</v>
      </c>
      <c r="D876" t="s">
        <v>8401</v>
      </c>
    </row>
    <row r="877" spans="1:4" ht="14.45" x14ac:dyDescent="0.3">
      <c r="A877">
        <v>11191</v>
      </c>
      <c r="B877" t="s">
        <v>10111</v>
      </c>
      <c r="C877" t="s">
        <v>5043</v>
      </c>
      <c r="D877" t="s">
        <v>8401</v>
      </c>
    </row>
    <row r="878" spans="1:4" ht="14.45" x14ac:dyDescent="0.3">
      <c r="A878">
        <v>7044</v>
      </c>
      <c r="B878" t="s">
        <v>10112</v>
      </c>
      <c r="C878" t="s">
        <v>5043</v>
      </c>
      <c r="D878" t="s">
        <v>8401</v>
      </c>
    </row>
    <row r="879" spans="1:4" ht="14.45" x14ac:dyDescent="0.3">
      <c r="A879">
        <v>8033</v>
      </c>
      <c r="B879" t="s">
        <v>10112</v>
      </c>
      <c r="C879" t="s">
        <v>5043</v>
      </c>
      <c r="D879" t="s">
        <v>8401</v>
      </c>
    </row>
    <row r="880" spans="1:4" ht="14.45" x14ac:dyDescent="0.3">
      <c r="A880">
        <v>9675</v>
      </c>
      <c r="B880" t="s">
        <v>10112</v>
      </c>
      <c r="C880" t="s">
        <v>5043</v>
      </c>
      <c r="D880" t="s">
        <v>8401</v>
      </c>
    </row>
    <row r="881" spans="1:4" ht="14.45" x14ac:dyDescent="0.3">
      <c r="A881">
        <v>8154</v>
      </c>
      <c r="B881" t="s">
        <v>10113</v>
      </c>
      <c r="C881" t="s">
        <v>5043</v>
      </c>
      <c r="D881" t="s">
        <v>8401</v>
      </c>
    </row>
    <row r="882" spans="1:4" ht="14.45" x14ac:dyDescent="0.3">
      <c r="A882">
        <v>8395</v>
      </c>
      <c r="B882" t="s">
        <v>10113</v>
      </c>
      <c r="C882" t="s">
        <v>5043</v>
      </c>
      <c r="D882" t="s">
        <v>8401</v>
      </c>
    </row>
    <row r="883" spans="1:4" ht="14.45" x14ac:dyDescent="0.3">
      <c r="A883">
        <v>10431</v>
      </c>
      <c r="B883" t="s">
        <v>10114</v>
      </c>
      <c r="C883" t="s">
        <v>5043</v>
      </c>
      <c r="D883" t="s">
        <v>8401</v>
      </c>
    </row>
    <row r="884" spans="1:4" ht="14.45" x14ac:dyDescent="0.3">
      <c r="A884">
        <v>7493</v>
      </c>
      <c r="B884" t="s">
        <v>10114</v>
      </c>
      <c r="C884" t="s">
        <v>5043</v>
      </c>
      <c r="D884" t="s">
        <v>8401</v>
      </c>
    </row>
    <row r="885" spans="1:4" ht="14.45" x14ac:dyDescent="0.3">
      <c r="A885">
        <v>9373</v>
      </c>
      <c r="B885" t="s">
        <v>10115</v>
      </c>
      <c r="C885" t="s">
        <v>5043</v>
      </c>
      <c r="D885" t="s">
        <v>8401</v>
      </c>
    </row>
    <row r="886" spans="1:4" ht="14.45" x14ac:dyDescent="0.3">
      <c r="A886">
        <v>9625</v>
      </c>
      <c r="B886" t="s">
        <v>10115</v>
      </c>
      <c r="C886" t="s">
        <v>5043</v>
      </c>
      <c r="D886" t="s">
        <v>8401</v>
      </c>
    </row>
    <row r="887" spans="1:4" ht="14.45" x14ac:dyDescent="0.3">
      <c r="A887">
        <v>10493</v>
      </c>
      <c r="B887" t="s">
        <v>10116</v>
      </c>
      <c r="C887" t="s">
        <v>5043</v>
      </c>
      <c r="D887" t="s">
        <v>8401</v>
      </c>
    </row>
    <row r="888" spans="1:4" ht="14.45" x14ac:dyDescent="0.3">
      <c r="A888">
        <v>9052</v>
      </c>
      <c r="B888" t="s">
        <v>10116</v>
      </c>
      <c r="C888" t="s">
        <v>5043</v>
      </c>
      <c r="D888" t="s">
        <v>8401</v>
      </c>
    </row>
    <row r="889" spans="1:4" ht="14.45" x14ac:dyDescent="0.3">
      <c r="A889">
        <v>6525</v>
      </c>
      <c r="B889" t="s">
        <v>10117</v>
      </c>
      <c r="C889" t="s">
        <v>5043</v>
      </c>
      <c r="D889" t="s">
        <v>8401</v>
      </c>
    </row>
    <row r="890" spans="1:4" ht="14.45" x14ac:dyDescent="0.3">
      <c r="A890">
        <v>9997</v>
      </c>
      <c r="B890" t="s">
        <v>10117</v>
      </c>
      <c r="C890" t="s">
        <v>5043</v>
      </c>
      <c r="D890" t="s">
        <v>8401</v>
      </c>
    </row>
    <row r="891" spans="1:4" ht="14.45" x14ac:dyDescent="0.3">
      <c r="A891">
        <v>7812</v>
      </c>
      <c r="B891" t="s">
        <v>10118</v>
      </c>
      <c r="C891" t="s">
        <v>5043</v>
      </c>
      <c r="D891" t="s">
        <v>8401</v>
      </c>
    </row>
    <row r="892" spans="1:4" ht="14.45" x14ac:dyDescent="0.3">
      <c r="A892">
        <v>9437</v>
      </c>
      <c r="B892" t="s">
        <v>10118</v>
      </c>
      <c r="C892" t="s">
        <v>5043</v>
      </c>
      <c r="D892" t="s">
        <v>8401</v>
      </c>
    </row>
    <row r="893" spans="1:4" ht="14.45" x14ac:dyDescent="0.3">
      <c r="A893">
        <v>11010</v>
      </c>
      <c r="B893" t="s">
        <v>10119</v>
      </c>
      <c r="C893" t="s">
        <v>5043</v>
      </c>
      <c r="D893" t="s">
        <v>8401</v>
      </c>
    </row>
    <row r="894" spans="1:4" ht="14.45" x14ac:dyDescent="0.3">
      <c r="A894">
        <v>7120</v>
      </c>
      <c r="B894" t="s">
        <v>10119</v>
      </c>
      <c r="C894" t="s">
        <v>5043</v>
      </c>
      <c r="D894" t="s">
        <v>8401</v>
      </c>
    </row>
    <row r="895" spans="1:4" ht="14.45" x14ac:dyDescent="0.3">
      <c r="A895">
        <v>8517</v>
      </c>
      <c r="B895" t="s">
        <v>10119</v>
      </c>
      <c r="C895" t="s">
        <v>5043</v>
      </c>
      <c r="D895" t="s">
        <v>8401</v>
      </c>
    </row>
    <row r="896" spans="1:4" ht="14.45" x14ac:dyDescent="0.3">
      <c r="A896">
        <v>8939</v>
      </c>
      <c r="B896" t="s">
        <v>10120</v>
      </c>
      <c r="C896" t="s">
        <v>5043</v>
      </c>
      <c r="D896" t="s">
        <v>8401</v>
      </c>
    </row>
    <row r="897" spans="1:4" ht="14.45" x14ac:dyDescent="0.3">
      <c r="A897">
        <v>10027</v>
      </c>
      <c r="B897" t="s">
        <v>10121</v>
      </c>
      <c r="C897" t="s">
        <v>5043</v>
      </c>
      <c r="D897" t="s">
        <v>8401</v>
      </c>
    </row>
    <row r="898" spans="1:4" ht="14.45" x14ac:dyDescent="0.3">
      <c r="A898">
        <v>8583</v>
      </c>
      <c r="B898" t="s">
        <v>10122</v>
      </c>
      <c r="C898" t="s">
        <v>5043</v>
      </c>
      <c r="D898" t="s">
        <v>8401</v>
      </c>
    </row>
    <row r="899" spans="1:4" ht="14.45" x14ac:dyDescent="0.3">
      <c r="A899">
        <v>8719</v>
      </c>
      <c r="B899" t="s">
        <v>10123</v>
      </c>
      <c r="C899" t="s">
        <v>5043</v>
      </c>
      <c r="D899" t="s">
        <v>8401</v>
      </c>
    </row>
    <row r="900" spans="1:4" ht="14.45" x14ac:dyDescent="0.3">
      <c r="A900">
        <v>8125</v>
      </c>
      <c r="B900" t="s">
        <v>10124</v>
      </c>
      <c r="C900" t="s">
        <v>5043</v>
      </c>
      <c r="D900" t="s">
        <v>8401</v>
      </c>
    </row>
    <row r="901" spans="1:4" ht="14.45" x14ac:dyDescent="0.3">
      <c r="A901">
        <v>10084</v>
      </c>
      <c r="B901" t="s">
        <v>10125</v>
      </c>
      <c r="C901" t="s">
        <v>5043</v>
      </c>
      <c r="D901" t="s">
        <v>8401</v>
      </c>
    </row>
    <row r="902" spans="1:4" ht="14.45" x14ac:dyDescent="0.3">
      <c r="A902">
        <v>9006</v>
      </c>
      <c r="B902" t="s">
        <v>10126</v>
      </c>
      <c r="C902" t="s">
        <v>5043</v>
      </c>
      <c r="D902" t="s">
        <v>8401</v>
      </c>
    </row>
    <row r="903" spans="1:4" ht="14.45" x14ac:dyDescent="0.3">
      <c r="A903">
        <v>9972</v>
      </c>
      <c r="B903" t="s">
        <v>10127</v>
      </c>
      <c r="C903" t="s">
        <v>5043</v>
      </c>
      <c r="D903" t="s">
        <v>8401</v>
      </c>
    </row>
    <row r="904" spans="1:4" ht="14.45" x14ac:dyDescent="0.3">
      <c r="A904">
        <v>7750</v>
      </c>
      <c r="B904" t="s">
        <v>8699</v>
      </c>
      <c r="C904" t="s">
        <v>5043</v>
      </c>
      <c r="D904" t="s">
        <v>8401</v>
      </c>
    </row>
    <row r="905" spans="1:4" ht="14.45" x14ac:dyDescent="0.3">
      <c r="A905">
        <v>7930</v>
      </c>
      <c r="B905" t="s">
        <v>8700</v>
      </c>
      <c r="C905" t="s">
        <v>5043</v>
      </c>
      <c r="D905" t="s">
        <v>8401</v>
      </c>
    </row>
    <row r="906" spans="1:4" ht="14.45" x14ac:dyDescent="0.3">
      <c r="A906">
        <v>6933</v>
      </c>
      <c r="B906" t="s">
        <v>8701</v>
      </c>
      <c r="C906" t="s">
        <v>5043</v>
      </c>
      <c r="D906" t="s">
        <v>8401</v>
      </c>
    </row>
    <row r="907" spans="1:4" ht="14.45" x14ac:dyDescent="0.3">
      <c r="A907">
        <v>10152</v>
      </c>
      <c r="B907" t="s">
        <v>10128</v>
      </c>
      <c r="C907" t="s">
        <v>5043</v>
      </c>
      <c r="D907" t="s">
        <v>8401</v>
      </c>
    </row>
    <row r="908" spans="1:4" ht="14.45" x14ac:dyDescent="0.3">
      <c r="A908">
        <v>7384</v>
      </c>
      <c r="B908" t="s">
        <v>10128</v>
      </c>
      <c r="C908" t="s">
        <v>5043</v>
      </c>
      <c r="D908" t="s">
        <v>8401</v>
      </c>
    </row>
    <row r="909" spans="1:4" ht="14.45" x14ac:dyDescent="0.3">
      <c r="A909">
        <v>10671</v>
      </c>
      <c r="B909" t="s">
        <v>10129</v>
      </c>
      <c r="C909" t="s">
        <v>5043</v>
      </c>
      <c r="D909" t="s">
        <v>8401</v>
      </c>
    </row>
    <row r="910" spans="1:4" ht="14.45" x14ac:dyDescent="0.3">
      <c r="A910">
        <v>10696</v>
      </c>
      <c r="B910" t="s">
        <v>10129</v>
      </c>
      <c r="C910" t="s">
        <v>5043</v>
      </c>
      <c r="D910" t="s">
        <v>8401</v>
      </c>
    </row>
    <row r="911" spans="1:4" ht="14.45" x14ac:dyDescent="0.3">
      <c r="A911">
        <v>11633</v>
      </c>
      <c r="B911" t="s">
        <v>10129</v>
      </c>
      <c r="C911" t="s">
        <v>5043</v>
      </c>
      <c r="D911" t="s">
        <v>8401</v>
      </c>
    </row>
    <row r="912" spans="1:4" ht="14.45" x14ac:dyDescent="0.3">
      <c r="A912">
        <v>7321</v>
      </c>
      <c r="B912" t="s">
        <v>10129</v>
      </c>
      <c r="C912" t="s">
        <v>5043</v>
      </c>
      <c r="D912" t="s">
        <v>8401</v>
      </c>
    </row>
    <row r="913" spans="1:4" ht="14.45" x14ac:dyDescent="0.3">
      <c r="A913">
        <v>7610</v>
      </c>
      <c r="B913" t="s">
        <v>10129</v>
      </c>
      <c r="C913" t="s">
        <v>5043</v>
      </c>
      <c r="D913" t="s">
        <v>8401</v>
      </c>
    </row>
    <row r="914" spans="1:4" ht="14.45" x14ac:dyDescent="0.3">
      <c r="A914">
        <v>8884</v>
      </c>
      <c r="B914" t="s">
        <v>10129</v>
      </c>
      <c r="C914" t="s">
        <v>5043</v>
      </c>
      <c r="D914" t="s">
        <v>8401</v>
      </c>
    </row>
    <row r="915" spans="1:4" ht="14.45" x14ac:dyDescent="0.3">
      <c r="A915">
        <v>9121</v>
      </c>
      <c r="B915" t="s">
        <v>10129</v>
      </c>
      <c r="C915" t="s">
        <v>5043</v>
      </c>
      <c r="D915" t="s">
        <v>8401</v>
      </c>
    </row>
    <row r="916" spans="1:4" ht="14.45" x14ac:dyDescent="0.3">
      <c r="A916">
        <v>9245</v>
      </c>
      <c r="B916" t="s">
        <v>10129</v>
      </c>
      <c r="C916" t="s">
        <v>5043</v>
      </c>
      <c r="D916" t="s">
        <v>8401</v>
      </c>
    </row>
    <row r="917" spans="1:4" ht="14.45" x14ac:dyDescent="0.3">
      <c r="A917">
        <v>9852</v>
      </c>
      <c r="B917" t="s">
        <v>10129</v>
      </c>
      <c r="C917" t="s">
        <v>5043</v>
      </c>
      <c r="D917" t="s">
        <v>8401</v>
      </c>
    </row>
    <row r="918" spans="1:4" ht="14.45" x14ac:dyDescent="0.3">
      <c r="A918">
        <v>10318</v>
      </c>
      <c r="B918" t="s">
        <v>10130</v>
      </c>
      <c r="C918" t="s">
        <v>5043</v>
      </c>
      <c r="D918" t="s">
        <v>8401</v>
      </c>
    </row>
    <row r="919" spans="1:4" ht="14.45" x14ac:dyDescent="0.3">
      <c r="A919">
        <v>7032</v>
      </c>
      <c r="B919" t="s">
        <v>10131</v>
      </c>
      <c r="C919" t="s">
        <v>5043</v>
      </c>
      <c r="D919" t="s">
        <v>8401</v>
      </c>
    </row>
    <row r="920" spans="1:4" ht="14.45" x14ac:dyDescent="0.3">
      <c r="A920">
        <v>7682</v>
      </c>
      <c r="B920" t="s">
        <v>10131</v>
      </c>
      <c r="C920" t="s">
        <v>5043</v>
      </c>
      <c r="D920" t="s">
        <v>8401</v>
      </c>
    </row>
    <row r="921" spans="1:4" ht="14.45" x14ac:dyDescent="0.3">
      <c r="A921">
        <v>8425</v>
      </c>
      <c r="B921" t="s">
        <v>10131</v>
      </c>
      <c r="C921" t="s">
        <v>5043</v>
      </c>
      <c r="D921" t="s">
        <v>8401</v>
      </c>
    </row>
    <row r="922" spans="1:4" ht="14.45" x14ac:dyDescent="0.3">
      <c r="A922">
        <v>11275</v>
      </c>
      <c r="B922" t="s">
        <v>10132</v>
      </c>
      <c r="C922" t="s">
        <v>5043</v>
      </c>
      <c r="D922" t="s">
        <v>8401</v>
      </c>
    </row>
    <row r="923" spans="1:4" ht="14.45" x14ac:dyDescent="0.3">
      <c r="A923">
        <v>6522</v>
      </c>
      <c r="B923" t="s">
        <v>10132</v>
      </c>
      <c r="C923" t="s">
        <v>5043</v>
      </c>
      <c r="D923" t="s">
        <v>8401</v>
      </c>
    </row>
    <row r="924" spans="1:4" ht="14.45" x14ac:dyDescent="0.3">
      <c r="A924">
        <v>7356</v>
      </c>
      <c r="B924" t="s">
        <v>10132</v>
      </c>
      <c r="C924" t="s">
        <v>5043</v>
      </c>
      <c r="D924" t="s">
        <v>8401</v>
      </c>
    </row>
    <row r="925" spans="1:4" ht="14.45" x14ac:dyDescent="0.3">
      <c r="A925">
        <v>8088</v>
      </c>
      <c r="B925" t="s">
        <v>10132</v>
      </c>
      <c r="C925" t="s">
        <v>5043</v>
      </c>
      <c r="D925" t="s">
        <v>8401</v>
      </c>
    </row>
    <row r="926" spans="1:4" ht="14.45" x14ac:dyDescent="0.3">
      <c r="A926">
        <v>9423</v>
      </c>
      <c r="B926" t="s">
        <v>10132</v>
      </c>
      <c r="C926" t="s">
        <v>5043</v>
      </c>
      <c r="D926" t="s">
        <v>8401</v>
      </c>
    </row>
    <row r="927" spans="1:4" ht="14.45" x14ac:dyDescent="0.3">
      <c r="A927">
        <v>9654</v>
      </c>
      <c r="B927" t="s">
        <v>10132</v>
      </c>
      <c r="C927" t="s">
        <v>5043</v>
      </c>
      <c r="D927" t="s">
        <v>8401</v>
      </c>
    </row>
    <row r="928" spans="1:4" ht="14.45" x14ac:dyDescent="0.3">
      <c r="A928">
        <v>9725</v>
      </c>
      <c r="B928" t="s">
        <v>10132</v>
      </c>
      <c r="C928" t="s">
        <v>5043</v>
      </c>
      <c r="D928" t="s">
        <v>8401</v>
      </c>
    </row>
    <row r="929" spans="1:4" ht="14.45" x14ac:dyDescent="0.3">
      <c r="A929">
        <v>9793</v>
      </c>
      <c r="B929" t="s">
        <v>10132</v>
      </c>
      <c r="C929" t="s">
        <v>5043</v>
      </c>
      <c r="D929" t="s">
        <v>8401</v>
      </c>
    </row>
    <row r="930" spans="1:4" ht="14.45" x14ac:dyDescent="0.3">
      <c r="A930">
        <v>10626</v>
      </c>
      <c r="B930" t="s">
        <v>10133</v>
      </c>
      <c r="C930" t="s">
        <v>5043</v>
      </c>
      <c r="D930" t="s">
        <v>8401</v>
      </c>
    </row>
    <row r="931" spans="1:4" ht="14.45" x14ac:dyDescent="0.3">
      <c r="A931">
        <v>11396</v>
      </c>
      <c r="B931" t="s">
        <v>10133</v>
      </c>
      <c r="C931" t="s">
        <v>5043</v>
      </c>
      <c r="D931" t="s">
        <v>8401</v>
      </c>
    </row>
    <row r="932" spans="1:4" ht="14.45" x14ac:dyDescent="0.3">
      <c r="A932">
        <v>6480</v>
      </c>
      <c r="B932" t="s">
        <v>10133</v>
      </c>
      <c r="C932" t="s">
        <v>5043</v>
      </c>
      <c r="D932" t="s">
        <v>8401</v>
      </c>
    </row>
    <row r="933" spans="1:4" ht="14.45" x14ac:dyDescent="0.3">
      <c r="A933">
        <v>6879</v>
      </c>
      <c r="B933" t="s">
        <v>10133</v>
      </c>
      <c r="C933" t="s">
        <v>5043</v>
      </c>
      <c r="D933" t="s">
        <v>8401</v>
      </c>
    </row>
    <row r="934" spans="1:4" ht="14.45" x14ac:dyDescent="0.3">
      <c r="A934">
        <v>7407</v>
      </c>
      <c r="B934" t="s">
        <v>10133</v>
      </c>
      <c r="C934" t="s">
        <v>5043</v>
      </c>
      <c r="D934" t="s">
        <v>8401</v>
      </c>
    </row>
    <row r="935" spans="1:4" ht="14.45" x14ac:dyDescent="0.3">
      <c r="A935">
        <v>7782</v>
      </c>
      <c r="B935" t="s">
        <v>10133</v>
      </c>
      <c r="C935" t="s">
        <v>5043</v>
      </c>
      <c r="D935" t="s">
        <v>8401</v>
      </c>
    </row>
    <row r="936" spans="1:4" ht="14.45" x14ac:dyDescent="0.3">
      <c r="A936">
        <v>7863</v>
      </c>
      <c r="B936" t="s">
        <v>10133</v>
      </c>
      <c r="C936" t="s">
        <v>5043</v>
      </c>
      <c r="D936" t="s">
        <v>8401</v>
      </c>
    </row>
    <row r="937" spans="1:4" ht="14.45" x14ac:dyDescent="0.3">
      <c r="A937">
        <v>8077</v>
      </c>
      <c r="B937" t="s">
        <v>10133</v>
      </c>
      <c r="C937" t="s">
        <v>5043</v>
      </c>
      <c r="D937" t="s">
        <v>8401</v>
      </c>
    </row>
    <row r="938" spans="1:4" ht="14.45" x14ac:dyDescent="0.3">
      <c r="A938">
        <v>8313</v>
      </c>
      <c r="B938" t="s">
        <v>10133</v>
      </c>
      <c r="C938" t="s">
        <v>5043</v>
      </c>
      <c r="D938" t="s">
        <v>8401</v>
      </c>
    </row>
    <row r="939" spans="1:4" ht="14.45" x14ac:dyDescent="0.3">
      <c r="A939">
        <v>9456</v>
      </c>
      <c r="B939" t="s">
        <v>10133</v>
      </c>
      <c r="C939" t="s">
        <v>5043</v>
      </c>
      <c r="D939" t="s">
        <v>8401</v>
      </c>
    </row>
    <row r="940" spans="1:4" ht="14.45" x14ac:dyDescent="0.3">
      <c r="A940">
        <v>9501</v>
      </c>
      <c r="B940" t="s">
        <v>10133</v>
      </c>
      <c r="C940" t="s">
        <v>5043</v>
      </c>
      <c r="D940" t="s">
        <v>8401</v>
      </c>
    </row>
    <row r="941" spans="1:4" ht="14.45" x14ac:dyDescent="0.3">
      <c r="A941">
        <v>9608</v>
      </c>
      <c r="B941" t="s">
        <v>10133</v>
      </c>
      <c r="C941" t="s">
        <v>5043</v>
      </c>
      <c r="D941" t="s">
        <v>8401</v>
      </c>
    </row>
    <row r="942" spans="1:4" ht="14.45" x14ac:dyDescent="0.3">
      <c r="A942">
        <v>10417</v>
      </c>
      <c r="B942" t="s">
        <v>10134</v>
      </c>
      <c r="C942" t="s">
        <v>5043</v>
      </c>
      <c r="D942" t="s">
        <v>8401</v>
      </c>
    </row>
    <row r="943" spans="1:4" ht="14.45" x14ac:dyDescent="0.3">
      <c r="A943">
        <v>10906</v>
      </c>
      <c r="B943" t="s">
        <v>10134</v>
      </c>
      <c r="C943" t="s">
        <v>5043</v>
      </c>
      <c r="D943" t="s">
        <v>8401</v>
      </c>
    </row>
    <row r="944" spans="1:4" ht="14.45" x14ac:dyDescent="0.3">
      <c r="A944">
        <v>11270</v>
      </c>
      <c r="B944" t="s">
        <v>10134</v>
      </c>
      <c r="C944" t="s">
        <v>5043</v>
      </c>
      <c r="D944" t="s">
        <v>8401</v>
      </c>
    </row>
    <row r="945" spans="1:4" ht="14.45" x14ac:dyDescent="0.3">
      <c r="A945">
        <v>11299</v>
      </c>
      <c r="B945" t="s">
        <v>10134</v>
      </c>
      <c r="C945" t="s">
        <v>5043</v>
      </c>
      <c r="D945" t="s">
        <v>8401</v>
      </c>
    </row>
    <row r="946" spans="1:4" ht="14.45" x14ac:dyDescent="0.3">
      <c r="A946">
        <v>11510</v>
      </c>
      <c r="B946" t="s">
        <v>10134</v>
      </c>
      <c r="C946" t="s">
        <v>5043</v>
      </c>
      <c r="D946" t="s">
        <v>8401</v>
      </c>
    </row>
    <row r="947" spans="1:4" ht="14.45" x14ac:dyDescent="0.3">
      <c r="A947">
        <v>6616</v>
      </c>
      <c r="B947" t="s">
        <v>10134</v>
      </c>
      <c r="C947" t="s">
        <v>5043</v>
      </c>
      <c r="D947" t="s">
        <v>8401</v>
      </c>
    </row>
    <row r="948" spans="1:4" ht="14.45" x14ac:dyDescent="0.3">
      <c r="A948">
        <v>7195</v>
      </c>
      <c r="B948" t="s">
        <v>10134</v>
      </c>
      <c r="C948" t="s">
        <v>5043</v>
      </c>
      <c r="D948" t="s">
        <v>8401</v>
      </c>
    </row>
    <row r="949" spans="1:4" ht="14.45" x14ac:dyDescent="0.3">
      <c r="A949">
        <v>7888</v>
      </c>
      <c r="B949" t="s">
        <v>10134</v>
      </c>
      <c r="C949" t="s">
        <v>5043</v>
      </c>
      <c r="D949" t="s">
        <v>8401</v>
      </c>
    </row>
    <row r="950" spans="1:4" ht="14.45" x14ac:dyDescent="0.3">
      <c r="A950">
        <v>8142</v>
      </c>
      <c r="B950" t="s">
        <v>10134</v>
      </c>
      <c r="C950" t="s">
        <v>5043</v>
      </c>
      <c r="D950" t="s">
        <v>8401</v>
      </c>
    </row>
    <row r="951" spans="1:4" ht="14.45" x14ac:dyDescent="0.3">
      <c r="A951">
        <v>8770</v>
      </c>
      <c r="B951" t="s">
        <v>10134</v>
      </c>
      <c r="C951" t="s">
        <v>5043</v>
      </c>
      <c r="D951" t="s">
        <v>8401</v>
      </c>
    </row>
    <row r="952" spans="1:4" ht="14.45" x14ac:dyDescent="0.3">
      <c r="A952">
        <v>9292</v>
      </c>
      <c r="B952" t="s">
        <v>10134</v>
      </c>
      <c r="C952" t="s">
        <v>5043</v>
      </c>
      <c r="D952" t="s">
        <v>8401</v>
      </c>
    </row>
    <row r="953" spans="1:4" ht="14.45" x14ac:dyDescent="0.3">
      <c r="A953">
        <v>9569</v>
      </c>
      <c r="B953" t="s">
        <v>10134</v>
      </c>
      <c r="C953" t="s">
        <v>5043</v>
      </c>
      <c r="D953" t="s">
        <v>8401</v>
      </c>
    </row>
    <row r="954" spans="1:4" ht="14.45" x14ac:dyDescent="0.3">
      <c r="A954">
        <v>10753</v>
      </c>
      <c r="B954" t="s">
        <v>10135</v>
      </c>
      <c r="C954" t="s">
        <v>5043</v>
      </c>
      <c r="D954" t="s">
        <v>8401</v>
      </c>
    </row>
    <row r="955" spans="1:4" ht="14.45" x14ac:dyDescent="0.3">
      <c r="A955">
        <v>11227</v>
      </c>
      <c r="B955" t="s">
        <v>10135</v>
      </c>
      <c r="C955" t="s">
        <v>5043</v>
      </c>
      <c r="D955" t="s">
        <v>8401</v>
      </c>
    </row>
    <row r="956" spans="1:4" ht="14.45" x14ac:dyDescent="0.3">
      <c r="A956">
        <v>11469</v>
      </c>
      <c r="B956" t="s">
        <v>10135</v>
      </c>
      <c r="C956" t="s">
        <v>5043</v>
      </c>
      <c r="D956" t="s">
        <v>8401</v>
      </c>
    </row>
    <row r="957" spans="1:4" ht="14.45" x14ac:dyDescent="0.3">
      <c r="A957">
        <v>7672</v>
      </c>
      <c r="B957" t="s">
        <v>10135</v>
      </c>
      <c r="C957" t="s">
        <v>5043</v>
      </c>
      <c r="D957" t="s">
        <v>8401</v>
      </c>
    </row>
    <row r="958" spans="1:4" ht="14.45" x14ac:dyDescent="0.3">
      <c r="A958">
        <v>8894</v>
      </c>
      <c r="B958" t="s">
        <v>10135</v>
      </c>
      <c r="C958" t="s">
        <v>5043</v>
      </c>
      <c r="D958" t="s">
        <v>8401</v>
      </c>
    </row>
    <row r="959" spans="1:4" ht="14.45" x14ac:dyDescent="0.3">
      <c r="A959">
        <v>9237</v>
      </c>
      <c r="B959" t="s">
        <v>10135</v>
      </c>
      <c r="C959" t="s">
        <v>5043</v>
      </c>
      <c r="D959" t="s">
        <v>8401</v>
      </c>
    </row>
    <row r="960" spans="1:4" ht="14.45" x14ac:dyDescent="0.3">
      <c r="A960">
        <v>10087</v>
      </c>
      <c r="B960" t="s">
        <v>10136</v>
      </c>
      <c r="C960" t="s">
        <v>5043</v>
      </c>
      <c r="D960" t="s">
        <v>8401</v>
      </c>
    </row>
    <row r="961" spans="1:4" ht="14.45" x14ac:dyDescent="0.3">
      <c r="A961">
        <v>10694</v>
      </c>
      <c r="B961" t="s">
        <v>10136</v>
      </c>
      <c r="C961" t="s">
        <v>5043</v>
      </c>
      <c r="D961" t="s">
        <v>8401</v>
      </c>
    </row>
    <row r="962" spans="1:4" ht="14.45" x14ac:dyDescent="0.3">
      <c r="A962">
        <v>10751</v>
      </c>
      <c r="B962" t="s">
        <v>10136</v>
      </c>
      <c r="C962" t="s">
        <v>5043</v>
      </c>
      <c r="D962" t="s">
        <v>8401</v>
      </c>
    </row>
    <row r="963" spans="1:4" ht="14.45" x14ac:dyDescent="0.3">
      <c r="A963">
        <v>8229</v>
      </c>
      <c r="B963" t="s">
        <v>10136</v>
      </c>
      <c r="C963" t="s">
        <v>5043</v>
      </c>
      <c r="D963" t="s">
        <v>8401</v>
      </c>
    </row>
    <row r="964" spans="1:4" ht="14.45" x14ac:dyDescent="0.3">
      <c r="A964">
        <v>8349</v>
      </c>
      <c r="B964" t="s">
        <v>10136</v>
      </c>
      <c r="C964" t="s">
        <v>5043</v>
      </c>
      <c r="D964" t="s">
        <v>8401</v>
      </c>
    </row>
    <row r="965" spans="1:4" ht="14.45" x14ac:dyDescent="0.3">
      <c r="A965">
        <v>10920</v>
      </c>
      <c r="B965" t="s">
        <v>10137</v>
      </c>
      <c r="C965" t="s">
        <v>5043</v>
      </c>
      <c r="D965" t="s">
        <v>8401</v>
      </c>
    </row>
    <row r="966" spans="1:4" ht="14.45" x14ac:dyDescent="0.3">
      <c r="A966">
        <v>6489</v>
      </c>
      <c r="B966" t="s">
        <v>10137</v>
      </c>
      <c r="C966" t="s">
        <v>5043</v>
      </c>
      <c r="D966" t="s">
        <v>8401</v>
      </c>
    </row>
    <row r="967" spans="1:4" ht="14.45" x14ac:dyDescent="0.3">
      <c r="A967">
        <v>7030</v>
      </c>
      <c r="B967" t="s">
        <v>10137</v>
      </c>
      <c r="C967" t="s">
        <v>5043</v>
      </c>
      <c r="D967" t="s">
        <v>8401</v>
      </c>
    </row>
    <row r="968" spans="1:4" ht="14.45" x14ac:dyDescent="0.3">
      <c r="A968">
        <v>7087</v>
      </c>
      <c r="B968" t="s">
        <v>10137</v>
      </c>
      <c r="C968" t="s">
        <v>5043</v>
      </c>
      <c r="D968" t="s">
        <v>8401</v>
      </c>
    </row>
    <row r="969" spans="1:4" ht="14.45" x14ac:dyDescent="0.3">
      <c r="A969">
        <v>8214</v>
      </c>
      <c r="B969" t="s">
        <v>10137</v>
      </c>
      <c r="C969" t="s">
        <v>5043</v>
      </c>
      <c r="D969" t="s">
        <v>8401</v>
      </c>
    </row>
    <row r="970" spans="1:4" ht="14.45" x14ac:dyDescent="0.3">
      <c r="A970">
        <v>8616</v>
      </c>
      <c r="B970" t="s">
        <v>10137</v>
      </c>
      <c r="C970" t="s">
        <v>5043</v>
      </c>
      <c r="D970" t="s">
        <v>8401</v>
      </c>
    </row>
    <row r="971" spans="1:4" ht="14.45" x14ac:dyDescent="0.3">
      <c r="A971">
        <v>9843</v>
      </c>
      <c r="B971" t="s">
        <v>10137</v>
      </c>
      <c r="C971" t="s">
        <v>5043</v>
      </c>
      <c r="D971" t="s">
        <v>8401</v>
      </c>
    </row>
    <row r="972" spans="1:4" ht="14.45" x14ac:dyDescent="0.3">
      <c r="A972">
        <v>8773</v>
      </c>
      <c r="B972" t="s">
        <v>10138</v>
      </c>
      <c r="C972" t="s">
        <v>5043</v>
      </c>
      <c r="D972" t="s">
        <v>8401</v>
      </c>
    </row>
    <row r="973" spans="1:4" ht="14.45" x14ac:dyDescent="0.3">
      <c r="A973">
        <v>11378</v>
      </c>
      <c r="B973" t="s">
        <v>10139</v>
      </c>
      <c r="C973" t="s">
        <v>5043</v>
      </c>
      <c r="D973" t="s">
        <v>8401</v>
      </c>
    </row>
    <row r="974" spans="1:4" ht="14.45" x14ac:dyDescent="0.3">
      <c r="A974">
        <v>7942</v>
      </c>
      <c r="B974" t="s">
        <v>10140</v>
      </c>
      <c r="C974" t="s">
        <v>5043</v>
      </c>
      <c r="D974" t="s">
        <v>8401</v>
      </c>
    </row>
    <row r="975" spans="1:4" ht="14.45" x14ac:dyDescent="0.3">
      <c r="A975">
        <v>8217</v>
      </c>
      <c r="B975" t="s">
        <v>10141</v>
      </c>
      <c r="C975" t="s">
        <v>5043</v>
      </c>
      <c r="D975" t="s">
        <v>8401</v>
      </c>
    </row>
    <row r="976" spans="1:4" ht="14.45" x14ac:dyDescent="0.3">
      <c r="A976">
        <v>11050</v>
      </c>
      <c r="B976" t="s">
        <v>8702</v>
      </c>
      <c r="C976" t="s">
        <v>5043</v>
      </c>
      <c r="D976" t="s">
        <v>8401</v>
      </c>
    </row>
    <row r="977" spans="1:4" ht="14.45" x14ac:dyDescent="0.3">
      <c r="A977">
        <v>8619</v>
      </c>
      <c r="B977" t="s">
        <v>8702</v>
      </c>
      <c r="C977" t="s">
        <v>5043</v>
      </c>
      <c r="D977" t="s">
        <v>8401</v>
      </c>
    </row>
    <row r="978" spans="1:4" ht="14.45" x14ac:dyDescent="0.3">
      <c r="A978">
        <v>8648</v>
      </c>
      <c r="B978" t="s">
        <v>10142</v>
      </c>
      <c r="C978" t="s">
        <v>5043</v>
      </c>
      <c r="D978" t="s">
        <v>8401</v>
      </c>
    </row>
    <row r="979" spans="1:4" ht="14.45" x14ac:dyDescent="0.3">
      <c r="A979">
        <v>7791</v>
      </c>
      <c r="B979" t="s">
        <v>8703</v>
      </c>
      <c r="C979" t="s">
        <v>5043</v>
      </c>
      <c r="D979" t="s">
        <v>8401</v>
      </c>
    </row>
    <row r="980" spans="1:4" ht="14.45" x14ac:dyDescent="0.3">
      <c r="A980">
        <v>9200</v>
      </c>
      <c r="B980" t="s">
        <v>10143</v>
      </c>
      <c r="C980" t="s">
        <v>5043</v>
      </c>
      <c r="D980" t="s">
        <v>8401</v>
      </c>
    </row>
    <row r="981" spans="1:4" ht="14.45" x14ac:dyDescent="0.3">
      <c r="A981">
        <v>9613</v>
      </c>
      <c r="B981" t="s">
        <v>10143</v>
      </c>
      <c r="C981" t="s">
        <v>5043</v>
      </c>
      <c r="D981" t="s">
        <v>8401</v>
      </c>
    </row>
    <row r="982" spans="1:4" ht="14.45" x14ac:dyDescent="0.3">
      <c r="A982">
        <v>8452</v>
      </c>
      <c r="B982" t="s">
        <v>9562</v>
      </c>
      <c r="C982" t="s">
        <v>5043</v>
      </c>
      <c r="D982" t="s">
        <v>8401</v>
      </c>
    </row>
    <row r="983" spans="1:4" ht="14.45" x14ac:dyDescent="0.3">
      <c r="A983">
        <v>6428</v>
      </c>
      <c r="B983" t="s">
        <v>10144</v>
      </c>
      <c r="C983" t="s">
        <v>5043</v>
      </c>
      <c r="D983" t="s">
        <v>8401</v>
      </c>
    </row>
    <row r="984" spans="1:4" ht="14.45" x14ac:dyDescent="0.3">
      <c r="A984">
        <v>10634</v>
      </c>
      <c r="B984" t="s">
        <v>10145</v>
      </c>
      <c r="C984" t="s">
        <v>5043</v>
      </c>
      <c r="D984" t="s">
        <v>8401</v>
      </c>
    </row>
    <row r="985" spans="1:4" ht="14.45" x14ac:dyDescent="0.3">
      <c r="A985">
        <v>11335</v>
      </c>
      <c r="B985" t="s">
        <v>10145</v>
      </c>
      <c r="C985" t="s">
        <v>5043</v>
      </c>
      <c r="D985" t="s">
        <v>8401</v>
      </c>
    </row>
    <row r="986" spans="1:4" ht="14.45" x14ac:dyDescent="0.3">
      <c r="A986">
        <v>7266</v>
      </c>
      <c r="B986" t="s">
        <v>10145</v>
      </c>
      <c r="C986" t="s">
        <v>5043</v>
      </c>
      <c r="D986" t="s">
        <v>8401</v>
      </c>
    </row>
    <row r="987" spans="1:4" ht="14.45" x14ac:dyDescent="0.3">
      <c r="A987">
        <v>7312</v>
      </c>
      <c r="B987" t="s">
        <v>10145</v>
      </c>
      <c r="C987" t="s">
        <v>5043</v>
      </c>
      <c r="D987" t="s">
        <v>8401</v>
      </c>
    </row>
    <row r="988" spans="1:4" ht="14.45" x14ac:dyDescent="0.3">
      <c r="A988">
        <v>7692</v>
      </c>
      <c r="B988" t="s">
        <v>10145</v>
      </c>
      <c r="C988" t="s">
        <v>5043</v>
      </c>
      <c r="D988" t="s">
        <v>8401</v>
      </c>
    </row>
    <row r="989" spans="1:4" ht="14.45" x14ac:dyDescent="0.3">
      <c r="A989">
        <v>8046</v>
      </c>
      <c r="B989" t="s">
        <v>10145</v>
      </c>
      <c r="C989" t="s">
        <v>5043</v>
      </c>
      <c r="D989" t="s">
        <v>8401</v>
      </c>
    </row>
    <row r="990" spans="1:4" ht="14.45" x14ac:dyDescent="0.3">
      <c r="A990">
        <v>8387</v>
      </c>
      <c r="B990" t="s">
        <v>10145</v>
      </c>
      <c r="C990" t="s">
        <v>5043</v>
      </c>
      <c r="D990" t="s">
        <v>8401</v>
      </c>
    </row>
    <row r="991" spans="1:4" ht="14.45" x14ac:dyDescent="0.3">
      <c r="A991">
        <v>8701</v>
      </c>
      <c r="B991" t="s">
        <v>10145</v>
      </c>
      <c r="C991" t="s">
        <v>5043</v>
      </c>
      <c r="D991" t="s">
        <v>8401</v>
      </c>
    </row>
    <row r="992" spans="1:4" ht="14.45" x14ac:dyDescent="0.3">
      <c r="A992">
        <v>8808</v>
      </c>
      <c r="B992" t="s">
        <v>10145</v>
      </c>
      <c r="C992" t="s">
        <v>5043</v>
      </c>
      <c r="D992" t="s">
        <v>8401</v>
      </c>
    </row>
    <row r="993" spans="1:4" ht="14.45" x14ac:dyDescent="0.3">
      <c r="A993">
        <v>8871</v>
      </c>
      <c r="B993" t="s">
        <v>10145</v>
      </c>
      <c r="C993" t="s">
        <v>5043</v>
      </c>
      <c r="D993" t="s">
        <v>8401</v>
      </c>
    </row>
    <row r="994" spans="1:4" ht="14.45" x14ac:dyDescent="0.3">
      <c r="A994">
        <v>9394</v>
      </c>
      <c r="B994" t="s">
        <v>10145</v>
      </c>
      <c r="C994" t="s">
        <v>5043</v>
      </c>
      <c r="D994" t="s">
        <v>8401</v>
      </c>
    </row>
    <row r="995" spans="1:4" ht="14.45" x14ac:dyDescent="0.3">
      <c r="A995">
        <v>9533</v>
      </c>
      <c r="B995" t="s">
        <v>10145</v>
      </c>
      <c r="C995" t="s">
        <v>5043</v>
      </c>
      <c r="D995" t="s">
        <v>8401</v>
      </c>
    </row>
    <row r="996" spans="1:4" ht="14.45" x14ac:dyDescent="0.3">
      <c r="A996">
        <v>7236</v>
      </c>
      <c r="B996" t="s">
        <v>8704</v>
      </c>
      <c r="C996" t="s">
        <v>5043</v>
      </c>
      <c r="D996" t="s">
        <v>8401</v>
      </c>
    </row>
    <row r="997" spans="1:4" ht="14.45" x14ac:dyDescent="0.3">
      <c r="A997">
        <v>7085</v>
      </c>
      <c r="B997" t="s">
        <v>8705</v>
      </c>
      <c r="C997" t="s">
        <v>5043</v>
      </c>
      <c r="D997" t="s">
        <v>8401</v>
      </c>
    </row>
    <row r="998" spans="1:4" ht="14.45" x14ac:dyDescent="0.3">
      <c r="A998">
        <v>11213</v>
      </c>
      <c r="B998" t="s">
        <v>8706</v>
      </c>
      <c r="C998" t="s">
        <v>5043</v>
      </c>
      <c r="D998" t="s">
        <v>8401</v>
      </c>
    </row>
    <row r="999" spans="1:4" ht="14.45" x14ac:dyDescent="0.3">
      <c r="A999">
        <v>7675</v>
      </c>
      <c r="B999" t="s">
        <v>8706</v>
      </c>
      <c r="C999" t="s">
        <v>5043</v>
      </c>
      <c r="D999" t="s">
        <v>8401</v>
      </c>
    </row>
    <row r="1000" spans="1:4" ht="14.45" x14ac:dyDescent="0.3">
      <c r="A1000">
        <v>9634</v>
      </c>
      <c r="B1000" t="s">
        <v>8707</v>
      </c>
      <c r="C1000" t="s">
        <v>5043</v>
      </c>
      <c r="D1000" t="s">
        <v>8401</v>
      </c>
    </row>
    <row r="1001" spans="1:4" ht="14.45" x14ac:dyDescent="0.3">
      <c r="A1001">
        <v>7483</v>
      </c>
      <c r="B1001" t="s">
        <v>10146</v>
      </c>
      <c r="C1001" t="s">
        <v>5043</v>
      </c>
      <c r="D1001" t="s">
        <v>8401</v>
      </c>
    </row>
    <row r="1002" spans="1:4" ht="14.45" x14ac:dyDescent="0.3">
      <c r="A1002">
        <v>10409</v>
      </c>
      <c r="B1002" t="s">
        <v>10147</v>
      </c>
      <c r="C1002" t="s">
        <v>5043</v>
      </c>
      <c r="D1002" t="s">
        <v>8401</v>
      </c>
    </row>
    <row r="1003" spans="1:4" ht="14.45" x14ac:dyDescent="0.3">
      <c r="A1003">
        <v>10738</v>
      </c>
      <c r="B1003" t="s">
        <v>10147</v>
      </c>
      <c r="C1003" t="s">
        <v>5043</v>
      </c>
      <c r="D1003" t="s">
        <v>8401</v>
      </c>
    </row>
    <row r="1004" spans="1:4" ht="14.45" x14ac:dyDescent="0.3">
      <c r="A1004">
        <v>11081</v>
      </c>
      <c r="B1004" t="s">
        <v>10147</v>
      </c>
      <c r="C1004" t="s">
        <v>5043</v>
      </c>
      <c r="D1004" t="s">
        <v>8401</v>
      </c>
    </row>
    <row r="1005" spans="1:4" ht="14.45" x14ac:dyDescent="0.3">
      <c r="A1005">
        <v>6629</v>
      </c>
      <c r="B1005" t="s">
        <v>10147</v>
      </c>
      <c r="C1005" t="s">
        <v>5043</v>
      </c>
      <c r="D1005" t="s">
        <v>8401</v>
      </c>
    </row>
    <row r="1006" spans="1:4" ht="14.45" x14ac:dyDescent="0.3">
      <c r="A1006">
        <v>6696</v>
      </c>
      <c r="B1006" t="s">
        <v>10147</v>
      </c>
      <c r="C1006" t="s">
        <v>5043</v>
      </c>
      <c r="D1006" t="s">
        <v>8401</v>
      </c>
    </row>
    <row r="1007" spans="1:4" ht="14.45" x14ac:dyDescent="0.3">
      <c r="A1007">
        <v>7598</v>
      </c>
      <c r="B1007" t="s">
        <v>10147</v>
      </c>
      <c r="C1007" t="s">
        <v>5043</v>
      </c>
      <c r="D1007" t="s">
        <v>8401</v>
      </c>
    </row>
    <row r="1008" spans="1:4" ht="14.45" x14ac:dyDescent="0.3">
      <c r="A1008">
        <v>7808</v>
      </c>
      <c r="B1008" t="s">
        <v>10147</v>
      </c>
      <c r="C1008" t="s">
        <v>5043</v>
      </c>
      <c r="D1008" t="s">
        <v>8401</v>
      </c>
    </row>
    <row r="1009" spans="1:4" ht="14.45" x14ac:dyDescent="0.3">
      <c r="A1009">
        <v>7885</v>
      </c>
      <c r="B1009" t="s">
        <v>10147</v>
      </c>
      <c r="C1009" t="s">
        <v>5043</v>
      </c>
      <c r="D1009" t="s">
        <v>8401</v>
      </c>
    </row>
    <row r="1010" spans="1:4" ht="14.45" x14ac:dyDescent="0.3">
      <c r="A1010">
        <v>9601</v>
      </c>
      <c r="B1010" t="s">
        <v>10147</v>
      </c>
      <c r="C1010" t="s">
        <v>5043</v>
      </c>
      <c r="D1010" t="s">
        <v>8401</v>
      </c>
    </row>
    <row r="1011" spans="1:4" ht="14.45" x14ac:dyDescent="0.3">
      <c r="A1011">
        <v>9738</v>
      </c>
      <c r="B1011" t="s">
        <v>10147</v>
      </c>
      <c r="C1011" t="s">
        <v>5043</v>
      </c>
      <c r="D1011" t="s">
        <v>8401</v>
      </c>
    </row>
    <row r="1012" spans="1:4" ht="14.45" x14ac:dyDescent="0.3">
      <c r="A1012">
        <v>11582</v>
      </c>
      <c r="B1012" t="s">
        <v>10148</v>
      </c>
      <c r="C1012" t="s">
        <v>5043</v>
      </c>
      <c r="D1012" t="s">
        <v>8401</v>
      </c>
    </row>
    <row r="1013" spans="1:4" ht="14.45" x14ac:dyDescent="0.3">
      <c r="A1013">
        <v>8378</v>
      </c>
      <c r="B1013" t="s">
        <v>10149</v>
      </c>
      <c r="C1013" t="s">
        <v>5043</v>
      </c>
      <c r="D1013" t="s">
        <v>8401</v>
      </c>
    </row>
    <row r="1014" spans="1:4" ht="14.45" x14ac:dyDescent="0.3">
      <c r="A1014">
        <v>6882</v>
      </c>
      <c r="B1014" t="s">
        <v>10150</v>
      </c>
      <c r="C1014" t="s">
        <v>5043</v>
      </c>
      <c r="D1014" t="s">
        <v>8401</v>
      </c>
    </row>
    <row r="1015" spans="1:4" ht="14.45" x14ac:dyDescent="0.3">
      <c r="A1015">
        <v>7210</v>
      </c>
      <c r="B1015" t="s">
        <v>10151</v>
      </c>
      <c r="C1015" t="s">
        <v>5043</v>
      </c>
      <c r="D1015" t="s">
        <v>8401</v>
      </c>
    </row>
    <row r="1016" spans="1:4" ht="14.45" x14ac:dyDescent="0.3">
      <c r="A1016">
        <v>10076</v>
      </c>
      <c r="B1016" t="s">
        <v>8708</v>
      </c>
      <c r="C1016" t="s">
        <v>5043</v>
      </c>
      <c r="D1016" t="s">
        <v>8401</v>
      </c>
    </row>
    <row r="1017" spans="1:4" ht="14.45" x14ac:dyDescent="0.3">
      <c r="A1017">
        <v>8706</v>
      </c>
      <c r="B1017" t="s">
        <v>8708</v>
      </c>
      <c r="C1017" t="s">
        <v>5043</v>
      </c>
      <c r="D1017" t="s">
        <v>8401</v>
      </c>
    </row>
    <row r="1018" spans="1:4" ht="14.45" x14ac:dyDescent="0.3">
      <c r="A1018">
        <v>10895</v>
      </c>
      <c r="B1018" t="s">
        <v>10152</v>
      </c>
      <c r="C1018" t="s">
        <v>5043</v>
      </c>
      <c r="D1018" t="s">
        <v>8401</v>
      </c>
    </row>
    <row r="1019" spans="1:4" ht="14.45" x14ac:dyDescent="0.3">
      <c r="A1019">
        <v>10984</v>
      </c>
      <c r="B1019" t="s">
        <v>10152</v>
      </c>
      <c r="C1019" t="s">
        <v>5043</v>
      </c>
      <c r="D1019" t="s">
        <v>8401</v>
      </c>
    </row>
    <row r="1020" spans="1:4" ht="14.45" x14ac:dyDescent="0.3">
      <c r="A1020">
        <v>11144</v>
      </c>
      <c r="B1020" t="s">
        <v>10152</v>
      </c>
      <c r="C1020" t="s">
        <v>5043</v>
      </c>
      <c r="D1020" t="s">
        <v>8401</v>
      </c>
    </row>
    <row r="1021" spans="1:4" ht="14.45" x14ac:dyDescent="0.3">
      <c r="A1021">
        <v>6439</v>
      </c>
      <c r="B1021" t="s">
        <v>10152</v>
      </c>
      <c r="C1021" t="s">
        <v>5043</v>
      </c>
      <c r="D1021" t="s">
        <v>8401</v>
      </c>
    </row>
    <row r="1022" spans="1:4" ht="14.45" x14ac:dyDescent="0.3">
      <c r="A1022">
        <v>8184</v>
      </c>
      <c r="B1022" t="s">
        <v>10152</v>
      </c>
      <c r="C1022" t="s">
        <v>5043</v>
      </c>
      <c r="D1022" t="s">
        <v>8401</v>
      </c>
    </row>
    <row r="1023" spans="1:4" ht="14.45" x14ac:dyDescent="0.3">
      <c r="A1023">
        <v>9482</v>
      </c>
      <c r="B1023" t="s">
        <v>10152</v>
      </c>
      <c r="C1023" t="s">
        <v>5043</v>
      </c>
      <c r="D1023" t="s">
        <v>8401</v>
      </c>
    </row>
    <row r="1024" spans="1:4" ht="14.45" x14ac:dyDescent="0.3">
      <c r="A1024">
        <v>9771</v>
      </c>
      <c r="B1024" t="s">
        <v>10152</v>
      </c>
      <c r="C1024" t="s">
        <v>5043</v>
      </c>
      <c r="D1024" t="s">
        <v>8401</v>
      </c>
    </row>
    <row r="1025" spans="1:4" ht="14.45" x14ac:dyDescent="0.3">
      <c r="A1025">
        <v>7286</v>
      </c>
      <c r="B1025" t="s">
        <v>10153</v>
      </c>
      <c r="C1025" t="s">
        <v>5043</v>
      </c>
      <c r="D1025" t="s">
        <v>8401</v>
      </c>
    </row>
    <row r="1026" spans="1:4" ht="14.45" x14ac:dyDescent="0.3">
      <c r="A1026">
        <v>10215</v>
      </c>
      <c r="B1026" t="s">
        <v>10154</v>
      </c>
      <c r="C1026" t="s">
        <v>5043</v>
      </c>
      <c r="D1026" t="s">
        <v>8401</v>
      </c>
    </row>
    <row r="1027" spans="1:4" ht="14.45" x14ac:dyDescent="0.3">
      <c r="A1027">
        <v>6776</v>
      </c>
      <c r="B1027" t="s">
        <v>10154</v>
      </c>
      <c r="C1027" t="s">
        <v>5043</v>
      </c>
      <c r="D1027" t="s">
        <v>8401</v>
      </c>
    </row>
    <row r="1028" spans="1:4" ht="14.45" x14ac:dyDescent="0.3">
      <c r="A1028">
        <v>9058</v>
      </c>
      <c r="B1028" t="s">
        <v>10155</v>
      </c>
      <c r="C1028" t="s">
        <v>5043</v>
      </c>
      <c r="D1028" t="s">
        <v>8401</v>
      </c>
    </row>
    <row r="1029" spans="1:4" ht="14.45" x14ac:dyDescent="0.3">
      <c r="A1029">
        <v>8831</v>
      </c>
      <c r="B1029" t="s">
        <v>10156</v>
      </c>
      <c r="C1029" t="s">
        <v>5043</v>
      </c>
      <c r="D1029" t="s">
        <v>8401</v>
      </c>
    </row>
    <row r="1030" spans="1:4" ht="14.45" x14ac:dyDescent="0.3">
      <c r="A1030">
        <v>11712</v>
      </c>
      <c r="B1030" t="s">
        <v>10157</v>
      </c>
      <c r="C1030" t="s">
        <v>5043</v>
      </c>
      <c r="D1030" t="s">
        <v>8401</v>
      </c>
    </row>
    <row r="1031" spans="1:4" ht="14.45" x14ac:dyDescent="0.3">
      <c r="A1031">
        <v>11721</v>
      </c>
      <c r="B1031" t="s">
        <v>10157</v>
      </c>
      <c r="C1031" t="s">
        <v>5043</v>
      </c>
      <c r="D1031" t="s">
        <v>8401</v>
      </c>
    </row>
    <row r="1032" spans="1:4" ht="14.45" x14ac:dyDescent="0.3">
      <c r="A1032">
        <v>6577</v>
      </c>
      <c r="B1032" t="s">
        <v>10158</v>
      </c>
      <c r="C1032" t="s">
        <v>5043</v>
      </c>
      <c r="D1032" t="s">
        <v>8401</v>
      </c>
    </row>
    <row r="1033" spans="1:4" ht="14.45" x14ac:dyDescent="0.3">
      <c r="A1033">
        <v>11252</v>
      </c>
      <c r="B1033" t="s">
        <v>8709</v>
      </c>
      <c r="C1033" t="s">
        <v>5043</v>
      </c>
      <c r="D1033" t="s">
        <v>8401</v>
      </c>
    </row>
    <row r="1034" spans="1:4" ht="14.45" x14ac:dyDescent="0.3">
      <c r="A1034">
        <v>9534</v>
      </c>
      <c r="B1034" t="s">
        <v>8709</v>
      </c>
      <c r="C1034" t="s">
        <v>5043</v>
      </c>
      <c r="D1034" t="s">
        <v>8401</v>
      </c>
    </row>
    <row r="1035" spans="1:4" ht="14.45" x14ac:dyDescent="0.3">
      <c r="A1035">
        <v>6956</v>
      </c>
      <c r="B1035" t="s">
        <v>10159</v>
      </c>
      <c r="C1035" t="s">
        <v>5043</v>
      </c>
      <c r="D1035" t="s">
        <v>8401</v>
      </c>
    </row>
    <row r="1036" spans="1:4" ht="14.45" x14ac:dyDescent="0.3">
      <c r="A1036">
        <v>9087</v>
      </c>
      <c r="B1036" t="s">
        <v>10159</v>
      </c>
      <c r="C1036" t="s">
        <v>5043</v>
      </c>
      <c r="D1036" t="s">
        <v>8401</v>
      </c>
    </row>
    <row r="1037" spans="1:4" ht="14.45" x14ac:dyDescent="0.3">
      <c r="A1037">
        <v>9175</v>
      </c>
      <c r="B1037" t="s">
        <v>10159</v>
      </c>
      <c r="C1037" t="s">
        <v>5043</v>
      </c>
      <c r="D1037" t="s">
        <v>8401</v>
      </c>
    </row>
    <row r="1038" spans="1:4" ht="14.45" x14ac:dyDescent="0.3">
      <c r="A1038">
        <v>11725</v>
      </c>
      <c r="B1038" t="s">
        <v>10160</v>
      </c>
      <c r="C1038" t="s">
        <v>5043</v>
      </c>
      <c r="D1038" t="s">
        <v>8401</v>
      </c>
    </row>
    <row r="1039" spans="1:4" ht="14.45" x14ac:dyDescent="0.3">
      <c r="A1039">
        <v>7937</v>
      </c>
      <c r="B1039" t="s">
        <v>8710</v>
      </c>
      <c r="C1039" t="s">
        <v>5043</v>
      </c>
      <c r="D1039" t="s">
        <v>8401</v>
      </c>
    </row>
    <row r="1040" spans="1:4" ht="14.45" x14ac:dyDescent="0.3">
      <c r="A1040">
        <v>10197</v>
      </c>
      <c r="B1040" t="s">
        <v>8711</v>
      </c>
      <c r="C1040" t="s">
        <v>5043</v>
      </c>
      <c r="D1040" t="s">
        <v>8401</v>
      </c>
    </row>
    <row r="1041" spans="1:4" ht="14.45" x14ac:dyDescent="0.3">
      <c r="A1041">
        <v>10521</v>
      </c>
      <c r="B1041" t="s">
        <v>8711</v>
      </c>
      <c r="C1041" t="s">
        <v>5043</v>
      </c>
      <c r="D1041" t="s">
        <v>8401</v>
      </c>
    </row>
    <row r="1042" spans="1:4" ht="14.45" x14ac:dyDescent="0.3">
      <c r="A1042">
        <v>11534</v>
      </c>
      <c r="B1042" t="s">
        <v>10161</v>
      </c>
      <c r="C1042" t="s">
        <v>5043</v>
      </c>
      <c r="D1042" t="s">
        <v>8401</v>
      </c>
    </row>
    <row r="1043" spans="1:4" ht="14.45" x14ac:dyDescent="0.3">
      <c r="A1043">
        <v>6602</v>
      </c>
      <c r="B1043" t="s">
        <v>8712</v>
      </c>
      <c r="C1043" t="s">
        <v>5043</v>
      </c>
      <c r="D1043" t="s">
        <v>8401</v>
      </c>
    </row>
    <row r="1044" spans="1:4" ht="14.45" x14ac:dyDescent="0.3">
      <c r="A1044">
        <v>10449</v>
      </c>
      <c r="B1044" t="s">
        <v>8713</v>
      </c>
      <c r="C1044" t="s">
        <v>5043</v>
      </c>
      <c r="D1044" t="s">
        <v>8401</v>
      </c>
    </row>
    <row r="1045" spans="1:4" ht="14.45" x14ac:dyDescent="0.3">
      <c r="A1045">
        <v>10115</v>
      </c>
      <c r="B1045" t="s">
        <v>8714</v>
      </c>
      <c r="C1045" t="s">
        <v>5043</v>
      </c>
      <c r="D1045" t="s">
        <v>8401</v>
      </c>
    </row>
    <row r="1046" spans="1:4" ht="14.45" x14ac:dyDescent="0.3">
      <c r="A1046">
        <v>9933</v>
      </c>
      <c r="B1046" t="s">
        <v>8714</v>
      </c>
      <c r="C1046" t="s">
        <v>5043</v>
      </c>
      <c r="D1046" t="s">
        <v>8401</v>
      </c>
    </row>
    <row r="1047" spans="1:4" ht="14.45" x14ac:dyDescent="0.3">
      <c r="A1047">
        <v>10430</v>
      </c>
      <c r="B1047" t="s">
        <v>10162</v>
      </c>
      <c r="C1047" t="s">
        <v>5043</v>
      </c>
      <c r="D1047" t="s">
        <v>8401</v>
      </c>
    </row>
    <row r="1048" spans="1:4" ht="14.45" x14ac:dyDescent="0.3">
      <c r="A1048">
        <v>11730</v>
      </c>
      <c r="B1048" t="s">
        <v>10162</v>
      </c>
      <c r="C1048" t="s">
        <v>5043</v>
      </c>
      <c r="D1048" t="s">
        <v>8401</v>
      </c>
    </row>
    <row r="1049" spans="1:4" ht="14.45" x14ac:dyDescent="0.3">
      <c r="A1049">
        <v>11688</v>
      </c>
      <c r="B1049" t="s">
        <v>8715</v>
      </c>
      <c r="C1049" t="s">
        <v>5043</v>
      </c>
      <c r="D1049" t="s">
        <v>8401</v>
      </c>
    </row>
    <row r="1050" spans="1:4" ht="14.45" x14ac:dyDescent="0.3">
      <c r="A1050">
        <v>7807</v>
      </c>
      <c r="B1050" t="s">
        <v>8715</v>
      </c>
      <c r="C1050" t="s">
        <v>5043</v>
      </c>
      <c r="D1050" t="s">
        <v>8401</v>
      </c>
    </row>
    <row r="1051" spans="1:4" ht="14.45" x14ac:dyDescent="0.3">
      <c r="A1051">
        <v>8386</v>
      </c>
      <c r="B1051" t="s">
        <v>8715</v>
      </c>
      <c r="C1051" t="s">
        <v>5043</v>
      </c>
      <c r="D1051" t="s">
        <v>8401</v>
      </c>
    </row>
    <row r="1052" spans="1:4" ht="14.45" x14ac:dyDescent="0.3">
      <c r="A1052">
        <v>7731</v>
      </c>
      <c r="B1052" t="s">
        <v>8716</v>
      </c>
      <c r="C1052" t="s">
        <v>5043</v>
      </c>
      <c r="D1052" t="s">
        <v>8401</v>
      </c>
    </row>
    <row r="1053" spans="1:4" ht="14.45" x14ac:dyDescent="0.3">
      <c r="A1053">
        <v>6851</v>
      </c>
      <c r="B1053" t="s">
        <v>10163</v>
      </c>
      <c r="C1053" t="s">
        <v>5043</v>
      </c>
      <c r="D1053" t="s">
        <v>8401</v>
      </c>
    </row>
    <row r="1054" spans="1:4" ht="14.45" x14ac:dyDescent="0.3">
      <c r="A1054">
        <v>9415</v>
      </c>
      <c r="B1054" t="s">
        <v>10164</v>
      </c>
      <c r="C1054" t="s">
        <v>5043</v>
      </c>
      <c r="D1054" t="s">
        <v>8401</v>
      </c>
    </row>
    <row r="1055" spans="1:4" ht="14.45" x14ac:dyDescent="0.3">
      <c r="A1055">
        <v>6642</v>
      </c>
      <c r="B1055" t="s">
        <v>8717</v>
      </c>
      <c r="C1055" t="s">
        <v>5043</v>
      </c>
      <c r="D1055" t="s">
        <v>8401</v>
      </c>
    </row>
    <row r="1056" spans="1:4" ht="14.45" x14ac:dyDescent="0.3">
      <c r="A1056">
        <v>9499</v>
      </c>
      <c r="B1056" t="s">
        <v>8718</v>
      </c>
      <c r="C1056" t="s">
        <v>5043</v>
      </c>
      <c r="D1056" t="s">
        <v>8401</v>
      </c>
    </row>
    <row r="1057" spans="1:4" ht="14.45" x14ac:dyDescent="0.3">
      <c r="A1057">
        <v>11023</v>
      </c>
      <c r="B1057" t="s">
        <v>10165</v>
      </c>
      <c r="C1057" t="s">
        <v>5043</v>
      </c>
      <c r="D1057" t="s">
        <v>8401</v>
      </c>
    </row>
    <row r="1058" spans="1:4" ht="14.45" x14ac:dyDescent="0.3">
      <c r="A1058">
        <v>12545</v>
      </c>
      <c r="B1058" t="s">
        <v>11562</v>
      </c>
      <c r="C1058" t="s">
        <v>5043</v>
      </c>
      <c r="D1058" t="s">
        <v>8401</v>
      </c>
    </row>
    <row r="1059" spans="1:4" ht="14.45" x14ac:dyDescent="0.3">
      <c r="A1059">
        <v>10968</v>
      </c>
      <c r="B1059" t="s">
        <v>10166</v>
      </c>
      <c r="C1059" t="s">
        <v>5043</v>
      </c>
      <c r="D1059" t="s">
        <v>8401</v>
      </c>
    </row>
    <row r="1060" spans="1:4" ht="14.45" x14ac:dyDescent="0.3">
      <c r="A1060">
        <v>6625</v>
      </c>
      <c r="B1060" t="s">
        <v>8719</v>
      </c>
      <c r="C1060" t="s">
        <v>5043</v>
      </c>
      <c r="D1060" t="s">
        <v>8401</v>
      </c>
    </row>
    <row r="1061" spans="1:4" ht="14.45" x14ac:dyDescent="0.3">
      <c r="A1061">
        <v>10659</v>
      </c>
      <c r="B1061" t="s">
        <v>10167</v>
      </c>
      <c r="C1061" t="s">
        <v>5043</v>
      </c>
      <c r="D1061" t="s">
        <v>8401</v>
      </c>
    </row>
    <row r="1062" spans="1:4" ht="14.45" x14ac:dyDescent="0.3">
      <c r="A1062">
        <v>10830</v>
      </c>
      <c r="B1062" t="s">
        <v>10167</v>
      </c>
      <c r="C1062" t="s">
        <v>5043</v>
      </c>
      <c r="D1062" t="s">
        <v>8401</v>
      </c>
    </row>
    <row r="1063" spans="1:4" ht="14.45" x14ac:dyDescent="0.3">
      <c r="A1063">
        <v>7013</v>
      </c>
      <c r="B1063" t="s">
        <v>10167</v>
      </c>
      <c r="C1063" t="s">
        <v>5043</v>
      </c>
      <c r="D1063" t="s">
        <v>8401</v>
      </c>
    </row>
    <row r="1064" spans="1:4" ht="14.45" x14ac:dyDescent="0.3">
      <c r="A1064">
        <v>9780</v>
      </c>
      <c r="B1064" t="s">
        <v>8720</v>
      </c>
      <c r="C1064" t="s">
        <v>5043</v>
      </c>
      <c r="D1064" t="s">
        <v>8401</v>
      </c>
    </row>
    <row r="1065" spans="1:4" ht="14.45" x14ac:dyDescent="0.3">
      <c r="A1065">
        <v>11597</v>
      </c>
      <c r="B1065" t="s">
        <v>10168</v>
      </c>
      <c r="C1065" t="s">
        <v>5043</v>
      </c>
      <c r="D1065" t="s">
        <v>8401</v>
      </c>
    </row>
    <row r="1066" spans="1:4" ht="14.45" x14ac:dyDescent="0.3">
      <c r="A1066">
        <v>7492</v>
      </c>
      <c r="B1066" t="s">
        <v>10168</v>
      </c>
      <c r="C1066" t="s">
        <v>5043</v>
      </c>
      <c r="D1066" t="s">
        <v>8401</v>
      </c>
    </row>
    <row r="1067" spans="1:4" ht="14.45" x14ac:dyDescent="0.3">
      <c r="A1067">
        <v>9208</v>
      </c>
      <c r="B1067" t="s">
        <v>10168</v>
      </c>
      <c r="C1067" t="s">
        <v>5043</v>
      </c>
      <c r="D1067" t="s">
        <v>8401</v>
      </c>
    </row>
    <row r="1068" spans="1:4" ht="14.45" x14ac:dyDescent="0.3">
      <c r="A1068">
        <v>9543</v>
      </c>
      <c r="B1068" t="s">
        <v>10168</v>
      </c>
      <c r="C1068" t="s">
        <v>5043</v>
      </c>
      <c r="D1068" t="s">
        <v>8401</v>
      </c>
    </row>
    <row r="1069" spans="1:4" ht="14.45" x14ac:dyDescent="0.3">
      <c r="A1069">
        <v>12674</v>
      </c>
      <c r="B1069" t="s">
        <v>11563</v>
      </c>
      <c r="C1069" t="s">
        <v>5043</v>
      </c>
      <c r="D1069" t="s">
        <v>8401</v>
      </c>
    </row>
    <row r="1070" spans="1:4" ht="14.45" x14ac:dyDescent="0.3">
      <c r="A1070">
        <v>12675</v>
      </c>
      <c r="B1070" t="s">
        <v>11563</v>
      </c>
      <c r="C1070" t="s">
        <v>5043</v>
      </c>
      <c r="D1070" t="s">
        <v>8401</v>
      </c>
    </row>
    <row r="1071" spans="1:4" ht="14.45" x14ac:dyDescent="0.3">
      <c r="A1071">
        <v>10818</v>
      </c>
      <c r="B1071" t="s">
        <v>8721</v>
      </c>
      <c r="C1071" t="s">
        <v>5043</v>
      </c>
      <c r="D1071" t="s">
        <v>8401</v>
      </c>
    </row>
    <row r="1072" spans="1:4" ht="14.45" x14ac:dyDescent="0.3">
      <c r="A1072">
        <v>11085</v>
      </c>
      <c r="B1072" t="s">
        <v>8721</v>
      </c>
      <c r="C1072" t="s">
        <v>5043</v>
      </c>
      <c r="D1072" t="s">
        <v>8401</v>
      </c>
    </row>
    <row r="1073" spans="1:4" ht="14.45" x14ac:dyDescent="0.3">
      <c r="A1073">
        <v>10703</v>
      </c>
      <c r="B1073" t="s">
        <v>10169</v>
      </c>
      <c r="C1073" t="s">
        <v>5043</v>
      </c>
      <c r="D1073" t="s">
        <v>8401</v>
      </c>
    </row>
    <row r="1074" spans="1:4" ht="14.45" x14ac:dyDescent="0.3">
      <c r="A1074">
        <v>10872</v>
      </c>
      <c r="B1074" t="s">
        <v>10169</v>
      </c>
      <c r="C1074" t="s">
        <v>5043</v>
      </c>
      <c r="D1074" t="s">
        <v>8401</v>
      </c>
    </row>
    <row r="1075" spans="1:4" ht="14.45" x14ac:dyDescent="0.3">
      <c r="A1075">
        <v>12546</v>
      </c>
      <c r="B1075" t="s">
        <v>10169</v>
      </c>
      <c r="C1075" t="s">
        <v>5043</v>
      </c>
      <c r="D1075" t="s">
        <v>8401</v>
      </c>
    </row>
    <row r="1076" spans="1:4" ht="14.45" x14ac:dyDescent="0.3">
      <c r="A1076">
        <v>6613</v>
      </c>
      <c r="B1076" t="s">
        <v>10169</v>
      </c>
      <c r="C1076" t="s">
        <v>5043</v>
      </c>
      <c r="D1076" t="s">
        <v>8401</v>
      </c>
    </row>
    <row r="1077" spans="1:4" ht="14.45" x14ac:dyDescent="0.3">
      <c r="A1077">
        <v>7743</v>
      </c>
      <c r="B1077" t="s">
        <v>10169</v>
      </c>
      <c r="C1077" t="s">
        <v>5043</v>
      </c>
      <c r="D1077" t="s">
        <v>8401</v>
      </c>
    </row>
    <row r="1078" spans="1:4" ht="14.45" x14ac:dyDescent="0.3">
      <c r="A1078">
        <v>7798</v>
      </c>
      <c r="B1078" t="s">
        <v>10169</v>
      </c>
      <c r="C1078" t="s">
        <v>5043</v>
      </c>
      <c r="D1078" t="s">
        <v>8401</v>
      </c>
    </row>
    <row r="1079" spans="1:4" ht="14.45" x14ac:dyDescent="0.3">
      <c r="A1079">
        <v>8552</v>
      </c>
      <c r="B1079" t="s">
        <v>10169</v>
      </c>
      <c r="C1079" t="s">
        <v>5043</v>
      </c>
      <c r="D1079" t="s">
        <v>8401</v>
      </c>
    </row>
    <row r="1080" spans="1:4" ht="14.45" x14ac:dyDescent="0.3">
      <c r="A1080">
        <v>9487</v>
      </c>
      <c r="B1080" t="s">
        <v>10169</v>
      </c>
      <c r="C1080" t="s">
        <v>5043</v>
      </c>
      <c r="D1080" t="s">
        <v>8401</v>
      </c>
    </row>
    <row r="1081" spans="1:4" ht="14.45" x14ac:dyDescent="0.3">
      <c r="A1081">
        <v>9784</v>
      </c>
      <c r="B1081" t="s">
        <v>10169</v>
      </c>
      <c r="C1081" t="s">
        <v>5043</v>
      </c>
      <c r="D1081" t="s">
        <v>8401</v>
      </c>
    </row>
    <row r="1082" spans="1:4" ht="14.45" x14ac:dyDescent="0.3">
      <c r="A1082">
        <v>9522</v>
      </c>
      <c r="B1082" t="s">
        <v>8722</v>
      </c>
      <c r="C1082" t="s">
        <v>5043</v>
      </c>
      <c r="D1082" t="s">
        <v>8401</v>
      </c>
    </row>
    <row r="1083" spans="1:4" ht="14.45" x14ac:dyDescent="0.3">
      <c r="A1083">
        <v>10785</v>
      </c>
      <c r="B1083" t="s">
        <v>10170</v>
      </c>
      <c r="C1083" t="s">
        <v>5043</v>
      </c>
      <c r="D1083" t="s">
        <v>8401</v>
      </c>
    </row>
    <row r="1084" spans="1:4" ht="14.45" x14ac:dyDescent="0.3">
      <c r="A1084">
        <v>6993</v>
      </c>
      <c r="B1084" t="s">
        <v>10171</v>
      </c>
      <c r="C1084" t="s">
        <v>5043</v>
      </c>
      <c r="D1084" t="s">
        <v>8401</v>
      </c>
    </row>
    <row r="1085" spans="1:4" ht="14.45" x14ac:dyDescent="0.3">
      <c r="A1085">
        <v>10385</v>
      </c>
      <c r="B1085" t="s">
        <v>8723</v>
      </c>
      <c r="C1085" t="s">
        <v>5043</v>
      </c>
      <c r="D1085" t="s">
        <v>8401</v>
      </c>
    </row>
    <row r="1086" spans="1:4" ht="14.45" x14ac:dyDescent="0.3">
      <c r="A1086">
        <v>8113</v>
      </c>
      <c r="B1086" t="s">
        <v>8723</v>
      </c>
      <c r="C1086" t="s">
        <v>5043</v>
      </c>
      <c r="D1086" t="s">
        <v>8401</v>
      </c>
    </row>
    <row r="1087" spans="1:4" ht="14.45" x14ac:dyDescent="0.3">
      <c r="A1087">
        <v>11294</v>
      </c>
      <c r="B1087" t="s">
        <v>8724</v>
      </c>
      <c r="C1087" t="s">
        <v>5043</v>
      </c>
      <c r="D1087" t="s">
        <v>8401</v>
      </c>
    </row>
    <row r="1088" spans="1:4" ht="14.45" x14ac:dyDescent="0.3">
      <c r="A1088">
        <v>7122</v>
      </c>
      <c r="B1088" t="s">
        <v>8724</v>
      </c>
      <c r="C1088" t="s">
        <v>5043</v>
      </c>
      <c r="D1088" t="s">
        <v>8401</v>
      </c>
    </row>
    <row r="1089" spans="1:4" ht="14.45" x14ac:dyDescent="0.3">
      <c r="A1089">
        <v>6989</v>
      </c>
      <c r="B1089" t="s">
        <v>8725</v>
      </c>
      <c r="C1089" t="s">
        <v>5043</v>
      </c>
      <c r="D1089" t="s">
        <v>8401</v>
      </c>
    </row>
    <row r="1090" spans="1:4" ht="14.45" x14ac:dyDescent="0.3">
      <c r="A1090">
        <v>7596</v>
      </c>
      <c r="B1090" t="s">
        <v>8725</v>
      </c>
      <c r="C1090" t="s">
        <v>5043</v>
      </c>
      <c r="D1090" t="s">
        <v>8401</v>
      </c>
    </row>
    <row r="1091" spans="1:4" ht="14.45" x14ac:dyDescent="0.3">
      <c r="A1091">
        <v>10894</v>
      </c>
      <c r="B1091" t="s">
        <v>8726</v>
      </c>
      <c r="C1091" t="s">
        <v>5043</v>
      </c>
      <c r="D1091" t="s">
        <v>8401</v>
      </c>
    </row>
    <row r="1092" spans="1:4" ht="14.45" x14ac:dyDescent="0.3">
      <c r="A1092">
        <v>9650</v>
      </c>
      <c r="B1092" t="s">
        <v>8726</v>
      </c>
      <c r="C1092" t="s">
        <v>5043</v>
      </c>
      <c r="D1092" t="s">
        <v>8401</v>
      </c>
    </row>
    <row r="1093" spans="1:4" ht="14.45" x14ac:dyDescent="0.3">
      <c r="A1093">
        <v>7113</v>
      </c>
      <c r="B1093" t="s">
        <v>10172</v>
      </c>
      <c r="C1093" t="s">
        <v>5043</v>
      </c>
      <c r="D1093" t="s">
        <v>8401</v>
      </c>
    </row>
    <row r="1094" spans="1:4" ht="14.45" x14ac:dyDescent="0.3">
      <c r="A1094">
        <v>9633</v>
      </c>
      <c r="B1094" t="s">
        <v>10172</v>
      </c>
      <c r="C1094" t="s">
        <v>5043</v>
      </c>
      <c r="D1094" t="s">
        <v>8401</v>
      </c>
    </row>
    <row r="1095" spans="1:4" ht="14.45" x14ac:dyDescent="0.3">
      <c r="A1095">
        <v>10495</v>
      </c>
      <c r="B1095" t="s">
        <v>8727</v>
      </c>
      <c r="C1095" t="s">
        <v>5043</v>
      </c>
      <c r="D1095" t="s">
        <v>8401</v>
      </c>
    </row>
    <row r="1096" spans="1:4" ht="14.45" x14ac:dyDescent="0.3">
      <c r="A1096">
        <v>10725</v>
      </c>
      <c r="B1096" t="s">
        <v>8727</v>
      </c>
      <c r="C1096" t="s">
        <v>5043</v>
      </c>
      <c r="D1096" t="s">
        <v>8401</v>
      </c>
    </row>
    <row r="1097" spans="1:4" ht="14.45" x14ac:dyDescent="0.3">
      <c r="A1097">
        <v>10837</v>
      </c>
      <c r="B1097" t="s">
        <v>8727</v>
      </c>
      <c r="C1097" t="s">
        <v>5043</v>
      </c>
      <c r="D1097" t="s">
        <v>8401</v>
      </c>
    </row>
    <row r="1098" spans="1:4" ht="14.45" x14ac:dyDescent="0.3">
      <c r="A1098">
        <v>11011</v>
      </c>
      <c r="B1098" t="s">
        <v>8727</v>
      </c>
      <c r="C1098" t="s">
        <v>5043</v>
      </c>
      <c r="D1098" t="s">
        <v>8401</v>
      </c>
    </row>
    <row r="1099" spans="1:4" ht="14.45" x14ac:dyDescent="0.3">
      <c r="A1099">
        <v>6636</v>
      </c>
      <c r="B1099" t="s">
        <v>8727</v>
      </c>
      <c r="C1099" t="s">
        <v>5043</v>
      </c>
      <c r="D1099" t="s">
        <v>8401</v>
      </c>
    </row>
    <row r="1100" spans="1:4" ht="14.45" x14ac:dyDescent="0.3">
      <c r="A1100">
        <v>6972</v>
      </c>
      <c r="B1100" t="s">
        <v>8727</v>
      </c>
      <c r="C1100" t="s">
        <v>5043</v>
      </c>
      <c r="D1100" t="s">
        <v>8401</v>
      </c>
    </row>
    <row r="1101" spans="1:4" ht="14.45" x14ac:dyDescent="0.3">
      <c r="A1101">
        <v>7052</v>
      </c>
      <c r="B1101" t="s">
        <v>8727</v>
      </c>
      <c r="C1101" t="s">
        <v>5043</v>
      </c>
      <c r="D1101" t="s">
        <v>8401</v>
      </c>
    </row>
    <row r="1102" spans="1:4" ht="14.45" x14ac:dyDescent="0.3">
      <c r="A1102">
        <v>7287</v>
      </c>
      <c r="B1102" t="s">
        <v>8727</v>
      </c>
      <c r="C1102" t="s">
        <v>5043</v>
      </c>
      <c r="D1102" t="s">
        <v>8401</v>
      </c>
    </row>
    <row r="1103" spans="1:4" ht="14.45" x14ac:dyDescent="0.3">
      <c r="A1103">
        <v>7464</v>
      </c>
      <c r="B1103" t="s">
        <v>8727</v>
      </c>
      <c r="C1103" t="s">
        <v>5043</v>
      </c>
      <c r="D1103" t="s">
        <v>8401</v>
      </c>
    </row>
    <row r="1104" spans="1:4" ht="14.45" x14ac:dyDescent="0.3">
      <c r="A1104">
        <v>7926</v>
      </c>
      <c r="B1104" t="s">
        <v>8727</v>
      </c>
      <c r="C1104" t="s">
        <v>5043</v>
      </c>
      <c r="D1104" t="s">
        <v>8401</v>
      </c>
    </row>
    <row r="1105" spans="1:4" ht="14.45" x14ac:dyDescent="0.3">
      <c r="A1105">
        <v>8004</v>
      </c>
      <c r="B1105" t="s">
        <v>8727</v>
      </c>
      <c r="C1105" t="s">
        <v>5043</v>
      </c>
      <c r="D1105" t="s">
        <v>8401</v>
      </c>
    </row>
    <row r="1106" spans="1:4" ht="14.45" x14ac:dyDescent="0.3">
      <c r="A1106">
        <v>8711</v>
      </c>
      <c r="B1106" t="s">
        <v>8727</v>
      </c>
      <c r="C1106" t="s">
        <v>5043</v>
      </c>
      <c r="D1106" t="s">
        <v>8401</v>
      </c>
    </row>
    <row r="1107" spans="1:4" ht="14.45" x14ac:dyDescent="0.3">
      <c r="A1107">
        <v>9323</v>
      </c>
      <c r="B1107" t="s">
        <v>8727</v>
      </c>
      <c r="C1107" t="s">
        <v>5043</v>
      </c>
      <c r="D1107" t="s">
        <v>8401</v>
      </c>
    </row>
    <row r="1108" spans="1:4" ht="14.45" x14ac:dyDescent="0.3">
      <c r="A1108">
        <v>10805</v>
      </c>
      <c r="B1108" t="s">
        <v>8728</v>
      </c>
      <c r="C1108" t="s">
        <v>5043</v>
      </c>
      <c r="D1108" t="s">
        <v>8401</v>
      </c>
    </row>
    <row r="1109" spans="1:4" ht="14.45" x14ac:dyDescent="0.3">
      <c r="A1109">
        <v>6813</v>
      </c>
      <c r="B1109" t="s">
        <v>8728</v>
      </c>
      <c r="C1109" t="s">
        <v>5043</v>
      </c>
      <c r="D1109" t="s">
        <v>8401</v>
      </c>
    </row>
    <row r="1110" spans="1:4" ht="14.45" x14ac:dyDescent="0.3">
      <c r="A1110">
        <v>6581</v>
      </c>
      <c r="B1110" t="s">
        <v>8729</v>
      </c>
      <c r="C1110" t="s">
        <v>5043</v>
      </c>
      <c r="D1110" t="s">
        <v>8401</v>
      </c>
    </row>
    <row r="1111" spans="1:4" ht="14.45" x14ac:dyDescent="0.3">
      <c r="A1111">
        <v>10416</v>
      </c>
      <c r="B1111" t="s">
        <v>8730</v>
      </c>
      <c r="C1111" t="s">
        <v>5043</v>
      </c>
      <c r="D1111" t="s">
        <v>8401</v>
      </c>
    </row>
    <row r="1112" spans="1:4" ht="14.45" x14ac:dyDescent="0.3">
      <c r="A1112">
        <v>10816</v>
      </c>
      <c r="B1112" t="s">
        <v>8730</v>
      </c>
      <c r="C1112" t="s">
        <v>5043</v>
      </c>
      <c r="D1112" t="s">
        <v>8401</v>
      </c>
    </row>
    <row r="1113" spans="1:4" ht="14.45" x14ac:dyDescent="0.3">
      <c r="A1113">
        <v>10839</v>
      </c>
      <c r="B1113" t="s">
        <v>8730</v>
      </c>
      <c r="C1113" t="s">
        <v>5043</v>
      </c>
      <c r="D1113" t="s">
        <v>8401</v>
      </c>
    </row>
    <row r="1114" spans="1:4" ht="14.45" x14ac:dyDescent="0.3">
      <c r="A1114">
        <v>6436</v>
      </c>
      <c r="B1114" t="s">
        <v>8730</v>
      </c>
      <c r="C1114" t="s">
        <v>5043</v>
      </c>
      <c r="D1114" t="s">
        <v>8401</v>
      </c>
    </row>
    <row r="1115" spans="1:4" ht="14.45" x14ac:dyDescent="0.3">
      <c r="A1115">
        <v>7294</v>
      </c>
      <c r="B1115" t="s">
        <v>8730</v>
      </c>
      <c r="C1115" t="s">
        <v>5043</v>
      </c>
      <c r="D1115" t="s">
        <v>8401</v>
      </c>
    </row>
    <row r="1116" spans="1:4" ht="14.45" x14ac:dyDescent="0.3">
      <c r="A1116">
        <v>9138</v>
      </c>
      <c r="B1116" t="s">
        <v>8730</v>
      </c>
      <c r="C1116" t="s">
        <v>5043</v>
      </c>
      <c r="D1116" t="s">
        <v>8401</v>
      </c>
    </row>
    <row r="1117" spans="1:4" ht="14.45" x14ac:dyDescent="0.3">
      <c r="A1117">
        <v>9354</v>
      </c>
      <c r="B1117" t="s">
        <v>8730</v>
      </c>
      <c r="C1117" t="s">
        <v>5043</v>
      </c>
      <c r="D1117" t="s">
        <v>8401</v>
      </c>
    </row>
    <row r="1118" spans="1:4" ht="14.45" x14ac:dyDescent="0.3">
      <c r="A1118">
        <v>9807</v>
      </c>
      <c r="B1118" t="s">
        <v>8730</v>
      </c>
      <c r="C1118" t="s">
        <v>5043</v>
      </c>
      <c r="D1118" t="s">
        <v>8401</v>
      </c>
    </row>
    <row r="1119" spans="1:4" ht="14.45" x14ac:dyDescent="0.3">
      <c r="A1119">
        <v>8216</v>
      </c>
      <c r="B1119" t="s">
        <v>8731</v>
      </c>
      <c r="C1119" t="s">
        <v>5043</v>
      </c>
      <c r="D1119" t="s">
        <v>8401</v>
      </c>
    </row>
    <row r="1120" spans="1:4" ht="14.45" x14ac:dyDescent="0.3">
      <c r="A1120">
        <v>8649</v>
      </c>
      <c r="B1120" t="s">
        <v>8731</v>
      </c>
      <c r="C1120" t="s">
        <v>5043</v>
      </c>
      <c r="D1120" t="s">
        <v>8401</v>
      </c>
    </row>
    <row r="1121" spans="1:4" ht="14.45" x14ac:dyDescent="0.3">
      <c r="A1121">
        <v>7138</v>
      </c>
      <c r="B1121" t="s">
        <v>10173</v>
      </c>
      <c r="C1121" t="s">
        <v>5043</v>
      </c>
      <c r="D1121" t="s">
        <v>8401</v>
      </c>
    </row>
    <row r="1122" spans="1:4" ht="14.45" x14ac:dyDescent="0.3">
      <c r="A1122">
        <v>9120</v>
      </c>
      <c r="B1122" t="s">
        <v>10173</v>
      </c>
      <c r="C1122" t="s">
        <v>5043</v>
      </c>
      <c r="D1122" t="s">
        <v>8401</v>
      </c>
    </row>
    <row r="1123" spans="1:4" ht="14.45" x14ac:dyDescent="0.3">
      <c r="A1123">
        <v>7241</v>
      </c>
      <c r="B1123" t="s">
        <v>10174</v>
      </c>
      <c r="C1123" t="s">
        <v>5043</v>
      </c>
      <c r="D1123" t="s">
        <v>8401</v>
      </c>
    </row>
    <row r="1124" spans="1:4" ht="14.45" x14ac:dyDescent="0.3">
      <c r="A1124">
        <v>8983</v>
      </c>
      <c r="B1124" t="s">
        <v>10174</v>
      </c>
      <c r="C1124" t="s">
        <v>5043</v>
      </c>
      <c r="D1124" t="s">
        <v>8401</v>
      </c>
    </row>
    <row r="1125" spans="1:4" ht="14.45" x14ac:dyDescent="0.3">
      <c r="A1125">
        <v>7042</v>
      </c>
      <c r="B1125" t="s">
        <v>10175</v>
      </c>
      <c r="C1125" t="s">
        <v>5043</v>
      </c>
      <c r="D1125" t="s">
        <v>8401</v>
      </c>
    </row>
    <row r="1126" spans="1:4" ht="14.45" x14ac:dyDescent="0.3">
      <c r="A1126">
        <v>9203</v>
      </c>
      <c r="B1126" t="s">
        <v>10175</v>
      </c>
      <c r="C1126" t="s">
        <v>5043</v>
      </c>
      <c r="D1126" t="s">
        <v>8401</v>
      </c>
    </row>
    <row r="1127" spans="1:4" ht="14.45" x14ac:dyDescent="0.3">
      <c r="A1127">
        <v>11498</v>
      </c>
      <c r="B1127" t="s">
        <v>10176</v>
      </c>
      <c r="C1127" t="s">
        <v>5043</v>
      </c>
      <c r="D1127" t="s">
        <v>8401</v>
      </c>
    </row>
    <row r="1128" spans="1:4" ht="14.45" x14ac:dyDescent="0.3">
      <c r="A1128">
        <v>9421</v>
      </c>
      <c r="B1128" t="s">
        <v>10176</v>
      </c>
      <c r="C1128" t="s">
        <v>5043</v>
      </c>
      <c r="D1128" t="s">
        <v>8401</v>
      </c>
    </row>
    <row r="1129" spans="1:4" ht="14.45" x14ac:dyDescent="0.3">
      <c r="A1129">
        <v>11631</v>
      </c>
      <c r="B1129" t="s">
        <v>10177</v>
      </c>
      <c r="C1129" t="s">
        <v>5043</v>
      </c>
      <c r="D1129" t="s">
        <v>8401</v>
      </c>
    </row>
    <row r="1130" spans="1:4" ht="14.45" x14ac:dyDescent="0.3">
      <c r="A1130">
        <v>8029</v>
      </c>
      <c r="B1130" t="s">
        <v>10177</v>
      </c>
      <c r="C1130" t="s">
        <v>5043</v>
      </c>
      <c r="D1130" t="s">
        <v>8401</v>
      </c>
    </row>
    <row r="1131" spans="1:4" ht="14.45" x14ac:dyDescent="0.3">
      <c r="A1131">
        <v>8673</v>
      </c>
      <c r="B1131" t="s">
        <v>10177</v>
      </c>
      <c r="C1131" t="s">
        <v>5043</v>
      </c>
      <c r="D1131" t="s">
        <v>8401</v>
      </c>
    </row>
    <row r="1132" spans="1:4" ht="14.45" x14ac:dyDescent="0.3">
      <c r="A1132">
        <v>9357</v>
      </c>
      <c r="B1132" t="s">
        <v>10177</v>
      </c>
      <c r="C1132" t="s">
        <v>5043</v>
      </c>
      <c r="D1132" t="s">
        <v>8401</v>
      </c>
    </row>
    <row r="1133" spans="1:4" ht="14.45" x14ac:dyDescent="0.3">
      <c r="A1133">
        <v>9946</v>
      </c>
      <c r="B1133" t="s">
        <v>10177</v>
      </c>
      <c r="C1133" t="s">
        <v>5043</v>
      </c>
      <c r="D1133" t="s">
        <v>8401</v>
      </c>
    </row>
    <row r="1134" spans="1:4" ht="14.45" x14ac:dyDescent="0.3">
      <c r="A1134">
        <v>10231</v>
      </c>
      <c r="B1134" t="s">
        <v>8732</v>
      </c>
      <c r="C1134" t="s">
        <v>5043</v>
      </c>
      <c r="D1134" t="s">
        <v>8401</v>
      </c>
    </row>
    <row r="1135" spans="1:4" ht="14.45" x14ac:dyDescent="0.3">
      <c r="A1135">
        <v>10160</v>
      </c>
      <c r="B1135" t="s">
        <v>10178</v>
      </c>
      <c r="C1135" t="s">
        <v>5043</v>
      </c>
      <c r="D1135" t="s">
        <v>8401</v>
      </c>
    </row>
    <row r="1136" spans="1:4" ht="14.45" x14ac:dyDescent="0.3">
      <c r="A1136">
        <v>11333</v>
      </c>
      <c r="B1136" t="s">
        <v>10178</v>
      </c>
      <c r="C1136" t="s">
        <v>5043</v>
      </c>
      <c r="D1136" t="s">
        <v>8401</v>
      </c>
    </row>
    <row r="1137" spans="1:4" ht="14.45" x14ac:dyDescent="0.3">
      <c r="A1137">
        <v>7531</v>
      </c>
      <c r="B1137" t="s">
        <v>10179</v>
      </c>
      <c r="C1137" t="s">
        <v>5043</v>
      </c>
      <c r="D1137" t="s">
        <v>8401</v>
      </c>
    </row>
    <row r="1138" spans="1:4" ht="14.45" x14ac:dyDescent="0.3">
      <c r="A1138">
        <v>10024</v>
      </c>
      <c r="B1138" t="s">
        <v>8733</v>
      </c>
      <c r="C1138" t="s">
        <v>5043</v>
      </c>
      <c r="D1138" t="s">
        <v>8401</v>
      </c>
    </row>
    <row r="1139" spans="1:4" ht="14.45" x14ac:dyDescent="0.3">
      <c r="A1139">
        <v>10033</v>
      </c>
      <c r="B1139" t="s">
        <v>8733</v>
      </c>
      <c r="C1139" t="s">
        <v>5043</v>
      </c>
      <c r="D1139" t="s">
        <v>8401</v>
      </c>
    </row>
    <row r="1140" spans="1:4" ht="14.45" x14ac:dyDescent="0.3">
      <c r="A1140">
        <v>10369</v>
      </c>
      <c r="B1140" t="s">
        <v>8733</v>
      </c>
      <c r="C1140" t="s">
        <v>5043</v>
      </c>
      <c r="D1140" t="s">
        <v>8401</v>
      </c>
    </row>
    <row r="1141" spans="1:4" ht="14.45" x14ac:dyDescent="0.3">
      <c r="A1141">
        <v>11283</v>
      </c>
      <c r="B1141" t="s">
        <v>8733</v>
      </c>
      <c r="C1141" t="s">
        <v>5043</v>
      </c>
      <c r="D1141" t="s">
        <v>8401</v>
      </c>
    </row>
    <row r="1142" spans="1:4" ht="14.45" x14ac:dyDescent="0.3">
      <c r="A1142">
        <v>8758</v>
      </c>
      <c r="B1142" t="s">
        <v>8733</v>
      </c>
      <c r="C1142" t="s">
        <v>5043</v>
      </c>
      <c r="D1142" t="s">
        <v>8401</v>
      </c>
    </row>
    <row r="1143" spans="1:4" ht="14.45" x14ac:dyDescent="0.3">
      <c r="A1143">
        <v>10002</v>
      </c>
      <c r="B1143" t="s">
        <v>10180</v>
      </c>
      <c r="C1143" t="s">
        <v>5043</v>
      </c>
      <c r="D1143" t="s">
        <v>8401</v>
      </c>
    </row>
    <row r="1144" spans="1:4" ht="14.45" x14ac:dyDescent="0.3">
      <c r="A1144">
        <v>7990</v>
      </c>
      <c r="B1144" t="s">
        <v>8734</v>
      </c>
      <c r="C1144" t="s">
        <v>5043</v>
      </c>
      <c r="D1144" t="s">
        <v>8401</v>
      </c>
    </row>
    <row r="1145" spans="1:4" ht="14.45" x14ac:dyDescent="0.3">
      <c r="A1145">
        <v>7342</v>
      </c>
      <c r="B1145" t="s">
        <v>8735</v>
      </c>
      <c r="C1145" t="s">
        <v>5043</v>
      </c>
      <c r="D1145" t="s">
        <v>8401</v>
      </c>
    </row>
    <row r="1146" spans="1:4" ht="14.45" x14ac:dyDescent="0.3">
      <c r="A1146">
        <v>11679</v>
      </c>
      <c r="B1146" t="s">
        <v>8736</v>
      </c>
      <c r="C1146" t="s">
        <v>5043</v>
      </c>
      <c r="D1146" t="s">
        <v>8401</v>
      </c>
    </row>
    <row r="1147" spans="1:4" ht="14.45" x14ac:dyDescent="0.3">
      <c r="A1147">
        <v>6520</v>
      </c>
      <c r="B1147" t="s">
        <v>10181</v>
      </c>
      <c r="C1147" t="s">
        <v>5043</v>
      </c>
      <c r="D1147" t="s">
        <v>8401</v>
      </c>
    </row>
    <row r="1148" spans="1:4" ht="14.45" x14ac:dyDescent="0.3">
      <c r="A1148">
        <v>7999</v>
      </c>
      <c r="B1148" t="s">
        <v>10182</v>
      </c>
      <c r="C1148" t="s">
        <v>5043</v>
      </c>
      <c r="D1148" t="s">
        <v>8401</v>
      </c>
    </row>
    <row r="1149" spans="1:4" ht="14.45" x14ac:dyDescent="0.3">
      <c r="A1149">
        <v>10343</v>
      </c>
      <c r="B1149" t="s">
        <v>8737</v>
      </c>
      <c r="C1149" t="s">
        <v>5043</v>
      </c>
      <c r="D1149" t="s">
        <v>8401</v>
      </c>
    </row>
    <row r="1150" spans="1:4" ht="14.45" x14ac:dyDescent="0.3">
      <c r="A1150">
        <v>11219</v>
      </c>
      <c r="B1150" t="s">
        <v>8737</v>
      </c>
      <c r="C1150" t="s">
        <v>5043</v>
      </c>
      <c r="D1150" t="s">
        <v>8401</v>
      </c>
    </row>
    <row r="1151" spans="1:4" ht="14.45" x14ac:dyDescent="0.3">
      <c r="A1151">
        <v>9973</v>
      </c>
      <c r="B1151" t="s">
        <v>8737</v>
      </c>
      <c r="C1151" t="s">
        <v>5043</v>
      </c>
      <c r="D1151" t="s">
        <v>8401</v>
      </c>
    </row>
    <row r="1152" spans="1:4" ht="14.45" x14ac:dyDescent="0.3">
      <c r="A1152">
        <v>8209</v>
      </c>
      <c r="B1152" t="s">
        <v>10183</v>
      </c>
      <c r="C1152" t="s">
        <v>5043</v>
      </c>
      <c r="D1152" t="s">
        <v>8401</v>
      </c>
    </row>
    <row r="1153" spans="1:4" ht="14.45" x14ac:dyDescent="0.3">
      <c r="A1153">
        <v>8446</v>
      </c>
      <c r="B1153" t="s">
        <v>10183</v>
      </c>
      <c r="C1153" t="s">
        <v>5043</v>
      </c>
      <c r="D1153" t="s">
        <v>8401</v>
      </c>
    </row>
    <row r="1154" spans="1:4" ht="14.45" x14ac:dyDescent="0.3">
      <c r="A1154">
        <v>8800</v>
      </c>
      <c r="B1154" t="s">
        <v>10183</v>
      </c>
      <c r="C1154" t="s">
        <v>5043</v>
      </c>
      <c r="D1154" t="s">
        <v>8401</v>
      </c>
    </row>
    <row r="1155" spans="1:4" ht="14.45" x14ac:dyDescent="0.3">
      <c r="A1155">
        <v>9732</v>
      </c>
      <c r="B1155" t="s">
        <v>10183</v>
      </c>
      <c r="C1155" t="s">
        <v>5043</v>
      </c>
      <c r="D1155" t="s">
        <v>8401</v>
      </c>
    </row>
    <row r="1156" spans="1:4" ht="14.45" x14ac:dyDescent="0.3">
      <c r="A1156">
        <v>10396</v>
      </c>
      <c r="B1156" t="s">
        <v>10184</v>
      </c>
      <c r="C1156" t="s">
        <v>5043</v>
      </c>
      <c r="D1156" t="s">
        <v>8401</v>
      </c>
    </row>
    <row r="1157" spans="1:4" ht="14.45" x14ac:dyDescent="0.3">
      <c r="A1157">
        <v>7700</v>
      </c>
      <c r="B1157" t="s">
        <v>10184</v>
      </c>
      <c r="C1157" t="s">
        <v>5043</v>
      </c>
      <c r="D1157" t="s">
        <v>8401</v>
      </c>
    </row>
    <row r="1158" spans="1:4" ht="14.45" x14ac:dyDescent="0.3">
      <c r="A1158">
        <v>8385</v>
      </c>
      <c r="B1158" t="s">
        <v>10184</v>
      </c>
      <c r="C1158" t="s">
        <v>5043</v>
      </c>
      <c r="D1158" t="s">
        <v>8401</v>
      </c>
    </row>
    <row r="1159" spans="1:4" ht="14.45" x14ac:dyDescent="0.3">
      <c r="A1159">
        <v>6453</v>
      </c>
      <c r="B1159" t="s">
        <v>8738</v>
      </c>
      <c r="C1159" t="s">
        <v>5043</v>
      </c>
      <c r="D1159" t="s">
        <v>8401</v>
      </c>
    </row>
    <row r="1160" spans="1:4" ht="14.45" x14ac:dyDescent="0.3">
      <c r="A1160">
        <v>6803</v>
      </c>
      <c r="B1160" t="s">
        <v>10185</v>
      </c>
      <c r="C1160" t="s">
        <v>5043</v>
      </c>
      <c r="D1160" t="s">
        <v>8401</v>
      </c>
    </row>
    <row r="1161" spans="1:4" ht="14.45" x14ac:dyDescent="0.3">
      <c r="A1161">
        <v>7051</v>
      </c>
      <c r="B1161" t="s">
        <v>10185</v>
      </c>
      <c r="C1161" t="s">
        <v>5043</v>
      </c>
      <c r="D1161" t="s">
        <v>8401</v>
      </c>
    </row>
    <row r="1162" spans="1:4" ht="14.45" x14ac:dyDescent="0.3">
      <c r="A1162">
        <v>7421</v>
      </c>
      <c r="B1162" t="s">
        <v>10185</v>
      </c>
      <c r="C1162" t="s">
        <v>5043</v>
      </c>
      <c r="D1162" t="s">
        <v>8401</v>
      </c>
    </row>
    <row r="1163" spans="1:4" ht="14.45" x14ac:dyDescent="0.3">
      <c r="A1163">
        <v>8959</v>
      </c>
      <c r="B1163" t="s">
        <v>10186</v>
      </c>
      <c r="C1163" t="s">
        <v>5043</v>
      </c>
      <c r="D1163" t="s">
        <v>8401</v>
      </c>
    </row>
    <row r="1164" spans="1:4" ht="14.45" x14ac:dyDescent="0.3">
      <c r="A1164">
        <v>10564</v>
      </c>
      <c r="B1164" t="s">
        <v>10187</v>
      </c>
      <c r="C1164" t="s">
        <v>5043</v>
      </c>
      <c r="D1164" t="s">
        <v>8401</v>
      </c>
    </row>
    <row r="1165" spans="1:4" ht="14.45" x14ac:dyDescent="0.3">
      <c r="A1165">
        <v>9619</v>
      </c>
      <c r="B1165" t="s">
        <v>10187</v>
      </c>
      <c r="C1165" t="s">
        <v>5043</v>
      </c>
      <c r="D1165" t="s">
        <v>8401</v>
      </c>
    </row>
    <row r="1166" spans="1:4" ht="14.45" x14ac:dyDescent="0.3">
      <c r="A1166">
        <v>10700</v>
      </c>
      <c r="B1166" t="s">
        <v>10188</v>
      </c>
      <c r="C1166" t="s">
        <v>5043</v>
      </c>
      <c r="D1166" t="s">
        <v>8401</v>
      </c>
    </row>
    <row r="1167" spans="1:4" ht="14.45" x14ac:dyDescent="0.3">
      <c r="A1167">
        <v>9126</v>
      </c>
      <c r="B1167" t="s">
        <v>10189</v>
      </c>
      <c r="C1167" t="s">
        <v>5043</v>
      </c>
      <c r="D1167" t="s">
        <v>8401</v>
      </c>
    </row>
    <row r="1168" spans="1:4" ht="14.45" x14ac:dyDescent="0.3">
      <c r="A1168">
        <v>8554</v>
      </c>
      <c r="B1168" t="s">
        <v>10190</v>
      </c>
      <c r="C1168" t="s">
        <v>5043</v>
      </c>
      <c r="D1168" t="s">
        <v>8401</v>
      </c>
    </row>
    <row r="1169" spans="1:4" ht="14.45" x14ac:dyDescent="0.3">
      <c r="A1169">
        <v>7083</v>
      </c>
      <c r="B1169" t="s">
        <v>10191</v>
      </c>
      <c r="C1169" t="s">
        <v>5043</v>
      </c>
      <c r="D1169" t="s">
        <v>8401</v>
      </c>
    </row>
    <row r="1170" spans="1:4" ht="14.45" x14ac:dyDescent="0.3">
      <c r="A1170">
        <v>8466</v>
      </c>
      <c r="B1170" t="s">
        <v>10192</v>
      </c>
      <c r="C1170" t="s">
        <v>5043</v>
      </c>
      <c r="D1170" t="s">
        <v>8401</v>
      </c>
    </row>
    <row r="1171" spans="1:4" ht="14.45" x14ac:dyDescent="0.3">
      <c r="A1171">
        <v>10674</v>
      </c>
      <c r="B1171" t="s">
        <v>8739</v>
      </c>
      <c r="C1171" t="s">
        <v>5043</v>
      </c>
      <c r="D1171" t="s">
        <v>8401</v>
      </c>
    </row>
    <row r="1172" spans="1:4" ht="14.45" x14ac:dyDescent="0.3">
      <c r="A1172">
        <v>6402</v>
      </c>
      <c r="B1172" t="s">
        <v>8739</v>
      </c>
      <c r="C1172" t="s">
        <v>5043</v>
      </c>
      <c r="D1172" t="s">
        <v>8401</v>
      </c>
    </row>
    <row r="1173" spans="1:4" ht="14.45" x14ac:dyDescent="0.3">
      <c r="A1173">
        <v>6440</v>
      </c>
      <c r="B1173" t="s">
        <v>8739</v>
      </c>
      <c r="C1173" t="s">
        <v>5043</v>
      </c>
      <c r="D1173" t="s">
        <v>8401</v>
      </c>
    </row>
    <row r="1174" spans="1:4" ht="14.45" x14ac:dyDescent="0.3">
      <c r="A1174">
        <v>6599</v>
      </c>
      <c r="B1174" t="s">
        <v>8740</v>
      </c>
      <c r="C1174" t="s">
        <v>5043</v>
      </c>
      <c r="D1174" t="s">
        <v>8401</v>
      </c>
    </row>
    <row r="1175" spans="1:4" ht="14.45" x14ac:dyDescent="0.3">
      <c r="A1175">
        <v>10192</v>
      </c>
      <c r="B1175" t="s">
        <v>8741</v>
      </c>
      <c r="C1175" t="s">
        <v>5043</v>
      </c>
      <c r="D1175" t="s">
        <v>8401</v>
      </c>
    </row>
    <row r="1176" spans="1:4" ht="14.45" x14ac:dyDescent="0.3">
      <c r="A1176">
        <v>6554</v>
      </c>
      <c r="B1176" t="s">
        <v>8741</v>
      </c>
      <c r="C1176" t="s">
        <v>5043</v>
      </c>
      <c r="D1176" t="s">
        <v>8401</v>
      </c>
    </row>
    <row r="1177" spans="1:4" ht="14.45" x14ac:dyDescent="0.3">
      <c r="A1177">
        <v>10151</v>
      </c>
      <c r="B1177" t="s">
        <v>8742</v>
      </c>
      <c r="C1177" t="s">
        <v>5043</v>
      </c>
      <c r="D1177" t="s">
        <v>8401</v>
      </c>
    </row>
    <row r="1178" spans="1:4" ht="14.45" x14ac:dyDescent="0.3">
      <c r="A1178">
        <v>10280</v>
      </c>
      <c r="B1178" t="s">
        <v>8742</v>
      </c>
      <c r="C1178" t="s">
        <v>5043</v>
      </c>
      <c r="D1178" t="s">
        <v>8401</v>
      </c>
    </row>
    <row r="1179" spans="1:4" ht="14.45" x14ac:dyDescent="0.3">
      <c r="A1179">
        <v>10353</v>
      </c>
      <c r="B1179" t="s">
        <v>8742</v>
      </c>
      <c r="C1179" t="s">
        <v>5043</v>
      </c>
      <c r="D1179" t="s">
        <v>8401</v>
      </c>
    </row>
    <row r="1180" spans="1:4" ht="14.45" x14ac:dyDescent="0.3">
      <c r="A1180">
        <v>10632</v>
      </c>
      <c r="B1180" t="s">
        <v>8742</v>
      </c>
      <c r="C1180" t="s">
        <v>5043</v>
      </c>
      <c r="D1180" t="s">
        <v>8401</v>
      </c>
    </row>
    <row r="1181" spans="1:4" ht="14.45" x14ac:dyDescent="0.3">
      <c r="A1181">
        <v>10813</v>
      </c>
      <c r="B1181" t="s">
        <v>8742</v>
      </c>
      <c r="C1181" t="s">
        <v>5043</v>
      </c>
      <c r="D1181" t="s">
        <v>8401</v>
      </c>
    </row>
    <row r="1182" spans="1:4" ht="14.45" x14ac:dyDescent="0.3">
      <c r="A1182">
        <v>11217</v>
      </c>
      <c r="B1182" t="s">
        <v>8742</v>
      </c>
      <c r="C1182" t="s">
        <v>5043</v>
      </c>
      <c r="D1182" t="s">
        <v>8401</v>
      </c>
    </row>
    <row r="1183" spans="1:4" ht="14.45" x14ac:dyDescent="0.3">
      <c r="A1183">
        <v>11290</v>
      </c>
      <c r="B1183" t="s">
        <v>8742</v>
      </c>
      <c r="C1183" t="s">
        <v>5043</v>
      </c>
      <c r="D1183" t="s">
        <v>8401</v>
      </c>
    </row>
    <row r="1184" spans="1:4" ht="14.45" x14ac:dyDescent="0.3">
      <c r="A1184">
        <v>6511</v>
      </c>
      <c r="B1184" t="s">
        <v>8742</v>
      </c>
      <c r="C1184" t="s">
        <v>5043</v>
      </c>
      <c r="D1184" t="s">
        <v>8401</v>
      </c>
    </row>
    <row r="1185" spans="1:4" ht="14.45" x14ac:dyDescent="0.3">
      <c r="A1185">
        <v>6954</v>
      </c>
      <c r="B1185" t="s">
        <v>8742</v>
      </c>
      <c r="C1185" t="s">
        <v>5043</v>
      </c>
      <c r="D1185" t="s">
        <v>8401</v>
      </c>
    </row>
    <row r="1186" spans="1:4" ht="14.45" x14ac:dyDescent="0.3">
      <c r="A1186">
        <v>6960</v>
      </c>
      <c r="B1186" t="s">
        <v>8742</v>
      </c>
      <c r="C1186" t="s">
        <v>5043</v>
      </c>
      <c r="D1186" t="s">
        <v>8401</v>
      </c>
    </row>
    <row r="1187" spans="1:4" ht="14.45" x14ac:dyDescent="0.3">
      <c r="A1187">
        <v>7126</v>
      </c>
      <c r="B1187" t="s">
        <v>8742</v>
      </c>
      <c r="C1187" t="s">
        <v>5043</v>
      </c>
      <c r="D1187" t="s">
        <v>8401</v>
      </c>
    </row>
    <row r="1188" spans="1:4" ht="14.45" x14ac:dyDescent="0.3">
      <c r="A1188">
        <v>7216</v>
      </c>
      <c r="B1188" t="s">
        <v>8742</v>
      </c>
      <c r="C1188" t="s">
        <v>5043</v>
      </c>
      <c r="D1188" t="s">
        <v>8401</v>
      </c>
    </row>
    <row r="1189" spans="1:4" ht="14.45" x14ac:dyDescent="0.3">
      <c r="A1189">
        <v>7543</v>
      </c>
      <c r="B1189" t="s">
        <v>8742</v>
      </c>
      <c r="C1189" t="s">
        <v>5043</v>
      </c>
      <c r="D1189" t="s">
        <v>8401</v>
      </c>
    </row>
    <row r="1190" spans="1:4" ht="14.45" x14ac:dyDescent="0.3">
      <c r="A1190">
        <v>7590</v>
      </c>
      <c r="B1190" t="s">
        <v>8742</v>
      </c>
      <c r="C1190" t="s">
        <v>5043</v>
      </c>
      <c r="D1190" t="s">
        <v>8401</v>
      </c>
    </row>
    <row r="1191" spans="1:4" ht="14.45" x14ac:dyDescent="0.3">
      <c r="A1191">
        <v>7634</v>
      </c>
      <c r="B1191" t="s">
        <v>8742</v>
      </c>
      <c r="C1191" t="s">
        <v>5043</v>
      </c>
      <c r="D1191" t="s">
        <v>8401</v>
      </c>
    </row>
    <row r="1192" spans="1:4" ht="14.45" x14ac:dyDescent="0.3">
      <c r="A1192">
        <v>7880</v>
      </c>
      <c r="B1192" t="s">
        <v>8742</v>
      </c>
      <c r="C1192" t="s">
        <v>5043</v>
      </c>
      <c r="D1192" t="s">
        <v>8401</v>
      </c>
    </row>
    <row r="1193" spans="1:4" ht="14.45" x14ac:dyDescent="0.3">
      <c r="A1193">
        <v>7992</v>
      </c>
      <c r="B1193" t="s">
        <v>8742</v>
      </c>
      <c r="C1193" t="s">
        <v>5043</v>
      </c>
      <c r="D1193" t="s">
        <v>8401</v>
      </c>
    </row>
    <row r="1194" spans="1:4" ht="14.45" x14ac:dyDescent="0.3">
      <c r="A1194">
        <v>8132</v>
      </c>
      <c r="B1194" t="s">
        <v>8742</v>
      </c>
      <c r="C1194" t="s">
        <v>5043</v>
      </c>
      <c r="D1194" t="s">
        <v>8401</v>
      </c>
    </row>
    <row r="1195" spans="1:4" ht="14.45" x14ac:dyDescent="0.3">
      <c r="A1195">
        <v>8211</v>
      </c>
      <c r="B1195" t="s">
        <v>8742</v>
      </c>
      <c r="C1195" t="s">
        <v>5043</v>
      </c>
      <c r="D1195" t="s">
        <v>8401</v>
      </c>
    </row>
    <row r="1196" spans="1:4" ht="14.45" x14ac:dyDescent="0.3">
      <c r="A1196">
        <v>8424</v>
      </c>
      <c r="B1196" t="s">
        <v>8742</v>
      </c>
      <c r="C1196" t="s">
        <v>5043</v>
      </c>
      <c r="D1196" t="s">
        <v>8401</v>
      </c>
    </row>
    <row r="1197" spans="1:4" ht="14.45" x14ac:dyDescent="0.3">
      <c r="A1197">
        <v>8749</v>
      </c>
      <c r="B1197" t="s">
        <v>8742</v>
      </c>
      <c r="C1197" t="s">
        <v>5043</v>
      </c>
      <c r="D1197" t="s">
        <v>8401</v>
      </c>
    </row>
    <row r="1198" spans="1:4" ht="14.45" x14ac:dyDescent="0.3">
      <c r="A1198">
        <v>8986</v>
      </c>
      <c r="B1198" t="s">
        <v>8742</v>
      </c>
      <c r="C1198" t="s">
        <v>5043</v>
      </c>
      <c r="D1198" t="s">
        <v>8401</v>
      </c>
    </row>
    <row r="1199" spans="1:4" ht="14.45" x14ac:dyDescent="0.3">
      <c r="A1199">
        <v>9169</v>
      </c>
      <c r="B1199" t="s">
        <v>8742</v>
      </c>
      <c r="C1199" t="s">
        <v>5043</v>
      </c>
      <c r="D1199" t="s">
        <v>8401</v>
      </c>
    </row>
    <row r="1200" spans="1:4" ht="14.45" x14ac:dyDescent="0.3">
      <c r="A1200">
        <v>9241</v>
      </c>
      <c r="B1200" t="s">
        <v>8742</v>
      </c>
      <c r="C1200" t="s">
        <v>5043</v>
      </c>
      <c r="D1200" t="s">
        <v>8401</v>
      </c>
    </row>
    <row r="1201" spans="1:4" ht="14.45" x14ac:dyDescent="0.3">
      <c r="A1201">
        <v>9518</v>
      </c>
      <c r="B1201" t="s">
        <v>8742</v>
      </c>
      <c r="C1201" t="s">
        <v>5043</v>
      </c>
      <c r="D1201" t="s">
        <v>8401</v>
      </c>
    </row>
    <row r="1202" spans="1:4" ht="14.45" x14ac:dyDescent="0.3">
      <c r="A1202">
        <v>9524</v>
      </c>
      <c r="B1202" t="s">
        <v>8742</v>
      </c>
      <c r="C1202" t="s">
        <v>5043</v>
      </c>
      <c r="D1202" t="s">
        <v>8401</v>
      </c>
    </row>
    <row r="1203" spans="1:4" ht="14.45" x14ac:dyDescent="0.3">
      <c r="A1203">
        <v>9741</v>
      </c>
      <c r="B1203" t="s">
        <v>8742</v>
      </c>
      <c r="C1203" t="s">
        <v>5043</v>
      </c>
      <c r="D1203" t="s">
        <v>8401</v>
      </c>
    </row>
    <row r="1204" spans="1:4" ht="14.45" x14ac:dyDescent="0.3">
      <c r="A1204">
        <v>9935</v>
      </c>
      <c r="B1204" t="s">
        <v>8742</v>
      </c>
      <c r="C1204" t="s">
        <v>5043</v>
      </c>
      <c r="D1204" t="s">
        <v>8401</v>
      </c>
    </row>
    <row r="1205" spans="1:4" ht="14.45" x14ac:dyDescent="0.3">
      <c r="A1205">
        <v>11047</v>
      </c>
      <c r="B1205" t="s">
        <v>10193</v>
      </c>
      <c r="C1205" t="s">
        <v>5043</v>
      </c>
      <c r="D1205" t="s">
        <v>8401</v>
      </c>
    </row>
    <row r="1206" spans="1:4" ht="14.45" x14ac:dyDescent="0.3">
      <c r="A1206">
        <v>8099</v>
      </c>
      <c r="B1206" t="s">
        <v>10193</v>
      </c>
      <c r="C1206" t="s">
        <v>5043</v>
      </c>
      <c r="D1206" t="s">
        <v>8401</v>
      </c>
    </row>
    <row r="1207" spans="1:4" ht="14.45" x14ac:dyDescent="0.3">
      <c r="A1207">
        <v>10693</v>
      </c>
      <c r="B1207" t="s">
        <v>10194</v>
      </c>
      <c r="C1207" t="s">
        <v>5043</v>
      </c>
      <c r="D1207" t="s">
        <v>8401</v>
      </c>
    </row>
    <row r="1208" spans="1:4" ht="14.45" x14ac:dyDescent="0.3">
      <c r="A1208">
        <v>11154</v>
      </c>
      <c r="B1208" t="s">
        <v>10194</v>
      </c>
      <c r="C1208" t="s">
        <v>5043</v>
      </c>
      <c r="D1208" t="s">
        <v>8401</v>
      </c>
    </row>
    <row r="1209" spans="1:4" ht="14.45" x14ac:dyDescent="0.3">
      <c r="A1209">
        <v>6767</v>
      </c>
      <c r="B1209" t="s">
        <v>10194</v>
      </c>
      <c r="C1209" t="s">
        <v>5043</v>
      </c>
      <c r="D1209" t="s">
        <v>8401</v>
      </c>
    </row>
    <row r="1210" spans="1:4" ht="14.45" x14ac:dyDescent="0.3">
      <c r="A1210">
        <v>7142</v>
      </c>
      <c r="B1210" t="s">
        <v>10194</v>
      </c>
      <c r="C1210" t="s">
        <v>5043</v>
      </c>
      <c r="D1210" t="s">
        <v>8401</v>
      </c>
    </row>
    <row r="1211" spans="1:4" ht="14.45" x14ac:dyDescent="0.3">
      <c r="A1211">
        <v>9998</v>
      </c>
      <c r="B1211" t="s">
        <v>10194</v>
      </c>
      <c r="C1211" t="s">
        <v>5043</v>
      </c>
      <c r="D1211" t="s">
        <v>8401</v>
      </c>
    </row>
    <row r="1212" spans="1:4" ht="14.45" x14ac:dyDescent="0.3">
      <c r="A1212">
        <v>7740</v>
      </c>
      <c r="B1212" t="s">
        <v>8743</v>
      </c>
      <c r="C1212" t="s">
        <v>5043</v>
      </c>
      <c r="D1212" t="s">
        <v>8401</v>
      </c>
    </row>
    <row r="1213" spans="1:4" ht="14.45" x14ac:dyDescent="0.3">
      <c r="A1213">
        <v>8948</v>
      </c>
      <c r="B1213" t="s">
        <v>8743</v>
      </c>
      <c r="C1213" t="s">
        <v>5043</v>
      </c>
      <c r="D1213" t="s">
        <v>8401</v>
      </c>
    </row>
    <row r="1214" spans="1:4" ht="14.45" x14ac:dyDescent="0.3">
      <c r="A1214">
        <v>7491</v>
      </c>
      <c r="B1214" t="s">
        <v>8744</v>
      </c>
      <c r="C1214" t="s">
        <v>5043</v>
      </c>
      <c r="D1214" t="s">
        <v>8401</v>
      </c>
    </row>
    <row r="1215" spans="1:4" ht="14.45" x14ac:dyDescent="0.3">
      <c r="A1215">
        <v>8527</v>
      </c>
      <c r="B1215" t="s">
        <v>8744</v>
      </c>
      <c r="C1215" t="s">
        <v>5043</v>
      </c>
      <c r="D1215" t="s">
        <v>8401</v>
      </c>
    </row>
    <row r="1216" spans="1:4" ht="14.45" x14ac:dyDescent="0.3">
      <c r="A1216">
        <v>10011</v>
      </c>
      <c r="B1216" t="s">
        <v>10195</v>
      </c>
      <c r="C1216" t="s">
        <v>5043</v>
      </c>
      <c r="D1216" t="s">
        <v>8401</v>
      </c>
    </row>
    <row r="1217" spans="1:4" ht="14.45" x14ac:dyDescent="0.3">
      <c r="A1217">
        <v>10265</v>
      </c>
      <c r="B1217" t="s">
        <v>10195</v>
      </c>
      <c r="C1217" t="s">
        <v>5043</v>
      </c>
      <c r="D1217" t="s">
        <v>8401</v>
      </c>
    </row>
    <row r="1218" spans="1:4" ht="14.45" x14ac:dyDescent="0.3">
      <c r="A1218">
        <v>11496</v>
      </c>
      <c r="B1218" t="s">
        <v>10195</v>
      </c>
      <c r="C1218" t="s">
        <v>5043</v>
      </c>
      <c r="D1218" t="s">
        <v>8401</v>
      </c>
    </row>
    <row r="1219" spans="1:4" ht="14.45" x14ac:dyDescent="0.3">
      <c r="A1219">
        <v>11701</v>
      </c>
      <c r="B1219" t="s">
        <v>10195</v>
      </c>
      <c r="C1219" t="s">
        <v>5043</v>
      </c>
      <c r="D1219" t="s">
        <v>8401</v>
      </c>
    </row>
    <row r="1220" spans="1:4" ht="14.45" x14ac:dyDescent="0.3">
      <c r="A1220">
        <v>6449</v>
      </c>
      <c r="B1220" t="s">
        <v>10195</v>
      </c>
      <c r="C1220" t="s">
        <v>5043</v>
      </c>
      <c r="D1220" t="s">
        <v>8401</v>
      </c>
    </row>
    <row r="1221" spans="1:4" ht="14.45" x14ac:dyDescent="0.3">
      <c r="A1221">
        <v>6648</v>
      </c>
      <c r="B1221" t="s">
        <v>10195</v>
      </c>
      <c r="C1221" t="s">
        <v>5043</v>
      </c>
      <c r="D1221" t="s">
        <v>8401</v>
      </c>
    </row>
    <row r="1222" spans="1:4" ht="14.45" x14ac:dyDescent="0.3">
      <c r="A1222">
        <v>6652</v>
      </c>
      <c r="B1222" t="s">
        <v>10195</v>
      </c>
      <c r="C1222" t="s">
        <v>5043</v>
      </c>
      <c r="D1222" t="s">
        <v>8401</v>
      </c>
    </row>
    <row r="1223" spans="1:4" ht="14.45" x14ac:dyDescent="0.3">
      <c r="A1223">
        <v>6760</v>
      </c>
      <c r="B1223" t="s">
        <v>10195</v>
      </c>
      <c r="C1223" t="s">
        <v>5043</v>
      </c>
      <c r="D1223" t="s">
        <v>8401</v>
      </c>
    </row>
    <row r="1224" spans="1:4" ht="14.45" x14ac:dyDescent="0.3">
      <c r="A1224">
        <v>6905</v>
      </c>
      <c r="B1224" t="s">
        <v>10195</v>
      </c>
      <c r="C1224" t="s">
        <v>5043</v>
      </c>
      <c r="D1224" t="s">
        <v>8401</v>
      </c>
    </row>
    <row r="1225" spans="1:4" ht="14.45" x14ac:dyDescent="0.3">
      <c r="A1225">
        <v>7231</v>
      </c>
      <c r="B1225" t="s">
        <v>10195</v>
      </c>
      <c r="C1225" t="s">
        <v>5043</v>
      </c>
      <c r="D1225" t="s">
        <v>8401</v>
      </c>
    </row>
    <row r="1226" spans="1:4" ht="14.45" x14ac:dyDescent="0.3">
      <c r="A1226">
        <v>7769</v>
      </c>
      <c r="B1226" t="s">
        <v>10195</v>
      </c>
      <c r="C1226" t="s">
        <v>5043</v>
      </c>
      <c r="D1226" t="s">
        <v>8401</v>
      </c>
    </row>
    <row r="1227" spans="1:4" ht="14.45" x14ac:dyDescent="0.3">
      <c r="A1227">
        <v>8332</v>
      </c>
      <c r="B1227" t="s">
        <v>10195</v>
      </c>
      <c r="C1227" t="s">
        <v>5043</v>
      </c>
      <c r="D1227" t="s">
        <v>8401</v>
      </c>
    </row>
    <row r="1228" spans="1:4" ht="14.45" x14ac:dyDescent="0.3">
      <c r="A1228">
        <v>8347</v>
      </c>
      <c r="B1228" t="s">
        <v>10195</v>
      </c>
      <c r="C1228" t="s">
        <v>5043</v>
      </c>
      <c r="D1228" t="s">
        <v>8401</v>
      </c>
    </row>
    <row r="1229" spans="1:4" ht="14.45" x14ac:dyDescent="0.3">
      <c r="A1229">
        <v>8542</v>
      </c>
      <c r="B1229" t="s">
        <v>10195</v>
      </c>
      <c r="C1229" t="s">
        <v>5043</v>
      </c>
      <c r="D1229" t="s">
        <v>8401</v>
      </c>
    </row>
    <row r="1230" spans="1:4" ht="14.45" x14ac:dyDescent="0.3">
      <c r="A1230">
        <v>8976</v>
      </c>
      <c r="B1230" t="s">
        <v>10195</v>
      </c>
      <c r="C1230" t="s">
        <v>5043</v>
      </c>
      <c r="D1230" t="s">
        <v>8401</v>
      </c>
    </row>
    <row r="1231" spans="1:4" ht="14.45" x14ac:dyDescent="0.3">
      <c r="A1231">
        <v>9025</v>
      </c>
      <c r="B1231" t="s">
        <v>10195</v>
      </c>
      <c r="C1231" t="s">
        <v>5043</v>
      </c>
      <c r="D1231" t="s">
        <v>8401</v>
      </c>
    </row>
    <row r="1232" spans="1:4" ht="14.45" x14ac:dyDescent="0.3">
      <c r="A1232">
        <v>9211</v>
      </c>
      <c r="B1232" t="s">
        <v>10195</v>
      </c>
      <c r="C1232" t="s">
        <v>5043</v>
      </c>
      <c r="D1232" t="s">
        <v>8401</v>
      </c>
    </row>
    <row r="1233" spans="1:4" ht="14.45" x14ac:dyDescent="0.3">
      <c r="A1233">
        <v>7495</v>
      </c>
      <c r="B1233" t="s">
        <v>8745</v>
      </c>
      <c r="C1233" t="s">
        <v>5043</v>
      </c>
      <c r="D1233" t="s">
        <v>8401</v>
      </c>
    </row>
    <row r="1234" spans="1:4" ht="14.45" x14ac:dyDescent="0.3">
      <c r="A1234">
        <v>9684</v>
      </c>
      <c r="B1234" t="s">
        <v>10196</v>
      </c>
      <c r="C1234" t="s">
        <v>5043</v>
      </c>
      <c r="D1234" t="s">
        <v>8401</v>
      </c>
    </row>
    <row r="1235" spans="1:4" ht="14.45" x14ac:dyDescent="0.3">
      <c r="A1235">
        <v>7381</v>
      </c>
      <c r="B1235" t="s">
        <v>10197</v>
      </c>
      <c r="C1235" t="s">
        <v>5043</v>
      </c>
      <c r="D1235" t="s">
        <v>8401</v>
      </c>
    </row>
    <row r="1236" spans="1:4" ht="14.45" x14ac:dyDescent="0.3">
      <c r="A1236">
        <v>6734</v>
      </c>
      <c r="B1236" t="s">
        <v>8746</v>
      </c>
      <c r="C1236" t="s">
        <v>5043</v>
      </c>
      <c r="D1236" t="s">
        <v>8401</v>
      </c>
    </row>
    <row r="1237" spans="1:4" ht="14.45" x14ac:dyDescent="0.3">
      <c r="A1237">
        <v>8669</v>
      </c>
      <c r="B1237" t="s">
        <v>8746</v>
      </c>
      <c r="C1237" t="s">
        <v>5043</v>
      </c>
      <c r="D1237" t="s">
        <v>8401</v>
      </c>
    </row>
    <row r="1238" spans="1:4" ht="14.45" x14ac:dyDescent="0.3">
      <c r="A1238">
        <v>11293</v>
      </c>
      <c r="B1238" t="s">
        <v>10198</v>
      </c>
      <c r="C1238" t="s">
        <v>5043</v>
      </c>
      <c r="D1238" t="s">
        <v>8401</v>
      </c>
    </row>
    <row r="1239" spans="1:4" ht="14.45" x14ac:dyDescent="0.3">
      <c r="A1239">
        <v>9733</v>
      </c>
      <c r="B1239" t="s">
        <v>10198</v>
      </c>
      <c r="C1239" t="s">
        <v>5043</v>
      </c>
      <c r="D1239" t="s">
        <v>8401</v>
      </c>
    </row>
    <row r="1240" spans="1:4" ht="14.45" x14ac:dyDescent="0.3">
      <c r="A1240">
        <v>11313</v>
      </c>
      <c r="B1240" t="s">
        <v>10199</v>
      </c>
      <c r="C1240" t="s">
        <v>5043</v>
      </c>
      <c r="D1240" t="s">
        <v>8401</v>
      </c>
    </row>
    <row r="1241" spans="1:4" ht="14.45" x14ac:dyDescent="0.3">
      <c r="A1241">
        <v>11329</v>
      </c>
      <c r="B1241" t="s">
        <v>10199</v>
      </c>
      <c r="C1241" t="s">
        <v>5043</v>
      </c>
      <c r="D1241" t="s">
        <v>8401</v>
      </c>
    </row>
    <row r="1242" spans="1:4" ht="14.45" x14ac:dyDescent="0.3">
      <c r="A1242">
        <v>6508</v>
      </c>
      <c r="B1242" t="s">
        <v>10199</v>
      </c>
      <c r="C1242" t="s">
        <v>5043</v>
      </c>
      <c r="D1242" t="s">
        <v>8401</v>
      </c>
    </row>
    <row r="1243" spans="1:4" ht="14.45" x14ac:dyDescent="0.3">
      <c r="A1243">
        <v>7603</v>
      </c>
      <c r="B1243" t="s">
        <v>10199</v>
      </c>
      <c r="C1243" t="s">
        <v>5043</v>
      </c>
      <c r="D1243" t="s">
        <v>8401</v>
      </c>
    </row>
    <row r="1244" spans="1:4" ht="14.45" x14ac:dyDescent="0.3">
      <c r="A1244">
        <v>10660</v>
      </c>
      <c r="B1244" t="s">
        <v>10200</v>
      </c>
      <c r="C1244" t="s">
        <v>5043</v>
      </c>
      <c r="D1244" t="s">
        <v>8401</v>
      </c>
    </row>
    <row r="1245" spans="1:4" ht="14.45" x14ac:dyDescent="0.3">
      <c r="A1245">
        <v>8139</v>
      </c>
      <c r="B1245" t="s">
        <v>8747</v>
      </c>
      <c r="C1245" t="s">
        <v>5043</v>
      </c>
      <c r="D1245" t="s">
        <v>8401</v>
      </c>
    </row>
    <row r="1246" spans="1:4" ht="14.45" x14ac:dyDescent="0.3">
      <c r="A1246">
        <v>10183</v>
      </c>
      <c r="B1246" t="s">
        <v>10201</v>
      </c>
      <c r="C1246" t="s">
        <v>5043</v>
      </c>
      <c r="D1246" t="s">
        <v>8401</v>
      </c>
    </row>
    <row r="1247" spans="1:4" ht="14.45" x14ac:dyDescent="0.3">
      <c r="A1247">
        <v>6792</v>
      </c>
      <c r="B1247" t="s">
        <v>10201</v>
      </c>
      <c r="C1247" t="s">
        <v>5043</v>
      </c>
      <c r="D1247" t="s">
        <v>8401</v>
      </c>
    </row>
    <row r="1248" spans="1:4" ht="14.45" x14ac:dyDescent="0.3">
      <c r="A1248">
        <v>7224</v>
      </c>
      <c r="B1248" t="s">
        <v>10201</v>
      </c>
      <c r="C1248" t="s">
        <v>5043</v>
      </c>
      <c r="D1248" t="s">
        <v>8401</v>
      </c>
    </row>
    <row r="1249" spans="1:4" ht="14.45" x14ac:dyDescent="0.3">
      <c r="A1249">
        <v>8097</v>
      </c>
      <c r="B1249" t="s">
        <v>10201</v>
      </c>
      <c r="C1249" t="s">
        <v>5043</v>
      </c>
      <c r="D1249" t="s">
        <v>8401</v>
      </c>
    </row>
    <row r="1250" spans="1:4" ht="14.45" x14ac:dyDescent="0.3">
      <c r="A1250">
        <v>8456</v>
      </c>
      <c r="B1250" t="s">
        <v>10201</v>
      </c>
      <c r="C1250" t="s">
        <v>5043</v>
      </c>
      <c r="D1250" t="s">
        <v>8401</v>
      </c>
    </row>
    <row r="1251" spans="1:4" ht="14.45" x14ac:dyDescent="0.3">
      <c r="A1251">
        <v>8815</v>
      </c>
      <c r="B1251" t="s">
        <v>10201</v>
      </c>
      <c r="C1251" t="s">
        <v>5043</v>
      </c>
      <c r="D1251" t="s">
        <v>8401</v>
      </c>
    </row>
    <row r="1252" spans="1:4" ht="14.45" x14ac:dyDescent="0.3">
      <c r="A1252">
        <v>12341</v>
      </c>
      <c r="B1252" t="s">
        <v>8748</v>
      </c>
      <c r="C1252" t="s">
        <v>5043</v>
      </c>
      <c r="D1252" t="s">
        <v>8401</v>
      </c>
    </row>
    <row r="1253" spans="1:4" ht="14.45" x14ac:dyDescent="0.3">
      <c r="A1253">
        <v>10976</v>
      </c>
      <c r="B1253" t="s">
        <v>8749</v>
      </c>
      <c r="C1253" t="s">
        <v>5043</v>
      </c>
      <c r="D1253" t="s">
        <v>8401</v>
      </c>
    </row>
    <row r="1254" spans="1:4" ht="14.45" x14ac:dyDescent="0.3">
      <c r="A1254">
        <v>7661</v>
      </c>
      <c r="B1254" t="s">
        <v>8749</v>
      </c>
      <c r="C1254" t="s">
        <v>5043</v>
      </c>
      <c r="D1254" t="s">
        <v>8401</v>
      </c>
    </row>
    <row r="1255" spans="1:4" ht="14.45" x14ac:dyDescent="0.3">
      <c r="A1255">
        <v>11095</v>
      </c>
      <c r="B1255" t="s">
        <v>10202</v>
      </c>
      <c r="C1255" t="s">
        <v>5043</v>
      </c>
      <c r="D1255" t="s">
        <v>8401</v>
      </c>
    </row>
    <row r="1256" spans="1:4" ht="14.45" x14ac:dyDescent="0.3">
      <c r="A1256">
        <v>6463</v>
      </c>
      <c r="B1256" t="s">
        <v>10203</v>
      </c>
      <c r="C1256" t="s">
        <v>5043</v>
      </c>
      <c r="D1256" t="s">
        <v>8401</v>
      </c>
    </row>
    <row r="1257" spans="1:4" ht="14.45" x14ac:dyDescent="0.3">
      <c r="A1257">
        <v>7617</v>
      </c>
      <c r="B1257" t="s">
        <v>10204</v>
      </c>
      <c r="C1257" t="s">
        <v>5043</v>
      </c>
      <c r="D1257" t="s">
        <v>8401</v>
      </c>
    </row>
    <row r="1258" spans="1:4" ht="14.45" x14ac:dyDescent="0.3">
      <c r="A1258">
        <v>7878</v>
      </c>
      <c r="B1258" t="s">
        <v>10205</v>
      </c>
      <c r="C1258" t="s">
        <v>5043</v>
      </c>
      <c r="D1258" t="s">
        <v>8401</v>
      </c>
    </row>
    <row r="1259" spans="1:4" ht="14.45" x14ac:dyDescent="0.3">
      <c r="A1259">
        <v>8990</v>
      </c>
      <c r="B1259" t="s">
        <v>10205</v>
      </c>
      <c r="C1259" t="s">
        <v>5043</v>
      </c>
      <c r="D1259" t="s">
        <v>8401</v>
      </c>
    </row>
    <row r="1260" spans="1:4" ht="14.45" x14ac:dyDescent="0.3">
      <c r="A1260">
        <v>7719</v>
      </c>
      <c r="B1260" t="s">
        <v>10206</v>
      </c>
      <c r="C1260" t="s">
        <v>5043</v>
      </c>
      <c r="D1260" t="s">
        <v>8401</v>
      </c>
    </row>
    <row r="1261" spans="1:4" ht="14.45" x14ac:dyDescent="0.3">
      <c r="A1261">
        <v>8074</v>
      </c>
      <c r="B1261" t="s">
        <v>10206</v>
      </c>
      <c r="C1261" t="s">
        <v>5043</v>
      </c>
      <c r="D1261" t="s">
        <v>8401</v>
      </c>
    </row>
    <row r="1262" spans="1:4" ht="14.45" x14ac:dyDescent="0.3">
      <c r="A1262">
        <v>9221</v>
      </c>
      <c r="B1262" t="s">
        <v>10207</v>
      </c>
      <c r="C1262" t="s">
        <v>5043</v>
      </c>
      <c r="D1262" t="s">
        <v>8401</v>
      </c>
    </row>
    <row r="1263" spans="1:4" ht="14.45" x14ac:dyDescent="0.3">
      <c r="A1263">
        <v>6587</v>
      </c>
      <c r="B1263" t="s">
        <v>8750</v>
      </c>
      <c r="C1263" t="s">
        <v>5043</v>
      </c>
      <c r="D1263" t="s">
        <v>8401</v>
      </c>
    </row>
    <row r="1264" spans="1:4" ht="14.45" x14ac:dyDescent="0.3">
      <c r="A1264">
        <v>7454</v>
      </c>
      <c r="B1264" t="s">
        <v>8750</v>
      </c>
      <c r="C1264" t="s">
        <v>5043</v>
      </c>
      <c r="D1264" t="s">
        <v>8401</v>
      </c>
    </row>
    <row r="1265" spans="1:4" ht="14.45" x14ac:dyDescent="0.3">
      <c r="A1265">
        <v>7899</v>
      </c>
      <c r="B1265" t="s">
        <v>8750</v>
      </c>
      <c r="C1265" t="s">
        <v>5043</v>
      </c>
      <c r="D1265" t="s">
        <v>8401</v>
      </c>
    </row>
    <row r="1266" spans="1:4" ht="14.45" x14ac:dyDescent="0.3">
      <c r="A1266">
        <v>9033</v>
      </c>
      <c r="B1266" t="s">
        <v>8750</v>
      </c>
      <c r="C1266" t="s">
        <v>5043</v>
      </c>
      <c r="D1266" t="s">
        <v>8401</v>
      </c>
    </row>
    <row r="1267" spans="1:4" ht="14.45" x14ac:dyDescent="0.3">
      <c r="A1267">
        <v>9710</v>
      </c>
      <c r="B1267" t="s">
        <v>8750</v>
      </c>
      <c r="C1267" t="s">
        <v>5043</v>
      </c>
      <c r="D1267" t="s">
        <v>8401</v>
      </c>
    </row>
    <row r="1268" spans="1:4" ht="14.45" x14ac:dyDescent="0.3">
      <c r="A1268">
        <v>8829</v>
      </c>
      <c r="B1268" t="s">
        <v>8751</v>
      </c>
      <c r="C1268" t="s">
        <v>5043</v>
      </c>
      <c r="D1268" t="s">
        <v>8401</v>
      </c>
    </row>
    <row r="1269" spans="1:4" ht="14.45" x14ac:dyDescent="0.3">
      <c r="A1269">
        <v>10009</v>
      </c>
      <c r="B1269" t="s">
        <v>10208</v>
      </c>
      <c r="C1269" t="s">
        <v>5043</v>
      </c>
      <c r="D1269" t="s">
        <v>8401</v>
      </c>
    </row>
    <row r="1270" spans="1:4" ht="14.45" x14ac:dyDescent="0.3">
      <c r="A1270">
        <v>6682</v>
      </c>
      <c r="B1270" t="s">
        <v>8752</v>
      </c>
      <c r="C1270" t="s">
        <v>5043</v>
      </c>
      <c r="D1270" t="s">
        <v>8401</v>
      </c>
    </row>
    <row r="1271" spans="1:4" ht="14.45" x14ac:dyDescent="0.3">
      <c r="A1271">
        <v>7955</v>
      </c>
      <c r="B1271" t="s">
        <v>8753</v>
      </c>
      <c r="C1271" t="s">
        <v>5043</v>
      </c>
      <c r="D1271" t="s">
        <v>8401</v>
      </c>
    </row>
    <row r="1272" spans="1:4" ht="14.45" x14ac:dyDescent="0.3">
      <c r="A1272">
        <v>8241</v>
      </c>
      <c r="B1272" t="s">
        <v>10209</v>
      </c>
      <c r="C1272" t="s">
        <v>5043</v>
      </c>
      <c r="D1272" t="s">
        <v>8401</v>
      </c>
    </row>
    <row r="1273" spans="1:4" ht="14.45" x14ac:dyDescent="0.3">
      <c r="A1273">
        <v>8273</v>
      </c>
      <c r="B1273" t="s">
        <v>10209</v>
      </c>
      <c r="C1273" t="s">
        <v>5043</v>
      </c>
      <c r="D1273" t="s">
        <v>8401</v>
      </c>
    </row>
    <row r="1274" spans="1:4" ht="14.45" x14ac:dyDescent="0.3">
      <c r="A1274">
        <v>8822</v>
      </c>
      <c r="B1274" t="s">
        <v>10209</v>
      </c>
      <c r="C1274" t="s">
        <v>5043</v>
      </c>
      <c r="D1274" t="s">
        <v>8401</v>
      </c>
    </row>
    <row r="1275" spans="1:4" ht="14.45" x14ac:dyDescent="0.3">
      <c r="A1275">
        <v>10535</v>
      </c>
      <c r="B1275" t="s">
        <v>10210</v>
      </c>
      <c r="C1275" t="s">
        <v>5043</v>
      </c>
      <c r="D1275" t="s">
        <v>8401</v>
      </c>
    </row>
    <row r="1276" spans="1:4" ht="14.45" x14ac:dyDescent="0.3">
      <c r="A1276">
        <v>7824</v>
      </c>
      <c r="B1276" t="s">
        <v>10210</v>
      </c>
      <c r="C1276" t="s">
        <v>5043</v>
      </c>
      <c r="D1276" t="s">
        <v>8401</v>
      </c>
    </row>
    <row r="1277" spans="1:4" ht="14.45" x14ac:dyDescent="0.3">
      <c r="A1277">
        <v>10336</v>
      </c>
      <c r="B1277" t="s">
        <v>10211</v>
      </c>
      <c r="C1277" t="s">
        <v>5043</v>
      </c>
      <c r="D1277" t="s">
        <v>8401</v>
      </c>
    </row>
    <row r="1278" spans="1:4" ht="14.45" x14ac:dyDescent="0.3">
      <c r="A1278">
        <v>11076</v>
      </c>
      <c r="B1278" t="s">
        <v>10211</v>
      </c>
      <c r="C1278" t="s">
        <v>5043</v>
      </c>
      <c r="D1278" t="s">
        <v>8401</v>
      </c>
    </row>
    <row r="1279" spans="1:4" ht="14.45" x14ac:dyDescent="0.3">
      <c r="A1279">
        <v>6663</v>
      </c>
      <c r="B1279" t="s">
        <v>10211</v>
      </c>
      <c r="C1279" t="s">
        <v>5043</v>
      </c>
      <c r="D1279" t="s">
        <v>8401</v>
      </c>
    </row>
    <row r="1280" spans="1:4" ht="14.45" x14ac:dyDescent="0.3">
      <c r="A1280">
        <v>6773</v>
      </c>
      <c r="B1280" t="s">
        <v>10211</v>
      </c>
      <c r="C1280" t="s">
        <v>5043</v>
      </c>
      <c r="D1280" t="s">
        <v>8401</v>
      </c>
    </row>
    <row r="1281" spans="1:4" ht="14.45" x14ac:dyDescent="0.3">
      <c r="A1281">
        <v>8240</v>
      </c>
      <c r="B1281" t="s">
        <v>10211</v>
      </c>
      <c r="C1281" t="s">
        <v>5043</v>
      </c>
      <c r="D1281" t="s">
        <v>8401</v>
      </c>
    </row>
    <row r="1282" spans="1:4" ht="14.45" x14ac:dyDescent="0.3">
      <c r="A1282">
        <v>11123</v>
      </c>
      <c r="B1282" t="s">
        <v>10212</v>
      </c>
      <c r="C1282" t="s">
        <v>5043</v>
      </c>
      <c r="D1282" t="s">
        <v>8401</v>
      </c>
    </row>
    <row r="1283" spans="1:4" ht="14.45" x14ac:dyDescent="0.3">
      <c r="A1283">
        <v>9940</v>
      </c>
      <c r="B1283" t="s">
        <v>10212</v>
      </c>
      <c r="C1283" t="s">
        <v>5043</v>
      </c>
      <c r="D1283" t="s">
        <v>8401</v>
      </c>
    </row>
    <row r="1284" spans="1:4" ht="14.45" x14ac:dyDescent="0.3">
      <c r="A1284">
        <v>10726</v>
      </c>
      <c r="B1284" t="s">
        <v>10213</v>
      </c>
      <c r="C1284" t="s">
        <v>5043</v>
      </c>
      <c r="D1284" t="s">
        <v>8401</v>
      </c>
    </row>
    <row r="1285" spans="1:4" ht="14.45" x14ac:dyDescent="0.3">
      <c r="A1285">
        <v>6481</v>
      </c>
      <c r="B1285" t="s">
        <v>10213</v>
      </c>
      <c r="C1285" t="s">
        <v>5043</v>
      </c>
      <c r="D1285" t="s">
        <v>8401</v>
      </c>
    </row>
    <row r="1286" spans="1:4" ht="14.45" x14ac:dyDescent="0.3">
      <c r="A1286">
        <v>6590</v>
      </c>
      <c r="B1286" t="s">
        <v>10213</v>
      </c>
      <c r="C1286" t="s">
        <v>5043</v>
      </c>
      <c r="D1286" t="s">
        <v>8401</v>
      </c>
    </row>
    <row r="1287" spans="1:4" ht="14.45" x14ac:dyDescent="0.3">
      <c r="A1287">
        <v>7478</v>
      </c>
      <c r="B1287" t="s">
        <v>10213</v>
      </c>
      <c r="C1287" t="s">
        <v>5043</v>
      </c>
      <c r="D1287" t="s">
        <v>8401</v>
      </c>
    </row>
    <row r="1288" spans="1:4" ht="14.45" x14ac:dyDescent="0.3">
      <c r="A1288">
        <v>8951</v>
      </c>
      <c r="B1288" t="s">
        <v>10213</v>
      </c>
      <c r="C1288" t="s">
        <v>5043</v>
      </c>
      <c r="D1288" t="s">
        <v>8401</v>
      </c>
    </row>
    <row r="1289" spans="1:4" ht="14.45" x14ac:dyDescent="0.3">
      <c r="A1289">
        <v>10485</v>
      </c>
      <c r="B1289" t="s">
        <v>8754</v>
      </c>
      <c r="C1289" t="s">
        <v>5043</v>
      </c>
      <c r="D1289" t="s">
        <v>8401</v>
      </c>
    </row>
    <row r="1290" spans="1:4" ht="14.45" x14ac:dyDescent="0.3">
      <c r="A1290">
        <v>10070</v>
      </c>
      <c r="B1290" t="s">
        <v>8755</v>
      </c>
      <c r="C1290" t="s">
        <v>5043</v>
      </c>
      <c r="D1290" t="s">
        <v>8401</v>
      </c>
    </row>
    <row r="1291" spans="1:4" ht="14.45" x14ac:dyDescent="0.3">
      <c r="A1291">
        <v>8491</v>
      </c>
      <c r="B1291" t="s">
        <v>8755</v>
      </c>
      <c r="C1291" t="s">
        <v>5043</v>
      </c>
      <c r="D1291" t="s">
        <v>8401</v>
      </c>
    </row>
    <row r="1292" spans="1:4" ht="14.45" x14ac:dyDescent="0.3">
      <c r="A1292">
        <v>9519</v>
      </c>
      <c r="B1292" t="s">
        <v>8756</v>
      </c>
      <c r="C1292" t="s">
        <v>5043</v>
      </c>
      <c r="D1292" t="s">
        <v>8401</v>
      </c>
    </row>
    <row r="1293" spans="1:4" ht="14.45" x14ac:dyDescent="0.3">
      <c r="A1293">
        <v>10609</v>
      </c>
      <c r="B1293" t="s">
        <v>10214</v>
      </c>
      <c r="C1293" t="s">
        <v>5043</v>
      </c>
      <c r="D1293" t="s">
        <v>8401</v>
      </c>
    </row>
    <row r="1294" spans="1:4" ht="14.45" x14ac:dyDescent="0.3">
      <c r="A1294">
        <v>7190</v>
      </c>
      <c r="B1294" t="s">
        <v>10214</v>
      </c>
      <c r="C1294" t="s">
        <v>5043</v>
      </c>
      <c r="D1294" t="s">
        <v>8401</v>
      </c>
    </row>
    <row r="1295" spans="1:4" ht="14.45" x14ac:dyDescent="0.3">
      <c r="A1295">
        <v>7417</v>
      </c>
      <c r="B1295" t="s">
        <v>10214</v>
      </c>
      <c r="C1295" t="s">
        <v>5043</v>
      </c>
      <c r="D1295" t="s">
        <v>8401</v>
      </c>
    </row>
    <row r="1296" spans="1:4" ht="14.45" x14ac:dyDescent="0.3">
      <c r="A1296">
        <v>9303</v>
      </c>
      <c r="B1296" t="s">
        <v>10214</v>
      </c>
      <c r="C1296" t="s">
        <v>5043</v>
      </c>
      <c r="D1296" t="s">
        <v>8401</v>
      </c>
    </row>
    <row r="1297" spans="1:4" ht="14.45" x14ac:dyDescent="0.3">
      <c r="A1297">
        <v>9792</v>
      </c>
      <c r="B1297" t="s">
        <v>10214</v>
      </c>
      <c r="C1297" t="s">
        <v>5043</v>
      </c>
      <c r="D1297" t="s">
        <v>8401</v>
      </c>
    </row>
    <row r="1298" spans="1:4" ht="14.45" x14ac:dyDescent="0.3">
      <c r="A1298">
        <v>6704</v>
      </c>
      <c r="B1298" t="s">
        <v>8757</v>
      </c>
      <c r="C1298" t="s">
        <v>5043</v>
      </c>
      <c r="D1298" t="s">
        <v>8401</v>
      </c>
    </row>
    <row r="1299" spans="1:4" ht="14.45" x14ac:dyDescent="0.3">
      <c r="A1299">
        <v>6853</v>
      </c>
      <c r="B1299" t="s">
        <v>8757</v>
      </c>
      <c r="C1299" t="s">
        <v>5043</v>
      </c>
      <c r="D1299" t="s">
        <v>8401</v>
      </c>
    </row>
    <row r="1300" spans="1:4" ht="14.45" x14ac:dyDescent="0.3">
      <c r="A1300">
        <v>7158</v>
      </c>
      <c r="B1300" t="s">
        <v>8757</v>
      </c>
      <c r="C1300" t="s">
        <v>5043</v>
      </c>
      <c r="D1300" t="s">
        <v>8401</v>
      </c>
    </row>
    <row r="1301" spans="1:4" ht="14.45" x14ac:dyDescent="0.3">
      <c r="A1301">
        <v>7709</v>
      </c>
      <c r="B1301" t="s">
        <v>8757</v>
      </c>
      <c r="C1301" t="s">
        <v>5043</v>
      </c>
      <c r="D1301" t="s">
        <v>8401</v>
      </c>
    </row>
    <row r="1302" spans="1:4" ht="14.45" x14ac:dyDescent="0.3">
      <c r="A1302">
        <v>8409</v>
      </c>
      <c r="B1302" t="s">
        <v>8757</v>
      </c>
      <c r="C1302" t="s">
        <v>5043</v>
      </c>
      <c r="D1302" t="s">
        <v>8401</v>
      </c>
    </row>
    <row r="1303" spans="1:4" ht="14.45" x14ac:dyDescent="0.3">
      <c r="A1303">
        <v>8478</v>
      </c>
      <c r="B1303" t="s">
        <v>8757</v>
      </c>
      <c r="C1303" t="s">
        <v>5043</v>
      </c>
      <c r="D1303" t="s">
        <v>8401</v>
      </c>
    </row>
    <row r="1304" spans="1:4" ht="14.45" x14ac:dyDescent="0.3">
      <c r="A1304">
        <v>9156</v>
      </c>
      <c r="B1304" t="s">
        <v>8757</v>
      </c>
      <c r="C1304" t="s">
        <v>5043</v>
      </c>
      <c r="D1304" t="s">
        <v>8401</v>
      </c>
    </row>
    <row r="1305" spans="1:4" ht="14.45" x14ac:dyDescent="0.3">
      <c r="A1305">
        <v>11257</v>
      </c>
      <c r="B1305" t="s">
        <v>8758</v>
      </c>
      <c r="C1305" t="s">
        <v>5043</v>
      </c>
      <c r="D1305" t="s">
        <v>8401</v>
      </c>
    </row>
    <row r="1306" spans="1:4" ht="14.45" x14ac:dyDescent="0.3">
      <c r="A1306">
        <v>11675</v>
      </c>
      <c r="B1306" t="s">
        <v>8758</v>
      </c>
      <c r="C1306" t="s">
        <v>5043</v>
      </c>
      <c r="D1306" t="s">
        <v>8401</v>
      </c>
    </row>
    <row r="1307" spans="1:4" ht="14.45" x14ac:dyDescent="0.3">
      <c r="A1307">
        <v>6442</v>
      </c>
      <c r="B1307" t="s">
        <v>8758</v>
      </c>
      <c r="C1307" t="s">
        <v>5043</v>
      </c>
      <c r="D1307" t="s">
        <v>8401</v>
      </c>
    </row>
    <row r="1308" spans="1:4" ht="14.45" x14ac:dyDescent="0.3">
      <c r="A1308">
        <v>7466</v>
      </c>
      <c r="B1308" t="s">
        <v>8758</v>
      </c>
      <c r="C1308" t="s">
        <v>5043</v>
      </c>
      <c r="D1308" t="s">
        <v>8401</v>
      </c>
    </row>
    <row r="1309" spans="1:4" ht="14.45" x14ac:dyDescent="0.3">
      <c r="A1309">
        <v>8114</v>
      </c>
      <c r="B1309" t="s">
        <v>8758</v>
      </c>
      <c r="C1309" t="s">
        <v>5043</v>
      </c>
      <c r="D1309" t="s">
        <v>8401</v>
      </c>
    </row>
    <row r="1310" spans="1:4" ht="14.45" x14ac:dyDescent="0.3">
      <c r="A1310">
        <v>8360</v>
      </c>
      <c r="B1310" t="s">
        <v>8758</v>
      </c>
      <c r="C1310" t="s">
        <v>5043</v>
      </c>
      <c r="D1310" t="s">
        <v>8401</v>
      </c>
    </row>
    <row r="1311" spans="1:4" ht="14.45" x14ac:dyDescent="0.3">
      <c r="A1311">
        <v>10159</v>
      </c>
      <c r="B1311" t="s">
        <v>10215</v>
      </c>
      <c r="C1311" t="s">
        <v>5043</v>
      </c>
      <c r="D1311" t="s">
        <v>8401</v>
      </c>
    </row>
    <row r="1312" spans="1:4" ht="14.45" x14ac:dyDescent="0.3">
      <c r="A1312">
        <v>11013</v>
      </c>
      <c r="B1312" t="s">
        <v>10216</v>
      </c>
      <c r="C1312" t="s">
        <v>5043</v>
      </c>
      <c r="D1312" t="s">
        <v>8401</v>
      </c>
    </row>
    <row r="1313" spans="1:4" ht="14.45" x14ac:dyDescent="0.3">
      <c r="A1313">
        <v>10073</v>
      </c>
      <c r="B1313" t="s">
        <v>8759</v>
      </c>
      <c r="C1313" t="s">
        <v>5043</v>
      </c>
      <c r="D1313" t="s">
        <v>8401</v>
      </c>
    </row>
    <row r="1314" spans="1:4" ht="14.45" x14ac:dyDescent="0.3">
      <c r="A1314">
        <v>6604</v>
      </c>
      <c r="B1314" t="s">
        <v>8759</v>
      </c>
      <c r="C1314" t="s">
        <v>5043</v>
      </c>
      <c r="D1314" t="s">
        <v>8401</v>
      </c>
    </row>
    <row r="1315" spans="1:4" ht="14.45" x14ac:dyDescent="0.3">
      <c r="A1315">
        <v>6621</v>
      </c>
      <c r="B1315" t="s">
        <v>8759</v>
      </c>
      <c r="C1315" t="s">
        <v>5043</v>
      </c>
      <c r="D1315" t="s">
        <v>8401</v>
      </c>
    </row>
    <row r="1316" spans="1:4" ht="14.45" x14ac:dyDescent="0.3">
      <c r="A1316">
        <v>6690</v>
      </c>
      <c r="B1316" t="s">
        <v>8759</v>
      </c>
      <c r="C1316" t="s">
        <v>5043</v>
      </c>
      <c r="D1316" t="s">
        <v>8401</v>
      </c>
    </row>
    <row r="1317" spans="1:4" ht="14.45" x14ac:dyDescent="0.3">
      <c r="A1317">
        <v>8116</v>
      </c>
      <c r="B1317" t="s">
        <v>8759</v>
      </c>
      <c r="C1317" t="s">
        <v>5043</v>
      </c>
      <c r="D1317" t="s">
        <v>8401</v>
      </c>
    </row>
    <row r="1318" spans="1:4" ht="14.45" x14ac:dyDescent="0.3">
      <c r="A1318">
        <v>8795</v>
      </c>
      <c r="B1318" t="s">
        <v>8759</v>
      </c>
      <c r="C1318" t="s">
        <v>5043</v>
      </c>
      <c r="D1318" t="s">
        <v>8401</v>
      </c>
    </row>
    <row r="1319" spans="1:4" ht="14.45" x14ac:dyDescent="0.3">
      <c r="A1319">
        <v>10010</v>
      </c>
      <c r="B1319" t="s">
        <v>8760</v>
      </c>
      <c r="C1319" t="s">
        <v>5043</v>
      </c>
      <c r="D1319" t="s">
        <v>8401</v>
      </c>
    </row>
    <row r="1320" spans="1:4" ht="14.45" x14ac:dyDescent="0.3">
      <c r="A1320">
        <v>10733</v>
      </c>
      <c r="B1320" t="s">
        <v>8760</v>
      </c>
      <c r="C1320" t="s">
        <v>5043</v>
      </c>
      <c r="D1320" t="s">
        <v>8401</v>
      </c>
    </row>
    <row r="1321" spans="1:4" ht="14.45" x14ac:dyDescent="0.3">
      <c r="A1321">
        <v>6909</v>
      </c>
      <c r="B1321" t="s">
        <v>8760</v>
      </c>
      <c r="C1321" t="s">
        <v>5043</v>
      </c>
      <c r="D1321" t="s">
        <v>8401</v>
      </c>
    </row>
    <row r="1322" spans="1:4" ht="14.45" x14ac:dyDescent="0.3">
      <c r="A1322">
        <v>8476</v>
      </c>
      <c r="B1322" t="s">
        <v>8760</v>
      </c>
      <c r="C1322" t="s">
        <v>5043</v>
      </c>
      <c r="D1322" t="s">
        <v>8401</v>
      </c>
    </row>
    <row r="1323" spans="1:4" ht="14.45" x14ac:dyDescent="0.3">
      <c r="A1323">
        <v>9345</v>
      </c>
      <c r="B1323" t="s">
        <v>8760</v>
      </c>
      <c r="C1323" t="s">
        <v>5043</v>
      </c>
      <c r="D1323" t="s">
        <v>8401</v>
      </c>
    </row>
    <row r="1324" spans="1:4" ht="14.45" x14ac:dyDescent="0.3">
      <c r="A1324">
        <v>9389</v>
      </c>
      <c r="B1324" t="s">
        <v>8760</v>
      </c>
      <c r="C1324" t="s">
        <v>5043</v>
      </c>
      <c r="D1324" t="s">
        <v>8401</v>
      </c>
    </row>
    <row r="1325" spans="1:4" ht="14.45" x14ac:dyDescent="0.3">
      <c r="A1325">
        <v>6764</v>
      </c>
      <c r="B1325" t="s">
        <v>10217</v>
      </c>
      <c r="C1325" t="s">
        <v>5043</v>
      </c>
      <c r="D1325" t="s">
        <v>8401</v>
      </c>
    </row>
    <row r="1326" spans="1:4" ht="14.45" x14ac:dyDescent="0.3">
      <c r="A1326">
        <v>10845</v>
      </c>
      <c r="B1326" t="s">
        <v>10218</v>
      </c>
      <c r="C1326" t="s">
        <v>5043</v>
      </c>
      <c r="D1326" t="s">
        <v>8401</v>
      </c>
    </row>
    <row r="1327" spans="1:4" ht="14.45" x14ac:dyDescent="0.3">
      <c r="A1327">
        <v>11590</v>
      </c>
      <c r="B1327" t="s">
        <v>10218</v>
      </c>
      <c r="C1327" t="s">
        <v>5043</v>
      </c>
      <c r="D1327" t="s">
        <v>8401</v>
      </c>
    </row>
    <row r="1328" spans="1:4" ht="14.45" x14ac:dyDescent="0.3">
      <c r="A1328">
        <v>7399</v>
      </c>
      <c r="B1328" t="s">
        <v>10218</v>
      </c>
      <c r="C1328" t="s">
        <v>5043</v>
      </c>
      <c r="D1328" t="s">
        <v>8401</v>
      </c>
    </row>
    <row r="1329" spans="1:4" ht="14.45" x14ac:dyDescent="0.3">
      <c r="A1329">
        <v>9130</v>
      </c>
      <c r="B1329" t="s">
        <v>10218</v>
      </c>
      <c r="C1329" t="s">
        <v>5043</v>
      </c>
      <c r="D1329" t="s">
        <v>8401</v>
      </c>
    </row>
    <row r="1330" spans="1:4" ht="14.45" x14ac:dyDescent="0.3">
      <c r="A1330">
        <v>9509</v>
      </c>
      <c r="B1330" t="s">
        <v>10218</v>
      </c>
      <c r="C1330" t="s">
        <v>5043</v>
      </c>
      <c r="D1330" t="s">
        <v>8401</v>
      </c>
    </row>
    <row r="1331" spans="1:4" ht="14.45" x14ac:dyDescent="0.3">
      <c r="A1331">
        <v>9762</v>
      </c>
      <c r="B1331" t="s">
        <v>10218</v>
      </c>
      <c r="C1331" t="s">
        <v>5043</v>
      </c>
      <c r="D1331" t="s">
        <v>8401</v>
      </c>
    </row>
    <row r="1332" spans="1:4" ht="14.45" x14ac:dyDescent="0.3">
      <c r="A1332">
        <v>11976</v>
      </c>
      <c r="B1332" t="s">
        <v>10219</v>
      </c>
      <c r="C1332" t="s">
        <v>5043</v>
      </c>
      <c r="D1332" t="s">
        <v>8401</v>
      </c>
    </row>
    <row r="1333" spans="1:4" ht="14.45" x14ac:dyDescent="0.3">
      <c r="A1333">
        <v>8600</v>
      </c>
      <c r="B1333" t="s">
        <v>10219</v>
      </c>
      <c r="C1333" t="s">
        <v>5043</v>
      </c>
      <c r="D1333" t="s">
        <v>8401</v>
      </c>
    </row>
    <row r="1334" spans="1:4" ht="14.45" x14ac:dyDescent="0.3">
      <c r="A1334">
        <v>7891</v>
      </c>
      <c r="B1334" t="s">
        <v>10220</v>
      </c>
      <c r="C1334" t="s">
        <v>5043</v>
      </c>
      <c r="D1334" t="s">
        <v>8401</v>
      </c>
    </row>
    <row r="1335" spans="1:4" ht="14.45" x14ac:dyDescent="0.3">
      <c r="A1335">
        <v>11166</v>
      </c>
      <c r="B1335" t="s">
        <v>8761</v>
      </c>
      <c r="C1335" t="s">
        <v>5043</v>
      </c>
      <c r="D1335" t="s">
        <v>8401</v>
      </c>
    </row>
    <row r="1336" spans="1:4" ht="14.45" x14ac:dyDescent="0.3">
      <c r="A1336">
        <v>11305</v>
      </c>
      <c r="B1336" t="s">
        <v>8761</v>
      </c>
      <c r="C1336" t="s">
        <v>5043</v>
      </c>
      <c r="D1336" t="s">
        <v>8401</v>
      </c>
    </row>
    <row r="1337" spans="1:4" ht="14.45" x14ac:dyDescent="0.3">
      <c r="A1337">
        <v>9425</v>
      </c>
      <c r="B1337" t="s">
        <v>8762</v>
      </c>
      <c r="C1337" t="s">
        <v>5043</v>
      </c>
      <c r="D1337" t="s">
        <v>8401</v>
      </c>
    </row>
    <row r="1338" spans="1:4" ht="14.45" x14ac:dyDescent="0.3">
      <c r="A1338">
        <v>6434</v>
      </c>
      <c r="B1338" t="s">
        <v>10221</v>
      </c>
      <c r="C1338" t="s">
        <v>5043</v>
      </c>
      <c r="D1338" t="s">
        <v>8401</v>
      </c>
    </row>
    <row r="1339" spans="1:4" ht="14.45" x14ac:dyDescent="0.3">
      <c r="A1339">
        <v>11367</v>
      </c>
      <c r="B1339" t="s">
        <v>10222</v>
      </c>
      <c r="C1339" t="s">
        <v>5043</v>
      </c>
      <c r="D1339" t="s">
        <v>8401</v>
      </c>
    </row>
    <row r="1340" spans="1:4" ht="14.45" x14ac:dyDescent="0.3">
      <c r="A1340">
        <v>7281</v>
      </c>
      <c r="B1340" t="s">
        <v>10222</v>
      </c>
      <c r="C1340" t="s">
        <v>5043</v>
      </c>
      <c r="D1340" t="s">
        <v>8401</v>
      </c>
    </row>
    <row r="1341" spans="1:4" ht="14.45" x14ac:dyDescent="0.3">
      <c r="A1341">
        <v>9507</v>
      </c>
      <c r="B1341" t="s">
        <v>10223</v>
      </c>
      <c r="C1341" t="s">
        <v>5043</v>
      </c>
      <c r="D1341" t="s">
        <v>8401</v>
      </c>
    </row>
    <row r="1342" spans="1:4" ht="14.45" x14ac:dyDescent="0.3">
      <c r="A1342">
        <v>6406</v>
      </c>
      <c r="B1342" t="s">
        <v>10224</v>
      </c>
      <c r="C1342" t="s">
        <v>5043</v>
      </c>
      <c r="D1342" t="s">
        <v>8401</v>
      </c>
    </row>
    <row r="1343" spans="1:4" ht="14.45" x14ac:dyDescent="0.3">
      <c r="A1343">
        <v>9667</v>
      </c>
      <c r="B1343" t="s">
        <v>10225</v>
      </c>
      <c r="C1343" t="s">
        <v>5043</v>
      </c>
      <c r="D1343" t="s">
        <v>8401</v>
      </c>
    </row>
    <row r="1344" spans="1:4" ht="14.45" x14ac:dyDescent="0.3">
      <c r="A1344">
        <v>11187</v>
      </c>
      <c r="B1344" t="s">
        <v>10226</v>
      </c>
      <c r="C1344" t="s">
        <v>5043</v>
      </c>
      <c r="D1344" t="s">
        <v>8401</v>
      </c>
    </row>
    <row r="1345" spans="1:4" ht="14.45" x14ac:dyDescent="0.3">
      <c r="A1345">
        <v>10783</v>
      </c>
      <c r="B1345" t="s">
        <v>10227</v>
      </c>
      <c r="C1345" t="s">
        <v>5043</v>
      </c>
      <c r="D1345" t="s">
        <v>8401</v>
      </c>
    </row>
    <row r="1346" spans="1:4" ht="14.45" x14ac:dyDescent="0.3">
      <c r="A1346">
        <v>10604</v>
      </c>
      <c r="B1346" t="s">
        <v>10228</v>
      </c>
      <c r="C1346" t="s">
        <v>5043</v>
      </c>
      <c r="D1346" t="s">
        <v>8401</v>
      </c>
    </row>
    <row r="1347" spans="1:4" ht="14.45" x14ac:dyDescent="0.3">
      <c r="A1347">
        <v>7441</v>
      </c>
      <c r="B1347" t="s">
        <v>10228</v>
      </c>
      <c r="C1347" t="s">
        <v>5043</v>
      </c>
      <c r="D1347" t="s">
        <v>8401</v>
      </c>
    </row>
    <row r="1348" spans="1:4" ht="14.45" x14ac:dyDescent="0.3">
      <c r="A1348">
        <v>7768</v>
      </c>
      <c r="B1348" t="s">
        <v>10228</v>
      </c>
      <c r="C1348" t="s">
        <v>5043</v>
      </c>
      <c r="D1348" t="s">
        <v>8401</v>
      </c>
    </row>
    <row r="1349" spans="1:4" ht="14.45" x14ac:dyDescent="0.3">
      <c r="A1349">
        <v>9889</v>
      </c>
      <c r="B1349" t="s">
        <v>10228</v>
      </c>
      <c r="C1349" t="s">
        <v>5043</v>
      </c>
      <c r="D1349" t="s">
        <v>8401</v>
      </c>
    </row>
    <row r="1350" spans="1:4" ht="14.45" x14ac:dyDescent="0.3">
      <c r="A1350">
        <v>10662</v>
      </c>
      <c r="B1350" t="s">
        <v>10229</v>
      </c>
      <c r="C1350" t="s">
        <v>5043</v>
      </c>
      <c r="D1350" t="s">
        <v>8401</v>
      </c>
    </row>
    <row r="1351" spans="1:4" ht="14.45" x14ac:dyDescent="0.3">
      <c r="A1351">
        <v>7172</v>
      </c>
      <c r="B1351" t="s">
        <v>10230</v>
      </c>
      <c r="C1351" t="s">
        <v>5043</v>
      </c>
      <c r="D1351" t="s">
        <v>8401</v>
      </c>
    </row>
    <row r="1352" spans="1:4" ht="14.45" x14ac:dyDescent="0.3">
      <c r="A1352">
        <v>6751</v>
      </c>
      <c r="B1352" t="s">
        <v>8763</v>
      </c>
      <c r="C1352" t="s">
        <v>5043</v>
      </c>
      <c r="D1352" t="s">
        <v>8401</v>
      </c>
    </row>
    <row r="1353" spans="1:4" ht="14.45" x14ac:dyDescent="0.3">
      <c r="A1353">
        <v>9865</v>
      </c>
      <c r="B1353" t="s">
        <v>8763</v>
      </c>
      <c r="C1353" t="s">
        <v>5043</v>
      </c>
      <c r="D1353" t="s">
        <v>8401</v>
      </c>
    </row>
    <row r="1354" spans="1:4" ht="14.45" x14ac:dyDescent="0.3">
      <c r="A1354">
        <v>6640</v>
      </c>
      <c r="B1354" t="s">
        <v>10231</v>
      </c>
      <c r="C1354" t="s">
        <v>5043</v>
      </c>
      <c r="D1354" t="s">
        <v>8401</v>
      </c>
    </row>
    <row r="1355" spans="1:4" ht="14.45" x14ac:dyDescent="0.3">
      <c r="A1355">
        <v>8228</v>
      </c>
      <c r="B1355" t="s">
        <v>10231</v>
      </c>
      <c r="C1355" t="s">
        <v>5043</v>
      </c>
      <c r="D1355" t="s">
        <v>8401</v>
      </c>
    </row>
    <row r="1356" spans="1:4" ht="14.45" x14ac:dyDescent="0.3">
      <c r="A1356">
        <v>11153</v>
      </c>
      <c r="B1356" t="s">
        <v>10232</v>
      </c>
      <c r="C1356" t="s">
        <v>5043</v>
      </c>
      <c r="D1356" t="s">
        <v>8401</v>
      </c>
    </row>
    <row r="1357" spans="1:4" ht="14.45" x14ac:dyDescent="0.3">
      <c r="A1357">
        <v>11212</v>
      </c>
      <c r="B1357" t="s">
        <v>10232</v>
      </c>
      <c r="C1357" t="s">
        <v>5043</v>
      </c>
      <c r="D1357" t="s">
        <v>8401</v>
      </c>
    </row>
    <row r="1358" spans="1:4" ht="14.45" x14ac:dyDescent="0.3">
      <c r="A1358">
        <v>11463</v>
      </c>
      <c r="B1358" t="s">
        <v>10232</v>
      </c>
      <c r="C1358" t="s">
        <v>5043</v>
      </c>
      <c r="D1358" t="s">
        <v>8401</v>
      </c>
    </row>
    <row r="1359" spans="1:4" ht="14.45" x14ac:dyDescent="0.3">
      <c r="A1359">
        <v>10000</v>
      </c>
      <c r="B1359" t="s">
        <v>10233</v>
      </c>
      <c r="C1359" t="s">
        <v>5043</v>
      </c>
      <c r="D1359" t="s">
        <v>8401</v>
      </c>
    </row>
    <row r="1360" spans="1:4" ht="14.45" x14ac:dyDescent="0.3">
      <c r="A1360">
        <v>11663</v>
      </c>
      <c r="B1360" t="s">
        <v>10233</v>
      </c>
      <c r="C1360" t="s">
        <v>5043</v>
      </c>
      <c r="D1360" t="s">
        <v>8401</v>
      </c>
    </row>
    <row r="1361" spans="1:4" ht="14.45" x14ac:dyDescent="0.3">
      <c r="A1361">
        <v>10050</v>
      </c>
      <c r="B1361" t="s">
        <v>10234</v>
      </c>
      <c r="C1361" t="s">
        <v>5043</v>
      </c>
      <c r="D1361" t="s">
        <v>8401</v>
      </c>
    </row>
    <row r="1362" spans="1:4" ht="14.45" x14ac:dyDescent="0.3">
      <c r="A1362">
        <v>10941</v>
      </c>
      <c r="B1362" t="s">
        <v>10234</v>
      </c>
      <c r="C1362" t="s">
        <v>5043</v>
      </c>
      <c r="D1362" t="s">
        <v>8401</v>
      </c>
    </row>
    <row r="1363" spans="1:4" ht="14.45" x14ac:dyDescent="0.3">
      <c r="A1363">
        <v>11254</v>
      </c>
      <c r="B1363" t="s">
        <v>10234</v>
      </c>
      <c r="C1363" t="s">
        <v>5043</v>
      </c>
      <c r="D1363" t="s">
        <v>8401</v>
      </c>
    </row>
    <row r="1364" spans="1:4" ht="14.45" x14ac:dyDescent="0.3">
      <c r="A1364">
        <v>6730</v>
      </c>
      <c r="B1364" t="s">
        <v>10234</v>
      </c>
      <c r="C1364" t="s">
        <v>5043</v>
      </c>
      <c r="D1364" t="s">
        <v>8401</v>
      </c>
    </row>
    <row r="1365" spans="1:4" ht="14.45" x14ac:dyDescent="0.3">
      <c r="A1365">
        <v>7584</v>
      </c>
      <c r="B1365" t="s">
        <v>10234</v>
      </c>
      <c r="C1365" t="s">
        <v>5043</v>
      </c>
      <c r="D1365" t="s">
        <v>8401</v>
      </c>
    </row>
    <row r="1366" spans="1:4" ht="14.45" x14ac:dyDescent="0.3">
      <c r="A1366">
        <v>7875</v>
      </c>
      <c r="B1366" t="s">
        <v>10234</v>
      </c>
      <c r="C1366" t="s">
        <v>5043</v>
      </c>
      <c r="D1366" t="s">
        <v>8401</v>
      </c>
    </row>
    <row r="1367" spans="1:4" ht="14.45" x14ac:dyDescent="0.3">
      <c r="A1367">
        <v>8236</v>
      </c>
      <c r="B1367" t="s">
        <v>10234</v>
      </c>
      <c r="C1367" t="s">
        <v>5043</v>
      </c>
      <c r="D1367" t="s">
        <v>8401</v>
      </c>
    </row>
    <row r="1368" spans="1:4" ht="14.45" x14ac:dyDescent="0.3">
      <c r="A1368">
        <v>10107</v>
      </c>
      <c r="B1368" t="s">
        <v>10235</v>
      </c>
      <c r="C1368" t="s">
        <v>5043</v>
      </c>
      <c r="D1368" t="s">
        <v>8401</v>
      </c>
    </row>
    <row r="1369" spans="1:4" ht="14.45" x14ac:dyDescent="0.3">
      <c r="A1369">
        <v>10692</v>
      </c>
      <c r="B1369" t="s">
        <v>10235</v>
      </c>
      <c r="C1369" t="s">
        <v>5043</v>
      </c>
      <c r="D1369" t="s">
        <v>8401</v>
      </c>
    </row>
    <row r="1370" spans="1:4" ht="14.45" x14ac:dyDescent="0.3">
      <c r="A1370">
        <v>10747</v>
      </c>
      <c r="B1370" t="s">
        <v>10235</v>
      </c>
      <c r="C1370" t="s">
        <v>5043</v>
      </c>
      <c r="D1370" t="s">
        <v>8401</v>
      </c>
    </row>
    <row r="1371" spans="1:4" ht="14.45" x14ac:dyDescent="0.3">
      <c r="A1371">
        <v>11109</v>
      </c>
      <c r="B1371" t="s">
        <v>10235</v>
      </c>
      <c r="C1371" t="s">
        <v>5043</v>
      </c>
      <c r="D1371" t="s">
        <v>8401</v>
      </c>
    </row>
    <row r="1372" spans="1:4" ht="14.45" x14ac:dyDescent="0.3">
      <c r="A1372">
        <v>11184</v>
      </c>
      <c r="B1372" t="s">
        <v>10235</v>
      </c>
      <c r="C1372" t="s">
        <v>5043</v>
      </c>
      <c r="D1372" t="s">
        <v>8401</v>
      </c>
    </row>
    <row r="1373" spans="1:4" ht="14.45" x14ac:dyDescent="0.3">
      <c r="A1373">
        <v>6720</v>
      </c>
      <c r="B1373" t="s">
        <v>10235</v>
      </c>
      <c r="C1373" t="s">
        <v>5043</v>
      </c>
      <c r="D1373" t="s">
        <v>8401</v>
      </c>
    </row>
    <row r="1374" spans="1:4" ht="14.45" x14ac:dyDescent="0.3">
      <c r="A1374">
        <v>7295</v>
      </c>
      <c r="B1374" t="s">
        <v>10235</v>
      </c>
      <c r="C1374" t="s">
        <v>5043</v>
      </c>
      <c r="D1374" t="s">
        <v>8401</v>
      </c>
    </row>
    <row r="1375" spans="1:4" ht="14.45" x14ac:dyDescent="0.3">
      <c r="A1375">
        <v>8120</v>
      </c>
      <c r="B1375" t="s">
        <v>10235</v>
      </c>
      <c r="C1375" t="s">
        <v>5043</v>
      </c>
      <c r="D1375" t="s">
        <v>8401</v>
      </c>
    </row>
    <row r="1376" spans="1:4" ht="14.45" x14ac:dyDescent="0.3">
      <c r="A1376">
        <v>7247</v>
      </c>
      <c r="B1376" t="s">
        <v>10236</v>
      </c>
      <c r="C1376" t="s">
        <v>5043</v>
      </c>
      <c r="D1376" t="s">
        <v>8401</v>
      </c>
    </row>
    <row r="1377" spans="1:4" ht="14.45" x14ac:dyDescent="0.3">
      <c r="A1377">
        <v>10584</v>
      </c>
      <c r="B1377" t="s">
        <v>10237</v>
      </c>
      <c r="C1377" t="s">
        <v>5043</v>
      </c>
      <c r="D1377" t="s">
        <v>8401</v>
      </c>
    </row>
    <row r="1378" spans="1:4" ht="14.45" x14ac:dyDescent="0.3">
      <c r="A1378">
        <v>7502</v>
      </c>
      <c r="B1378" t="s">
        <v>10237</v>
      </c>
      <c r="C1378" t="s">
        <v>5043</v>
      </c>
      <c r="D1378" t="s">
        <v>8401</v>
      </c>
    </row>
    <row r="1379" spans="1:4" ht="14.45" x14ac:dyDescent="0.3">
      <c r="A1379">
        <v>11022</v>
      </c>
      <c r="B1379" t="s">
        <v>10238</v>
      </c>
      <c r="C1379" t="s">
        <v>5043</v>
      </c>
      <c r="D1379" t="s">
        <v>8401</v>
      </c>
    </row>
    <row r="1380" spans="1:4" ht="14.45" x14ac:dyDescent="0.3">
      <c r="A1380">
        <v>8413</v>
      </c>
      <c r="B1380" t="s">
        <v>10238</v>
      </c>
      <c r="C1380" t="s">
        <v>5043</v>
      </c>
      <c r="D1380" t="s">
        <v>8401</v>
      </c>
    </row>
    <row r="1381" spans="1:4" ht="14.45" x14ac:dyDescent="0.3">
      <c r="A1381">
        <v>7753</v>
      </c>
      <c r="B1381" t="s">
        <v>10239</v>
      </c>
      <c r="C1381" t="s">
        <v>5043</v>
      </c>
      <c r="D1381" t="s">
        <v>8401</v>
      </c>
    </row>
    <row r="1382" spans="1:4" ht="14.45" x14ac:dyDescent="0.3">
      <c r="A1382">
        <v>10878</v>
      </c>
      <c r="B1382" t="s">
        <v>10240</v>
      </c>
      <c r="C1382" t="s">
        <v>5043</v>
      </c>
      <c r="D1382" t="s">
        <v>8401</v>
      </c>
    </row>
    <row r="1383" spans="1:4" ht="14.45" x14ac:dyDescent="0.3">
      <c r="A1383">
        <v>11495</v>
      </c>
      <c r="B1383" t="s">
        <v>10240</v>
      </c>
      <c r="C1383" t="s">
        <v>5043</v>
      </c>
      <c r="D1383" t="s">
        <v>8401</v>
      </c>
    </row>
    <row r="1384" spans="1:4" ht="14.45" x14ac:dyDescent="0.3">
      <c r="A1384">
        <v>8079</v>
      </c>
      <c r="B1384" t="s">
        <v>10240</v>
      </c>
      <c r="C1384" t="s">
        <v>5043</v>
      </c>
      <c r="D1384" t="s">
        <v>8401</v>
      </c>
    </row>
    <row r="1385" spans="1:4" ht="14.45" x14ac:dyDescent="0.3">
      <c r="A1385">
        <v>8492</v>
      </c>
      <c r="B1385" t="s">
        <v>10240</v>
      </c>
      <c r="C1385" t="s">
        <v>5043</v>
      </c>
      <c r="D1385" t="s">
        <v>8401</v>
      </c>
    </row>
    <row r="1386" spans="1:4" ht="14.45" x14ac:dyDescent="0.3">
      <c r="A1386">
        <v>8675</v>
      </c>
      <c r="B1386" t="s">
        <v>10240</v>
      </c>
      <c r="C1386" t="s">
        <v>5043</v>
      </c>
      <c r="D1386" t="s">
        <v>8401</v>
      </c>
    </row>
    <row r="1387" spans="1:4" ht="14.45" x14ac:dyDescent="0.3">
      <c r="A1387">
        <v>10117</v>
      </c>
      <c r="B1387" t="s">
        <v>10241</v>
      </c>
      <c r="C1387" t="s">
        <v>5043</v>
      </c>
      <c r="D1387" t="s">
        <v>8401</v>
      </c>
    </row>
    <row r="1388" spans="1:4" ht="14.45" x14ac:dyDescent="0.3">
      <c r="A1388">
        <v>6626</v>
      </c>
      <c r="B1388" t="s">
        <v>10241</v>
      </c>
      <c r="C1388" t="s">
        <v>5043</v>
      </c>
      <c r="D1388" t="s">
        <v>8401</v>
      </c>
    </row>
    <row r="1389" spans="1:4" ht="14.45" x14ac:dyDescent="0.3">
      <c r="A1389">
        <v>7397</v>
      </c>
      <c r="B1389" t="s">
        <v>10241</v>
      </c>
      <c r="C1389" t="s">
        <v>5043</v>
      </c>
      <c r="D1389" t="s">
        <v>8401</v>
      </c>
    </row>
    <row r="1390" spans="1:4" ht="14.45" x14ac:dyDescent="0.3">
      <c r="A1390">
        <v>11506</v>
      </c>
      <c r="B1390" t="s">
        <v>10242</v>
      </c>
      <c r="C1390" t="s">
        <v>5043</v>
      </c>
      <c r="D1390" t="s">
        <v>8401</v>
      </c>
    </row>
    <row r="1391" spans="1:4" ht="14.45" x14ac:dyDescent="0.3">
      <c r="A1391">
        <v>6855</v>
      </c>
      <c r="B1391" t="s">
        <v>10243</v>
      </c>
      <c r="C1391" t="s">
        <v>5043</v>
      </c>
      <c r="D1391" t="s">
        <v>8401</v>
      </c>
    </row>
    <row r="1392" spans="1:4" ht="14.45" x14ac:dyDescent="0.3">
      <c r="A1392">
        <v>8047</v>
      </c>
      <c r="B1392" t="s">
        <v>10243</v>
      </c>
      <c r="C1392" t="s">
        <v>5043</v>
      </c>
      <c r="D1392" t="s">
        <v>8401</v>
      </c>
    </row>
    <row r="1393" spans="1:4" ht="14.45" x14ac:dyDescent="0.3">
      <c r="A1393">
        <v>8735</v>
      </c>
      <c r="B1393" t="s">
        <v>10243</v>
      </c>
      <c r="C1393" t="s">
        <v>5043</v>
      </c>
      <c r="D1393" t="s">
        <v>8401</v>
      </c>
    </row>
    <row r="1394" spans="1:4" ht="14.45" x14ac:dyDescent="0.3">
      <c r="A1394">
        <v>11797</v>
      </c>
      <c r="B1394" t="s">
        <v>10244</v>
      </c>
      <c r="C1394" t="s">
        <v>5043</v>
      </c>
      <c r="D1394" t="s">
        <v>8401</v>
      </c>
    </row>
    <row r="1395" spans="1:4" ht="14.45" x14ac:dyDescent="0.3">
      <c r="A1395">
        <v>11798</v>
      </c>
      <c r="B1395" t="s">
        <v>10244</v>
      </c>
      <c r="C1395" t="s">
        <v>5043</v>
      </c>
      <c r="D1395" t="s">
        <v>8401</v>
      </c>
    </row>
    <row r="1396" spans="1:4" ht="14.45" x14ac:dyDescent="0.3">
      <c r="A1396">
        <v>11804</v>
      </c>
      <c r="B1396" t="s">
        <v>10244</v>
      </c>
      <c r="C1396" t="s">
        <v>5043</v>
      </c>
      <c r="D1396" t="s">
        <v>8401</v>
      </c>
    </row>
    <row r="1397" spans="1:4" ht="14.45" x14ac:dyDescent="0.3">
      <c r="A1397">
        <v>11876</v>
      </c>
      <c r="B1397" t="s">
        <v>10244</v>
      </c>
      <c r="C1397" t="s">
        <v>5043</v>
      </c>
      <c r="D1397" t="s">
        <v>8401</v>
      </c>
    </row>
    <row r="1398" spans="1:4" ht="14.45" x14ac:dyDescent="0.3">
      <c r="A1398">
        <v>11885</v>
      </c>
      <c r="B1398" t="s">
        <v>10244</v>
      </c>
      <c r="C1398" t="s">
        <v>5043</v>
      </c>
      <c r="D1398" t="s">
        <v>8401</v>
      </c>
    </row>
    <row r="1399" spans="1:4" ht="14.45" x14ac:dyDescent="0.3">
      <c r="A1399">
        <v>10534</v>
      </c>
      <c r="B1399" t="s">
        <v>10245</v>
      </c>
      <c r="C1399" t="s">
        <v>5043</v>
      </c>
      <c r="D1399" t="s">
        <v>8401</v>
      </c>
    </row>
    <row r="1400" spans="1:4" ht="14.45" x14ac:dyDescent="0.3">
      <c r="A1400">
        <v>7146</v>
      </c>
      <c r="B1400" t="s">
        <v>10245</v>
      </c>
      <c r="C1400" t="s">
        <v>5043</v>
      </c>
      <c r="D1400" t="s">
        <v>8401</v>
      </c>
    </row>
    <row r="1401" spans="1:4" ht="14.45" x14ac:dyDescent="0.3">
      <c r="A1401">
        <v>7674</v>
      </c>
      <c r="B1401" t="s">
        <v>10245</v>
      </c>
      <c r="C1401" t="s">
        <v>5043</v>
      </c>
      <c r="D1401" t="s">
        <v>8401</v>
      </c>
    </row>
    <row r="1402" spans="1:4" ht="14.45" x14ac:dyDescent="0.3">
      <c r="A1402">
        <v>10174</v>
      </c>
      <c r="B1402" t="s">
        <v>10246</v>
      </c>
      <c r="C1402" t="s">
        <v>5043</v>
      </c>
      <c r="D1402" t="s">
        <v>8401</v>
      </c>
    </row>
    <row r="1403" spans="1:4" ht="14.45" x14ac:dyDescent="0.3">
      <c r="A1403">
        <v>10870</v>
      </c>
      <c r="B1403" t="s">
        <v>10246</v>
      </c>
      <c r="C1403" t="s">
        <v>5043</v>
      </c>
      <c r="D1403" t="s">
        <v>8401</v>
      </c>
    </row>
    <row r="1404" spans="1:4" ht="14.45" x14ac:dyDescent="0.3">
      <c r="A1404">
        <v>11449</v>
      </c>
      <c r="B1404" t="s">
        <v>10246</v>
      </c>
      <c r="C1404" t="s">
        <v>5043</v>
      </c>
      <c r="D1404" t="s">
        <v>8401</v>
      </c>
    </row>
    <row r="1405" spans="1:4" ht="14.45" x14ac:dyDescent="0.3">
      <c r="A1405">
        <v>6695</v>
      </c>
      <c r="B1405" t="s">
        <v>10246</v>
      </c>
      <c r="C1405" t="s">
        <v>5043</v>
      </c>
      <c r="D1405" t="s">
        <v>8401</v>
      </c>
    </row>
    <row r="1406" spans="1:4" ht="14.45" x14ac:dyDescent="0.3">
      <c r="A1406">
        <v>6940</v>
      </c>
      <c r="B1406" t="s">
        <v>10246</v>
      </c>
      <c r="C1406" t="s">
        <v>5043</v>
      </c>
      <c r="D1406" t="s">
        <v>8401</v>
      </c>
    </row>
    <row r="1407" spans="1:4" ht="14.45" x14ac:dyDescent="0.3">
      <c r="A1407">
        <v>7358</v>
      </c>
      <c r="B1407" t="s">
        <v>10246</v>
      </c>
      <c r="C1407" t="s">
        <v>5043</v>
      </c>
      <c r="D1407" t="s">
        <v>8401</v>
      </c>
    </row>
    <row r="1408" spans="1:4" ht="14.45" x14ac:dyDescent="0.3">
      <c r="A1408">
        <v>7600</v>
      </c>
      <c r="B1408" t="s">
        <v>10246</v>
      </c>
      <c r="C1408" t="s">
        <v>5043</v>
      </c>
      <c r="D1408" t="s">
        <v>8401</v>
      </c>
    </row>
    <row r="1409" spans="1:4" ht="14.45" x14ac:dyDescent="0.3">
      <c r="A1409">
        <v>7718</v>
      </c>
      <c r="B1409" t="s">
        <v>10246</v>
      </c>
      <c r="C1409" t="s">
        <v>5043</v>
      </c>
      <c r="D1409" t="s">
        <v>8401</v>
      </c>
    </row>
    <row r="1410" spans="1:4" ht="14.45" x14ac:dyDescent="0.3">
      <c r="A1410">
        <v>7840</v>
      </c>
      <c r="B1410" t="s">
        <v>10246</v>
      </c>
      <c r="C1410" t="s">
        <v>5043</v>
      </c>
      <c r="D1410" t="s">
        <v>8401</v>
      </c>
    </row>
    <row r="1411" spans="1:4" ht="14.45" x14ac:dyDescent="0.3">
      <c r="A1411">
        <v>8635</v>
      </c>
      <c r="B1411" t="s">
        <v>10246</v>
      </c>
      <c r="C1411" t="s">
        <v>5043</v>
      </c>
      <c r="D1411" t="s">
        <v>8401</v>
      </c>
    </row>
    <row r="1412" spans="1:4" ht="14.45" x14ac:dyDescent="0.3">
      <c r="A1412">
        <v>8718</v>
      </c>
      <c r="B1412" t="s">
        <v>10246</v>
      </c>
      <c r="C1412" t="s">
        <v>5043</v>
      </c>
      <c r="D1412" t="s">
        <v>8401</v>
      </c>
    </row>
    <row r="1413" spans="1:4" ht="14.45" x14ac:dyDescent="0.3">
      <c r="A1413">
        <v>8845</v>
      </c>
      <c r="B1413" t="s">
        <v>10246</v>
      </c>
      <c r="C1413" t="s">
        <v>5043</v>
      </c>
      <c r="D1413" t="s">
        <v>8401</v>
      </c>
    </row>
    <row r="1414" spans="1:4" ht="14.45" x14ac:dyDescent="0.3">
      <c r="A1414">
        <v>8975</v>
      </c>
      <c r="B1414" t="s">
        <v>10246</v>
      </c>
      <c r="C1414" t="s">
        <v>5043</v>
      </c>
      <c r="D1414" t="s">
        <v>8401</v>
      </c>
    </row>
    <row r="1415" spans="1:4" ht="14.45" x14ac:dyDescent="0.3">
      <c r="A1415">
        <v>9198</v>
      </c>
      <c r="B1415" t="s">
        <v>10246</v>
      </c>
      <c r="C1415" t="s">
        <v>5043</v>
      </c>
      <c r="D1415" t="s">
        <v>8401</v>
      </c>
    </row>
    <row r="1416" spans="1:4" ht="14.45" x14ac:dyDescent="0.3">
      <c r="A1416">
        <v>8779</v>
      </c>
      <c r="B1416" t="s">
        <v>9563</v>
      </c>
      <c r="C1416" t="s">
        <v>5043</v>
      </c>
      <c r="D1416" t="s">
        <v>8401</v>
      </c>
    </row>
    <row r="1417" spans="1:4" ht="14.45" x14ac:dyDescent="0.3">
      <c r="A1417">
        <v>9185</v>
      </c>
      <c r="B1417" t="s">
        <v>9563</v>
      </c>
      <c r="C1417" t="s">
        <v>5043</v>
      </c>
      <c r="D1417" t="s">
        <v>8401</v>
      </c>
    </row>
    <row r="1418" spans="1:4" ht="14.45" x14ac:dyDescent="0.3">
      <c r="A1418">
        <v>9574</v>
      </c>
      <c r="B1418" t="s">
        <v>10247</v>
      </c>
      <c r="C1418" t="s">
        <v>5043</v>
      </c>
      <c r="D1418" t="s">
        <v>8401</v>
      </c>
    </row>
    <row r="1419" spans="1:4" ht="14.45" x14ac:dyDescent="0.3">
      <c r="A1419">
        <v>11886</v>
      </c>
      <c r="B1419" t="s">
        <v>10248</v>
      </c>
      <c r="C1419" t="s">
        <v>5043</v>
      </c>
      <c r="D1419" t="s">
        <v>8401</v>
      </c>
    </row>
    <row r="1420" spans="1:4" ht="14.45" x14ac:dyDescent="0.3">
      <c r="A1420">
        <v>6548</v>
      </c>
      <c r="B1420" t="s">
        <v>10249</v>
      </c>
      <c r="C1420" t="s">
        <v>5043</v>
      </c>
      <c r="D1420" t="s">
        <v>8401</v>
      </c>
    </row>
    <row r="1421" spans="1:4" ht="14.45" x14ac:dyDescent="0.3">
      <c r="A1421">
        <v>7166</v>
      </c>
      <c r="B1421" t="s">
        <v>10249</v>
      </c>
      <c r="C1421" t="s">
        <v>5043</v>
      </c>
      <c r="D1421" t="s">
        <v>8401</v>
      </c>
    </row>
    <row r="1422" spans="1:4" ht="14.45" x14ac:dyDescent="0.3">
      <c r="A1422">
        <v>9453</v>
      </c>
      <c r="B1422" t="s">
        <v>10249</v>
      </c>
      <c r="C1422" t="s">
        <v>5043</v>
      </c>
      <c r="D1422" t="s">
        <v>8401</v>
      </c>
    </row>
    <row r="1423" spans="1:4" ht="14.45" x14ac:dyDescent="0.3">
      <c r="A1423">
        <v>8928</v>
      </c>
      <c r="B1423" t="s">
        <v>10250</v>
      </c>
      <c r="C1423" t="s">
        <v>5043</v>
      </c>
      <c r="D1423" t="s">
        <v>8401</v>
      </c>
    </row>
    <row r="1424" spans="1:4" ht="14.45" x14ac:dyDescent="0.3">
      <c r="A1424">
        <v>10281</v>
      </c>
      <c r="B1424" t="s">
        <v>10251</v>
      </c>
      <c r="C1424" t="s">
        <v>5043</v>
      </c>
      <c r="D1424" t="s">
        <v>8401</v>
      </c>
    </row>
    <row r="1425" spans="1:4" ht="14.45" x14ac:dyDescent="0.3">
      <c r="A1425">
        <v>10474</v>
      </c>
      <c r="B1425" t="s">
        <v>10252</v>
      </c>
      <c r="C1425" t="s">
        <v>5043</v>
      </c>
      <c r="D1425" t="s">
        <v>8401</v>
      </c>
    </row>
    <row r="1426" spans="1:4" ht="14.45" x14ac:dyDescent="0.3">
      <c r="A1426">
        <v>7027</v>
      </c>
      <c r="B1426" t="s">
        <v>10253</v>
      </c>
      <c r="C1426" t="s">
        <v>5043</v>
      </c>
      <c r="D1426" t="s">
        <v>8401</v>
      </c>
    </row>
    <row r="1427" spans="1:4" ht="14.45" x14ac:dyDescent="0.3">
      <c r="A1427">
        <v>7425</v>
      </c>
      <c r="B1427" t="s">
        <v>10253</v>
      </c>
      <c r="C1427" t="s">
        <v>5043</v>
      </c>
      <c r="D1427" t="s">
        <v>8401</v>
      </c>
    </row>
    <row r="1428" spans="1:4" ht="14.45" x14ac:dyDescent="0.3">
      <c r="A1428">
        <v>8340</v>
      </c>
      <c r="B1428" t="s">
        <v>10253</v>
      </c>
      <c r="C1428" t="s">
        <v>5043</v>
      </c>
      <c r="D1428" t="s">
        <v>8401</v>
      </c>
    </row>
    <row r="1429" spans="1:4" ht="14.45" x14ac:dyDescent="0.3">
      <c r="A1429">
        <v>10811</v>
      </c>
      <c r="B1429" t="s">
        <v>10254</v>
      </c>
      <c r="C1429" t="s">
        <v>5043</v>
      </c>
      <c r="D1429" t="s">
        <v>8401</v>
      </c>
    </row>
    <row r="1430" spans="1:4" ht="14.45" x14ac:dyDescent="0.3">
      <c r="A1430">
        <v>7179</v>
      </c>
      <c r="B1430" t="s">
        <v>10255</v>
      </c>
      <c r="C1430" t="s">
        <v>5043</v>
      </c>
      <c r="D1430" t="s">
        <v>8401</v>
      </c>
    </row>
    <row r="1431" spans="1:4" ht="14.45" x14ac:dyDescent="0.3">
      <c r="A1431">
        <v>8666</v>
      </c>
      <c r="B1431" t="s">
        <v>10255</v>
      </c>
      <c r="C1431" t="s">
        <v>5043</v>
      </c>
      <c r="D1431" t="s">
        <v>8401</v>
      </c>
    </row>
    <row r="1432" spans="1:4" ht="14.45" x14ac:dyDescent="0.3">
      <c r="A1432">
        <v>11695</v>
      </c>
      <c r="B1432" t="s">
        <v>10256</v>
      </c>
      <c r="C1432" t="s">
        <v>5043</v>
      </c>
      <c r="D1432" t="s">
        <v>8401</v>
      </c>
    </row>
    <row r="1433" spans="1:4" ht="14.45" x14ac:dyDescent="0.3">
      <c r="A1433">
        <v>7132</v>
      </c>
      <c r="B1433" t="s">
        <v>10257</v>
      </c>
      <c r="C1433" t="s">
        <v>5043</v>
      </c>
      <c r="D1433" t="s">
        <v>8401</v>
      </c>
    </row>
    <row r="1434" spans="1:4" ht="14.45" x14ac:dyDescent="0.3">
      <c r="A1434">
        <v>9948</v>
      </c>
      <c r="B1434" t="s">
        <v>10258</v>
      </c>
      <c r="C1434" t="s">
        <v>5043</v>
      </c>
      <c r="D1434" t="s">
        <v>8401</v>
      </c>
    </row>
    <row r="1435" spans="1:4" ht="14.45" x14ac:dyDescent="0.3">
      <c r="A1435">
        <v>10536</v>
      </c>
      <c r="B1435" t="s">
        <v>8764</v>
      </c>
      <c r="C1435" t="s">
        <v>5043</v>
      </c>
      <c r="D1435" t="s">
        <v>8401</v>
      </c>
    </row>
    <row r="1436" spans="1:4" ht="14.45" x14ac:dyDescent="0.3">
      <c r="A1436">
        <v>11456</v>
      </c>
      <c r="B1436" t="s">
        <v>8764</v>
      </c>
      <c r="C1436" t="s">
        <v>5043</v>
      </c>
      <c r="D1436" t="s">
        <v>8401</v>
      </c>
    </row>
    <row r="1437" spans="1:4" ht="14.45" x14ac:dyDescent="0.3">
      <c r="A1437">
        <v>7322</v>
      </c>
      <c r="B1437" t="s">
        <v>8764</v>
      </c>
      <c r="C1437" t="s">
        <v>5043</v>
      </c>
      <c r="D1437" t="s">
        <v>8401</v>
      </c>
    </row>
    <row r="1438" spans="1:4" ht="14.45" x14ac:dyDescent="0.3">
      <c r="A1438">
        <v>7449</v>
      </c>
      <c r="B1438" t="s">
        <v>8764</v>
      </c>
      <c r="C1438" t="s">
        <v>5043</v>
      </c>
      <c r="D1438" t="s">
        <v>8401</v>
      </c>
    </row>
    <row r="1439" spans="1:4" ht="14.45" x14ac:dyDescent="0.3">
      <c r="A1439">
        <v>7560</v>
      </c>
      <c r="B1439" t="s">
        <v>8764</v>
      </c>
      <c r="C1439" t="s">
        <v>5043</v>
      </c>
      <c r="D1439" t="s">
        <v>8401</v>
      </c>
    </row>
    <row r="1440" spans="1:4" ht="14.45" x14ac:dyDescent="0.3">
      <c r="A1440">
        <v>7572</v>
      </c>
      <c r="B1440" t="s">
        <v>8764</v>
      </c>
      <c r="C1440" t="s">
        <v>5043</v>
      </c>
      <c r="D1440" t="s">
        <v>8401</v>
      </c>
    </row>
    <row r="1441" spans="1:4" ht="14.45" x14ac:dyDescent="0.3">
      <c r="A1441">
        <v>7830</v>
      </c>
      <c r="B1441" t="s">
        <v>8764</v>
      </c>
      <c r="C1441" t="s">
        <v>5043</v>
      </c>
      <c r="D1441" t="s">
        <v>8401</v>
      </c>
    </row>
    <row r="1442" spans="1:4" ht="14.45" x14ac:dyDescent="0.3">
      <c r="A1442">
        <v>8014</v>
      </c>
      <c r="B1442" t="s">
        <v>8764</v>
      </c>
      <c r="C1442" t="s">
        <v>5043</v>
      </c>
      <c r="D1442" t="s">
        <v>8401</v>
      </c>
    </row>
    <row r="1443" spans="1:4" ht="14.45" x14ac:dyDescent="0.3">
      <c r="A1443">
        <v>8297</v>
      </c>
      <c r="B1443" t="s">
        <v>8764</v>
      </c>
      <c r="C1443" t="s">
        <v>5043</v>
      </c>
      <c r="D1443" t="s">
        <v>8401</v>
      </c>
    </row>
    <row r="1444" spans="1:4" ht="14.45" x14ac:dyDescent="0.3">
      <c r="A1444">
        <v>8398</v>
      </c>
      <c r="B1444" t="s">
        <v>8764</v>
      </c>
      <c r="C1444" t="s">
        <v>5043</v>
      </c>
      <c r="D1444" t="s">
        <v>8401</v>
      </c>
    </row>
    <row r="1445" spans="1:4" ht="14.45" x14ac:dyDescent="0.3">
      <c r="A1445">
        <v>8481</v>
      </c>
      <c r="B1445" t="s">
        <v>8764</v>
      </c>
      <c r="C1445" t="s">
        <v>5043</v>
      </c>
      <c r="D1445" t="s">
        <v>8401</v>
      </c>
    </row>
    <row r="1446" spans="1:4" ht="14.45" x14ac:dyDescent="0.3">
      <c r="A1446">
        <v>8692</v>
      </c>
      <c r="B1446" t="s">
        <v>8764</v>
      </c>
      <c r="C1446" t="s">
        <v>5043</v>
      </c>
      <c r="D1446" t="s">
        <v>8401</v>
      </c>
    </row>
    <row r="1447" spans="1:4" ht="14.45" x14ac:dyDescent="0.3">
      <c r="A1447">
        <v>9067</v>
      </c>
      <c r="B1447" t="s">
        <v>8764</v>
      </c>
      <c r="C1447" t="s">
        <v>5043</v>
      </c>
      <c r="D1447" t="s">
        <v>8401</v>
      </c>
    </row>
    <row r="1448" spans="1:4" ht="14.45" x14ac:dyDescent="0.3">
      <c r="A1448">
        <v>9342</v>
      </c>
      <c r="B1448" t="s">
        <v>8764</v>
      </c>
      <c r="C1448" t="s">
        <v>5043</v>
      </c>
      <c r="D1448" t="s">
        <v>8401</v>
      </c>
    </row>
    <row r="1449" spans="1:4" ht="14.45" x14ac:dyDescent="0.3">
      <c r="A1449">
        <v>7494</v>
      </c>
      <c r="B1449" t="s">
        <v>8765</v>
      </c>
      <c r="C1449" t="s">
        <v>5043</v>
      </c>
      <c r="D1449" t="s">
        <v>8401</v>
      </c>
    </row>
    <row r="1450" spans="1:4" ht="14.45" x14ac:dyDescent="0.3">
      <c r="A1450">
        <v>11124</v>
      </c>
      <c r="B1450" t="s">
        <v>8766</v>
      </c>
      <c r="C1450" t="s">
        <v>5043</v>
      </c>
      <c r="D1450" t="s">
        <v>8401</v>
      </c>
    </row>
    <row r="1451" spans="1:4" ht="14.45" x14ac:dyDescent="0.3">
      <c r="A1451">
        <v>9119</v>
      </c>
      <c r="B1451" t="s">
        <v>8766</v>
      </c>
      <c r="C1451" t="s">
        <v>5043</v>
      </c>
      <c r="D1451" t="s">
        <v>8401</v>
      </c>
    </row>
    <row r="1452" spans="1:4" ht="14.45" x14ac:dyDescent="0.3">
      <c r="A1452">
        <v>8460</v>
      </c>
      <c r="B1452" t="s">
        <v>10259</v>
      </c>
      <c r="C1452" t="s">
        <v>5043</v>
      </c>
      <c r="D1452" t="s">
        <v>8401</v>
      </c>
    </row>
    <row r="1453" spans="1:4" ht="14.45" x14ac:dyDescent="0.3">
      <c r="A1453">
        <v>7555</v>
      </c>
      <c r="B1453" t="s">
        <v>8767</v>
      </c>
      <c r="C1453" t="s">
        <v>5043</v>
      </c>
      <c r="D1453" t="s">
        <v>8401</v>
      </c>
    </row>
    <row r="1454" spans="1:4" ht="14.45" x14ac:dyDescent="0.3">
      <c r="A1454">
        <v>7564</v>
      </c>
      <c r="B1454" t="s">
        <v>8767</v>
      </c>
      <c r="C1454" t="s">
        <v>5043</v>
      </c>
      <c r="D1454" t="s">
        <v>8401</v>
      </c>
    </row>
    <row r="1455" spans="1:4" ht="14.45" x14ac:dyDescent="0.3">
      <c r="A1455">
        <v>9115</v>
      </c>
      <c r="B1455" t="s">
        <v>8767</v>
      </c>
      <c r="C1455" t="s">
        <v>5043</v>
      </c>
      <c r="D1455" t="s">
        <v>8401</v>
      </c>
    </row>
    <row r="1456" spans="1:4" ht="14.45" x14ac:dyDescent="0.3">
      <c r="A1456">
        <v>9565</v>
      </c>
      <c r="B1456" t="s">
        <v>8767</v>
      </c>
      <c r="C1456" t="s">
        <v>5043</v>
      </c>
      <c r="D1456" t="s">
        <v>8401</v>
      </c>
    </row>
    <row r="1457" spans="1:4" ht="14.45" x14ac:dyDescent="0.3">
      <c r="A1457">
        <v>10471</v>
      </c>
      <c r="B1457" t="s">
        <v>8768</v>
      </c>
      <c r="C1457" t="s">
        <v>5043</v>
      </c>
      <c r="D1457" t="s">
        <v>8401</v>
      </c>
    </row>
    <row r="1458" spans="1:4" ht="14.45" x14ac:dyDescent="0.3">
      <c r="A1458">
        <v>9690</v>
      </c>
      <c r="B1458" t="s">
        <v>10260</v>
      </c>
      <c r="C1458" t="s">
        <v>5043</v>
      </c>
      <c r="D1458" t="s">
        <v>8401</v>
      </c>
    </row>
    <row r="1459" spans="1:4" ht="14.45" x14ac:dyDescent="0.3">
      <c r="A1459">
        <v>9716</v>
      </c>
      <c r="B1459" t="s">
        <v>10261</v>
      </c>
      <c r="C1459" t="s">
        <v>5043</v>
      </c>
      <c r="D1459" t="s">
        <v>8401</v>
      </c>
    </row>
    <row r="1460" spans="1:4" ht="14.45" x14ac:dyDescent="0.3">
      <c r="A1460">
        <v>11673</v>
      </c>
      <c r="B1460" t="s">
        <v>10262</v>
      </c>
      <c r="C1460" t="s">
        <v>5043</v>
      </c>
      <c r="D1460" t="s">
        <v>8401</v>
      </c>
    </row>
    <row r="1461" spans="1:4" ht="14.45" x14ac:dyDescent="0.3">
      <c r="A1461">
        <v>8111</v>
      </c>
      <c r="B1461" t="s">
        <v>10263</v>
      </c>
      <c r="C1461" t="s">
        <v>5043</v>
      </c>
      <c r="D1461" t="s">
        <v>8401</v>
      </c>
    </row>
    <row r="1462" spans="1:4" ht="14.45" x14ac:dyDescent="0.3">
      <c r="A1462">
        <v>11664</v>
      </c>
      <c r="B1462" t="s">
        <v>10264</v>
      </c>
      <c r="C1462" t="s">
        <v>5043</v>
      </c>
      <c r="D1462" t="s">
        <v>8401</v>
      </c>
    </row>
    <row r="1463" spans="1:4" ht="14.45" x14ac:dyDescent="0.3">
      <c r="A1463">
        <v>8562</v>
      </c>
      <c r="B1463" t="s">
        <v>10264</v>
      </c>
      <c r="C1463" t="s">
        <v>5043</v>
      </c>
      <c r="D1463" t="s">
        <v>8401</v>
      </c>
    </row>
    <row r="1464" spans="1:4" ht="14.45" x14ac:dyDescent="0.3">
      <c r="A1464">
        <v>10522</v>
      </c>
      <c r="B1464" t="s">
        <v>10265</v>
      </c>
      <c r="C1464" t="s">
        <v>5043</v>
      </c>
      <c r="D1464" t="s">
        <v>8401</v>
      </c>
    </row>
    <row r="1465" spans="1:4" ht="14.45" x14ac:dyDescent="0.3">
      <c r="A1465">
        <v>7420</v>
      </c>
      <c r="B1465" t="s">
        <v>10265</v>
      </c>
      <c r="C1465" t="s">
        <v>5043</v>
      </c>
      <c r="D1465" t="s">
        <v>8401</v>
      </c>
    </row>
    <row r="1466" spans="1:4" ht="14.45" x14ac:dyDescent="0.3">
      <c r="A1466">
        <v>7720</v>
      </c>
      <c r="B1466" t="s">
        <v>10266</v>
      </c>
      <c r="C1466" t="s">
        <v>5043</v>
      </c>
      <c r="D1466" t="s">
        <v>8401</v>
      </c>
    </row>
    <row r="1467" spans="1:4" ht="14.45" x14ac:dyDescent="0.3">
      <c r="A1467">
        <v>8595</v>
      </c>
      <c r="B1467" t="s">
        <v>10266</v>
      </c>
      <c r="C1467" t="s">
        <v>5043</v>
      </c>
      <c r="D1467" t="s">
        <v>8401</v>
      </c>
    </row>
    <row r="1468" spans="1:4" ht="14.45" x14ac:dyDescent="0.3">
      <c r="A1468">
        <v>8607</v>
      </c>
      <c r="B1468" t="s">
        <v>10266</v>
      </c>
      <c r="C1468" t="s">
        <v>5043</v>
      </c>
      <c r="D1468" t="s">
        <v>8401</v>
      </c>
    </row>
    <row r="1469" spans="1:4" ht="14.45" x14ac:dyDescent="0.3">
      <c r="A1469">
        <v>9263</v>
      </c>
      <c r="B1469" t="s">
        <v>10266</v>
      </c>
      <c r="C1469" t="s">
        <v>5043</v>
      </c>
      <c r="D1469" t="s">
        <v>8401</v>
      </c>
    </row>
    <row r="1470" spans="1:4" ht="14.45" x14ac:dyDescent="0.3">
      <c r="A1470">
        <v>10156</v>
      </c>
      <c r="B1470" t="s">
        <v>10267</v>
      </c>
      <c r="C1470" t="s">
        <v>5043</v>
      </c>
      <c r="D1470" t="s">
        <v>8401</v>
      </c>
    </row>
    <row r="1471" spans="1:4" ht="14.45" x14ac:dyDescent="0.3">
      <c r="A1471">
        <v>8176</v>
      </c>
      <c r="B1471" t="s">
        <v>10267</v>
      </c>
      <c r="C1471" t="s">
        <v>5043</v>
      </c>
      <c r="D1471" t="s">
        <v>8401</v>
      </c>
    </row>
    <row r="1472" spans="1:4" ht="14.45" x14ac:dyDescent="0.3">
      <c r="A1472">
        <v>8494</v>
      </c>
      <c r="B1472" t="s">
        <v>10267</v>
      </c>
      <c r="C1472" t="s">
        <v>5043</v>
      </c>
      <c r="D1472" t="s">
        <v>8401</v>
      </c>
    </row>
    <row r="1473" spans="1:4" ht="14.45" x14ac:dyDescent="0.3">
      <c r="A1473">
        <v>10308</v>
      </c>
      <c r="B1473" t="s">
        <v>10268</v>
      </c>
      <c r="C1473" t="s">
        <v>5043</v>
      </c>
      <c r="D1473" t="s">
        <v>8401</v>
      </c>
    </row>
    <row r="1474" spans="1:4" ht="14.45" x14ac:dyDescent="0.3">
      <c r="A1474">
        <v>9934</v>
      </c>
      <c r="B1474" t="s">
        <v>10268</v>
      </c>
      <c r="C1474" t="s">
        <v>5043</v>
      </c>
      <c r="D1474" t="s">
        <v>8401</v>
      </c>
    </row>
    <row r="1475" spans="1:4" ht="14.45" x14ac:dyDescent="0.3">
      <c r="A1475">
        <v>9728</v>
      </c>
      <c r="B1475" t="s">
        <v>10269</v>
      </c>
      <c r="C1475" t="s">
        <v>5043</v>
      </c>
      <c r="D1475" t="s">
        <v>8401</v>
      </c>
    </row>
    <row r="1476" spans="1:4" ht="14.45" x14ac:dyDescent="0.3">
      <c r="A1476">
        <v>10005</v>
      </c>
      <c r="B1476" t="s">
        <v>10270</v>
      </c>
      <c r="C1476" t="s">
        <v>5043</v>
      </c>
      <c r="D1476" t="s">
        <v>8401</v>
      </c>
    </row>
    <row r="1477" spans="1:4" ht="14.45" x14ac:dyDescent="0.3">
      <c r="A1477">
        <v>11706</v>
      </c>
      <c r="B1477" t="s">
        <v>10271</v>
      </c>
      <c r="C1477" t="s">
        <v>5043</v>
      </c>
      <c r="D1477" t="s">
        <v>8401</v>
      </c>
    </row>
    <row r="1478" spans="1:4" ht="14.45" x14ac:dyDescent="0.3">
      <c r="A1478">
        <v>7484</v>
      </c>
      <c r="B1478" t="s">
        <v>10271</v>
      </c>
      <c r="C1478" t="s">
        <v>5043</v>
      </c>
      <c r="D1478" t="s">
        <v>8401</v>
      </c>
    </row>
    <row r="1479" spans="1:4" ht="14.45" x14ac:dyDescent="0.3">
      <c r="A1479">
        <v>6583</v>
      </c>
      <c r="B1479" t="s">
        <v>10272</v>
      </c>
      <c r="C1479" t="s">
        <v>5043</v>
      </c>
      <c r="D1479" t="s">
        <v>8401</v>
      </c>
    </row>
    <row r="1480" spans="1:4" ht="14.45" x14ac:dyDescent="0.3">
      <c r="A1480">
        <v>8698</v>
      </c>
      <c r="B1480" t="s">
        <v>10273</v>
      </c>
      <c r="C1480" t="s">
        <v>5043</v>
      </c>
      <c r="D1480" t="s">
        <v>8401</v>
      </c>
    </row>
    <row r="1481" spans="1:4" ht="14.45" x14ac:dyDescent="0.3">
      <c r="A1481">
        <v>10612</v>
      </c>
      <c r="B1481" t="s">
        <v>10274</v>
      </c>
      <c r="C1481" t="s">
        <v>5043</v>
      </c>
      <c r="D1481" t="s">
        <v>8401</v>
      </c>
    </row>
    <row r="1482" spans="1:4" ht="14.45" x14ac:dyDescent="0.3">
      <c r="A1482">
        <v>6506</v>
      </c>
      <c r="B1482" t="s">
        <v>10275</v>
      </c>
      <c r="C1482" t="s">
        <v>5043</v>
      </c>
      <c r="D1482" t="s">
        <v>8401</v>
      </c>
    </row>
    <row r="1483" spans="1:4" ht="14.45" x14ac:dyDescent="0.3">
      <c r="A1483">
        <v>11136</v>
      </c>
      <c r="B1483" t="s">
        <v>10276</v>
      </c>
      <c r="C1483" t="s">
        <v>5043</v>
      </c>
      <c r="D1483" t="s">
        <v>8401</v>
      </c>
    </row>
    <row r="1484" spans="1:4" ht="14.45" x14ac:dyDescent="0.3">
      <c r="A1484">
        <v>6505</v>
      </c>
      <c r="B1484" t="s">
        <v>10276</v>
      </c>
      <c r="C1484" t="s">
        <v>5043</v>
      </c>
      <c r="D1484" t="s">
        <v>8401</v>
      </c>
    </row>
    <row r="1485" spans="1:4" ht="14.45" x14ac:dyDescent="0.3">
      <c r="A1485">
        <v>10951</v>
      </c>
      <c r="B1485" t="s">
        <v>10277</v>
      </c>
      <c r="C1485" t="s">
        <v>5043</v>
      </c>
      <c r="D1485" t="s">
        <v>8401</v>
      </c>
    </row>
    <row r="1486" spans="1:4" ht="14.45" x14ac:dyDescent="0.3">
      <c r="A1486">
        <v>10348</v>
      </c>
      <c r="B1486" t="s">
        <v>10278</v>
      </c>
      <c r="C1486" t="s">
        <v>5043</v>
      </c>
      <c r="D1486" t="s">
        <v>8401</v>
      </c>
    </row>
    <row r="1487" spans="1:4" ht="14.45" x14ac:dyDescent="0.3">
      <c r="A1487">
        <v>8472</v>
      </c>
      <c r="B1487" t="s">
        <v>10278</v>
      </c>
      <c r="C1487" t="s">
        <v>5043</v>
      </c>
      <c r="D1487" t="s">
        <v>8401</v>
      </c>
    </row>
    <row r="1488" spans="1:4" ht="14.45" x14ac:dyDescent="0.3">
      <c r="A1488">
        <v>8558</v>
      </c>
      <c r="B1488" t="s">
        <v>10278</v>
      </c>
      <c r="C1488" t="s">
        <v>5043</v>
      </c>
      <c r="D1488" t="s">
        <v>8401</v>
      </c>
    </row>
    <row r="1489" spans="1:4" ht="14.45" x14ac:dyDescent="0.3">
      <c r="A1489">
        <v>8803</v>
      </c>
      <c r="B1489" t="s">
        <v>10278</v>
      </c>
      <c r="C1489" t="s">
        <v>5043</v>
      </c>
      <c r="D1489" t="s">
        <v>8401</v>
      </c>
    </row>
    <row r="1490" spans="1:4" ht="14.45" x14ac:dyDescent="0.3">
      <c r="A1490">
        <v>9923</v>
      </c>
      <c r="B1490" t="s">
        <v>10278</v>
      </c>
      <c r="C1490" t="s">
        <v>5043</v>
      </c>
      <c r="D1490" t="s">
        <v>8401</v>
      </c>
    </row>
    <row r="1491" spans="1:4" ht="14.45" x14ac:dyDescent="0.3">
      <c r="A1491">
        <v>10171</v>
      </c>
      <c r="B1491" t="s">
        <v>10279</v>
      </c>
      <c r="C1491" t="s">
        <v>5043</v>
      </c>
      <c r="D1491" t="s">
        <v>8401</v>
      </c>
    </row>
    <row r="1492" spans="1:4" ht="14.45" x14ac:dyDescent="0.3">
      <c r="A1492">
        <v>10658</v>
      </c>
      <c r="B1492" t="s">
        <v>10279</v>
      </c>
      <c r="C1492" t="s">
        <v>5043</v>
      </c>
      <c r="D1492" t="s">
        <v>8401</v>
      </c>
    </row>
    <row r="1493" spans="1:4" ht="14.45" x14ac:dyDescent="0.3">
      <c r="A1493">
        <v>10985</v>
      </c>
      <c r="B1493" t="s">
        <v>10279</v>
      </c>
      <c r="C1493" t="s">
        <v>5043</v>
      </c>
      <c r="D1493" t="s">
        <v>8401</v>
      </c>
    </row>
    <row r="1494" spans="1:4" ht="14.45" x14ac:dyDescent="0.3">
      <c r="A1494">
        <v>8277</v>
      </c>
      <c r="B1494" t="s">
        <v>10279</v>
      </c>
      <c r="C1494" t="s">
        <v>5043</v>
      </c>
      <c r="D1494" t="s">
        <v>8401</v>
      </c>
    </row>
    <row r="1495" spans="1:4" ht="14.45" x14ac:dyDescent="0.3">
      <c r="A1495">
        <v>8838</v>
      </c>
      <c r="B1495" t="s">
        <v>10279</v>
      </c>
      <c r="C1495" t="s">
        <v>5043</v>
      </c>
      <c r="D1495" t="s">
        <v>8401</v>
      </c>
    </row>
    <row r="1496" spans="1:4" ht="14.45" x14ac:dyDescent="0.3">
      <c r="A1496">
        <v>9662</v>
      </c>
      <c r="B1496" t="s">
        <v>10279</v>
      </c>
      <c r="C1496" t="s">
        <v>5043</v>
      </c>
      <c r="D1496" t="s">
        <v>8401</v>
      </c>
    </row>
    <row r="1497" spans="1:4" ht="14.45" x14ac:dyDescent="0.3">
      <c r="A1497">
        <v>10741</v>
      </c>
      <c r="B1497" t="s">
        <v>10280</v>
      </c>
      <c r="C1497" t="s">
        <v>5043</v>
      </c>
      <c r="D1497" t="s">
        <v>8401</v>
      </c>
    </row>
    <row r="1498" spans="1:4" ht="14.45" x14ac:dyDescent="0.3">
      <c r="A1498">
        <v>7623</v>
      </c>
      <c r="B1498" t="s">
        <v>10280</v>
      </c>
      <c r="C1498" t="s">
        <v>5043</v>
      </c>
      <c r="D1498" t="s">
        <v>8401</v>
      </c>
    </row>
    <row r="1499" spans="1:4" ht="14.45" x14ac:dyDescent="0.3">
      <c r="A1499">
        <v>9326</v>
      </c>
      <c r="B1499" t="s">
        <v>10280</v>
      </c>
      <c r="C1499" t="s">
        <v>5043</v>
      </c>
      <c r="D1499" t="s">
        <v>8401</v>
      </c>
    </row>
    <row r="1500" spans="1:4" ht="14.45" x14ac:dyDescent="0.3">
      <c r="A1500">
        <v>9765</v>
      </c>
      <c r="B1500" t="s">
        <v>10280</v>
      </c>
      <c r="C1500" t="s">
        <v>5043</v>
      </c>
      <c r="D1500" t="s">
        <v>8401</v>
      </c>
    </row>
    <row r="1501" spans="1:4" ht="14.45" x14ac:dyDescent="0.3">
      <c r="A1501">
        <v>6834</v>
      </c>
      <c r="B1501" t="s">
        <v>10281</v>
      </c>
      <c r="C1501" t="s">
        <v>5043</v>
      </c>
      <c r="D1501" t="s">
        <v>8401</v>
      </c>
    </row>
    <row r="1502" spans="1:4" ht="14.45" x14ac:dyDescent="0.3">
      <c r="A1502">
        <v>11091</v>
      </c>
      <c r="B1502" t="s">
        <v>10282</v>
      </c>
      <c r="C1502" t="s">
        <v>5043</v>
      </c>
      <c r="D1502" t="s">
        <v>8401</v>
      </c>
    </row>
    <row r="1503" spans="1:4" ht="14.45" x14ac:dyDescent="0.3">
      <c r="A1503">
        <v>6672</v>
      </c>
      <c r="B1503" t="s">
        <v>10283</v>
      </c>
      <c r="C1503" t="s">
        <v>5043</v>
      </c>
      <c r="D1503" t="s">
        <v>8401</v>
      </c>
    </row>
    <row r="1504" spans="1:4" ht="14.45" x14ac:dyDescent="0.3">
      <c r="A1504">
        <v>6839</v>
      </c>
      <c r="B1504" t="s">
        <v>10283</v>
      </c>
      <c r="C1504" t="s">
        <v>5043</v>
      </c>
      <c r="D1504" t="s">
        <v>8401</v>
      </c>
    </row>
    <row r="1505" spans="1:4" ht="14.45" x14ac:dyDescent="0.3">
      <c r="A1505">
        <v>7826</v>
      </c>
      <c r="B1505" t="s">
        <v>10283</v>
      </c>
      <c r="C1505" t="s">
        <v>5043</v>
      </c>
      <c r="D1505" t="s">
        <v>8401</v>
      </c>
    </row>
    <row r="1506" spans="1:4" ht="14.45" x14ac:dyDescent="0.3">
      <c r="A1506">
        <v>10710</v>
      </c>
      <c r="B1506" t="s">
        <v>10284</v>
      </c>
      <c r="C1506" t="s">
        <v>5043</v>
      </c>
      <c r="D1506" t="s">
        <v>8401</v>
      </c>
    </row>
    <row r="1507" spans="1:4" ht="14.45" x14ac:dyDescent="0.3">
      <c r="A1507">
        <v>6801</v>
      </c>
      <c r="B1507" t="s">
        <v>10285</v>
      </c>
      <c r="C1507" t="s">
        <v>5043</v>
      </c>
      <c r="D1507" t="s">
        <v>8401</v>
      </c>
    </row>
    <row r="1508" spans="1:4" ht="14.45" x14ac:dyDescent="0.3">
      <c r="A1508">
        <v>9525</v>
      </c>
      <c r="B1508" t="s">
        <v>10285</v>
      </c>
      <c r="C1508" t="s">
        <v>5043</v>
      </c>
      <c r="D1508" t="s">
        <v>8401</v>
      </c>
    </row>
    <row r="1509" spans="1:4" ht="14.45" x14ac:dyDescent="0.3">
      <c r="A1509">
        <v>11375</v>
      </c>
      <c r="B1509" t="s">
        <v>10286</v>
      </c>
      <c r="C1509" t="s">
        <v>5043</v>
      </c>
      <c r="D1509" t="s">
        <v>8401</v>
      </c>
    </row>
    <row r="1510" spans="1:4" ht="14.45" x14ac:dyDescent="0.3">
      <c r="A1510">
        <v>6971</v>
      </c>
      <c r="B1510" t="s">
        <v>10287</v>
      </c>
      <c r="C1510" t="s">
        <v>5043</v>
      </c>
      <c r="D1510" t="s">
        <v>8401</v>
      </c>
    </row>
    <row r="1511" spans="1:4" ht="14.45" x14ac:dyDescent="0.3">
      <c r="A1511">
        <v>11209</v>
      </c>
      <c r="B1511" t="s">
        <v>10288</v>
      </c>
      <c r="C1511" t="s">
        <v>5043</v>
      </c>
      <c r="D1511" t="s">
        <v>8401</v>
      </c>
    </row>
    <row r="1512" spans="1:4" ht="14.45" x14ac:dyDescent="0.3">
      <c r="A1512">
        <v>10445</v>
      </c>
      <c r="B1512" t="s">
        <v>10289</v>
      </c>
      <c r="C1512" t="s">
        <v>5043</v>
      </c>
      <c r="D1512" t="s">
        <v>8401</v>
      </c>
    </row>
    <row r="1513" spans="1:4" ht="14.45" x14ac:dyDescent="0.3">
      <c r="A1513">
        <v>10748</v>
      </c>
      <c r="B1513" t="s">
        <v>10289</v>
      </c>
      <c r="C1513" t="s">
        <v>5043</v>
      </c>
      <c r="D1513" t="s">
        <v>8401</v>
      </c>
    </row>
    <row r="1514" spans="1:4" ht="14.45" x14ac:dyDescent="0.3">
      <c r="A1514">
        <v>9250</v>
      </c>
      <c r="B1514" t="s">
        <v>10289</v>
      </c>
      <c r="C1514" t="s">
        <v>5043</v>
      </c>
      <c r="D1514" t="s">
        <v>8401</v>
      </c>
    </row>
    <row r="1515" spans="1:4" ht="14.45" x14ac:dyDescent="0.3">
      <c r="A1515">
        <v>11349</v>
      </c>
      <c r="B1515" t="s">
        <v>10290</v>
      </c>
      <c r="C1515" t="s">
        <v>5043</v>
      </c>
      <c r="D1515" t="s">
        <v>8401</v>
      </c>
    </row>
    <row r="1516" spans="1:4" ht="14.45" x14ac:dyDescent="0.3">
      <c r="A1516">
        <v>8291</v>
      </c>
      <c r="B1516" t="s">
        <v>10290</v>
      </c>
      <c r="C1516" t="s">
        <v>5043</v>
      </c>
      <c r="D1516" t="s">
        <v>8401</v>
      </c>
    </row>
    <row r="1517" spans="1:4" ht="14.45" x14ac:dyDescent="0.3">
      <c r="A1517">
        <v>11110</v>
      </c>
      <c r="B1517" t="s">
        <v>8769</v>
      </c>
      <c r="C1517" t="s">
        <v>5043</v>
      </c>
      <c r="D1517" t="s">
        <v>8401</v>
      </c>
    </row>
    <row r="1518" spans="1:4" ht="14.45" x14ac:dyDescent="0.3">
      <c r="A1518">
        <v>8186</v>
      </c>
      <c r="B1518" t="s">
        <v>8769</v>
      </c>
      <c r="C1518" t="s">
        <v>5043</v>
      </c>
      <c r="D1518" t="s">
        <v>8401</v>
      </c>
    </row>
    <row r="1519" spans="1:4" ht="14.45" x14ac:dyDescent="0.3">
      <c r="A1519">
        <v>10425</v>
      </c>
      <c r="B1519" t="s">
        <v>8770</v>
      </c>
      <c r="C1519" t="s">
        <v>5043</v>
      </c>
      <c r="D1519" t="s">
        <v>8401</v>
      </c>
    </row>
    <row r="1520" spans="1:4" ht="14.45" x14ac:dyDescent="0.3">
      <c r="A1520">
        <v>6955</v>
      </c>
      <c r="B1520" t="s">
        <v>8770</v>
      </c>
      <c r="C1520" t="s">
        <v>5043</v>
      </c>
      <c r="D1520" t="s">
        <v>8401</v>
      </c>
    </row>
    <row r="1521" spans="1:4" ht="14.45" x14ac:dyDescent="0.3">
      <c r="A1521">
        <v>7833</v>
      </c>
      <c r="B1521" t="s">
        <v>8770</v>
      </c>
      <c r="C1521" t="s">
        <v>5043</v>
      </c>
      <c r="D1521" t="s">
        <v>8401</v>
      </c>
    </row>
    <row r="1522" spans="1:4" ht="14.45" x14ac:dyDescent="0.3">
      <c r="A1522">
        <v>7877</v>
      </c>
      <c r="B1522" t="s">
        <v>8770</v>
      </c>
      <c r="C1522" t="s">
        <v>5043</v>
      </c>
      <c r="D1522" t="s">
        <v>8401</v>
      </c>
    </row>
    <row r="1523" spans="1:4" ht="14.45" x14ac:dyDescent="0.3">
      <c r="A1523">
        <v>9103</v>
      </c>
      <c r="B1523" t="s">
        <v>8770</v>
      </c>
      <c r="C1523" t="s">
        <v>5043</v>
      </c>
      <c r="D1523" t="s">
        <v>8401</v>
      </c>
    </row>
    <row r="1524" spans="1:4" ht="14.45" x14ac:dyDescent="0.3">
      <c r="A1524">
        <v>10962</v>
      </c>
      <c r="B1524" t="s">
        <v>10291</v>
      </c>
      <c r="C1524" t="s">
        <v>5043</v>
      </c>
      <c r="D1524" t="s">
        <v>8401</v>
      </c>
    </row>
    <row r="1525" spans="1:4" ht="14.45" x14ac:dyDescent="0.3">
      <c r="A1525">
        <v>10819</v>
      </c>
      <c r="B1525" t="s">
        <v>8771</v>
      </c>
      <c r="C1525" t="s">
        <v>5043</v>
      </c>
      <c r="D1525" t="s">
        <v>8401</v>
      </c>
    </row>
    <row r="1526" spans="1:4" ht="14.45" x14ac:dyDescent="0.3">
      <c r="A1526">
        <v>11482</v>
      </c>
      <c r="B1526" t="s">
        <v>8771</v>
      </c>
      <c r="C1526" t="s">
        <v>5043</v>
      </c>
      <c r="D1526" t="s">
        <v>8401</v>
      </c>
    </row>
    <row r="1527" spans="1:4" ht="14.45" x14ac:dyDescent="0.3">
      <c r="A1527">
        <v>7314</v>
      </c>
      <c r="B1527" t="s">
        <v>8771</v>
      </c>
      <c r="C1527" t="s">
        <v>5043</v>
      </c>
      <c r="D1527" t="s">
        <v>8401</v>
      </c>
    </row>
    <row r="1528" spans="1:4" ht="14.45" x14ac:dyDescent="0.3">
      <c r="A1528">
        <v>12679</v>
      </c>
      <c r="B1528" t="s">
        <v>11564</v>
      </c>
      <c r="C1528" t="s">
        <v>5043</v>
      </c>
      <c r="D1528" t="s">
        <v>8401</v>
      </c>
    </row>
    <row r="1529" spans="1:4" ht="14.45" x14ac:dyDescent="0.3">
      <c r="A1529">
        <v>10752</v>
      </c>
      <c r="B1529" t="s">
        <v>10292</v>
      </c>
      <c r="C1529" t="s">
        <v>5043</v>
      </c>
      <c r="D1529" t="s">
        <v>8401</v>
      </c>
    </row>
    <row r="1530" spans="1:4" ht="14.45" x14ac:dyDescent="0.3">
      <c r="A1530">
        <v>7028</v>
      </c>
      <c r="B1530" t="s">
        <v>10292</v>
      </c>
      <c r="C1530" t="s">
        <v>5043</v>
      </c>
      <c r="D1530" t="s">
        <v>8401</v>
      </c>
    </row>
    <row r="1531" spans="1:4" ht="14.45" x14ac:dyDescent="0.3">
      <c r="A1531">
        <v>7915</v>
      </c>
      <c r="B1531" t="s">
        <v>10292</v>
      </c>
      <c r="C1531" t="s">
        <v>5043</v>
      </c>
      <c r="D1531" t="s">
        <v>8401</v>
      </c>
    </row>
    <row r="1532" spans="1:4" ht="14.45" x14ac:dyDescent="0.3">
      <c r="A1532">
        <v>7959</v>
      </c>
      <c r="B1532" t="s">
        <v>10292</v>
      </c>
      <c r="C1532" t="s">
        <v>5043</v>
      </c>
      <c r="D1532" t="s">
        <v>8401</v>
      </c>
    </row>
    <row r="1533" spans="1:4" ht="14.45" x14ac:dyDescent="0.3">
      <c r="A1533">
        <v>8000</v>
      </c>
      <c r="B1533" t="s">
        <v>10292</v>
      </c>
      <c r="C1533" t="s">
        <v>5043</v>
      </c>
      <c r="D1533" t="s">
        <v>8401</v>
      </c>
    </row>
    <row r="1534" spans="1:4" ht="14.45" x14ac:dyDescent="0.3">
      <c r="A1534">
        <v>8018</v>
      </c>
      <c r="B1534" t="s">
        <v>10292</v>
      </c>
      <c r="C1534" t="s">
        <v>5043</v>
      </c>
      <c r="D1534" t="s">
        <v>8401</v>
      </c>
    </row>
    <row r="1535" spans="1:4" ht="14.45" x14ac:dyDescent="0.3">
      <c r="A1535">
        <v>8056</v>
      </c>
      <c r="B1535" t="s">
        <v>10292</v>
      </c>
      <c r="C1535" t="s">
        <v>5043</v>
      </c>
      <c r="D1535" t="s">
        <v>8401</v>
      </c>
    </row>
    <row r="1536" spans="1:4" ht="14.45" x14ac:dyDescent="0.3">
      <c r="A1536">
        <v>9448</v>
      </c>
      <c r="B1536" t="s">
        <v>10292</v>
      </c>
      <c r="C1536" t="s">
        <v>5043</v>
      </c>
      <c r="D1536" t="s">
        <v>8401</v>
      </c>
    </row>
    <row r="1537" spans="1:4" ht="14.45" x14ac:dyDescent="0.3">
      <c r="A1537">
        <v>9947</v>
      </c>
      <c r="B1537" t="s">
        <v>10293</v>
      </c>
      <c r="C1537" t="s">
        <v>5043</v>
      </c>
      <c r="D1537" t="s">
        <v>8401</v>
      </c>
    </row>
    <row r="1538" spans="1:4" ht="14.45" x14ac:dyDescent="0.3">
      <c r="A1538">
        <v>10523</v>
      </c>
      <c r="B1538" t="s">
        <v>8772</v>
      </c>
      <c r="C1538" t="s">
        <v>5043</v>
      </c>
      <c r="D1538" t="s">
        <v>8401</v>
      </c>
    </row>
    <row r="1539" spans="1:4" ht="14.45" x14ac:dyDescent="0.3">
      <c r="A1539">
        <v>8582</v>
      </c>
      <c r="B1539" t="s">
        <v>8773</v>
      </c>
      <c r="C1539" t="s">
        <v>5043</v>
      </c>
      <c r="D1539" t="s">
        <v>8401</v>
      </c>
    </row>
    <row r="1540" spans="1:4" ht="14.45" x14ac:dyDescent="0.3">
      <c r="A1540">
        <v>9539</v>
      </c>
      <c r="B1540" t="s">
        <v>8773</v>
      </c>
      <c r="C1540" t="s">
        <v>5043</v>
      </c>
      <c r="D1540" t="s">
        <v>8401</v>
      </c>
    </row>
    <row r="1541" spans="1:4" ht="14.45" x14ac:dyDescent="0.3">
      <c r="A1541">
        <v>10286</v>
      </c>
      <c r="B1541" t="s">
        <v>10294</v>
      </c>
      <c r="C1541" t="s">
        <v>5043</v>
      </c>
      <c r="D1541" t="s">
        <v>8401</v>
      </c>
    </row>
    <row r="1542" spans="1:4" ht="14.45" x14ac:dyDescent="0.3">
      <c r="A1542">
        <v>10386</v>
      </c>
      <c r="B1542" t="s">
        <v>10294</v>
      </c>
      <c r="C1542" t="s">
        <v>5043</v>
      </c>
      <c r="D1542" t="s">
        <v>8401</v>
      </c>
    </row>
    <row r="1543" spans="1:4" ht="14.45" x14ac:dyDescent="0.3">
      <c r="A1543">
        <v>11411</v>
      </c>
      <c r="B1543" t="s">
        <v>10294</v>
      </c>
      <c r="C1543" t="s">
        <v>5043</v>
      </c>
      <c r="D1543" t="s">
        <v>8401</v>
      </c>
    </row>
    <row r="1544" spans="1:4" ht="14.45" x14ac:dyDescent="0.3">
      <c r="A1544">
        <v>11561</v>
      </c>
      <c r="B1544" t="s">
        <v>10294</v>
      </c>
      <c r="C1544" t="s">
        <v>5043</v>
      </c>
      <c r="D1544" t="s">
        <v>8401</v>
      </c>
    </row>
    <row r="1545" spans="1:4" ht="14.45" x14ac:dyDescent="0.3">
      <c r="A1545">
        <v>7778</v>
      </c>
      <c r="B1545" t="s">
        <v>10294</v>
      </c>
      <c r="C1545" t="s">
        <v>5043</v>
      </c>
      <c r="D1545" t="s">
        <v>8401</v>
      </c>
    </row>
    <row r="1546" spans="1:4" ht="14.45" x14ac:dyDescent="0.3">
      <c r="A1546">
        <v>8201</v>
      </c>
      <c r="B1546" t="s">
        <v>10294</v>
      </c>
      <c r="C1546" t="s">
        <v>5043</v>
      </c>
      <c r="D1546" t="s">
        <v>8401</v>
      </c>
    </row>
    <row r="1547" spans="1:4" ht="14.45" x14ac:dyDescent="0.3">
      <c r="A1547">
        <v>8248</v>
      </c>
      <c r="B1547" t="s">
        <v>10294</v>
      </c>
      <c r="C1547" t="s">
        <v>5043</v>
      </c>
      <c r="D1547" t="s">
        <v>8401</v>
      </c>
    </row>
    <row r="1548" spans="1:4" ht="14.45" x14ac:dyDescent="0.3">
      <c r="A1548">
        <v>8440</v>
      </c>
      <c r="B1548" t="s">
        <v>10294</v>
      </c>
      <c r="C1548" t="s">
        <v>5043</v>
      </c>
      <c r="D1548" t="s">
        <v>8401</v>
      </c>
    </row>
    <row r="1549" spans="1:4" ht="14.45" x14ac:dyDescent="0.3">
      <c r="A1549">
        <v>8628</v>
      </c>
      <c r="B1549" t="s">
        <v>10294</v>
      </c>
      <c r="C1549" t="s">
        <v>5043</v>
      </c>
      <c r="D1549" t="s">
        <v>8401</v>
      </c>
    </row>
    <row r="1550" spans="1:4" ht="14.45" x14ac:dyDescent="0.3">
      <c r="A1550">
        <v>9790</v>
      </c>
      <c r="B1550" t="s">
        <v>10294</v>
      </c>
      <c r="C1550" t="s">
        <v>5043</v>
      </c>
      <c r="D1550" t="s">
        <v>8401</v>
      </c>
    </row>
    <row r="1551" spans="1:4" ht="14.45" x14ac:dyDescent="0.3">
      <c r="A1551">
        <v>10539</v>
      </c>
      <c r="B1551" t="s">
        <v>8774</v>
      </c>
      <c r="C1551" t="s">
        <v>5043</v>
      </c>
      <c r="D1551" t="s">
        <v>8401</v>
      </c>
    </row>
    <row r="1552" spans="1:4" ht="14.45" x14ac:dyDescent="0.3">
      <c r="A1552">
        <v>6994</v>
      </c>
      <c r="B1552" t="s">
        <v>8774</v>
      </c>
      <c r="C1552" t="s">
        <v>5043</v>
      </c>
      <c r="D1552" t="s">
        <v>8401</v>
      </c>
    </row>
    <row r="1553" spans="1:4" ht="14.45" x14ac:dyDescent="0.3">
      <c r="A1553">
        <v>11499</v>
      </c>
      <c r="B1553" t="s">
        <v>8775</v>
      </c>
      <c r="C1553" t="s">
        <v>5043</v>
      </c>
      <c r="D1553" t="s">
        <v>8401</v>
      </c>
    </row>
    <row r="1554" spans="1:4" ht="14.45" x14ac:dyDescent="0.3">
      <c r="A1554">
        <v>7758</v>
      </c>
      <c r="B1554" t="s">
        <v>8775</v>
      </c>
      <c r="C1554" t="s">
        <v>5043</v>
      </c>
      <c r="D1554" t="s">
        <v>8401</v>
      </c>
    </row>
    <row r="1555" spans="1:4" ht="14.45" x14ac:dyDescent="0.3">
      <c r="A1555">
        <v>10062</v>
      </c>
      <c r="B1555" t="s">
        <v>10295</v>
      </c>
      <c r="C1555" t="s">
        <v>5043</v>
      </c>
      <c r="D1555" t="s">
        <v>8401</v>
      </c>
    </row>
    <row r="1556" spans="1:4" ht="14.45" x14ac:dyDescent="0.3">
      <c r="A1556">
        <v>10397</v>
      </c>
      <c r="B1556" t="s">
        <v>10295</v>
      </c>
      <c r="C1556" t="s">
        <v>5043</v>
      </c>
      <c r="D1556" t="s">
        <v>8401</v>
      </c>
    </row>
    <row r="1557" spans="1:4" ht="14.45" x14ac:dyDescent="0.3">
      <c r="A1557">
        <v>10745</v>
      </c>
      <c r="B1557" t="s">
        <v>10295</v>
      </c>
      <c r="C1557" t="s">
        <v>5043</v>
      </c>
      <c r="D1557" t="s">
        <v>8401</v>
      </c>
    </row>
    <row r="1558" spans="1:4" ht="14.45" x14ac:dyDescent="0.3">
      <c r="A1558">
        <v>10972</v>
      </c>
      <c r="B1558" t="s">
        <v>10295</v>
      </c>
      <c r="C1558" t="s">
        <v>5043</v>
      </c>
      <c r="D1558" t="s">
        <v>8401</v>
      </c>
    </row>
    <row r="1559" spans="1:4" ht="14.45" x14ac:dyDescent="0.3">
      <c r="A1559">
        <v>11147</v>
      </c>
      <c r="B1559" t="s">
        <v>10295</v>
      </c>
      <c r="C1559" t="s">
        <v>5043</v>
      </c>
      <c r="D1559" t="s">
        <v>8401</v>
      </c>
    </row>
    <row r="1560" spans="1:4" ht="14.45" x14ac:dyDescent="0.3">
      <c r="A1560">
        <v>11218</v>
      </c>
      <c r="B1560" t="s">
        <v>10295</v>
      </c>
      <c r="C1560" t="s">
        <v>5043</v>
      </c>
      <c r="D1560" t="s">
        <v>8401</v>
      </c>
    </row>
    <row r="1561" spans="1:4" ht="14.45" x14ac:dyDescent="0.3">
      <c r="A1561">
        <v>11572</v>
      </c>
      <c r="B1561" t="s">
        <v>10295</v>
      </c>
      <c r="C1561" t="s">
        <v>5043</v>
      </c>
      <c r="D1561" t="s">
        <v>8401</v>
      </c>
    </row>
    <row r="1562" spans="1:4" ht="14.45" x14ac:dyDescent="0.3">
      <c r="A1562">
        <v>7099</v>
      </c>
      <c r="B1562" t="s">
        <v>10295</v>
      </c>
      <c r="C1562" t="s">
        <v>5043</v>
      </c>
      <c r="D1562" t="s">
        <v>8401</v>
      </c>
    </row>
    <row r="1563" spans="1:4" ht="14.45" x14ac:dyDescent="0.3">
      <c r="A1563">
        <v>7374</v>
      </c>
      <c r="B1563" t="s">
        <v>10295</v>
      </c>
      <c r="C1563" t="s">
        <v>5043</v>
      </c>
      <c r="D1563" t="s">
        <v>8401</v>
      </c>
    </row>
    <row r="1564" spans="1:4" ht="14.45" x14ac:dyDescent="0.3">
      <c r="A1564">
        <v>7485</v>
      </c>
      <c r="B1564" t="s">
        <v>10295</v>
      </c>
      <c r="C1564" t="s">
        <v>5043</v>
      </c>
      <c r="D1564" t="s">
        <v>8401</v>
      </c>
    </row>
    <row r="1565" spans="1:4" ht="14.45" x14ac:dyDescent="0.3">
      <c r="A1565">
        <v>8065</v>
      </c>
      <c r="B1565" t="s">
        <v>10295</v>
      </c>
      <c r="C1565" t="s">
        <v>5043</v>
      </c>
      <c r="D1565" t="s">
        <v>8401</v>
      </c>
    </row>
    <row r="1566" spans="1:4" ht="14.45" x14ac:dyDescent="0.3">
      <c r="A1566">
        <v>8998</v>
      </c>
      <c r="B1566" t="s">
        <v>10295</v>
      </c>
      <c r="C1566" t="s">
        <v>5043</v>
      </c>
      <c r="D1566" t="s">
        <v>8401</v>
      </c>
    </row>
    <row r="1567" spans="1:4" ht="14.45" x14ac:dyDescent="0.3">
      <c r="A1567">
        <v>9004</v>
      </c>
      <c r="B1567" t="s">
        <v>10295</v>
      </c>
      <c r="C1567" t="s">
        <v>5043</v>
      </c>
      <c r="D1567" t="s">
        <v>8401</v>
      </c>
    </row>
    <row r="1568" spans="1:4" ht="14.45" x14ac:dyDescent="0.3">
      <c r="A1568">
        <v>9178</v>
      </c>
      <c r="B1568" t="s">
        <v>10295</v>
      </c>
      <c r="C1568" t="s">
        <v>5043</v>
      </c>
      <c r="D1568" t="s">
        <v>8401</v>
      </c>
    </row>
    <row r="1569" spans="1:4" ht="14.45" x14ac:dyDescent="0.3">
      <c r="A1569">
        <v>9468</v>
      </c>
      <c r="B1569" t="s">
        <v>10295</v>
      </c>
      <c r="C1569" t="s">
        <v>5043</v>
      </c>
      <c r="D1569" t="s">
        <v>8401</v>
      </c>
    </row>
    <row r="1570" spans="1:4" ht="14.45" x14ac:dyDescent="0.3">
      <c r="A1570">
        <v>10072</v>
      </c>
      <c r="B1570" t="s">
        <v>10296</v>
      </c>
      <c r="C1570" t="s">
        <v>5043</v>
      </c>
      <c r="D1570" t="s">
        <v>8401</v>
      </c>
    </row>
    <row r="1571" spans="1:4" ht="14.45" x14ac:dyDescent="0.3">
      <c r="A1571">
        <v>8447</v>
      </c>
      <c r="B1571" t="s">
        <v>10296</v>
      </c>
      <c r="C1571" t="s">
        <v>5043</v>
      </c>
      <c r="D1571" t="s">
        <v>8401</v>
      </c>
    </row>
    <row r="1572" spans="1:4" ht="14.45" x14ac:dyDescent="0.3">
      <c r="A1572">
        <v>8785</v>
      </c>
      <c r="B1572" t="s">
        <v>10296</v>
      </c>
      <c r="C1572" t="s">
        <v>5043</v>
      </c>
      <c r="D1572" t="s">
        <v>8401</v>
      </c>
    </row>
    <row r="1573" spans="1:4" ht="14.45" x14ac:dyDescent="0.3">
      <c r="A1573">
        <v>11609</v>
      </c>
      <c r="B1573" t="s">
        <v>8776</v>
      </c>
      <c r="C1573" t="s">
        <v>5043</v>
      </c>
      <c r="D1573" t="s">
        <v>8401</v>
      </c>
    </row>
    <row r="1574" spans="1:4" ht="14.45" x14ac:dyDescent="0.3">
      <c r="A1574">
        <v>7023</v>
      </c>
      <c r="B1574" t="s">
        <v>10297</v>
      </c>
      <c r="C1574" t="s">
        <v>5043</v>
      </c>
      <c r="D1574" t="s">
        <v>8401</v>
      </c>
    </row>
    <row r="1575" spans="1:4" ht="14.45" x14ac:dyDescent="0.3">
      <c r="A1575">
        <v>10006</v>
      </c>
      <c r="B1575" t="s">
        <v>8777</v>
      </c>
      <c r="C1575" t="s">
        <v>5043</v>
      </c>
      <c r="D1575" t="s">
        <v>8401</v>
      </c>
    </row>
    <row r="1576" spans="1:4" ht="14.45" x14ac:dyDescent="0.3">
      <c r="A1576">
        <v>10484</v>
      </c>
      <c r="B1576" t="s">
        <v>8777</v>
      </c>
      <c r="C1576" t="s">
        <v>5043</v>
      </c>
      <c r="D1576" t="s">
        <v>8401</v>
      </c>
    </row>
    <row r="1577" spans="1:4" ht="14.45" x14ac:dyDescent="0.3">
      <c r="A1577">
        <v>11093</v>
      </c>
      <c r="B1577" t="s">
        <v>8777</v>
      </c>
      <c r="C1577" t="s">
        <v>5043</v>
      </c>
      <c r="D1577" t="s">
        <v>8401</v>
      </c>
    </row>
    <row r="1578" spans="1:4" ht="14.45" x14ac:dyDescent="0.3">
      <c r="A1578">
        <v>6713</v>
      </c>
      <c r="B1578" t="s">
        <v>8777</v>
      </c>
      <c r="C1578" t="s">
        <v>5043</v>
      </c>
      <c r="D1578" t="s">
        <v>8401</v>
      </c>
    </row>
    <row r="1579" spans="1:4" ht="14.45" x14ac:dyDescent="0.3">
      <c r="A1579">
        <v>6916</v>
      </c>
      <c r="B1579" t="s">
        <v>8777</v>
      </c>
      <c r="C1579" t="s">
        <v>5043</v>
      </c>
      <c r="D1579" t="s">
        <v>8401</v>
      </c>
    </row>
    <row r="1580" spans="1:4" ht="14.45" x14ac:dyDescent="0.3">
      <c r="A1580">
        <v>8260</v>
      </c>
      <c r="B1580" t="s">
        <v>8777</v>
      </c>
      <c r="C1580" t="s">
        <v>5043</v>
      </c>
      <c r="D1580" t="s">
        <v>8401</v>
      </c>
    </row>
    <row r="1581" spans="1:4" ht="14.45" x14ac:dyDescent="0.3">
      <c r="A1581">
        <v>9137</v>
      </c>
      <c r="B1581" t="s">
        <v>8777</v>
      </c>
      <c r="C1581" t="s">
        <v>5043</v>
      </c>
      <c r="D1581" t="s">
        <v>8401</v>
      </c>
    </row>
    <row r="1582" spans="1:4" ht="14.45" x14ac:dyDescent="0.3">
      <c r="A1582">
        <v>6556</v>
      </c>
      <c r="B1582" t="s">
        <v>8778</v>
      </c>
      <c r="C1582" t="s">
        <v>5043</v>
      </c>
      <c r="D1582" t="s">
        <v>8401</v>
      </c>
    </row>
    <row r="1583" spans="1:4" ht="14.45" x14ac:dyDescent="0.3">
      <c r="A1583">
        <v>7541</v>
      </c>
      <c r="B1583" t="s">
        <v>8778</v>
      </c>
      <c r="C1583" t="s">
        <v>5043</v>
      </c>
      <c r="D1583" t="s">
        <v>8401</v>
      </c>
    </row>
    <row r="1584" spans="1:4" ht="14.45" x14ac:dyDescent="0.3">
      <c r="A1584">
        <v>8039</v>
      </c>
      <c r="B1584" t="s">
        <v>8778</v>
      </c>
      <c r="C1584" t="s">
        <v>5043</v>
      </c>
      <c r="D1584" t="s">
        <v>8401</v>
      </c>
    </row>
    <row r="1585" spans="1:4" ht="14.45" x14ac:dyDescent="0.3">
      <c r="A1585">
        <v>8355</v>
      </c>
      <c r="B1585" t="s">
        <v>8778</v>
      </c>
      <c r="C1585" t="s">
        <v>5043</v>
      </c>
      <c r="D1585" t="s">
        <v>8401</v>
      </c>
    </row>
    <row r="1586" spans="1:4" ht="14.45" x14ac:dyDescent="0.3">
      <c r="A1586">
        <v>7670</v>
      </c>
      <c r="B1586" t="s">
        <v>10298</v>
      </c>
      <c r="C1586" t="s">
        <v>5043</v>
      </c>
      <c r="D1586" t="s">
        <v>8401</v>
      </c>
    </row>
    <row r="1587" spans="1:4" ht="14.45" x14ac:dyDescent="0.3">
      <c r="A1587">
        <v>8287</v>
      </c>
      <c r="B1587" t="s">
        <v>10299</v>
      </c>
      <c r="C1587" t="s">
        <v>5043</v>
      </c>
      <c r="D1587" t="s">
        <v>8401</v>
      </c>
    </row>
    <row r="1588" spans="1:4" ht="14.45" x14ac:dyDescent="0.3">
      <c r="A1588">
        <v>7105</v>
      </c>
      <c r="B1588" t="s">
        <v>10300</v>
      </c>
      <c r="C1588" t="s">
        <v>5043</v>
      </c>
      <c r="D1588" t="s">
        <v>8401</v>
      </c>
    </row>
    <row r="1589" spans="1:4" ht="14.45" x14ac:dyDescent="0.3">
      <c r="A1589">
        <v>6941</v>
      </c>
      <c r="B1589" t="s">
        <v>10301</v>
      </c>
      <c r="C1589" t="s">
        <v>5043</v>
      </c>
      <c r="D1589" t="s">
        <v>8401</v>
      </c>
    </row>
    <row r="1590" spans="1:4" ht="14.45" x14ac:dyDescent="0.3">
      <c r="A1590">
        <v>10790</v>
      </c>
      <c r="B1590" t="s">
        <v>10302</v>
      </c>
      <c r="C1590" t="s">
        <v>5043</v>
      </c>
      <c r="D1590" t="s">
        <v>8401</v>
      </c>
    </row>
    <row r="1591" spans="1:4" ht="14.45" x14ac:dyDescent="0.3">
      <c r="A1591">
        <v>9438</v>
      </c>
      <c r="B1591" t="s">
        <v>8779</v>
      </c>
      <c r="C1591" t="s">
        <v>5043</v>
      </c>
      <c r="D1591" t="s">
        <v>8401</v>
      </c>
    </row>
    <row r="1592" spans="1:4" ht="14.45" x14ac:dyDescent="0.3">
      <c r="A1592">
        <v>10618</v>
      </c>
      <c r="B1592" t="s">
        <v>8780</v>
      </c>
      <c r="C1592" t="s">
        <v>5043</v>
      </c>
      <c r="D1592" t="s">
        <v>8401</v>
      </c>
    </row>
    <row r="1593" spans="1:4" ht="14.45" x14ac:dyDescent="0.3">
      <c r="A1593">
        <v>7430</v>
      </c>
      <c r="B1593" t="s">
        <v>8781</v>
      </c>
      <c r="C1593" t="s">
        <v>5043</v>
      </c>
      <c r="D1593" t="s">
        <v>8401</v>
      </c>
    </row>
    <row r="1594" spans="1:4" ht="14.45" x14ac:dyDescent="0.3">
      <c r="A1594">
        <v>7706</v>
      </c>
      <c r="B1594" t="s">
        <v>8782</v>
      </c>
      <c r="C1594" t="s">
        <v>5043</v>
      </c>
      <c r="D1594" t="s">
        <v>8401</v>
      </c>
    </row>
    <row r="1595" spans="1:4" ht="14.45" x14ac:dyDescent="0.3">
      <c r="A1595">
        <v>8247</v>
      </c>
      <c r="B1595" t="s">
        <v>8783</v>
      </c>
      <c r="C1595" t="s">
        <v>5043</v>
      </c>
      <c r="D1595" t="s">
        <v>8401</v>
      </c>
    </row>
    <row r="1596" spans="1:4" ht="14.45" x14ac:dyDescent="0.3">
      <c r="A1596">
        <v>11120</v>
      </c>
      <c r="B1596" t="s">
        <v>8784</v>
      </c>
      <c r="C1596" t="s">
        <v>5043</v>
      </c>
      <c r="D1596" t="s">
        <v>8401</v>
      </c>
    </row>
    <row r="1597" spans="1:4" ht="14.45" x14ac:dyDescent="0.3">
      <c r="A1597">
        <v>10299</v>
      </c>
      <c r="B1597" t="s">
        <v>8785</v>
      </c>
      <c r="C1597" t="s">
        <v>5043</v>
      </c>
      <c r="D1597" t="s">
        <v>8401</v>
      </c>
    </row>
    <row r="1598" spans="1:4" ht="14.45" x14ac:dyDescent="0.3">
      <c r="A1598">
        <v>8724</v>
      </c>
      <c r="B1598" t="s">
        <v>8786</v>
      </c>
      <c r="C1598" t="s">
        <v>5043</v>
      </c>
      <c r="D1598" t="s">
        <v>8401</v>
      </c>
    </row>
    <row r="1599" spans="1:4" ht="14.45" x14ac:dyDescent="0.3">
      <c r="A1599">
        <v>11520</v>
      </c>
      <c r="B1599" t="s">
        <v>8787</v>
      </c>
      <c r="C1599" t="s">
        <v>5043</v>
      </c>
      <c r="D1599" t="s">
        <v>8401</v>
      </c>
    </row>
    <row r="1600" spans="1:4" ht="14.45" x14ac:dyDescent="0.3">
      <c r="A1600">
        <v>6987</v>
      </c>
      <c r="B1600" t="s">
        <v>10303</v>
      </c>
      <c r="C1600" t="s">
        <v>5043</v>
      </c>
      <c r="D1600" t="s">
        <v>8401</v>
      </c>
    </row>
    <row r="1601" spans="1:4" ht="14.45" x14ac:dyDescent="0.3">
      <c r="A1601">
        <v>7014</v>
      </c>
      <c r="B1601" t="s">
        <v>8788</v>
      </c>
      <c r="C1601" t="s">
        <v>5043</v>
      </c>
      <c r="D1601" t="s">
        <v>8401</v>
      </c>
    </row>
    <row r="1602" spans="1:4" ht="14.45" x14ac:dyDescent="0.3">
      <c r="A1602">
        <v>7748</v>
      </c>
      <c r="B1602" t="s">
        <v>8789</v>
      </c>
      <c r="C1602" t="s">
        <v>5043</v>
      </c>
      <c r="D1602" t="s">
        <v>8401</v>
      </c>
    </row>
    <row r="1603" spans="1:4" ht="14.45" x14ac:dyDescent="0.3">
      <c r="A1603">
        <v>10221</v>
      </c>
      <c r="B1603" t="s">
        <v>8790</v>
      </c>
      <c r="C1603" t="s">
        <v>5043</v>
      </c>
      <c r="D1603" t="s">
        <v>8401</v>
      </c>
    </row>
    <row r="1604" spans="1:4" ht="14.45" x14ac:dyDescent="0.3">
      <c r="A1604">
        <v>7972</v>
      </c>
      <c r="B1604" t="s">
        <v>8790</v>
      </c>
      <c r="C1604" t="s">
        <v>5043</v>
      </c>
      <c r="D1604" t="s">
        <v>8401</v>
      </c>
    </row>
    <row r="1605" spans="1:4" ht="14.45" x14ac:dyDescent="0.3">
      <c r="A1605">
        <v>11442</v>
      </c>
      <c r="B1605" t="s">
        <v>10304</v>
      </c>
      <c r="C1605" t="s">
        <v>5043</v>
      </c>
      <c r="D1605" t="s">
        <v>8401</v>
      </c>
    </row>
    <row r="1606" spans="1:4" ht="14.45" x14ac:dyDescent="0.3">
      <c r="A1606">
        <v>11573</v>
      </c>
      <c r="B1606" t="s">
        <v>10304</v>
      </c>
      <c r="C1606" t="s">
        <v>5043</v>
      </c>
      <c r="D1606" t="s">
        <v>8401</v>
      </c>
    </row>
    <row r="1607" spans="1:4" ht="14.45" x14ac:dyDescent="0.3">
      <c r="A1607">
        <v>9592</v>
      </c>
      <c r="B1607" t="s">
        <v>10304</v>
      </c>
      <c r="C1607" t="s">
        <v>5043</v>
      </c>
      <c r="D1607" t="s">
        <v>8401</v>
      </c>
    </row>
    <row r="1608" spans="1:4" ht="14.45" x14ac:dyDescent="0.3">
      <c r="A1608">
        <v>10414</v>
      </c>
      <c r="B1608" t="s">
        <v>10305</v>
      </c>
      <c r="C1608" t="s">
        <v>5043</v>
      </c>
      <c r="D1608" t="s">
        <v>8401</v>
      </c>
    </row>
    <row r="1609" spans="1:4" ht="14.45" x14ac:dyDescent="0.3">
      <c r="A1609">
        <v>6755</v>
      </c>
      <c r="B1609" t="s">
        <v>10305</v>
      </c>
      <c r="C1609" t="s">
        <v>5043</v>
      </c>
      <c r="D1609" t="s">
        <v>8401</v>
      </c>
    </row>
    <row r="1610" spans="1:4" ht="14.45" x14ac:dyDescent="0.3">
      <c r="A1610">
        <v>7271</v>
      </c>
      <c r="B1610" t="s">
        <v>10305</v>
      </c>
      <c r="C1610" t="s">
        <v>5043</v>
      </c>
      <c r="D1610" t="s">
        <v>8401</v>
      </c>
    </row>
    <row r="1611" spans="1:4" ht="14.45" x14ac:dyDescent="0.3">
      <c r="A1611">
        <v>10344</v>
      </c>
      <c r="B1611" t="s">
        <v>8791</v>
      </c>
      <c r="C1611" t="s">
        <v>5043</v>
      </c>
      <c r="D1611" t="s">
        <v>8401</v>
      </c>
    </row>
    <row r="1612" spans="1:4" ht="14.45" x14ac:dyDescent="0.3">
      <c r="A1612">
        <v>11475</v>
      </c>
      <c r="B1612" t="s">
        <v>8791</v>
      </c>
      <c r="C1612" t="s">
        <v>5043</v>
      </c>
      <c r="D1612" t="s">
        <v>8401</v>
      </c>
    </row>
    <row r="1613" spans="1:4" ht="14.45" x14ac:dyDescent="0.3">
      <c r="A1613">
        <v>7143</v>
      </c>
      <c r="B1613" t="s">
        <v>8791</v>
      </c>
      <c r="C1613" t="s">
        <v>5043</v>
      </c>
      <c r="D1613" t="s">
        <v>8401</v>
      </c>
    </row>
    <row r="1614" spans="1:4" ht="14.45" x14ac:dyDescent="0.3">
      <c r="A1614">
        <v>7802</v>
      </c>
      <c r="B1614" t="s">
        <v>8791</v>
      </c>
      <c r="C1614" t="s">
        <v>5043</v>
      </c>
      <c r="D1614" t="s">
        <v>8401</v>
      </c>
    </row>
    <row r="1615" spans="1:4" ht="14.45" x14ac:dyDescent="0.3">
      <c r="A1615">
        <v>8412</v>
      </c>
      <c r="B1615" t="s">
        <v>8791</v>
      </c>
      <c r="C1615" t="s">
        <v>5043</v>
      </c>
      <c r="D1615" t="s">
        <v>8401</v>
      </c>
    </row>
    <row r="1616" spans="1:4" ht="14.45" x14ac:dyDescent="0.3">
      <c r="A1616">
        <v>8696</v>
      </c>
      <c r="B1616" t="s">
        <v>8791</v>
      </c>
      <c r="C1616" t="s">
        <v>5043</v>
      </c>
      <c r="D1616" t="s">
        <v>8401</v>
      </c>
    </row>
    <row r="1617" spans="1:4" ht="14.45" x14ac:dyDescent="0.3">
      <c r="A1617">
        <v>9213</v>
      </c>
      <c r="B1617" t="s">
        <v>8791</v>
      </c>
      <c r="C1617" t="s">
        <v>5043</v>
      </c>
      <c r="D1617" t="s">
        <v>8401</v>
      </c>
    </row>
    <row r="1618" spans="1:4" ht="14.45" x14ac:dyDescent="0.3">
      <c r="A1618">
        <v>9321</v>
      </c>
      <c r="B1618" t="s">
        <v>8792</v>
      </c>
      <c r="C1618" t="s">
        <v>5043</v>
      </c>
      <c r="D1618" t="s">
        <v>8401</v>
      </c>
    </row>
    <row r="1619" spans="1:4" ht="14.45" x14ac:dyDescent="0.3">
      <c r="A1619">
        <v>10698</v>
      </c>
      <c r="B1619" t="s">
        <v>8793</v>
      </c>
      <c r="C1619" t="s">
        <v>5043</v>
      </c>
      <c r="D1619" t="s">
        <v>8401</v>
      </c>
    </row>
    <row r="1620" spans="1:4" ht="14.45" x14ac:dyDescent="0.3">
      <c r="A1620">
        <v>10580</v>
      </c>
      <c r="B1620" t="s">
        <v>10306</v>
      </c>
      <c r="C1620" t="s">
        <v>5043</v>
      </c>
      <c r="D1620" t="s">
        <v>8401</v>
      </c>
    </row>
    <row r="1621" spans="1:4" ht="14.45" x14ac:dyDescent="0.3">
      <c r="A1621">
        <v>9264</v>
      </c>
      <c r="B1621" t="s">
        <v>10306</v>
      </c>
      <c r="C1621" t="s">
        <v>5043</v>
      </c>
      <c r="D1621" t="s">
        <v>8401</v>
      </c>
    </row>
    <row r="1622" spans="1:4" ht="14.45" x14ac:dyDescent="0.3">
      <c r="A1622">
        <v>7355</v>
      </c>
      <c r="B1622" t="s">
        <v>8794</v>
      </c>
      <c r="C1622" t="s">
        <v>5043</v>
      </c>
      <c r="D1622" t="s">
        <v>8401</v>
      </c>
    </row>
    <row r="1623" spans="1:4" ht="14.45" x14ac:dyDescent="0.3">
      <c r="A1623">
        <v>9495</v>
      </c>
      <c r="B1623" t="s">
        <v>10307</v>
      </c>
      <c r="C1623" t="s">
        <v>5043</v>
      </c>
      <c r="D1623" t="s">
        <v>8401</v>
      </c>
    </row>
    <row r="1624" spans="1:4" ht="14.45" x14ac:dyDescent="0.3">
      <c r="A1624">
        <v>9698</v>
      </c>
      <c r="B1624" t="s">
        <v>10307</v>
      </c>
      <c r="C1624" t="s">
        <v>5043</v>
      </c>
      <c r="D1624" t="s">
        <v>8401</v>
      </c>
    </row>
    <row r="1625" spans="1:4" ht="14.45" x14ac:dyDescent="0.3">
      <c r="A1625">
        <v>10808</v>
      </c>
      <c r="B1625" t="s">
        <v>10308</v>
      </c>
      <c r="C1625" t="s">
        <v>5043</v>
      </c>
      <c r="D1625" t="s">
        <v>8401</v>
      </c>
    </row>
    <row r="1626" spans="1:4" ht="14.45" x14ac:dyDescent="0.3">
      <c r="A1626">
        <v>11713</v>
      </c>
      <c r="B1626" t="s">
        <v>10308</v>
      </c>
      <c r="C1626" t="s">
        <v>5043</v>
      </c>
      <c r="D1626" t="s">
        <v>8401</v>
      </c>
    </row>
    <row r="1627" spans="1:4" ht="14.45" x14ac:dyDescent="0.3">
      <c r="A1627">
        <v>7173</v>
      </c>
      <c r="B1627" t="s">
        <v>10308</v>
      </c>
      <c r="C1627" t="s">
        <v>5043</v>
      </c>
      <c r="D1627" t="s">
        <v>8401</v>
      </c>
    </row>
    <row r="1628" spans="1:4" ht="14.45" x14ac:dyDescent="0.3">
      <c r="A1628">
        <v>10880</v>
      </c>
      <c r="B1628" t="s">
        <v>10309</v>
      </c>
      <c r="C1628" t="s">
        <v>5043</v>
      </c>
      <c r="D1628" t="s">
        <v>8401</v>
      </c>
    </row>
    <row r="1629" spans="1:4" ht="14.45" x14ac:dyDescent="0.3">
      <c r="A1629">
        <v>6928</v>
      </c>
      <c r="B1629" t="s">
        <v>10309</v>
      </c>
      <c r="C1629" t="s">
        <v>5043</v>
      </c>
      <c r="D1629" t="s">
        <v>8401</v>
      </c>
    </row>
    <row r="1630" spans="1:4" ht="14.45" x14ac:dyDescent="0.3">
      <c r="A1630">
        <v>7432</v>
      </c>
      <c r="B1630" t="s">
        <v>10310</v>
      </c>
      <c r="C1630" t="s">
        <v>5043</v>
      </c>
      <c r="D1630" t="s">
        <v>8401</v>
      </c>
    </row>
    <row r="1631" spans="1:4" ht="14.45" x14ac:dyDescent="0.3">
      <c r="A1631">
        <v>7569</v>
      </c>
      <c r="B1631" t="s">
        <v>10310</v>
      </c>
      <c r="C1631" t="s">
        <v>5043</v>
      </c>
      <c r="D1631" t="s">
        <v>8401</v>
      </c>
    </row>
    <row r="1632" spans="1:4" ht="14.45" x14ac:dyDescent="0.3">
      <c r="A1632">
        <v>8331</v>
      </c>
      <c r="B1632" t="s">
        <v>10310</v>
      </c>
      <c r="C1632" t="s">
        <v>5043</v>
      </c>
      <c r="D1632" t="s">
        <v>8401</v>
      </c>
    </row>
    <row r="1633" spans="1:4" ht="14.45" x14ac:dyDescent="0.3">
      <c r="A1633">
        <v>6698</v>
      </c>
      <c r="B1633" t="s">
        <v>8795</v>
      </c>
      <c r="C1633" t="s">
        <v>5043</v>
      </c>
      <c r="D1633" t="s">
        <v>8401</v>
      </c>
    </row>
    <row r="1634" spans="1:4" ht="14.45" x14ac:dyDescent="0.3">
      <c r="A1634">
        <v>8442</v>
      </c>
      <c r="B1634" t="s">
        <v>8795</v>
      </c>
      <c r="C1634" t="s">
        <v>5043</v>
      </c>
      <c r="D1634" t="s">
        <v>8401</v>
      </c>
    </row>
    <row r="1635" spans="1:4" ht="14.45" x14ac:dyDescent="0.3">
      <c r="A1635">
        <v>8760</v>
      </c>
      <c r="B1635" t="s">
        <v>8795</v>
      </c>
      <c r="C1635" t="s">
        <v>5043</v>
      </c>
      <c r="D1635" t="s">
        <v>8401</v>
      </c>
    </row>
    <row r="1636" spans="1:4" ht="14.45" x14ac:dyDescent="0.3">
      <c r="A1636">
        <v>11419</v>
      </c>
      <c r="B1636" t="s">
        <v>10311</v>
      </c>
      <c r="C1636" t="s">
        <v>5043</v>
      </c>
      <c r="D1636" t="s">
        <v>8401</v>
      </c>
    </row>
    <row r="1637" spans="1:4" ht="14.45" x14ac:dyDescent="0.3">
      <c r="A1637">
        <v>6689</v>
      </c>
      <c r="B1637" t="s">
        <v>10311</v>
      </c>
      <c r="C1637" t="s">
        <v>5043</v>
      </c>
      <c r="D1637" t="s">
        <v>8401</v>
      </c>
    </row>
    <row r="1638" spans="1:4" ht="14.45" x14ac:dyDescent="0.3">
      <c r="A1638">
        <v>8804</v>
      </c>
      <c r="B1638" t="s">
        <v>10311</v>
      </c>
      <c r="C1638" t="s">
        <v>5043</v>
      </c>
      <c r="D1638" t="s">
        <v>8401</v>
      </c>
    </row>
    <row r="1639" spans="1:4" ht="14.45" x14ac:dyDescent="0.3">
      <c r="A1639">
        <v>10821</v>
      </c>
      <c r="B1639" t="s">
        <v>10312</v>
      </c>
      <c r="C1639" t="s">
        <v>5043</v>
      </c>
      <c r="D1639" t="s">
        <v>8401</v>
      </c>
    </row>
    <row r="1640" spans="1:4" ht="14.45" x14ac:dyDescent="0.3">
      <c r="A1640">
        <v>11416</v>
      </c>
      <c r="B1640" t="s">
        <v>10312</v>
      </c>
      <c r="C1640" t="s">
        <v>5043</v>
      </c>
      <c r="D1640" t="s">
        <v>8401</v>
      </c>
    </row>
    <row r="1641" spans="1:4" ht="14.45" x14ac:dyDescent="0.3">
      <c r="A1641">
        <v>10697</v>
      </c>
      <c r="B1641" t="s">
        <v>8796</v>
      </c>
      <c r="C1641" t="s">
        <v>5043</v>
      </c>
      <c r="D1641" t="s">
        <v>8401</v>
      </c>
    </row>
    <row r="1642" spans="1:4" ht="14.45" x14ac:dyDescent="0.3">
      <c r="A1642">
        <v>12114</v>
      </c>
      <c r="B1642" t="s">
        <v>11503</v>
      </c>
      <c r="C1642" t="s">
        <v>5043</v>
      </c>
      <c r="D1642" t="s">
        <v>8401</v>
      </c>
    </row>
    <row r="1643" spans="1:4" ht="14.45" x14ac:dyDescent="0.3">
      <c r="A1643">
        <v>12115</v>
      </c>
      <c r="B1643" t="s">
        <v>11503</v>
      </c>
      <c r="C1643" t="s">
        <v>5043</v>
      </c>
      <c r="D1643" t="s">
        <v>8401</v>
      </c>
    </row>
    <row r="1644" spans="1:4" ht="14.45" x14ac:dyDescent="0.3">
      <c r="A1644">
        <v>12118</v>
      </c>
      <c r="B1644" t="s">
        <v>11503</v>
      </c>
      <c r="C1644" t="s">
        <v>5043</v>
      </c>
      <c r="D1644" t="s">
        <v>8401</v>
      </c>
    </row>
    <row r="1645" spans="1:4" ht="14.45" x14ac:dyDescent="0.3">
      <c r="A1645">
        <v>12120</v>
      </c>
      <c r="B1645" t="s">
        <v>11503</v>
      </c>
      <c r="C1645" t="s">
        <v>5043</v>
      </c>
      <c r="D1645" t="s">
        <v>8401</v>
      </c>
    </row>
    <row r="1646" spans="1:4" ht="14.45" x14ac:dyDescent="0.3">
      <c r="A1646">
        <v>12124</v>
      </c>
      <c r="B1646" t="s">
        <v>11503</v>
      </c>
      <c r="C1646" t="s">
        <v>5043</v>
      </c>
      <c r="D1646" t="s">
        <v>8401</v>
      </c>
    </row>
    <row r="1647" spans="1:4" ht="14.45" x14ac:dyDescent="0.3">
      <c r="A1647">
        <v>12125</v>
      </c>
      <c r="B1647" t="s">
        <v>11503</v>
      </c>
      <c r="C1647" t="s">
        <v>5043</v>
      </c>
      <c r="D1647" t="s">
        <v>8401</v>
      </c>
    </row>
    <row r="1648" spans="1:4" ht="14.45" x14ac:dyDescent="0.3">
      <c r="A1648">
        <v>10012</v>
      </c>
      <c r="B1648" t="s">
        <v>8797</v>
      </c>
      <c r="C1648" t="s">
        <v>5043</v>
      </c>
      <c r="D1648" t="s">
        <v>8401</v>
      </c>
    </row>
    <row r="1649" spans="1:4" ht="14.45" x14ac:dyDescent="0.3">
      <c r="A1649">
        <v>10013</v>
      </c>
      <c r="B1649" t="s">
        <v>8797</v>
      </c>
      <c r="C1649" t="s">
        <v>5043</v>
      </c>
      <c r="D1649" t="s">
        <v>8401</v>
      </c>
    </row>
    <row r="1650" spans="1:4" ht="14.45" x14ac:dyDescent="0.3">
      <c r="A1650">
        <v>10090</v>
      </c>
      <c r="B1650" t="s">
        <v>8797</v>
      </c>
      <c r="C1650" t="s">
        <v>5043</v>
      </c>
      <c r="D1650" t="s">
        <v>8401</v>
      </c>
    </row>
    <row r="1651" spans="1:4" ht="14.45" x14ac:dyDescent="0.3">
      <c r="A1651">
        <v>10225</v>
      </c>
      <c r="B1651" t="s">
        <v>8797</v>
      </c>
      <c r="C1651" t="s">
        <v>5043</v>
      </c>
      <c r="D1651" t="s">
        <v>8401</v>
      </c>
    </row>
    <row r="1652" spans="1:4" ht="14.45" x14ac:dyDescent="0.3">
      <c r="A1652">
        <v>10405</v>
      </c>
      <c r="B1652" t="s">
        <v>8797</v>
      </c>
      <c r="C1652" t="s">
        <v>5043</v>
      </c>
      <c r="D1652" t="s">
        <v>8401</v>
      </c>
    </row>
    <row r="1653" spans="1:4" ht="14.45" x14ac:dyDescent="0.3">
      <c r="A1653">
        <v>10956</v>
      </c>
      <c r="B1653" t="s">
        <v>8797</v>
      </c>
      <c r="C1653" t="s">
        <v>5043</v>
      </c>
      <c r="D1653" t="s">
        <v>8401</v>
      </c>
    </row>
    <row r="1654" spans="1:4" ht="14.45" x14ac:dyDescent="0.3">
      <c r="A1654">
        <v>7422</v>
      </c>
      <c r="B1654" t="s">
        <v>8797</v>
      </c>
      <c r="C1654" t="s">
        <v>5043</v>
      </c>
      <c r="D1654" t="s">
        <v>8401</v>
      </c>
    </row>
    <row r="1655" spans="1:4" ht="14.45" x14ac:dyDescent="0.3">
      <c r="A1655">
        <v>10506</v>
      </c>
      <c r="B1655" t="s">
        <v>8798</v>
      </c>
      <c r="C1655" t="s">
        <v>5043</v>
      </c>
      <c r="D1655" t="s">
        <v>8401</v>
      </c>
    </row>
    <row r="1656" spans="1:4" ht="14.45" x14ac:dyDescent="0.3">
      <c r="A1656">
        <v>10936</v>
      </c>
      <c r="B1656" t="s">
        <v>8798</v>
      </c>
      <c r="C1656" t="s">
        <v>5043</v>
      </c>
      <c r="D1656" t="s">
        <v>8401</v>
      </c>
    </row>
    <row r="1657" spans="1:4" ht="14.45" x14ac:dyDescent="0.3">
      <c r="A1657">
        <v>10939</v>
      </c>
      <c r="B1657" t="s">
        <v>8798</v>
      </c>
      <c r="C1657" t="s">
        <v>5043</v>
      </c>
      <c r="D1657" t="s">
        <v>8401</v>
      </c>
    </row>
    <row r="1658" spans="1:4" ht="14.45" x14ac:dyDescent="0.3">
      <c r="A1658">
        <v>11139</v>
      </c>
      <c r="B1658" t="s">
        <v>8798</v>
      </c>
      <c r="C1658" t="s">
        <v>5043</v>
      </c>
      <c r="D1658" t="s">
        <v>8401</v>
      </c>
    </row>
    <row r="1659" spans="1:4" ht="14.45" x14ac:dyDescent="0.3">
      <c r="A1659">
        <v>7307</v>
      </c>
      <c r="B1659" t="s">
        <v>8798</v>
      </c>
      <c r="C1659" t="s">
        <v>5043</v>
      </c>
      <c r="D1659" t="s">
        <v>8401</v>
      </c>
    </row>
    <row r="1660" spans="1:4" ht="14.45" x14ac:dyDescent="0.3">
      <c r="A1660">
        <v>7528</v>
      </c>
      <c r="B1660" t="s">
        <v>8798</v>
      </c>
      <c r="C1660" t="s">
        <v>5043</v>
      </c>
      <c r="D1660" t="s">
        <v>8401</v>
      </c>
    </row>
    <row r="1661" spans="1:4" ht="14.45" x14ac:dyDescent="0.3">
      <c r="A1661">
        <v>7919</v>
      </c>
      <c r="B1661" t="s">
        <v>8798</v>
      </c>
      <c r="C1661" t="s">
        <v>5043</v>
      </c>
      <c r="D1661" t="s">
        <v>8401</v>
      </c>
    </row>
    <row r="1662" spans="1:4" ht="14.45" x14ac:dyDescent="0.3">
      <c r="A1662">
        <v>8421</v>
      </c>
      <c r="B1662" t="s">
        <v>8798</v>
      </c>
      <c r="C1662" t="s">
        <v>5043</v>
      </c>
      <c r="D1662" t="s">
        <v>8401</v>
      </c>
    </row>
    <row r="1663" spans="1:4" ht="14.45" x14ac:dyDescent="0.3">
      <c r="A1663">
        <v>8470</v>
      </c>
      <c r="B1663" t="s">
        <v>8798</v>
      </c>
      <c r="C1663" t="s">
        <v>5043</v>
      </c>
      <c r="D1663" t="s">
        <v>8401</v>
      </c>
    </row>
    <row r="1664" spans="1:4" ht="14.45" x14ac:dyDescent="0.3">
      <c r="A1664">
        <v>8891</v>
      </c>
      <c r="B1664" t="s">
        <v>8798</v>
      </c>
      <c r="C1664" t="s">
        <v>5043</v>
      </c>
      <c r="D1664" t="s">
        <v>8401</v>
      </c>
    </row>
    <row r="1665" spans="1:4" ht="14.45" x14ac:dyDescent="0.3">
      <c r="A1665">
        <v>9177</v>
      </c>
      <c r="B1665" t="s">
        <v>8798</v>
      </c>
      <c r="C1665" t="s">
        <v>5043</v>
      </c>
      <c r="D1665" t="s">
        <v>8401</v>
      </c>
    </row>
    <row r="1666" spans="1:4" ht="14.45" x14ac:dyDescent="0.3">
      <c r="A1666">
        <v>9204</v>
      </c>
      <c r="B1666" t="s">
        <v>8798</v>
      </c>
      <c r="C1666" t="s">
        <v>5043</v>
      </c>
      <c r="D1666" t="s">
        <v>8401</v>
      </c>
    </row>
    <row r="1667" spans="1:4" ht="14.45" x14ac:dyDescent="0.3">
      <c r="A1667">
        <v>9358</v>
      </c>
      <c r="B1667" t="s">
        <v>8798</v>
      </c>
      <c r="C1667" t="s">
        <v>5043</v>
      </c>
      <c r="D1667" t="s">
        <v>8401</v>
      </c>
    </row>
    <row r="1668" spans="1:4" ht="14.45" x14ac:dyDescent="0.3">
      <c r="A1668">
        <v>10300</v>
      </c>
      <c r="B1668" t="s">
        <v>8799</v>
      </c>
      <c r="C1668" t="s">
        <v>5043</v>
      </c>
      <c r="D1668" t="s">
        <v>8401</v>
      </c>
    </row>
    <row r="1669" spans="1:4" ht="14.45" x14ac:dyDescent="0.3">
      <c r="A1669">
        <v>10586</v>
      </c>
      <c r="B1669" t="s">
        <v>8799</v>
      </c>
      <c r="C1669" t="s">
        <v>5043</v>
      </c>
      <c r="D1669" t="s">
        <v>8401</v>
      </c>
    </row>
    <row r="1670" spans="1:4" ht="14.45" x14ac:dyDescent="0.3">
      <c r="A1670">
        <v>10619</v>
      </c>
      <c r="B1670" t="s">
        <v>8799</v>
      </c>
      <c r="C1670" t="s">
        <v>5043</v>
      </c>
      <c r="D1670" t="s">
        <v>8401</v>
      </c>
    </row>
    <row r="1671" spans="1:4" ht="14.45" x14ac:dyDescent="0.3">
      <c r="A1671">
        <v>10683</v>
      </c>
      <c r="B1671" t="s">
        <v>8799</v>
      </c>
      <c r="C1671" t="s">
        <v>5043</v>
      </c>
      <c r="D1671" t="s">
        <v>8401</v>
      </c>
    </row>
    <row r="1672" spans="1:4" ht="14.45" x14ac:dyDescent="0.3">
      <c r="A1672">
        <v>10966</v>
      </c>
      <c r="B1672" t="s">
        <v>8799</v>
      </c>
      <c r="C1672" t="s">
        <v>5043</v>
      </c>
      <c r="D1672" t="s">
        <v>8401</v>
      </c>
    </row>
    <row r="1673" spans="1:4" ht="14.45" x14ac:dyDescent="0.3">
      <c r="A1673">
        <v>10998</v>
      </c>
      <c r="B1673" t="s">
        <v>8799</v>
      </c>
      <c r="C1673" t="s">
        <v>5043</v>
      </c>
      <c r="D1673" t="s">
        <v>8401</v>
      </c>
    </row>
    <row r="1674" spans="1:4" ht="14.45" x14ac:dyDescent="0.3">
      <c r="A1674">
        <v>11103</v>
      </c>
      <c r="B1674" t="s">
        <v>8799</v>
      </c>
      <c r="C1674" t="s">
        <v>5043</v>
      </c>
      <c r="D1674" t="s">
        <v>8401</v>
      </c>
    </row>
    <row r="1675" spans="1:4" ht="14.45" x14ac:dyDescent="0.3">
      <c r="A1675">
        <v>11161</v>
      </c>
      <c r="B1675" t="s">
        <v>8799</v>
      </c>
      <c r="C1675" t="s">
        <v>5043</v>
      </c>
      <c r="D1675" t="s">
        <v>8401</v>
      </c>
    </row>
    <row r="1676" spans="1:4" ht="14.45" x14ac:dyDescent="0.3">
      <c r="A1676">
        <v>11276</v>
      </c>
      <c r="B1676" t="s">
        <v>8799</v>
      </c>
      <c r="C1676" t="s">
        <v>5043</v>
      </c>
      <c r="D1676" t="s">
        <v>8401</v>
      </c>
    </row>
    <row r="1677" spans="1:4" ht="14.45" x14ac:dyDescent="0.3">
      <c r="A1677">
        <v>11287</v>
      </c>
      <c r="B1677" t="s">
        <v>8799</v>
      </c>
      <c r="C1677" t="s">
        <v>5043</v>
      </c>
      <c r="D1677" t="s">
        <v>8401</v>
      </c>
    </row>
    <row r="1678" spans="1:4" ht="14.45" x14ac:dyDescent="0.3">
      <c r="A1678">
        <v>11415</v>
      </c>
      <c r="B1678" t="s">
        <v>8799</v>
      </c>
      <c r="C1678" t="s">
        <v>5043</v>
      </c>
      <c r="D1678" t="s">
        <v>8401</v>
      </c>
    </row>
    <row r="1679" spans="1:4" ht="14.45" x14ac:dyDescent="0.3">
      <c r="A1679">
        <v>11473</v>
      </c>
      <c r="B1679" t="s">
        <v>8799</v>
      </c>
      <c r="C1679" t="s">
        <v>5043</v>
      </c>
      <c r="D1679" t="s">
        <v>8401</v>
      </c>
    </row>
    <row r="1680" spans="1:4" ht="14.45" x14ac:dyDescent="0.3">
      <c r="A1680">
        <v>11580</v>
      </c>
      <c r="B1680" t="s">
        <v>8799</v>
      </c>
      <c r="C1680" t="s">
        <v>5043</v>
      </c>
      <c r="D1680" t="s">
        <v>8401</v>
      </c>
    </row>
    <row r="1681" spans="1:4" ht="14.45" x14ac:dyDescent="0.3">
      <c r="A1681">
        <v>6688</v>
      </c>
      <c r="B1681" t="s">
        <v>8799</v>
      </c>
      <c r="C1681" t="s">
        <v>5043</v>
      </c>
      <c r="D1681" t="s">
        <v>8401</v>
      </c>
    </row>
    <row r="1682" spans="1:4" ht="14.45" x14ac:dyDescent="0.3">
      <c r="A1682">
        <v>6886</v>
      </c>
      <c r="B1682" t="s">
        <v>8799</v>
      </c>
      <c r="C1682" t="s">
        <v>5043</v>
      </c>
      <c r="D1682" t="s">
        <v>8401</v>
      </c>
    </row>
    <row r="1683" spans="1:4" ht="14.45" x14ac:dyDescent="0.3">
      <c r="A1683">
        <v>6992</v>
      </c>
      <c r="B1683" t="s">
        <v>8799</v>
      </c>
      <c r="C1683" t="s">
        <v>5043</v>
      </c>
      <c r="D1683" t="s">
        <v>8401</v>
      </c>
    </row>
    <row r="1684" spans="1:4" ht="14.45" x14ac:dyDescent="0.3">
      <c r="A1684">
        <v>7078</v>
      </c>
      <c r="B1684" t="s">
        <v>8799</v>
      </c>
      <c r="C1684" t="s">
        <v>5043</v>
      </c>
      <c r="D1684" t="s">
        <v>8401</v>
      </c>
    </row>
    <row r="1685" spans="1:4" ht="14.45" x14ac:dyDescent="0.3">
      <c r="A1685">
        <v>7181</v>
      </c>
      <c r="B1685" t="s">
        <v>8799</v>
      </c>
      <c r="C1685" t="s">
        <v>5043</v>
      </c>
      <c r="D1685" t="s">
        <v>8401</v>
      </c>
    </row>
    <row r="1686" spans="1:4" ht="14.45" x14ac:dyDescent="0.3">
      <c r="A1686">
        <v>7290</v>
      </c>
      <c r="B1686" t="s">
        <v>8799</v>
      </c>
      <c r="C1686" t="s">
        <v>5043</v>
      </c>
      <c r="D1686" t="s">
        <v>8401</v>
      </c>
    </row>
    <row r="1687" spans="1:4" ht="14.45" x14ac:dyDescent="0.3">
      <c r="A1687">
        <v>7673</v>
      </c>
      <c r="B1687" t="s">
        <v>8799</v>
      </c>
      <c r="C1687" t="s">
        <v>5043</v>
      </c>
      <c r="D1687" t="s">
        <v>8401</v>
      </c>
    </row>
    <row r="1688" spans="1:4" ht="14.45" x14ac:dyDescent="0.3">
      <c r="A1688">
        <v>7849</v>
      </c>
      <c r="B1688" t="s">
        <v>8799</v>
      </c>
      <c r="C1688" t="s">
        <v>5043</v>
      </c>
      <c r="D1688" t="s">
        <v>8401</v>
      </c>
    </row>
    <row r="1689" spans="1:4" ht="14.45" x14ac:dyDescent="0.3">
      <c r="A1689">
        <v>8057</v>
      </c>
      <c r="B1689" t="s">
        <v>8799</v>
      </c>
      <c r="C1689" t="s">
        <v>5043</v>
      </c>
      <c r="D1689" t="s">
        <v>8401</v>
      </c>
    </row>
    <row r="1690" spans="1:4" ht="14.45" x14ac:dyDescent="0.3">
      <c r="A1690">
        <v>8259</v>
      </c>
      <c r="B1690" t="s">
        <v>8799</v>
      </c>
      <c r="C1690" t="s">
        <v>5043</v>
      </c>
      <c r="D1690" t="s">
        <v>8401</v>
      </c>
    </row>
    <row r="1691" spans="1:4" ht="14.45" x14ac:dyDescent="0.3">
      <c r="A1691">
        <v>8549</v>
      </c>
      <c r="B1691" t="s">
        <v>8799</v>
      </c>
      <c r="C1691" t="s">
        <v>5043</v>
      </c>
      <c r="D1691" t="s">
        <v>8401</v>
      </c>
    </row>
    <row r="1692" spans="1:4" ht="14.45" x14ac:dyDescent="0.3">
      <c r="A1692">
        <v>8870</v>
      </c>
      <c r="B1692" t="s">
        <v>8799</v>
      </c>
      <c r="C1692" t="s">
        <v>5043</v>
      </c>
      <c r="D1692" t="s">
        <v>8401</v>
      </c>
    </row>
    <row r="1693" spans="1:4" ht="14.45" x14ac:dyDescent="0.3">
      <c r="A1693">
        <v>9258</v>
      </c>
      <c r="B1693" t="s">
        <v>8799</v>
      </c>
      <c r="C1693" t="s">
        <v>5043</v>
      </c>
      <c r="D1693" t="s">
        <v>8401</v>
      </c>
    </row>
    <row r="1694" spans="1:4" ht="14.45" x14ac:dyDescent="0.3">
      <c r="A1694">
        <v>9433</v>
      </c>
      <c r="B1694" t="s">
        <v>8799</v>
      </c>
      <c r="C1694" t="s">
        <v>5043</v>
      </c>
      <c r="D1694" t="s">
        <v>8401</v>
      </c>
    </row>
    <row r="1695" spans="1:4" ht="14.45" x14ac:dyDescent="0.3">
      <c r="A1695">
        <v>9869</v>
      </c>
      <c r="B1695" t="s">
        <v>8799</v>
      </c>
      <c r="C1695" t="s">
        <v>5043</v>
      </c>
      <c r="D1695" t="s">
        <v>8401</v>
      </c>
    </row>
    <row r="1696" spans="1:4" ht="14.45" x14ac:dyDescent="0.3">
      <c r="A1696">
        <v>9878</v>
      </c>
      <c r="B1696" t="s">
        <v>8799</v>
      </c>
      <c r="C1696" t="s">
        <v>5043</v>
      </c>
      <c r="D1696" t="s">
        <v>8401</v>
      </c>
    </row>
    <row r="1697" spans="1:4" ht="14.45" x14ac:dyDescent="0.3">
      <c r="A1697">
        <v>11366</v>
      </c>
      <c r="B1697" t="s">
        <v>8800</v>
      </c>
      <c r="C1697" t="s">
        <v>5043</v>
      </c>
      <c r="D1697" t="s">
        <v>8401</v>
      </c>
    </row>
    <row r="1698" spans="1:4" ht="14.45" x14ac:dyDescent="0.3">
      <c r="A1698">
        <v>11368</v>
      </c>
      <c r="B1698" t="s">
        <v>8800</v>
      </c>
      <c r="C1698" t="s">
        <v>5043</v>
      </c>
      <c r="D1698" t="s">
        <v>8401</v>
      </c>
    </row>
    <row r="1699" spans="1:4" ht="14.45" x14ac:dyDescent="0.3">
      <c r="A1699">
        <v>11717</v>
      </c>
      <c r="B1699" t="s">
        <v>8800</v>
      </c>
      <c r="C1699" t="s">
        <v>5043</v>
      </c>
      <c r="D1699" t="s">
        <v>8401</v>
      </c>
    </row>
    <row r="1700" spans="1:4" ht="14.45" x14ac:dyDescent="0.3">
      <c r="A1700">
        <v>7350</v>
      </c>
      <c r="B1700" t="s">
        <v>8800</v>
      </c>
      <c r="C1700" t="s">
        <v>5043</v>
      </c>
      <c r="D1700" t="s">
        <v>8401</v>
      </c>
    </row>
    <row r="1701" spans="1:4" ht="14.45" x14ac:dyDescent="0.3">
      <c r="A1701">
        <v>7777</v>
      </c>
      <c r="B1701" t="s">
        <v>8800</v>
      </c>
      <c r="C1701" t="s">
        <v>5043</v>
      </c>
      <c r="D1701" t="s">
        <v>8401</v>
      </c>
    </row>
    <row r="1702" spans="1:4" ht="14.45" x14ac:dyDescent="0.3">
      <c r="A1702">
        <v>7886</v>
      </c>
      <c r="B1702" t="s">
        <v>8800</v>
      </c>
      <c r="C1702" t="s">
        <v>5043</v>
      </c>
      <c r="D1702" t="s">
        <v>8401</v>
      </c>
    </row>
    <row r="1703" spans="1:4" ht="14.45" x14ac:dyDescent="0.3">
      <c r="A1703">
        <v>12116</v>
      </c>
      <c r="B1703" t="s">
        <v>11504</v>
      </c>
      <c r="C1703" t="s">
        <v>5043</v>
      </c>
      <c r="D1703" t="s">
        <v>8401</v>
      </c>
    </row>
    <row r="1704" spans="1:4" ht="14.45" x14ac:dyDescent="0.3">
      <c r="A1704">
        <v>12117</v>
      </c>
      <c r="B1704" t="s">
        <v>11505</v>
      </c>
      <c r="C1704" t="s">
        <v>5043</v>
      </c>
      <c r="D1704" t="s">
        <v>8401</v>
      </c>
    </row>
    <row r="1705" spans="1:4" ht="14.45" x14ac:dyDescent="0.3">
      <c r="A1705">
        <v>7267</v>
      </c>
      <c r="B1705" t="s">
        <v>8801</v>
      </c>
      <c r="C1705" t="s">
        <v>5043</v>
      </c>
      <c r="D1705" t="s">
        <v>8401</v>
      </c>
    </row>
    <row r="1706" spans="1:4" ht="14.45" x14ac:dyDescent="0.3">
      <c r="A1706">
        <v>7664</v>
      </c>
      <c r="B1706" t="s">
        <v>8801</v>
      </c>
      <c r="C1706" t="s">
        <v>5043</v>
      </c>
      <c r="D1706" t="s">
        <v>8401</v>
      </c>
    </row>
    <row r="1707" spans="1:4" ht="14.45" x14ac:dyDescent="0.3">
      <c r="A1707">
        <v>9366</v>
      </c>
      <c r="B1707" t="s">
        <v>8801</v>
      </c>
      <c r="C1707" t="s">
        <v>5043</v>
      </c>
      <c r="D1707" t="s">
        <v>8401</v>
      </c>
    </row>
    <row r="1708" spans="1:4" ht="14.45" x14ac:dyDescent="0.3">
      <c r="A1708">
        <v>9512</v>
      </c>
      <c r="B1708" t="s">
        <v>8801</v>
      </c>
      <c r="C1708" t="s">
        <v>5043</v>
      </c>
      <c r="D1708" t="s">
        <v>8401</v>
      </c>
    </row>
    <row r="1709" spans="1:4" ht="14.45" x14ac:dyDescent="0.3">
      <c r="A1709">
        <v>10917</v>
      </c>
      <c r="B1709" t="s">
        <v>10313</v>
      </c>
      <c r="C1709" t="s">
        <v>5043</v>
      </c>
      <c r="D1709" t="s">
        <v>8401</v>
      </c>
    </row>
    <row r="1710" spans="1:4" ht="14.45" x14ac:dyDescent="0.3">
      <c r="A1710">
        <v>8858</v>
      </c>
      <c r="B1710" t="s">
        <v>10313</v>
      </c>
      <c r="C1710" t="s">
        <v>5043</v>
      </c>
      <c r="D1710" t="s">
        <v>8401</v>
      </c>
    </row>
    <row r="1711" spans="1:4" ht="14.45" x14ac:dyDescent="0.3">
      <c r="A1711">
        <v>10525</v>
      </c>
      <c r="B1711" t="s">
        <v>10314</v>
      </c>
      <c r="C1711" t="s">
        <v>5043</v>
      </c>
      <c r="D1711" t="s">
        <v>8401</v>
      </c>
    </row>
    <row r="1712" spans="1:4" ht="14.45" x14ac:dyDescent="0.3">
      <c r="A1712">
        <v>11382</v>
      </c>
      <c r="B1712" t="s">
        <v>8802</v>
      </c>
      <c r="C1712" t="s">
        <v>5043</v>
      </c>
      <c r="D1712" t="s">
        <v>8401</v>
      </c>
    </row>
    <row r="1713" spans="1:4" ht="14.45" x14ac:dyDescent="0.3">
      <c r="A1713">
        <v>7144</v>
      </c>
      <c r="B1713" t="s">
        <v>8802</v>
      </c>
      <c r="C1713" t="s">
        <v>5043</v>
      </c>
      <c r="D1713" t="s">
        <v>8401</v>
      </c>
    </row>
    <row r="1714" spans="1:4" ht="14.45" x14ac:dyDescent="0.3">
      <c r="A1714">
        <v>7606</v>
      </c>
      <c r="B1714" t="s">
        <v>8802</v>
      </c>
      <c r="C1714" t="s">
        <v>5043</v>
      </c>
      <c r="D1714" t="s">
        <v>8401</v>
      </c>
    </row>
    <row r="1715" spans="1:4" ht="14.45" x14ac:dyDescent="0.3">
      <c r="A1715">
        <v>9964</v>
      </c>
      <c r="B1715" t="s">
        <v>8802</v>
      </c>
      <c r="C1715" t="s">
        <v>5043</v>
      </c>
      <c r="D1715" t="s">
        <v>8401</v>
      </c>
    </row>
    <row r="1716" spans="1:4" ht="14.45" x14ac:dyDescent="0.3">
      <c r="A1716">
        <v>7283</v>
      </c>
      <c r="B1716" t="s">
        <v>10315</v>
      </c>
      <c r="C1716" t="s">
        <v>5043</v>
      </c>
      <c r="D1716" t="s">
        <v>8401</v>
      </c>
    </row>
    <row r="1717" spans="1:4" ht="14.45" x14ac:dyDescent="0.3">
      <c r="A1717">
        <v>8136</v>
      </c>
      <c r="B1717" t="s">
        <v>10315</v>
      </c>
      <c r="C1717" t="s">
        <v>5043</v>
      </c>
      <c r="D1717" t="s">
        <v>8401</v>
      </c>
    </row>
    <row r="1718" spans="1:4" ht="14.45" x14ac:dyDescent="0.3">
      <c r="A1718">
        <v>7468</v>
      </c>
      <c r="B1718" t="s">
        <v>10316</v>
      </c>
      <c r="C1718" t="s">
        <v>5043</v>
      </c>
      <c r="D1718" t="s">
        <v>8401</v>
      </c>
    </row>
    <row r="1719" spans="1:4" ht="14.45" x14ac:dyDescent="0.3">
      <c r="A1719">
        <v>8569</v>
      </c>
      <c r="B1719" t="s">
        <v>10316</v>
      </c>
      <c r="C1719" t="s">
        <v>5043</v>
      </c>
      <c r="D1719" t="s">
        <v>8401</v>
      </c>
    </row>
    <row r="1720" spans="1:4" ht="14.45" x14ac:dyDescent="0.3">
      <c r="A1720">
        <v>6691</v>
      </c>
      <c r="B1720" t="s">
        <v>8803</v>
      </c>
      <c r="C1720" t="s">
        <v>5043</v>
      </c>
      <c r="D1720" t="s">
        <v>8401</v>
      </c>
    </row>
    <row r="1721" spans="1:4" ht="14.45" x14ac:dyDescent="0.3">
      <c r="A1721">
        <v>9160</v>
      </c>
      <c r="B1721" t="s">
        <v>8803</v>
      </c>
      <c r="C1721" t="s">
        <v>5043</v>
      </c>
      <c r="D1721" t="s">
        <v>8401</v>
      </c>
    </row>
    <row r="1722" spans="1:4" ht="14.45" x14ac:dyDescent="0.3">
      <c r="A1722">
        <v>9231</v>
      </c>
      <c r="B1722" t="s">
        <v>8803</v>
      </c>
      <c r="C1722" t="s">
        <v>5043</v>
      </c>
      <c r="D1722" t="s">
        <v>8401</v>
      </c>
    </row>
    <row r="1723" spans="1:4" ht="14.45" x14ac:dyDescent="0.3">
      <c r="A1723">
        <v>10041</v>
      </c>
      <c r="B1723" t="s">
        <v>10317</v>
      </c>
      <c r="C1723" t="s">
        <v>5043</v>
      </c>
      <c r="D1723" t="s">
        <v>8401</v>
      </c>
    </row>
    <row r="1724" spans="1:4" ht="14.45" x14ac:dyDescent="0.3">
      <c r="A1724">
        <v>11434</v>
      </c>
      <c r="B1724" t="s">
        <v>10317</v>
      </c>
      <c r="C1724" t="s">
        <v>5043</v>
      </c>
      <c r="D1724" t="s">
        <v>8401</v>
      </c>
    </row>
    <row r="1725" spans="1:4" ht="14.45" x14ac:dyDescent="0.3">
      <c r="A1725">
        <v>6892</v>
      </c>
      <c r="B1725" t="s">
        <v>10317</v>
      </c>
      <c r="C1725" t="s">
        <v>5043</v>
      </c>
      <c r="D1725" t="s">
        <v>8401</v>
      </c>
    </row>
    <row r="1726" spans="1:4" ht="14.45" x14ac:dyDescent="0.3">
      <c r="A1726">
        <v>7943</v>
      </c>
      <c r="B1726" t="s">
        <v>10317</v>
      </c>
      <c r="C1726" t="s">
        <v>5043</v>
      </c>
      <c r="D1726" t="s">
        <v>8401</v>
      </c>
    </row>
    <row r="1727" spans="1:4" ht="14.45" x14ac:dyDescent="0.3">
      <c r="A1727">
        <v>8890</v>
      </c>
      <c r="B1727" t="s">
        <v>10317</v>
      </c>
      <c r="C1727" t="s">
        <v>5043</v>
      </c>
      <c r="D1727" t="s">
        <v>8401</v>
      </c>
    </row>
    <row r="1728" spans="1:4" ht="14.45" x14ac:dyDescent="0.3">
      <c r="A1728">
        <v>11443</v>
      </c>
      <c r="B1728" t="s">
        <v>8804</v>
      </c>
      <c r="C1728" t="s">
        <v>5043</v>
      </c>
      <c r="D1728" t="s">
        <v>8401</v>
      </c>
    </row>
    <row r="1729" spans="1:4" ht="14.45" x14ac:dyDescent="0.3">
      <c r="A1729">
        <v>8028</v>
      </c>
      <c r="B1729" t="s">
        <v>8804</v>
      </c>
      <c r="C1729" t="s">
        <v>5043</v>
      </c>
      <c r="D1729" t="s">
        <v>8401</v>
      </c>
    </row>
    <row r="1730" spans="1:4" ht="14.45" x14ac:dyDescent="0.3">
      <c r="A1730">
        <v>9272</v>
      </c>
      <c r="B1730" t="s">
        <v>8804</v>
      </c>
      <c r="C1730" t="s">
        <v>5043</v>
      </c>
      <c r="D1730" t="s">
        <v>8401</v>
      </c>
    </row>
    <row r="1731" spans="1:4" ht="14.45" x14ac:dyDescent="0.3">
      <c r="A1731">
        <v>11559</v>
      </c>
      <c r="B1731" t="s">
        <v>10318</v>
      </c>
      <c r="C1731" t="s">
        <v>5043</v>
      </c>
      <c r="D1731" t="s">
        <v>8401</v>
      </c>
    </row>
    <row r="1732" spans="1:4" ht="14.45" x14ac:dyDescent="0.3">
      <c r="A1732">
        <v>6452</v>
      </c>
      <c r="B1732" t="s">
        <v>10318</v>
      </c>
      <c r="C1732" t="s">
        <v>5043</v>
      </c>
      <c r="D1732" t="s">
        <v>8401</v>
      </c>
    </row>
    <row r="1733" spans="1:4" ht="14.45" x14ac:dyDescent="0.3">
      <c r="A1733">
        <v>7790</v>
      </c>
      <c r="B1733" t="s">
        <v>10318</v>
      </c>
      <c r="C1733" t="s">
        <v>5043</v>
      </c>
      <c r="D1733" t="s">
        <v>8401</v>
      </c>
    </row>
    <row r="1734" spans="1:4" ht="14.45" x14ac:dyDescent="0.3">
      <c r="A1734">
        <v>8245</v>
      </c>
      <c r="B1734" t="s">
        <v>10318</v>
      </c>
      <c r="C1734" t="s">
        <v>5043</v>
      </c>
      <c r="D1734" t="s">
        <v>8401</v>
      </c>
    </row>
    <row r="1735" spans="1:4" ht="14.45" x14ac:dyDescent="0.3">
      <c r="A1735">
        <v>9020</v>
      </c>
      <c r="B1735" t="s">
        <v>10318</v>
      </c>
      <c r="C1735" t="s">
        <v>5043</v>
      </c>
      <c r="D1735" t="s">
        <v>8401</v>
      </c>
    </row>
    <row r="1736" spans="1:4" ht="14.45" x14ac:dyDescent="0.3">
      <c r="A1736">
        <v>9962</v>
      </c>
      <c r="B1736" t="s">
        <v>10318</v>
      </c>
      <c r="C1736" t="s">
        <v>5043</v>
      </c>
      <c r="D1736" t="s">
        <v>8401</v>
      </c>
    </row>
    <row r="1737" spans="1:4" ht="14.45" x14ac:dyDescent="0.3">
      <c r="A1737">
        <v>8605</v>
      </c>
      <c r="B1737" t="s">
        <v>10319</v>
      </c>
      <c r="C1737" t="s">
        <v>5043</v>
      </c>
      <c r="D1737" t="s">
        <v>8401</v>
      </c>
    </row>
    <row r="1738" spans="1:4" ht="14.45" x14ac:dyDescent="0.3">
      <c r="A1738">
        <v>6586</v>
      </c>
      <c r="B1738" t="s">
        <v>8805</v>
      </c>
      <c r="C1738" t="s">
        <v>5043</v>
      </c>
      <c r="D1738" t="s">
        <v>8401</v>
      </c>
    </row>
    <row r="1739" spans="1:4" ht="14.45" x14ac:dyDescent="0.3">
      <c r="A1739">
        <v>7351</v>
      </c>
      <c r="B1739" t="s">
        <v>8805</v>
      </c>
      <c r="C1739" t="s">
        <v>5043</v>
      </c>
      <c r="D1739" t="s">
        <v>8401</v>
      </c>
    </row>
    <row r="1740" spans="1:4" ht="14.45" x14ac:dyDescent="0.3">
      <c r="A1740">
        <v>7621</v>
      </c>
      <c r="B1740" t="s">
        <v>8805</v>
      </c>
      <c r="C1740" t="s">
        <v>5043</v>
      </c>
      <c r="D1740" t="s">
        <v>8401</v>
      </c>
    </row>
    <row r="1741" spans="1:4" ht="14.45" x14ac:dyDescent="0.3">
      <c r="A1741">
        <v>8901</v>
      </c>
      <c r="B1741" t="s">
        <v>8805</v>
      </c>
      <c r="C1741" t="s">
        <v>5043</v>
      </c>
      <c r="D1741" t="s">
        <v>8401</v>
      </c>
    </row>
    <row r="1742" spans="1:4" ht="14.45" x14ac:dyDescent="0.3">
      <c r="A1742">
        <v>10298</v>
      </c>
      <c r="B1742" t="s">
        <v>10320</v>
      </c>
      <c r="C1742" t="s">
        <v>5043</v>
      </c>
      <c r="D1742" t="s">
        <v>8401</v>
      </c>
    </row>
    <row r="1743" spans="1:4" ht="14.45" x14ac:dyDescent="0.3">
      <c r="A1743">
        <v>7963</v>
      </c>
      <c r="B1743" t="s">
        <v>10320</v>
      </c>
      <c r="C1743" t="s">
        <v>5043</v>
      </c>
      <c r="D1743" t="s">
        <v>8401</v>
      </c>
    </row>
    <row r="1744" spans="1:4" ht="14.45" x14ac:dyDescent="0.3">
      <c r="A1744">
        <v>10589</v>
      </c>
      <c r="B1744" t="s">
        <v>10321</v>
      </c>
      <c r="C1744" t="s">
        <v>5043</v>
      </c>
      <c r="D1744" t="s">
        <v>8401</v>
      </c>
    </row>
    <row r="1745" spans="1:4" ht="14.45" x14ac:dyDescent="0.3">
      <c r="A1745">
        <v>7838</v>
      </c>
      <c r="B1745" t="s">
        <v>10322</v>
      </c>
      <c r="C1745" t="s">
        <v>5043</v>
      </c>
      <c r="D1745" t="s">
        <v>8401</v>
      </c>
    </row>
    <row r="1746" spans="1:4" ht="14.45" x14ac:dyDescent="0.3">
      <c r="A1746">
        <v>10274</v>
      </c>
      <c r="B1746" t="s">
        <v>10323</v>
      </c>
      <c r="C1746" t="s">
        <v>5043</v>
      </c>
      <c r="D1746" t="s">
        <v>8401</v>
      </c>
    </row>
    <row r="1747" spans="1:4" ht="14.45" x14ac:dyDescent="0.3">
      <c r="A1747">
        <v>11311</v>
      </c>
      <c r="B1747" t="s">
        <v>10323</v>
      </c>
      <c r="C1747" t="s">
        <v>5043</v>
      </c>
      <c r="D1747" t="s">
        <v>8401</v>
      </c>
    </row>
    <row r="1748" spans="1:4" ht="14.45" x14ac:dyDescent="0.3">
      <c r="A1748">
        <v>11042</v>
      </c>
      <c r="B1748" t="s">
        <v>10324</v>
      </c>
      <c r="C1748" t="s">
        <v>5043</v>
      </c>
      <c r="D1748" t="s">
        <v>8401</v>
      </c>
    </row>
    <row r="1749" spans="1:4" ht="14.45" x14ac:dyDescent="0.3">
      <c r="A1749">
        <v>11211</v>
      </c>
      <c r="B1749" t="s">
        <v>10324</v>
      </c>
      <c r="C1749" t="s">
        <v>5043</v>
      </c>
      <c r="D1749" t="s">
        <v>8401</v>
      </c>
    </row>
    <row r="1750" spans="1:4" ht="14.45" x14ac:dyDescent="0.3">
      <c r="A1750">
        <v>11710</v>
      </c>
      <c r="B1750" t="s">
        <v>10324</v>
      </c>
      <c r="C1750" t="s">
        <v>5043</v>
      </c>
      <c r="D1750" t="s">
        <v>8401</v>
      </c>
    </row>
    <row r="1751" spans="1:4" ht="14.45" x14ac:dyDescent="0.3">
      <c r="A1751">
        <v>8682</v>
      </c>
      <c r="B1751" t="s">
        <v>10324</v>
      </c>
      <c r="C1751" t="s">
        <v>5043</v>
      </c>
      <c r="D1751" t="s">
        <v>8401</v>
      </c>
    </row>
    <row r="1752" spans="1:4" ht="14.45" x14ac:dyDescent="0.3">
      <c r="A1752">
        <v>11075</v>
      </c>
      <c r="B1752" t="s">
        <v>10325</v>
      </c>
      <c r="C1752" t="s">
        <v>5043</v>
      </c>
      <c r="D1752" t="s">
        <v>8401</v>
      </c>
    </row>
    <row r="1753" spans="1:4" ht="14.45" x14ac:dyDescent="0.3">
      <c r="A1753">
        <v>11196</v>
      </c>
      <c r="B1753" t="s">
        <v>10325</v>
      </c>
      <c r="C1753" t="s">
        <v>5043</v>
      </c>
      <c r="D1753" t="s">
        <v>8401</v>
      </c>
    </row>
    <row r="1754" spans="1:4" ht="14.45" x14ac:dyDescent="0.3">
      <c r="A1754">
        <v>11256</v>
      </c>
      <c r="B1754" t="s">
        <v>10325</v>
      </c>
      <c r="C1754" t="s">
        <v>5043</v>
      </c>
      <c r="D1754" t="s">
        <v>8401</v>
      </c>
    </row>
    <row r="1755" spans="1:4" ht="14.45" x14ac:dyDescent="0.3">
      <c r="A1755">
        <v>8222</v>
      </c>
      <c r="B1755" t="s">
        <v>10325</v>
      </c>
      <c r="C1755" t="s">
        <v>5043</v>
      </c>
      <c r="D1755" t="s">
        <v>8401</v>
      </c>
    </row>
    <row r="1756" spans="1:4" ht="14.45" x14ac:dyDescent="0.3">
      <c r="A1756">
        <v>8656</v>
      </c>
      <c r="B1756" t="s">
        <v>10325</v>
      </c>
      <c r="C1756" t="s">
        <v>5043</v>
      </c>
      <c r="D1756" t="s">
        <v>8401</v>
      </c>
    </row>
    <row r="1757" spans="1:4" ht="14.45" x14ac:dyDescent="0.3">
      <c r="A1757">
        <v>8935</v>
      </c>
      <c r="B1757" t="s">
        <v>10325</v>
      </c>
      <c r="C1757" t="s">
        <v>5043</v>
      </c>
      <c r="D1757" t="s">
        <v>8401</v>
      </c>
    </row>
    <row r="1758" spans="1:4" ht="14.45" x14ac:dyDescent="0.3">
      <c r="A1758">
        <v>9301</v>
      </c>
      <c r="B1758" t="s">
        <v>10325</v>
      </c>
      <c r="C1758" t="s">
        <v>5043</v>
      </c>
      <c r="D1758" t="s">
        <v>8401</v>
      </c>
    </row>
    <row r="1759" spans="1:4" ht="14.45" x14ac:dyDescent="0.3">
      <c r="A1759">
        <v>9414</v>
      </c>
      <c r="B1759" t="s">
        <v>10325</v>
      </c>
      <c r="C1759" t="s">
        <v>5043</v>
      </c>
      <c r="D1759" t="s">
        <v>8401</v>
      </c>
    </row>
    <row r="1760" spans="1:4" ht="14.45" x14ac:dyDescent="0.3">
      <c r="A1760">
        <v>10182</v>
      </c>
      <c r="B1760" t="s">
        <v>10326</v>
      </c>
      <c r="C1760" t="s">
        <v>5043</v>
      </c>
      <c r="D1760" t="s">
        <v>8401</v>
      </c>
    </row>
    <row r="1761" spans="1:4" ht="14.45" x14ac:dyDescent="0.3">
      <c r="A1761">
        <v>10754</v>
      </c>
      <c r="B1761" t="s">
        <v>10326</v>
      </c>
      <c r="C1761" t="s">
        <v>5043</v>
      </c>
      <c r="D1761" t="s">
        <v>8401</v>
      </c>
    </row>
    <row r="1762" spans="1:4" ht="14.45" x14ac:dyDescent="0.3">
      <c r="A1762">
        <v>6496</v>
      </c>
      <c r="B1762" t="s">
        <v>10326</v>
      </c>
      <c r="C1762" t="s">
        <v>5043</v>
      </c>
      <c r="D1762" t="s">
        <v>8401</v>
      </c>
    </row>
    <row r="1763" spans="1:4" ht="14.45" x14ac:dyDescent="0.3">
      <c r="A1763">
        <v>6888</v>
      </c>
      <c r="B1763" t="s">
        <v>10326</v>
      </c>
      <c r="C1763" t="s">
        <v>5043</v>
      </c>
      <c r="D1763" t="s">
        <v>8401</v>
      </c>
    </row>
    <row r="1764" spans="1:4" ht="14.45" x14ac:dyDescent="0.3">
      <c r="A1764">
        <v>7015</v>
      </c>
      <c r="B1764" t="s">
        <v>10326</v>
      </c>
      <c r="C1764" t="s">
        <v>5043</v>
      </c>
      <c r="D1764" t="s">
        <v>8401</v>
      </c>
    </row>
    <row r="1765" spans="1:4" ht="14.45" x14ac:dyDescent="0.3">
      <c r="A1765">
        <v>7730</v>
      </c>
      <c r="B1765" t="s">
        <v>10326</v>
      </c>
      <c r="C1765" t="s">
        <v>5043</v>
      </c>
      <c r="D1765" t="s">
        <v>8401</v>
      </c>
    </row>
    <row r="1766" spans="1:4" ht="14.45" x14ac:dyDescent="0.3">
      <c r="A1766">
        <v>11518</v>
      </c>
      <c r="B1766" t="s">
        <v>10327</v>
      </c>
      <c r="C1766" t="s">
        <v>5043</v>
      </c>
      <c r="D1766" t="s">
        <v>8401</v>
      </c>
    </row>
    <row r="1767" spans="1:4" ht="14.45" x14ac:dyDescent="0.3">
      <c r="A1767">
        <v>10997</v>
      </c>
      <c r="B1767" t="s">
        <v>8806</v>
      </c>
      <c r="C1767" t="s">
        <v>5043</v>
      </c>
      <c r="D1767" t="s">
        <v>8401</v>
      </c>
    </row>
    <row r="1768" spans="1:4" ht="14.45" x14ac:dyDescent="0.3">
      <c r="A1768">
        <v>7277</v>
      </c>
      <c r="B1768" t="s">
        <v>10328</v>
      </c>
      <c r="C1768" t="s">
        <v>5043</v>
      </c>
      <c r="D1768" t="s">
        <v>8401</v>
      </c>
    </row>
    <row r="1769" spans="1:4" ht="14.45" x14ac:dyDescent="0.3">
      <c r="A1769">
        <v>9377</v>
      </c>
      <c r="B1769" t="s">
        <v>10328</v>
      </c>
      <c r="C1769" t="s">
        <v>5043</v>
      </c>
      <c r="D1769" t="s">
        <v>8401</v>
      </c>
    </row>
    <row r="1770" spans="1:4" ht="14.45" x14ac:dyDescent="0.3">
      <c r="A1770">
        <v>10728</v>
      </c>
      <c r="B1770" t="s">
        <v>10329</v>
      </c>
      <c r="C1770" t="s">
        <v>5043</v>
      </c>
      <c r="D1770" t="s">
        <v>8401</v>
      </c>
    </row>
    <row r="1771" spans="1:4" ht="14.45" x14ac:dyDescent="0.3">
      <c r="A1771">
        <v>11445</v>
      </c>
      <c r="B1771" t="s">
        <v>10329</v>
      </c>
      <c r="C1771" t="s">
        <v>5043</v>
      </c>
      <c r="D1771" t="s">
        <v>8401</v>
      </c>
    </row>
    <row r="1772" spans="1:4" ht="14.45" x14ac:dyDescent="0.3">
      <c r="A1772">
        <v>6435</v>
      </c>
      <c r="B1772" t="s">
        <v>10329</v>
      </c>
      <c r="C1772" t="s">
        <v>5043</v>
      </c>
      <c r="D1772" t="s">
        <v>8401</v>
      </c>
    </row>
    <row r="1773" spans="1:4" ht="14.45" x14ac:dyDescent="0.3">
      <c r="A1773">
        <v>8192</v>
      </c>
      <c r="B1773" t="s">
        <v>10329</v>
      </c>
      <c r="C1773" t="s">
        <v>5043</v>
      </c>
      <c r="D1773" t="s">
        <v>8401</v>
      </c>
    </row>
    <row r="1774" spans="1:4" ht="14.45" x14ac:dyDescent="0.3">
      <c r="A1774">
        <v>8295</v>
      </c>
      <c r="B1774" t="s">
        <v>10329</v>
      </c>
      <c r="C1774" t="s">
        <v>5043</v>
      </c>
      <c r="D1774" t="s">
        <v>8401</v>
      </c>
    </row>
    <row r="1775" spans="1:4" ht="14.45" x14ac:dyDescent="0.3">
      <c r="A1775">
        <v>9046</v>
      </c>
      <c r="B1775" t="s">
        <v>10329</v>
      </c>
      <c r="C1775" t="s">
        <v>5043</v>
      </c>
      <c r="D1775" t="s">
        <v>8401</v>
      </c>
    </row>
    <row r="1776" spans="1:4" ht="14.45" x14ac:dyDescent="0.3">
      <c r="A1776">
        <v>9406</v>
      </c>
      <c r="B1776" t="s">
        <v>10329</v>
      </c>
      <c r="C1776" t="s">
        <v>5043</v>
      </c>
      <c r="D1776" t="s">
        <v>8401</v>
      </c>
    </row>
    <row r="1777" spans="1:4" ht="14.45" x14ac:dyDescent="0.3">
      <c r="A1777">
        <v>9798</v>
      </c>
      <c r="B1777" t="s">
        <v>10329</v>
      </c>
      <c r="C1777" t="s">
        <v>5043</v>
      </c>
      <c r="D1777" t="s">
        <v>8401</v>
      </c>
    </row>
    <row r="1778" spans="1:4" ht="14.45" x14ac:dyDescent="0.3">
      <c r="A1778">
        <v>12122</v>
      </c>
      <c r="B1778" t="s">
        <v>11506</v>
      </c>
      <c r="C1778" t="s">
        <v>5043</v>
      </c>
      <c r="D1778" t="s">
        <v>8401</v>
      </c>
    </row>
    <row r="1779" spans="1:4" ht="14.45" x14ac:dyDescent="0.3">
      <c r="A1779">
        <v>12121</v>
      </c>
      <c r="B1779" t="s">
        <v>11507</v>
      </c>
      <c r="C1779" t="s">
        <v>5043</v>
      </c>
      <c r="D1779" t="s">
        <v>8401</v>
      </c>
    </row>
    <row r="1780" spans="1:4" ht="14.45" x14ac:dyDescent="0.3">
      <c r="A1780">
        <v>12119</v>
      </c>
      <c r="B1780" t="s">
        <v>11508</v>
      </c>
      <c r="C1780" t="s">
        <v>5043</v>
      </c>
      <c r="D1780" t="s">
        <v>8401</v>
      </c>
    </row>
    <row r="1781" spans="1:4" ht="14.45" x14ac:dyDescent="0.3">
      <c r="A1781">
        <v>12123</v>
      </c>
      <c r="B1781" t="s">
        <v>11509</v>
      </c>
      <c r="C1781" t="s">
        <v>5043</v>
      </c>
      <c r="D1781" t="s">
        <v>8401</v>
      </c>
    </row>
    <row r="1782" spans="1:4" ht="14.45" x14ac:dyDescent="0.3">
      <c r="A1782">
        <v>10458</v>
      </c>
      <c r="B1782" t="s">
        <v>8807</v>
      </c>
      <c r="C1782" t="s">
        <v>5043</v>
      </c>
      <c r="D1782" t="s">
        <v>8401</v>
      </c>
    </row>
    <row r="1783" spans="1:4" ht="14.45" x14ac:dyDescent="0.3">
      <c r="A1783">
        <v>10260</v>
      </c>
      <c r="B1783" t="s">
        <v>8808</v>
      </c>
      <c r="C1783" t="s">
        <v>5043</v>
      </c>
      <c r="D1783" t="s">
        <v>8401</v>
      </c>
    </row>
    <row r="1784" spans="1:4" ht="14.45" x14ac:dyDescent="0.3">
      <c r="A1784">
        <v>10320</v>
      </c>
      <c r="B1784" t="s">
        <v>8808</v>
      </c>
      <c r="C1784" t="s">
        <v>5043</v>
      </c>
      <c r="D1784" t="s">
        <v>8401</v>
      </c>
    </row>
    <row r="1785" spans="1:4" ht="14.45" x14ac:dyDescent="0.3">
      <c r="A1785">
        <v>10529</v>
      </c>
      <c r="B1785" t="s">
        <v>8808</v>
      </c>
      <c r="C1785" t="s">
        <v>5043</v>
      </c>
      <c r="D1785" t="s">
        <v>8401</v>
      </c>
    </row>
    <row r="1786" spans="1:4" ht="14.45" x14ac:dyDescent="0.3">
      <c r="A1786">
        <v>10767</v>
      </c>
      <c r="B1786" t="s">
        <v>8808</v>
      </c>
      <c r="C1786" t="s">
        <v>5043</v>
      </c>
      <c r="D1786" t="s">
        <v>8401</v>
      </c>
    </row>
    <row r="1787" spans="1:4" ht="14.45" x14ac:dyDescent="0.3">
      <c r="A1787">
        <v>11343</v>
      </c>
      <c r="B1787" t="s">
        <v>8808</v>
      </c>
      <c r="C1787" t="s">
        <v>5043</v>
      </c>
      <c r="D1787" t="s">
        <v>8401</v>
      </c>
    </row>
    <row r="1788" spans="1:4" ht="14.45" x14ac:dyDescent="0.3">
      <c r="A1788">
        <v>11567</v>
      </c>
      <c r="B1788" t="s">
        <v>8808</v>
      </c>
      <c r="C1788" t="s">
        <v>5043</v>
      </c>
      <c r="D1788" t="s">
        <v>8401</v>
      </c>
    </row>
    <row r="1789" spans="1:4" ht="14.45" x14ac:dyDescent="0.3">
      <c r="A1789">
        <v>7053</v>
      </c>
      <c r="B1789" t="s">
        <v>8808</v>
      </c>
      <c r="C1789" t="s">
        <v>5043</v>
      </c>
      <c r="D1789" t="s">
        <v>8401</v>
      </c>
    </row>
    <row r="1790" spans="1:4" ht="14.45" x14ac:dyDescent="0.3">
      <c r="A1790">
        <v>7170</v>
      </c>
      <c r="B1790" t="s">
        <v>8808</v>
      </c>
      <c r="C1790" t="s">
        <v>5043</v>
      </c>
      <c r="D1790" t="s">
        <v>8401</v>
      </c>
    </row>
    <row r="1791" spans="1:4" ht="14.45" x14ac:dyDescent="0.3">
      <c r="A1791">
        <v>7221</v>
      </c>
      <c r="B1791" t="s">
        <v>8808</v>
      </c>
      <c r="C1791" t="s">
        <v>5043</v>
      </c>
      <c r="D1791" t="s">
        <v>8401</v>
      </c>
    </row>
    <row r="1792" spans="1:4" ht="14.45" x14ac:dyDescent="0.3">
      <c r="A1792">
        <v>8067</v>
      </c>
      <c r="B1792" t="s">
        <v>8808</v>
      </c>
      <c r="C1792" t="s">
        <v>5043</v>
      </c>
      <c r="D1792" t="s">
        <v>8401</v>
      </c>
    </row>
    <row r="1793" spans="1:4" ht="14.45" x14ac:dyDescent="0.3">
      <c r="A1793">
        <v>9000</v>
      </c>
      <c r="B1793" t="s">
        <v>8808</v>
      </c>
      <c r="C1793" t="s">
        <v>5043</v>
      </c>
      <c r="D1793" t="s">
        <v>8401</v>
      </c>
    </row>
    <row r="1794" spans="1:4" ht="14.45" x14ac:dyDescent="0.3">
      <c r="A1794">
        <v>9050</v>
      </c>
      <c r="B1794" t="s">
        <v>8808</v>
      </c>
      <c r="C1794" t="s">
        <v>5043</v>
      </c>
      <c r="D1794" t="s">
        <v>8401</v>
      </c>
    </row>
    <row r="1795" spans="1:4" ht="14.45" x14ac:dyDescent="0.3">
      <c r="A1795">
        <v>9986</v>
      </c>
      <c r="B1795" t="s">
        <v>8808</v>
      </c>
      <c r="C1795" t="s">
        <v>5043</v>
      </c>
      <c r="D1795" t="s">
        <v>8401</v>
      </c>
    </row>
    <row r="1796" spans="1:4" ht="14.45" x14ac:dyDescent="0.3">
      <c r="A1796">
        <v>10681</v>
      </c>
      <c r="B1796" t="s">
        <v>8809</v>
      </c>
      <c r="C1796" t="s">
        <v>5043</v>
      </c>
      <c r="D1796" t="s">
        <v>8401</v>
      </c>
    </row>
    <row r="1797" spans="1:4" ht="14.45" x14ac:dyDescent="0.3">
      <c r="A1797">
        <v>7209</v>
      </c>
      <c r="B1797" t="s">
        <v>10330</v>
      </c>
      <c r="C1797" t="s">
        <v>5043</v>
      </c>
      <c r="D1797" t="s">
        <v>8401</v>
      </c>
    </row>
    <row r="1798" spans="1:4" ht="14.45" x14ac:dyDescent="0.3">
      <c r="A1798">
        <v>9306</v>
      </c>
      <c r="B1798" t="s">
        <v>10330</v>
      </c>
      <c r="C1798" t="s">
        <v>5043</v>
      </c>
      <c r="D1798" t="s">
        <v>8401</v>
      </c>
    </row>
    <row r="1799" spans="1:4" ht="14.45" x14ac:dyDescent="0.3">
      <c r="A1799">
        <v>10780</v>
      </c>
      <c r="B1799" t="s">
        <v>8810</v>
      </c>
      <c r="C1799" t="s">
        <v>5043</v>
      </c>
      <c r="D1799" t="s">
        <v>8401</v>
      </c>
    </row>
    <row r="1800" spans="1:4" ht="14.45" x14ac:dyDescent="0.3">
      <c r="A1800">
        <v>6733</v>
      </c>
      <c r="B1800" t="s">
        <v>8810</v>
      </c>
      <c r="C1800" t="s">
        <v>5043</v>
      </c>
      <c r="D1800" t="s">
        <v>8401</v>
      </c>
    </row>
    <row r="1801" spans="1:4" ht="14.45" x14ac:dyDescent="0.3">
      <c r="A1801">
        <v>6870</v>
      </c>
      <c r="B1801" t="s">
        <v>8810</v>
      </c>
      <c r="C1801" t="s">
        <v>5043</v>
      </c>
      <c r="D1801" t="s">
        <v>8401</v>
      </c>
    </row>
    <row r="1802" spans="1:4" ht="14.45" x14ac:dyDescent="0.3">
      <c r="A1802">
        <v>7330</v>
      </c>
      <c r="B1802" t="s">
        <v>8810</v>
      </c>
      <c r="C1802" t="s">
        <v>5043</v>
      </c>
      <c r="D1802" t="s">
        <v>8401</v>
      </c>
    </row>
    <row r="1803" spans="1:4" ht="14.45" x14ac:dyDescent="0.3">
      <c r="A1803">
        <v>7388</v>
      </c>
      <c r="B1803" t="s">
        <v>8810</v>
      </c>
      <c r="C1803" t="s">
        <v>5043</v>
      </c>
      <c r="D1803" t="s">
        <v>8401</v>
      </c>
    </row>
    <row r="1804" spans="1:4" ht="14.45" x14ac:dyDescent="0.3">
      <c r="A1804">
        <v>7704</v>
      </c>
      <c r="B1804" t="s">
        <v>8810</v>
      </c>
      <c r="C1804" t="s">
        <v>5043</v>
      </c>
      <c r="D1804" t="s">
        <v>8401</v>
      </c>
    </row>
    <row r="1805" spans="1:4" ht="14.45" x14ac:dyDescent="0.3">
      <c r="A1805">
        <v>7811</v>
      </c>
      <c r="B1805" t="s">
        <v>8810</v>
      </c>
      <c r="C1805" t="s">
        <v>5043</v>
      </c>
      <c r="D1805" t="s">
        <v>8401</v>
      </c>
    </row>
    <row r="1806" spans="1:4" ht="14.45" x14ac:dyDescent="0.3">
      <c r="A1806">
        <v>8350</v>
      </c>
      <c r="B1806" t="s">
        <v>8810</v>
      </c>
      <c r="C1806" t="s">
        <v>5043</v>
      </c>
      <c r="D1806" t="s">
        <v>8401</v>
      </c>
    </row>
    <row r="1807" spans="1:4" ht="14.45" x14ac:dyDescent="0.3">
      <c r="A1807">
        <v>8581</v>
      </c>
      <c r="B1807" t="s">
        <v>8810</v>
      </c>
      <c r="C1807" t="s">
        <v>5043</v>
      </c>
      <c r="D1807" t="s">
        <v>8401</v>
      </c>
    </row>
    <row r="1808" spans="1:4" ht="14.45" x14ac:dyDescent="0.3">
      <c r="A1808">
        <v>8900</v>
      </c>
      <c r="B1808" t="s">
        <v>8810</v>
      </c>
      <c r="C1808" t="s">
        <v>5043</v>
      </c>
      <c r="D1808" t="s">
        <v>8401</v>
      </c>
    </row>
    <row r="1809" spans="1:4" ht="14.45" x14ac:dyDescent="0.3">
      <c r="A1809">
        <v>9131</v>
      </c>
      <c r="B1809" t="s">
        <v>8810</v>
      </c>
      <c r="C1809" t="s">
        <v>5043</v>
      </c>
      <c r="D1809" t="s">
        <v>8401</v>
      </c>
    </row>
    <row r="1810" spans="1:4" ht="14.45" x14ac:dyDescent="0.3">
      <c r="A1810">
        <v>9171</v>
      </c>
      <c r="B1810" t="s">
        <v>8810</v>
      </c>
      <c r="C1810" t="s">
        <v>5043</v>
      </c>
      <c r="D1810" t="s">
        <v>8401</v>
      </c>
    </row>
    <row r="1811" spans="1:4" ht="14.45" x14ac:dyDescent="0.3">
      <c r="A1811">
        <v>9335</v>
      </c>
      <c r="B1811" t="s">
        <v>8810</v>
      </c>
      <c r="C1811" t="s">
        <v>5043</v>
      </c>
      <c r="D1811" t="s">
        <v>8401</v>
      </c>
    </row>
    <row r="1812" spans="1:4" ht="14.45" x14ac:dyDescent="0.3">
      <c r="A1812">
        <v>9459</v>
      </c>
      <c r="B1812" t="s">
        <v>8810</v>
      </c>
      <c r="C1812" t="s">
        <v>5043</v>
      </c>
      <c r="D1812" t="s">
        <v>8401</v>
      </c>
    </row>
    <row r="1813" spans="1:4" ht="14.45" x14ac:dyDescent="0.3">
      <c r="A1813">
        <v>9595</v>
      </c>
      <c r="B1813" t="s">
        <v>8810</v>
      </c>
      <c r="C1813" t="s">
        <v>5043</v>
      </c>
      <c r="D1813" t="s">
        <v>8401</v>
      </c>
    </row>
    <row r="1814" spans="1:4" ht="14.45" x14ac:dyDescent="0.3">
      <c r="A1814">
        <v>9600</v>
      </c>
      <c r="B1814" t="s">
        <v>8810</v>
      </c>
      <c r="C1814" t="s">
        <v>5043</v>
      </c>
      <c r="D1814" t="s">
        <v>8401</v>
      </c>
    </row>
    <row r="1815" spans="1:4" ht="14.45" x14ac:dyDescent="0.3">
      <c r="A1815">
        <v>9879</v>
      </c>
      <c r="B1815" t="s">
        <v>8810</v>
      </c>
      <c r="C1815" t="s">
        <v>5043</v>
      </c>
      <c r="D1815" t="s">
        <v>8401</v>
      </c>
    </row>
    <row r="1816" spans="1:4" ht="14.45" x14ac:dyDescent="0.3">
      <c r="A1816">
        <v>11674</v>
      </c>
      <c r="B1816" t="s">
        <v>10331</v>
      </c>
      <c r="C1816" t="s">
        <v>5043</v>
      </c>
      <c r="D1816" t="s">
        <v>8401</v>
      </c>
    </row>
    <row r="1817" spans="1:4" ht="14.45" x14ac:dyDescent="0.3">
      <c r="A1817">
        <v>7414</v>
      </c>
      <c r="B1817" t="s">
        <v>10332</v>
      </c>
      <c r="C1817" t="s">
        <v>5043</v>
      </c>
      <c r="D1817" t="s">
        <v>8401</v>
      </c>
    </row>
    <row r="1818" spans="1:4" ht="14.45" x14ac:dyDescent="0.3">
      <c r="A1818">
        <v>11417</v>
      </c>
      <c r="B1818" t="s">
        <v>8811</v>
      </c>
      <c r="C1818" t="s">
        <v>5043</v>
      </c>
      <c r="D1818" t="s">
        <v>8401</v>
      </c>
    </row>
    <row r="1819" spans="1:4" ht="14.45" x14ac:dyDescent="0.3">
      <c r="A1819">
        <v>11102</v>
      </c>
      <c r="B1819" t="s">
        <v>8812</v>
      </c>
      <c r="C1819" t="s">
        <v>5043</v>
      </c>
      <c r="D1819" t="s">
        <v>8401</v>
      </c>
    </row>
    <row r="1820" spans="1:4" ht="14.45" x14ac:dyDescent="0.3">
      <c r="A1820">
        <v>6656</v>
      </c>
      <c r="B1820" t="s">
        <v>8812</v>
      </c>
      <c r="C1820" t="s">
        <v>5043</v>
      </c>
      <c r="D1820" t="s">
        <v>8401</v>
      </c>
    </row>
    <row r="1821" spans="1:4" ht="14.45" x14ac:dyDescent="0.3">
      <c r="A1821">
        <v>10139</v>
      </c>
      <c r="B1821" t="s">
        <v>8813</v>
      </c>
      <c r="C1821" t="s">
        <v>5043</v>
      </c>
      <c r="D1821" t="s">
        <v>8401</v>
      </c>
    </row>
    <row r="1822" spans="1:4" ht="14.45" x14ac:dyDescent="0.3">
      <c r="A1822">
        <v>10601</v>
      </c>
      <c r="B1822" t="s">
        <v>8813</v>
      </c>
      <c r="C1822" t="s">
        <v>5043</v>
      </c>
      <c r="D1822" t="s">
        <v>8401</v>
      </c>
    </row>
    <row r="1823" spans="1:4" ht="14.45" x14ac:dyDescent="0.3">
      <c r="A1823">
        <v>10914</v>
      </c>
      <c r="B1823" t="s">
        <v>8813</v>
      </c>
      <c r="C1823" t="s">
        <v>5043</v>
      </c>
      <c r="D1823" t="s">
        <v>8401</v>
      </c>
    </row>
    <row r="1824" spans="1:4" ht="14.45" x14ac:dyDescent="0.3">
      <c r="A1824">
        <v>6837</v>
      </c>
      <c r="B1824" t="s">
        <v>8813</v>
      </c>
      <c r="C1824" t="s">
        <v>5043</v>
      </c>
      <c r="D1824" t="s">
        <v>8401</v>
      </c>
    </row>
    <row r="1825" spans="1:4" ht="14.45" x14ac:dyDescent="0.3">
      <c r="A1825">
        <v>7698</v>
      </c>
      <c r="B1825" t="s">
        <v>8813</v>
      </c>
      <c r="C1825" t="s">
        <v>5043</v>
      </c>
      <c r="D1825" t="s">
        <v>8401</v>
      </c>
    </row>
    <row r="1826" spans="1:4" ht="14.45" x14ac:dyDescent="0.3">
      <c r="A1826">
        <v>8617</v>
      </c>
      <c r="B1826" t="s">
        <v>8813</v>
      </c>
      <c r="C1826" t="s">
        <v>5043</v>
      </c>
      <c r="D1826" t="s">
        <v>8401</v>
      </c>
    </row>
    <row r="1827" spans="1:4" ht="14.45" x14ac:dyDescent="0.3">
      <c r="A1827">
        <v>7624</v>
      </c>
      <c r="B1827" t="s">
        <v>8814</v>
      </c>
      <c r="C1827" t="s">
        <v>5043</v>
      </c>
      <c r="D1827" t="s">
        <v>8401</v>
      </c>
    </row>
    <row r="1828" spans="1:4" ht="14.45" x14ac:dyDescent="0.3">
      <c r="A1828">
        <v>11625</v>
      </c>
      <c r="B1828" t="s">
        <v>8815</v>
      </c>
      <c r="C1828" t="s">
        <v>5043</v>
      </c>
      <c r="D1828" t="s">
        <v>8401</v>
      </c>
    </row>
    <row r="1829" spans="1:4" ht="14.45" x14ac:dyDescent="0.3">
      <c r="A1829">
        <v>8080</v>
      </c>
      <c r="B1829" t="s">
        <v>10333</v>
      </c>
      <c r="C1829" t="s">
        <v>5043</v>
      </c>
      <c r="D1829" t="s">
        <v>8401</v>
      </c>
    </row>
    <row r="1830" spans="1:4" ht="14.45" x14ac:dyDescent="0.3">
      <c r="A1830">
        <v>10515</v>
      </c>
      <c r="B1830" t="s">
        <v>10334</v>
      </c>
      <c r="C1830" t="s">
        <v>5043</v>
      </c>
      <c r="D1830" t="s">
        <v>8401</v>
      </c>
    </row>
    <row r="1831" spans="1:4" ht="14.45" x14ac:dyDescent="0.3">
      <c r="A1831">
        <v>7031</v>
      </c>
      <c r="B1831" t="s">
        <v>10334</v>
      </c>
      <c r="C1831" t="s">
        <v>5043</v>
      </c>
      <c r="D1831" t="s">
        <v>8401</v>
      </c>
    </row>
    <row r="1832" spans="1:4" ht="14.45" x14ac:dyDescent="0.3">
      <c r="A1832">
        <v>7205</v>
      </c>
      <c r="B1832" t="s">
        <v>10334</v>
      </c>
      <c r="C1832" t="s">
        <v>5043</v>
      </c>
      <c r="D1832" t="s">
        <v>8401</v>
      </c>
    </row>
    <row r="1833" spans="1:4" ht="14.45" x14ac:dyDescent="0.3">
      <c r="A1833">
        <v>7289</v>
      </c>
      <c r="B1833" t="s">
        <v>10334</v>
      </c>
      <c r="C1833" t="s">
        <v>5043</v>
      </c>
      <c r="D1833" t="s">
        <v>8401</v>
      </c>
    </row>
    <row r="1834" spans="1:4" ht="14.45" x14ac:dyDescent="0.3">
      <c r="A1834">
        <v>7620</v>
      </c>
      <c r="B1834" t="s">
        <v>10334</v>
      </c>
      <c r="C1834" t="s">
        <v>5043</v>
      </c>
      <c r="D1834" t="s">
        <v>8401</v>
      </c>
    </row>
    <row r="1835" spans="1:4" ht="14.45" x14ac:dyDescent="0.3">
      <c r="A1835">
        <v>8206</v>
      </c>
      <c r="B1835" t="s">
        <v>10334</v>
      </c>
      <c r="C1835" t="s">
        <v>5043</v>
      </c>
      <c r="D1835" t="s">
        <v>8401</v>
      </c>
    </row>
    <row r="1836" spans="1:4" ht="14.45" x14ac:dyDescent="0.3">
      <c r="A1836">
        <v>7822</v>
      </c>
      <c r="B1836" t="s">
        <v>10335</v>
      </c>
      <c r="C1836" t="s">
        <v>5043</v>
      </c>
      <c r="D1836" t="s">
        <v>8401</v>
      </c>
    </row>
    <row r="1837" spans="1:4" ht="14.45" x14ac:dyDescent="0.3">
      <c r="A1837">
        <v>10056</v>
      </c>
      <c r="B1837" t="s">
        <v>10336</v>
      </c>
      <c r="C1837" t="s">
        <v>5043</v>
      </c>
      <c r="D1837" t="s">
        <v>8401</v>
      </c>
    </row>
    <row r="1838" spans="1:4" ht="14.45" x14ac:dyDescent="0.3">
      <c r="A1838">
        <v>7993</v>
      </c>
      <c r="B1838" t="s">
        <v>10336</v>
      </c>
      <c r="C1838" t="s">
        <v>5043</v>
      </c>
      <c r="D1838" t="s">
        <v>8401</v>
      </c>
    </row>
    <row r="1839" spans="1:4" ht="14.45" x14ac:dyDescent="0.3">
      <c r="A1839">
        <v>12097</v>
      </c>
      <c r="B1839" t="s">
        <v>11499</v>
      </c>
      <c r="C1839" t="s">
        <v>5043</v>
      </c>
      <c r="D1839" t="s">
        <v>8401</v>
      </c>
    </row>
    <row r="1840" spans="1:4" ht="14.45" x14ac:dyDescent="0.3">
      <c r="A1840">
        <v>11641</v>
      </c>
      <c r="B1840" t="s">
        <v>10337</v>
      </c>
      <c r="C1840" t="s">
        <v>5043</v>
      </c>
      <c r="D1840" t="s">
        <v>8402</v>
      </c>
    </row>
    <row r="1841" spans="1:4" ht="14.45" x14ac:dyDescent="0.3">
      <c r="A1841">
        <v>8171</v>
      </c>
      <c r="B1841" t="s">
        <v>10337</v>
      </c>
      <c r="C1841" t="s">
        <v>5043</v>
      </c>
      <c r="D1841" t="s">
        <v>8402</v>
      </c>
    </row>
    <row r="1842" spans="1:4" ht="14.45" x14ac:dyDescent="0.3">
      <c r="A1842">
        <v>9825</v>
      </c>
      <c r="B1842" t="s">
        <v>10337</v>
      </c>
      <c r="C1842" t="s">
        <v>5043</v>
      </c>
      <c r="D1842" t="s">
        <v>8402</v>
      </c>
    </row>
    <row r="1843" spans="1:4" ht="14.45" x14ac:dyDescent="0.3">
      <c r="A1843">
        <v>9902</v>
      </c>
      <c r="B1843" t="s">
        <v>10337</v>
      </c>
      <c r="C1843" t="s">
        <v>5043</v>
      </c>
      <c r="D1843" t="s">
        <v>8402</v>
      </c>
    </row>
    <row r="1844" spans="1:4" ht="14.45" x14ac:dyDescent="0.3">
      <c r="A1844">
        <v>10509</v>
      </c>
      <c r="B1844" t="s">
        <v>10338</v>
      </c>
      <c r="C1844" t="s">
        <v>5043</v>
      </c>
      <c r="D1844" t="s">
        <v>8402</v>
      </c>
    </row>
    <row r="1845" spans="1:4" ht="14.45" x14ac:dyDescent="0.3">
      <c r="A1845">
        <v>10927</v>
      </c>
      <c r="B1845" t="s">
        <v>10338</v>
      </c>
      <c r="C1845" t="s">
        <v>5043</v>
      </c>
      <c r="D1845" t="s">
        <v>8402</v>
      </c>
    </row>
    <row r="1846" spans="1:4" ht="14.45" x14ac:dyDescent="0.3">
      <c r="A1846">
        <v>11610</v>
      </c>
      <c r="B1846" t="s">
        <v>10338</v>
      </c>
      <c r="C1846" t="s">
        <v>5043</v>
      </c>
      <c r="D1846" t="s">
        <v>8402</v>
      </c>
    </row>
    <row r="1847" spans="1:4" ht="14.45" x14ac:dyDescent="0.3">
      <c r="A1847">
        <v>7680</v>
      </c>
      <c r="B1847" t="s">
        <v>10338</v>
      </c>
      <c r="C1847" t="s">
        <v>5043</v>
      </c>
      <c r="D1847" t="s">
        <v>8402</v>
      </c>
    </row>
    <row r="1848" spans="1:4" ht="14.45" x14ac:dyDescent="0.3">
      <c r="A1848">
        <v>8405</v>
      </c>
      <c r="B1848" t="s">
        <v>10338</v>
      </c>
      <c r="C1848" t="s">
        <v>5043</v>
      </c>
      <c r="D1848" t="s">
        <v>8402</v>
      </c>
    </row>
    <row r="1849" spans="1:4" ht="14.45" x14ac:dyDescent="0.3">
      <c r="A1849">
        <v>8672</v>
      </c>
      <c r="B1849" t="s">
        <v>10338</v>
      </c>
      <c r="C1849" t="s">
        <v>5043</v>
      </c>
      <c r="D1849" t="s">
        <v>8402</v>
      </c>
    </row>
    <row r="1850" spans="1:4" ht="14.45" x14ac:dyDescent="0.3">
      <c r="A1850">
        <v>9473</v>
      </c>
      <c r="B1850" t="s">
        <v>10338</v>
      </c>
      <c r="C1850" t="s">
        <v>5043</v>
      </c>
      <c r="D1850" t="s">
        <v>8402</v>
      </c>
    </row>
    <row r="1851" spans="1:4" ht="14.45" x14ac:dyDescent="0.3">
      <c r="A1851">
        <v>10248</v>
      </c>
      <c r="B1851" t="s">
        <v>10339</v>
      </c>
      <c r="C1851" t="s">
        <v>5043</v>
      </c>
      <c r="D1851" t="s">
        <v>8402</v>
      </c>
    </row>
    <row r="1852" spans="1:4" ht="14.45" x14ac:dyDescent="0.3">
      <c r="A1852">
        <v>10384</v>
      </c>
      <c r="B1852" t="s">
        <v>10339</v>
      </c>
      <c r="C1852" t="s">
        <v>5043</v>
      </c>
      <c r="D1852" t="s">
        <v>8402</v>
      </c>
    </row>
    <row r="1853" spans="1:4" ht="14.45" x14ac:dyDescent="0.3">
      <c r="A1853">
        <v>10695</v>
      </c>
      <c r="B1853" t="s">
        <v>10339</v>
      </c>
      <c r="C1853" t="s">
        <v>5043</v>
      </c>
      <c r="D1853" t="s">
        <v>8402</v>
      </c>
    </row>
    <row r="1854" spans="1:4" ht="14.45" x14ac:dyDescent="0.3">
      <c r="A1854">
        <v>7797</v>
      </c>
      <c r="B1854" t="s">
        <v>10339</v>
      </c>
      <c r="C1854" t="s">
        <v>5043</v>
      </c>
      <c r="D1854" t="s">
        <v>8402</v>
      </c>
    </row>
    <row r="1855" spans="1:4" ht="14.45" x14ac:dyDescent="0.3">
      <c r="A1855">
        <v>9636</v>
      </c>
      <c r="B1855" t="s">
        <v>10339</v>
      </c>
      <c r="C1855" t="s">
        <v>5043</v>
      </c>
      <c r="D1855" t="s">
        <v>8402</v>
      </c>
    </row>
    <row r="1856" spans="1:4" ht="14.45" x14ac:dyDescent="0.3">
      <c r="A1856">
        <v>8978</v>
      </c>
      <c r="B1856" t="s">
        <v>10340</v>
      </c>
      <c r="C1856" t="s">
        <v>5043</v>
      </c>
      <c r="D1856" t="s">
        <v>8402</v>
      </c>
    </row>
    <row r="1857" spans="1:4" ht="14.45" x14ac:dyDescent="0.3">
      <c r="A1857">
        <v>10042</v>
      </c>
      <c r="B1857" t="s">
        <v>10341</v>
      </c>
      <c r="C1857" t="s">
        <v>5043</v>
      </c>
      <c r="D1857" t="s">
        <v>8402</v>
      </c>
    </row>
    <row r="1858" spans="1:4" ht="14.45" x14ac:dyDescent="0.3">
      <c r="A1858">
        <v>8761</v>
      </c>
      <c r="B1858" t="s">
        <v>10341</v>
      </c>
      <c r="C1858" t="s">
        <v>5043</v>
      </c>
      <c r="D1858" t="s">
        <v>8402</v>
      </c>
    </row>
    <row r="1859" spans="1:4" ht="14.45" x14ac:dyDescent="0.3">
      <c r="A1859">
        <v>7199</v>
      </c>
      <c r="B1859" t="s">
        <v>10342</v>
      </c>
      <c r="C1859" t="s">
        <v>5043</v>
      </c>
      <c r="D1859" t="s">
        <v>8402</v>
      </c>
    </row>
    <row r="1860" spans="1:4" ht="14.45" x14ac:dyDescent="0.3">
      <c r="A1860">
        <v>9617</v>
      </c>
      <c r="B1860" t="s">
        <v>10342</v>
      </c>
      <c r="C1860" t="s">
        <v>5043</v>
      </c>
      <c r="D1860" t="s">
        <v>8402</v>
      </c>
    </row>
    <row r="1861" spans="1:4" ht="14.45" x14ac:dyDescent="0.3">
      <c r="A1861">
        <v>7038</v>
      </c>
      <c r="B1861" t="s">
        <v>10343</v>
      </c>
      <c r="C1861" t="s">
        <v>5043</v>
      </c>
      <c r="D1861" t="s">
        <v>8402</v>
      </c>
    </row>
    <row r="1862" spans="1:4" ht="14.45" x14ac:dyDescent="0.3">
      <c r="A1862">
        <v>7268</v>
      </c>
      <c r="B1862" t="s">
        <v>10343</v>
      </c>
      <c r="C1862" t="s">
        <v>5043</v>
      </c>
      <c r="D1862" t="s">
        <v>8402</v>
      </c>
    </row>
    <row r="1863" spans="1:4" ht="14.45" x14ac:dyDescent="0.3">
      <c r="A1863">
        <v>9744</v>
      </c>
      <c r="B1863" t="s">
        <v>10343</v>
      </c>
      <c r="C1863" t="s">
        <v>5043</v>
      </c>
      <c r="D1863" t="s">
        <v>8402</v>
      </c>
    </row>
    <row r="1864" spans="1:4" ht="14.45" x14ac:dyDescent="0.3">
      <c r="A1864">
        <v>6938</v>
      </c>
      <c r="B1864" t="s">
        <v>10344</v>
      </c>
      <c r="C1864" t="s">
        <v>5043</v>
      </c>
      <c r="D1864" t="s">
        <v>8402</v>
      </c>
    </row>
    <row r="1865" spans="1:4" ht="14.45" x14ac:dyDescent="0.3">
      <c r="A1865">
        <v>8311</v>
      </c>
      <c r="B1865" t="s">
        <v>10344</v>
      </c>
      <c r="C1865" t="s">
        <v>5043</v>
      </c>
      <c r="D1865" t="s">
        <v>8402</v>
      </c>
    </row>
    <row r="1866" spans="1:4" ht="14.45" x14ac:dyDescent="0.3">
      <c r="A1866">
        <v>10924</v>
      </c>
      <c r="B1866" t="s">
        <v>10345</v>
      </c>
      <c r="C1866" t="s">
        <v>5043</v>
      </c>
      <c r="D1866" t="s">
        <v>8402</v>
      </c>
    </row>
    <row r="1867" spans="1:4" ht="14.45" x14ac:dyDescent="0.3">
      <c r="A1867">
        <v>8327</v>
      </c>
      <c r="B1867" t="s">
        <v>10345</v>
      </c>
      <c r="C1867" t="s">
        <v>5043</v>
      </c>
      <c r="D1867" t="s">
        <v>8402</v>
      </c>
    </row>
    <row r="1868" spans="1:4" ht="14.45" x14ac:dyDescent="0.3">
      <c r="A1868">
        <v>9927</v>
      </c>
      <c r="B1868" t="s">
        <v>10346</v>
      </c>
      <c r="C1868" t="s">
        <v>5043</v>
      </c>
      <c r="D1868" t="s">
        <v>8402</v>
      </c>
    </row>
    <row r="1869" spans="1:4" ht="14.45" x14ac:dyDescent="0.3">
      <c r="A1869">
        <v>8417</v>
      </c>
      <c r="B1869" t="s">
        <v>10347</v>
      </c>
      <c r="C1869" t="s">
        <v>5043</v>
      </c>
      <c r="D1869" t="s">
        <v>8402</v>
      </c>
    </row>
    <row r="1870" spans="1:4" ht="14.45" x14ac:dyDescent="0.3">
      <c r="A1870">
        <v>11379</v>
      </c>
      <c r="B1870" t="s">
        <v>10348</v>
      </c>
      <c r="C1870" t="s">
        <v>5043</v>
      </c>
      <c r="D1870" t="s">
        <v>8402</v>
      </c>
    </row>
    <row r="1871" spans="1:4" ht="14.45" x14ac:dyDescent="0.3">
      <c r="A1871">
        <v>9042</v>
      </c>
      <c r="B1871" t="s">
        <v>10348</v>
      </c>
      <c r="C1871" t="s">
        <v>5043</v>
      </c>
      <c r="D1871" t="s">
        <v>8402</v>
      </c>
    </row>
    <row r="1872" spans="1:4" ht="14.45" x14ac:dyDescent="0.3">
      <c r="A1872">
        <v>9347</v>
      </c>
      <c r="B1872" t="s">
        <v>10349</v>
      </c>
      <c r="C1872" t="s">
        <v>5043</v>
      </c>
      <c r="D1872" t="s">
        <v>8402</v>
      </c>
    </row>
    <row r="1873" spans="1:4" ht="14.45" x14ac:dyDescent="0.3">
      <c r="A1873">
        <v>10305</v>
      </c>
      <c r="B1873" t="s">
        <v>10350</v>
      </c>
      <c r="C1873" t="s">
        <v>5043</v>
      </c>
      <c r="D1873" t="s">
        <v>8402</v>
      </c>
    </row>
    <row r="1874" spans="1:4" ht="14.45" x14ac:dyDescent="0.3">
      <c r="A1874">
        <v>10663</v>
      </c>
      <c r="B1874" t="s">
        <v>10350</v>
      </c>
      <c r="C1874" t="s">
        <v>5043</v>
      </c>
      <c r="D1874" t="s">
        <v>8402</v>
      </c>
    </row>
    <row r="1875" spans="1:4" ht="14.45" x14ac:dyDescent="0.3">
      <c r="A1875">
        <v>7070</v>
      </c>
      <c r="B1875" t="s">
        <v>10350</v>
      </c>
      <c r="C1875" t="s">
        <v>5043</v>
      </c>
      <c r="D1875" t="s">
        <v>8402</v>
      </c>
    </row>
    <row r="1876" spans="1:4" ht="14.45" x14ac:dyDescent="0.3">
      <c r="A1876">
        <v>7459</v>
      </c>
      <c r="B1876" t="s">
        <v>10350</v>
      </c>
      <c r="C1876" t="s">
        <v>5043</v>
      </c>
      <c r="D1876" t="s">
        <v>8402</v>
      </c>
    </row>
    <row r="1877" spans="1:4" ht="14.45" x14ac:dyDescent="0.3">
      <c r="A1877">
        <v>9029</v>
      </c>
      <c r="B1877" t="s">
        <v>10350</v>
      </c>
      <c r="C1877" t="s">
        <v>5043</v>
      </c>
      <c r="D1877" t="s">
        <v>8402</v>
      </c>
    </row>
    <row r="1878" spans="1:4" ht="14.45" x14ac:dyDescent="0.3">
      <c r="A1878">
        <v>9734</v>
      </c>
      <c r="B1878" t="s">
        <v>10350</v>
      </c>
      <c r="C1878" t="s">
        <v>5043</v>
      </c>
      <c r="D1878" t="s">
        <v>8402</v>
      </c>
    </row>
    <row r="1879" spans="1:4" ht="14.45" x14ac:dyDescent="0.3">
      <c r="A1879">
        <v>10395</v>
      </c>
      <c r="B1879" t="s">
        <v>10351</v>
      </c>
      <c r="C1879" t="s">
        <v>5043</v>
      </c>
      <c r="D1879" t="s">
        <v>8402</v>
      </c>
    </row>
    <row r="1880" spans="1:4" ht="14.45" x14ac:dyDescent="0.3">
      <c r="A1880">
        <v>11599</v>
      </c>
      <c r="B1880" t="s">
        <v>10351</v>
      </c>
      <c r="C1880" t="s">
        <v>5043</v>
      </c>
      <c r="D1880" t="s">
        <v>8402</v>
      </c>
    </row>
    <row r="1881" spans="1:4" ht="14.45" x14ac:dyDescent="0.3">
      <c r="A1881">
        <v>6985</v>
      </c>
      <c r="B1881" t="s">
        <v>10352</v>
      </c>
      <c r="C1881" t="s">
        <v>5043</v>
      </c>
      <c r="D1881" t="s">
        <v>8402</v>
      </c>
    </row>
    <row r="1882" spans="1:4" ht="14.45" x14ac:dyDescent="0.3">
      <c r="A1882">
        <v>11119</v>
      </c>
      <c r="B1882" t="s">
        <v>10353</v>
      </c>
      <c r="C1882" t="s">
        <v>5043</v>
      </c>
      <c r="D1882" t="s">
        <v>8402</v>
      </c>
    </row>
    <row r="1883" spans="1:4" ht="14.45" x14ac:dyDescent="0.3">
      <c r="A1883">
        <v>8853</v>
      </c>
      <c r="B1883" t="s">
        <v>10353</v>
      </c>
      <c r="C1883" t="s">
        <v>5043</v>
      </c>
      <c r="D1883" t="s">
        <v>8402</v>
      </c>
    </row>
    <row r="1884" spans="1:4" ht="14.45" x14ac:dyDescent="0.3">
      <c r="A1884">
        <v>11032</v>
      </c>
      <c r="B1884" t="s">
        <v>10354</v>
      </c>
      <c r="C1884" t="s">
        <v>5043</v>
      </c>
      <c r="D1884" t="s">
        <v>8402</v>
      </c>
    </row>
    <row r="1885" spans="1:4" ht="14.45" x14ac:dyDescent="0.3">
      <c r="A1885">
        <v>7177</v>
      </c>
      <c r="B1885" t="s">
        <v>10355</v>
      </c>
      <c r="C1885" t="s">
        <v>5043</v>
      </c>
      <c r="D1885" t="s">
        <v>8402</v>
      </c>
    </row>
    <row r="1886" spans="1:4" ht="14.45" x14ac:dyDescent="0.3">
      <c r="A1886">
        <v>8875</v>
      </c>
      <c r="B1886" t="s">
        <v>10355</v>
      </c>
      <c r="C1886" t="s">
        <v>5043</v>
      </c>
      <c r="D1886" t="s">
        <v>8402</v>
      </c>
    </row>
    <row r="1887" spans="1:4" ht="14.45" x14ac:dyDescent="0.3">
      <c r="A1887">
        <v>7604</v>
      </c>
      <c r="B1887" t="s">
        <v>10356</v>
      </c>
      <c r="C1887" t="s">
        <v>5043</v>
      </c>
      <c r="D1887" t="s">
        <v>8402</v>
      </c>
    </row>
    <row r="1888" spans="1:4" ht="14.45" x14ac:dyDescent="0.3">
      <c r="A1888">
        <v>8408</v>
      </c>
      <c r="B1888" t="s">
        <v>10356</v>
      </c>
      <c r="C1888" t="s">
        <v>5043</v>
      </c>
      <c r="D1888" t="s">
        <v>8402</v>
      </c>
    </row>
    <row r="1889" spans="1:4" ht="14.45" x14ac:dyDescent="0.3">
      <c r="A1889">
        <v>10145</v>
      </c>
      <c r="B1889" t="s">
        <v>10357</v>
      </c>
      <c r="C1889" t="s">
        <v>5043</v>
      </c>
      <c r="D1889" t="s">
        <v>8402</v>
      </c>
    </row>
    <row r="1890" spans="1:4" ht="14.45" x14ac:dyDescent="0.3">
      <c r="A1890">
        <v>7757</v>
      </c>
      <c r="B1890" t="s">
        <v>10357</v>
      </c>
      <c r="C1890" t="s">
        <v>5043</v>
      </c>
      <c r="D1890" t="s">
        <v>8402</v>
      </c>
    </row>
    <row r="1891" spans="1:4" ht="14.45" x14ac:dyDescent="0.3">
      <c r="A1891">
        <v>11481</v>
      </c>
      <c r="B1891" t="s">
        <v>10358</v>
      </c>
      <c r="C1891" t="s">
        <v>5043</v>
      </c>
      <c r="D1891" t="s">
        <v>8402</v>
      </c>
    </row>
    <row r="1892" spans="1:4" ht="14.45" x14ac:dyDescent="0.3">
      <c r="A1892">
        <v>6405</v>
      </c>
      <c r="B1892" t="s">
        <v>10358</v>
      </c>
      <c r="C1892" t="s">
        <v>5043</v>
      </c>
      <c r="D1892" t="s">
        <v>8402</v>
      </c>
    </row>
    <row r="1893" spans="1:4" ht="14.45" x14ac:dyDescent="0.3">
      <c r="A1893">
        <v>8243</v>
      </c>
      <c r="B1893" t="s">
        <v>10358</v>
      </c>
      <c r="C1893" t="s">
        <v>5043</v>
      </c>
      <c r="D1893" t="s">
        <v>8402</v>
      </c>
    </row>
    <row r="1894" spans="1:4" ht="14.45" x14ac:dyDescent="0.3">
      <c r="A1894">
        <v>9504</v>
      </c>
      <c r="B1894" t="s">
        <v>10359</v>
      </c>
      <c r="C1894" t="s">
        <v>5043</v>
      </c>
      <c r="D1894" t="s">
        <v>8402</v>
      </c>
    </row>
    <row r="1895" spans="1:4" ht="14.45" x14ac:dyDescent="0.3">
      <c r="A1895">
        <v>9077</v>
      </c>
      <c r="B1895" t="s">
        <v>10360</v>
      </c>
      <c r="C1895" t="s">
        <v>5043</v>
      </c>
      <c r="D1895" t="s">
        <v>8402</v>
      </c>
    </row>
    <row r="1896" spans="1:4" ht="14.45" x14ac:dyDescent="0.3">
      <c r="A1896">
        <v>10052</v>
      </c>
      <c r="B1896" t="s">
        <v>10361</v>
      </c>
      <c r="C1896" t="s">
        <v>5043</v>
      </c>
      <c r="D1896" t="s">
        <v>8402</v>
      </c>
    </row>
    <row r="1897" spans="1:4" ht="14.45" x14ac:dyDescent="0.3">
      <c r="A1897">
        <v>10394</v>
      </c>
      <c r="B1897" t="s">
        <v>10361</v>
      </c>
      <c r="C1897" t="s">
        <v>5043</v>
      </c>
      <c r="D1897" t="s">
        <v>8402</v>
      </c>
    </row>
    <row r="1898" spans="1:4" ht="14.45" x14ac:dyDescent="0.3">
      <c r="A1898">
        <v>10439</v>
      </c>
      <c r="B1898" t="s">
        <v>10361</v>
      </c>
      <c r="C1898" t="s">
        <v>5043</v>
      </c>
      <c r="D1898" t="s">
        <v>8402</v>
      </c>
    </row>
    <row r="1899" spans="1:4" ht="14.45" x14ac:dyDescent="0.3">
      <c r="A1899">
        <v>10498</v>
      </c>
      <c r="B1899" t="s">
        <v>10361</v>
      </c>
      <c r="C1899" t="s">
        <v>5043</v>
      </c>
      <c r="D1899" t="s">
        <v>8402</v>
      </c>
    </row>
    <row r="1900" spans="1:4" ht="14.45" x14ac:dyDescent="0.3">
      <c r="A1900">
        <v>11063</v>
      </c>
      <c r="B1900" t="s">
        <v>10361</v>
      </c>
      <c r="C1900" t="s">
        <v>5043</v>
      </c>
      <c r="D1900" t="s">
        <v>8402</v>
      </c>
    </row>
    <row r="1901" spans="1:4" ht="14.45" x14ac:dyDescent="0.3">
      <c r="A1901">
        <v>11107</v>
      </c>
      <c r="B1901" t="s">
        <v>10361</v>
      </c>
      <c r="C1901" t="s">
        <v>5043</v>
      </c>
      <c r="D1901" t="s">
        <v>8402</v>
      </c>
    </row>
    <row r="1902" spans="1:4" ht="14.45" x14ac:dyDescent="0.3">
      <c r="A1902">
        <v>6729</v>
      </c>
      <c r="B1902" t="s">
        <v>10361</v>
      </c>
      <c r="C1902" t="s">
        <v>5043</v>
      </c>
      <c r="D1902" t="s">
        <v>8402</v>
      </c>
    </row>
    <row r="1903" spans="1:4" ht="14.45" x14ac:dyDescent="0.3">
      <c r="A1903">
        <v>7647</v>
      </c>
      <c r="B1903" t="s">
        <v>10361</v>
      </c>
      <c r="C1903" t="s">
        <v>5043</v>
      </c>
      <c r="D1903" t="s">
        <v>8402</v>
      </c>
    </row>
    <row r="1904" spans="1:4" ht="14.45" x14ac:dyDescent="0.3">
      <c r="A1904">
        <v>11666</v>
      </c>
      <c r="B1904" t="s">
        <v>10362</v>
      </c>
      <c r="C1904" t="s">
        <v>5043</v>
      </c>
      <c r="D1904" t="s">
        <v>8402</v>
      </c>
    </row>
    <row r="1905" spans="1:4" ht="14.45" x14ac:dyDescent="0.3">
      <c r="A1905">
        <v>6975</v>
      </c>
      <c r="B1905" t="s">
        <v>10362</v>
      </c>
      <c r="C1905" t="s">
        <v>5043</v>
      </c>
      <c r="D1905" t="s">
        <v>8402</v>
      </c>
    </row>
    <row r="1906" spans="1:4" ht="14.45" x14ac:dyDescent="0.3">
      <c r="A1906">
        <v>10969</v>
      </c>
      <c r="B1906" t="s">
        <v>10363</v>
      </c>
      <c r="C1906" t="s">
        <v>5043</v>
      </c>
      <c r="D1906" t="s">
        <v>8402</v>
      </c>
    </row>
    <row r="1907" spans="1:4" ht="14.45" x14ac:dyDescent="0.3">
      <c r="A1907">
        <v>9371</v>
      </c>
      <c r="B1907" t="s">
        <v>10363</v>
      </c>
      <c r="C1907" t="s">
        <v>5043</v>
      </c>
      <c r="D1907" t="s">
        <v>8402</v>
      </c>
    </row>
    <row r="1908" spans="1:4" ht="14.45" x14ac:dyDescent="0.3">
      <c r="A1908">
        <v>10814</v>
      </c>
      <c r="B1908" t="s">
        <v>10364</v>
      </c>
      <c r="C1908" t="s">
        <v>5043</v>
      </c>
      <c r="D1908" t="s">
        <v>8402</v>
      </c>
    </row>
    <row r="1909" spans="1:4" ht="14.45" x14ac:dyDescent="0.3">
      <c r="A1909">
        <v>7852</v>
      </c>
      <c r="B1909" t="s">
        <v>10364</v>
      </c>
      <c r="C1909" t="s">
        <v>5043</v>
      </c>
      <c r="D1909" t="s">
        <v>8402</v>
      </c>
    </row>
    <row r="1910" spans="1:4" ht="14.45" x14ac:dyDescent="0.3">
      <c r="A1910">
        <v>10097</v>
      </c>
      <c r="B1910" t="s">
        <v>10365</v>
      </c>
      <c r="C1910" t="s">
        <v>5043</v>
      </c>
      <c r="D1910" t="s">
        <v>8402</v>
      </c>
    </row>
    <row r="1911" spans="1:4" ht="14.45" x14ac:dyDescent="0.3">
      <c r="A1911">
        <v>6420</v>
      </c>
      <c r="B1911" t="s">
        <v>10365</v>
      </c>
      <c r="C1911" t="s">
        <v>5043</v>
      </c>
      <c r="D1911" t="s">
        <v>8402</v>
      </c>
    </row>
    <row r="1912" spans="1:4" ht="14.45" x14ac:dyDescent="0.3">
      <c r="A1912">
        <v>8624</v>
      </c>
      <c r="B1912" t="s">
        <v>10365</v>
      </c>
      <c r="C1912" t="s">
        <v>5043</v>
      </c>
      <c r="D1912" t="s">
        <v>8402</v>
      </c>
    </row>
    <row r="1913" spans="1:4" ht="14.45" x14ac:dyDescent="0.3">
      <c r="A1913">
        <v>8775</v>
      </c>
      <c r="B1913" t="s">
        <v>10365</v>
      </c>
      <c r="C1913" t="s">
        <v>5043</v>
      </c>
      <c r="D1913" t="s">
        <v>8402</v>
      </c>
    </row>
    <row r="1914" spans="1:4" ht="14.45" x14ac:dyDescent="0.3">
      <c r="A1914">
        <v>7059</v>
      </c>
      <c r="B1914" t="s">
        <v>10366</v>
      </c>
      <c r="C1914" t="s">
        <v>5043</v>
      </c>
      <c r="D1914" t="s">
        <v>8402</v>
      </c>
    </row>
    <row r="1915" spans="1:4" ht="14.45" x14ac:dyDescent="0.3">
      <c r="A1915">
        <v>7118</v>
      </c>
      <c r="B1915" t="s">
        <v>10366</v>
      </c>
      <c r="C1915" t="s">
        <v>5043</v>
      </c>
      <c r="D1915" t="s">
        <v>8402</v>
      </c>
    </row>
    <row r="1916" spans="1:4" ht="14.45" x14ac:dyDescent="0.3">
      <c r="A1916">
        <v>7260</v>
      </c>
      <c r="B1916" t="s">
        <v>10366</v>
      </c>
      <c r="C1916" t="s">
        <v>5043</v>
      </c>
      <c r="D1916" t="s">
        <v>8402</v>
      </c>
    </row>
    <row r="1917" spans="1:4" ht="14.45" x14ac:dyDescent="0.3">
      <c r="A1917">
        <v>7987</v>
      </c>
      <c r="B1917" t="s">
        <v>10366</v>
      </c>
      <c r="C1917" t="s">
        <v>5043</v>
      </c>
      <c r="D1917" t="s">
        <v>8402</v>
      </c>
    </row>
    <row r="1918" spans="1:4" ht="14.45" x14ac:dyDescent="0.3">
      <c r="A1918">
        <v>11140</v>
      </c>
      <c r="B1918" t="s">
        <v>10367</v>
      </c>
      <c r="C1918" t="s">
        <v>5043</v>
      </c>
      <c r="D1918" t="s">
        <v>8402</v>
      </c>
    </row>
    <row r="1919" spans="1:4" ht="14.45" x14ac:dyDescent="0.3">
      <c r="A1919">
        <v>6597</v>
      </c>
      <c r="B1919" t="s">
        <v>10367</v>
      </c>
      <c r="C1919" t="s">
        <v>5043</v>
      </c>
      <c r="D1919" t="s">
        <v>8402</v>
      </c>
    </row>
    <row r="1920" spans="1:4" ht="14.45" x14ac:dyDescent="0.3">
      <c r="A1920">
        <v>6753</v>
      </c>
      <c r="B1920" t="s">
        <v>10367</v>
      </c>
      <c r="C1920" t="s">
        <v>5043</v>
      </c>
      <c r="D1920" t="s">
        <v>8402</v>
      </c>
    </row>
    <row r="1921" spans="1:4" ht="14.45" x14ac:dyDescent="0.3">
      <c r="A1921">
        <v>9760</v>
      </c>
      <c r="B1921" t="s">
        <v>10367</v>
      </c>
      <c r="C1921" t="s">
        <v>5043</v>
      </c>
      <c r="D1921" t="s">
        <v>8402</v>
      </c>
    </row>
    <row r="1922" spans="1:4" ht="14.45" x14ac:dyDescent="0.3">
      <c r="A1922">
        <v>11143</v>
      </c>
      <c r="B1922" t="s">
        <v>10368</v>
      </c>
      <c r="C1922" t="s">
        <v>5043</v>
      </c>
      <c r="D1922" t="s">
        <v>8402</v>
      </c>
    </row>
    <row r="1923" spans="1:4" ht="14.45" x14ac:dyDescent="0.3">
      <c r="A1923">
        <v>11296</v>
      </c>
      <c r="B1923" t="s">
        <v>10368</v>
      </c>
      <c r="C1923" t="s">
        <v>5043</v>
      </c>
      <c r="D1923" t="s">
        <v>8402</v>
      </c>
    </row>
    <row r="1924" spans="1:4" ht="14.45" x14ac:dyDescent="0.3">
      <c r="A1924">
        <v>7119</v>
      </c>
      <c r="B1924" t="s">
        <v>10368</v>
      </c>
      <c r="C1924" t="s">
        <v>5043</v>
      </c>
      <c r="D1924" t="s">
        <v>8402</v>
      </c>
    </row>
    <row r="1925" spans="1:4" ht="14.45" x14ac:dyDescent="0.3">
      <c r="A1925">
        <v>8653</v>
      </c>
      <c r="B1925" t="s">
        <v>10368</v>
      </c>
      <c r="C1925" t="s">
        <v>5043</v>
      </c>
      <c r="D1925" t="s">
        <v>8402</v>
      </c>
    </row>
    <row r="1926" spans="1:4" ht="14.45" x14ac:dyDescent="0.3">
      <c r="A1926">
        <v>6935</v>
      </c>
      <c r="B1926" t="s">
        <v>10369</v>
      </c>
      <c r="C1926" t="s">
        <v>5043</v>
      </c>
      <c r="D1926" t="s">
        <v>8402</v>
      </c>
    </row>
    <row r="1927" spans="1:4" ht="14.45" x14ac:dyDescent="0.3">
      <c r="A1927">
        <v>8670</v>
      </c>
      <c r="B1927" t="s">
        <v>10369</v>
      </c>
      <c r="C1927" t="s">
        <v>5043</v>
      </c>
      <c r="D1927" t="s">
        <v>8402</v>
      </c>
    </row>
    <row r="1928" spans="1:4" ht="14.45" x14ac:dyDescent="0.3">
      <c r="A1928">
        <v>9030</v>
      </c>
      <c r="B1928" t="s">
        <v>10369</v>
      </c>
      <c r="C1928" t="s">
        <v>5043</v>
      </c>
      <c r="D1928" t="s">
        <v>8402</v>
      </c>
    </row>
    <row r="1929" spans="1:4" ht="14.45" x14ac:dyDescent="0.3">
      <c r="A1929">
        <v>9288</v>
      </c>
      <c r="B1929" t="s">
        <v>10369</v>
      </c>
      <c r="C1929" t="s">
        <v>5043</v>
      </c>
      <c r="D1929" t="s">
        <v>8402</v>
      </c>
    </row>
    <row r="1930" spans="1:4" ht="14.45" x14ac:dyDescent="0.3">
      <c r="A1930">
        <v>10157</v>
      </c>
      <c r="B1930" t="s">
        <v>10370</v>
      </c>
      <c r="C1930" t="s">
        <v>5043</v>
      </c>
      <c r="D1930" t="s">
        <v>8402</v>
      </c>
    </row>
    <row r="1931" spans="1:4" ht="14.45" x14ac:dyDescent="0.3">
      <c r="A1931">
        <v>10195</v>
      </c>
      <c r="B1931" t="s">
        <v>10370</v>
      </c>
      <c r="C1931" t="s">
        <v>5043</v>
      </c>
      <c r="D1931" t="s">
        <v>8402</v>
      </c>
    </row>
    <row r="1932" spans="1:4" ht="14.45" x14ac:dyDescent="0.3">
      <c r="A1932">
        <v>7189</v>
      </c>
      <c r="B1932" t="s">
        <v>10370</v>
      </c>
      <c r="C1932" t="s">
        <v>5043</v>
      </c>
      <c r="D1932" t="s">
        <v>8402</v>
      </c>
    </row>
    <row r="1933" spans="1:4" ht="14.45" x14ac:dyDescent="0.3">
      <c r="A1933">
        <v>9309</v>
      </c>
      <c r="B1933" t="s">
        <v>10370</v>
      </c>
      <c r="C1933" t="s">
        <v>5043</v>
      </c>
      <c r="D1933" t="s">
        <v>8402</v>
      </c>
    </row>
    <row r="1934" spans="1:4" ht="14.45" x14ac:dyDescent="0.3">
      <c r="A1934">
        <v>6783</v>
      </c>
      <c r="B1934" t="s">
        <v>10371</v>
      </c>
      <c r="C1934" t="s">
        <v>5043</v>
      </c>
      <c r="D1934" t="s">
        <v>8402</v>
      </c>
    </row>
    <row r="1935" spans="1:4" ht="14.45" x14ac:dyDescent="0.3">
      <c r="A1935">
        <v>7985</v>
      </c>
      <c r="B1935" t="s">
        <v>10371</v>
      </c>
      <c r="C1935" t="s">
        <v>5043</v>
      </c>
      <c r="D1935" t="s">
        <v>8402</v>
      </c>
    </row>
    <row r="1936" spans="1:4" ht="14.45" x14ac:dyDescent="0.3">
      <c r="A1936">
        <v>9105</v>
      </c>
      <c r="B1936" t="s">
        <v>10371</v>
      </c>
      <c r="C1936" t="s">
        <v>5043</v>
      </c>
      <c r="D1936" t="s">
        <v>8402</v>
      </c>
    </row>
    <row r="1937" spans="1:4" ht="14.45" x14ac:dyDescent="0.3">
      <c r="A1937">
        <v>9527</v>
      </c>
      <c r="B1937" t="s">
        <v>10371</v>
      </c>
      <c r="C1937" t="s">
        <v>5043</v>
      </c>
      <c r="D1937" t="s">
        <v>8402</v>
      </c>
    </row>
    <row r="1938" spans="1:4" ht="14.45" x14ac:dyDescent="0.3">
      <c r="A1938">
        <v>10057</v>
      </c>
      <c r="B1938" t="s">
        <v>10372</v>
      </c>
      <c r="C1938" t="s">
        <v>5043</v>
      </c>
      <c r="D1938" t="s">
        <v>8402</v>
      </c>
    </row>
    <row r="1939" spans="1:4" ht="14.45" x14ac:dyDescent="0.3">
      <c r="A1939">
        <v>6598</v>
      </c>
      <c r="B1939" t="s">
        <v>10372</v>
      </c>
      <c r="C1939" t="s">
        <v>5043</v>
      </c>
      <c r="D1939" t="s">
        <v>8402</v>
      </c>
    </row>
    <row r="1940" spans="1:4" ht="14.45" x14ac:dyDescent="0.3">
      <c r="A1940">
        <v>6880</v>
      </c>
      <c r="B1940" t="s">
        <v>10373</v>
      </c>
      <c r="C1940" t="s">
        <v>5043</v>
      </c>
      <c r="D1940" t="s">
        <v>8402</v>
      </c>
    </row>
    <row r="1941" spans="1:4" ht="14.45" x14ac:dyDescent="0.3">
      <c r="A1941">
        <v>7562</v>
      </c>
      <c r="B1941" t="s">
        <v>10373</v>
      </c>
      <c r="C1941" t="s">
        <v>5043</v>
      </c>
      <c r="D1941" t="s">
        <v>8402</v>
      </c>
    </row>
    <row r="1942" spans="1:4" ht="14.45" x14ac:dyDescent="0.3">
      <c r="A1942">
        <v>7681</v>
      </c>
      <c r="B1942" t="s">
        <v>10373</v>
      </c>
      <c r="C1942" t="s">
        <v>5043</v>
      </c>
      <c r="D1942" t="s">
        <v>8402</v>
      </c>
    </row>
    <row r="1943" spans="1:4" ht="14.45" x14ac:dyDescent="0.3">
      <c r="A1943">
        <v>8130</v>
      </c>
      <c r="B1943" t="s">
        <v>10373</v>
      </c>
      <c r="C1943" t="s">
        <v>5043</v>
      </c>
      <c r="D1943" t="s">
        <v>8402</v>
      </c>
    </row>
    <row r="1944" spans="1:4" ht="14.45" x14ac:dyDescent="0.3">
      <c r="A1944">
        <v>8722</v>
      </c>
      <c r="B1944" t="s">
        <v>10373</v>
      </c>
      <c r="C1944" t="s">
        <v>5043</v>
      </c>
      <c r="D1944" t="s">
        <v>8402</v>
      </c>
    </row>
    <row r="1945" spans="1:4" ht="14.45" x14ac:dyDescent="0.3">
      <c r="A1945">
        <v>9490</v>
      </c>
      <c r="B1945" t="s">
        <v>10373</v>
      </c>
      <c r="C1945" t="s">
        <v>5043</v>
      </c>
      <c r="D1945" t="s">
        <v>8402</v>
      </c>
    </row>
    <row r="1946" spans="1:4" ht="14.45" x14ac:dyDescent="0.3">
      <c r="A1946">
        <v>9586</v>
      </c>
      <c r="B1946" t="s">
        <v>10373</v>
      </c>
      <c r="C1946" t="s">
        <v>5043</v>
      </c>
      <c r="D1946" t="s">
        <v>8402</v>
      </c>
    </row>
    <row r="1947" spans="1:4" ht="14.45" x14ac:dyDescent="0.3">
      <c r="A1947">
        <v>9953</v>
      </c>
      <c r="B1947" t="s">
        <v>10373</v>
      </c>
      <c r="C1947" t="s">
        <v>5043</v>
      </c>
      <c r="D1947" t="s">
        <v>8402</v>
      </c>
    </row>
    <row r="1948" spans="1:4" ht="14.45" x14ac:dyDescent="0.3">
      <c r="A1948">
        <v>7526</v>
      </c>
      <c r="B1948" t="s">
        <v>10374</v>
      </c>
      <c r="C1948" t="s">
        <v>5043</v>
      </c>
      <c r="D1948" t="s">
        <v>8402</v>
      </c>
    </row>
    <row r="1949" spans="1:4" ht="14.45" x14ac:dyDescent="0.3">
      <c r="A1949">
        <v>7043</v>
      </c>
      <c r="B1949" t="s">
        <v>10375</v>
      </c>
      <c r="C1949" t="s">
        <v>5043</v>
      </c>
      <c r="D1949" t="s">
        <v>8402</v>
      </c>
    </row>
    <row r="1950" spans="1:4" ht="14.45" x14ac:dyDescent="0.3">
      <c r="A1950">
        <v>11310</v>
      </c>
      <c r="B1950" t="s">
        <v>10376</v>
      </c>
      <c r="C1950" t="s">
        <v>5043</v>
      </c>
      <c r="D1950" t="s">
        <v>8402</v>
      </c>
    </row>
    <row r="1951" spans="1:4" ht="14.45" x14ac:dyDescent="0.3">
      <c r="A1951">
        <v>7328</v>
      </c>
      <c r="B1951" t="s">
        <v>10376</v>
      </c>
      <c r="C1951" t="s">
        <v>5043</v>
      </c>
      <c r="D1951" t="s">
        <v>8402</v>
      </c>
    </row>
    <row r="1952" spans="1:4" ht="14.45" x14ac:dyDescent="0.3">
      <c r="A1952">
        <v>8836</v>
      </c>
      <c r="B1952" t="s">
        <v>10376</v>
      </c>
      <c r="C1952" t="s">
        <v>5043</v>
      </c>
      <c r="D1952" t="s">
        <v>8402</v>
      </c>
    </row>
    <row r="1953" spans="1:4" ht="14.45" x14ac:dyDescent="0.3">
      <c r="A1953">
        <v>9340</v>
      </c>
      <c r="B1953" t="s">
        <v>10376</v>
      </c>
      <c r="C1953" t="s">
        <v>5043</v>
      </c>
      <c r="D1953" t="s">
        <v>8402</v>
      </c>
    </row>
    <row r="1954" spans="1:4" ht="14.45" x14ac:dyDescent="0.3">
      <c r="A1954">
        <v>9819</v>
      </c>
      <c r="B1954" t="s">
        <v>10376</v>
      </c>
      <c r="C1954" t="s">
        <v>5043</v>
      </c>
      <c r="D1954" t="s">
        <v>8402</v>
      </c>
    </row>
    <row r="1955" spans="1:4" ht="14.45" x14ac:dyDescent="0.3">
      <c r="A1955">
        <v>10136</v>
      </c>
      <c r="B1955" t="s">
        <v>10377</v>
      </c>
      <c r="C1955" t="s">
        <v>5043</v>
      </c>
      <c r="D1955" t="s">
        <v>8402</v>
      </c>
    </row>
    <row r="1956" spans="1:4" ht="14.45" x14ac:dyDescent="0.3">
      <c r="A1956">
        <v>10918</v>
      </c>
      <c r="B1956" t="s">
        <v>10377</v>
      </c>
      <c r="C1956" t="s">
        <v>5043</v>
      </c>
      <c r="D1956" t="s">
        <v>8402</v>
      </c>
    </row>
    <row r="1957" spans="1:4" ht="14.45" x14ac:dyDescent="0.3">
      <c r="A1957">
        <v>7114</v>
      </c>
      <c r="B1957" t="s">
        <v>10377</v>
      </c>
      <c r="C1957" t="s">
        <v>5043</v>
      </c>
      <c r="D1957" t="s">
        <v>8402</v>
      </c>
    </row>
    <row r="1958" spans="1:4" ht="14.45" x14ac:dyDescent="0.3">
      <c r="A1958">
        <v>8847</v>
      </c>
      <c r="B1958" t="s">
        <v>10377</v>
      </c>
      <c r="C1958" t="s">
        <v>5043</v>
      </c>
      <c r="D1958" t="s">
        <v>8402</v>
      </c>
    </row>
    <row r="1959" spans="1:4" ht="14.45" x14ac:dyDescent="0.3">
      <c r="A1959">
        <v>8923</v>
      </c>
      <c r="B1959" t="s">
        <v>10377</v>
      </c>
      <c r="C1959" t="s">
        <v>5043</v>
      </c>
      <c r="D1959" t="s">
        <v>8402</v>
      </c>
    </row>
    <row r="1960" spans="1:4" ht="14.45" x14ac:dyDescent="0.3">
      <c r="A1960">
        <v>11488</v>
      </c>
      <c r="B1960" t="s">
        <v>10378</v>
      </c>
      <c r="C1960" t="s">
        <v>5043</v>
      </c>
      <c r="D1960" t="s">
        <v>8402</v>
      </c>
    </row>
    <row r="1961" spans="1:4" ht="14.45" x14ac:dyDescent="0.3">
      <c r="A1961">
        <v>6654</v>
      </c>
      <c r="B1961" t="s">
        <v>10378</v>
      </c>
      <c r="C1961" t="s">
        <v>5043</v>
      </c>
      <c r="D1961" t="s">
        <v>8402</v>
      </c>
    </row>
    <row r="1962" spans="1:4" ht="14.45" x14ac:dyDescent="0.3">
      <c r="A1962">
        <v>6703</v>
      </c>
      <c r="B1962" t="s">
        <v>10378</v>
      </c>
      <c r="C1962" t="s">
        <v>5043</v>
      </c>
      <c r="D1962" t="s">
        <v>8402</v>
      </c>
    </row>
    <row r="1963" spans="1:4" ht="14.45" x14ac:dyDescent="0.3">
      <c r="A1963">
        <v>8662</v>
      </c>
      <c r="B1963" t="s">
        <v>10378</v>
      </c>
      <c r="C1963" t="s">
        <v>5043</v>
      </c>
      <c r="D1963" t="s">
        <v>8402</v>
      </c>
    </row>
    <row r="1964" spans="1:4" ht="14.45" x14ac:dyDescent="0.3">
      <c r="A1964">
        <v>9446</v>
      </c>
      <c r="B1964" t="s">
        <v>10378</v>
      </c>
      <c r="C1964" t="s">
        <v>5043</v>
      </c>
      <c r="D1964" t="s">
        <v>8402</v>
      </c>
    </row>
    <row r="1965" spans="1:4" ht="14.45" x14ac:dyDescent="0.3">
      <c r="A1965">
        <v>12338</v>
      </c>
      <c r="B1965" t="s">
        <v>11510</v>
      </c>
      <c r="C1965" t="s">
        <v>5043</v>
      </c>
      <c r="D1965" t="s">
        <v>8401</v>
      </c>
    </row>
    <row r="1966" spans="1:4" ht="14.45" x14ac:dyDescent="0.3">
      <c r="A1966">
        <v>10678</v>
      </c>
      <c r="B1966" t="s">
        <v>10379</v>
      </c>
      <c r="C1966" t="s">
        <v>5043</v>
      </c>
      <c r="D1966" t="s">
        <v>8402</v>
      </c>
    </row>
    <row r="1967" spans="1:4" ht="14.45" x14ac:dyDescent="0.3">
      <c r="A1967">
        <v>8867</v>
      </c>
      <c r="B1967" t="s">
        <v>10379</v>
      </c>
      <c r="C1967" t="s">
        <v>5043</v>
      </c>
      <c r="D1967" t="s">
        <v>8402</v>
      </c>
    </row>
    <row r="1968" spans="1:4" ht="14.45" x14ac:dyDescent="0.3">
      <c r="A1968">
        <v>7677</v>
      </c>
      <c r="B1968" t="s">
        <v>10380</v>
      </c>
      <c r="C1968" t="s">
        <v>5043</v>
      </c>
      <c r="D1968" t="s">
        <v>8402</v>
      </c>
    </row>
    <row r="1969" spans="1:4" ht="14.45" x14ac:dyDescent="0.3">
      <c r="A1969">
        <v>9517</v>
      </c>
      <c r="B1969" t="s">
        <v>10380</v>
      </c>
      <c r="C1969" t="s">
        <v>5043</v>
      </c>
      <c r="D1969" t="s">
        <v>8402</v>
      </c>
    </row>
    <row r="1970" spans="1:4" ht="14.45" x14ac:dyDescent="0.3">
      <c r="A1970">
        <v>9402</v>
      </c>
      <c r="B1970" t="s">
        <v>10381</v>
      </c>
      <c r="C1970" t="s">
        <v>5043</v>
      </c>
      <c r="D1970" t="s">
        <v>8402</v>
      </c>
    </row>
    <row r="1971" spans="1:4" ht="14.45" x14ac:dyDescent="0.3">
      <c r="A1971">
        <v>7879</v>
      </c>
      <c r="B1971" t="s">
        <v>10382</v>
      </c>
      <c r="C1971" t="s">
        <v>5043</v>
      </c>
      <c r="D1971" t="s">
        <v>8402</v>
      </c>
    </row>
    <row r="1972" spans="1:4" ht="14.45" x14ac:dyDescent="0.3">
      <c r="A1972">
        <v>10426</v>
      </c>
      <c r="B1972" t="s">
        <v>10383</v>
      </c>
      <c r="C1972" t="s">
        <v>5043</v>
      </c>
      <c r="D1972" t="s">
        <v>8402</v>
      </c>
    </row>
    <row r="1973" spans="1:4" ht="14.45" x14ac:dyDescent="0.3">
      <c r="A1973">
        <v>11574</v>
      </c>
      <c r="B1973" t="s">
        <v>10383</v>
      </c>
      <c r="C1973" t="s">
        <v>5043</v>
      </c>
      <c r="D1973" t="s">
        <v>8402</v>
      </c>
    </row>
    <row r="1974" spans="1:4" ht="14.45" x14ac:dyDescent="0.3">
      <c r="A1974">
        <v>7734</v>
      </c>
      <c r="B1974" t="s">
        <v>10383</v>
      </c>
      <c r="C1974" t="s">
        <v>5043</v>
      </c>
      <c r="D1974" t="s">
        <v>8402</v>
      </c>
    </row>
    <row r="1975" spans="1:4" ht="14.45" x14ac:dyDescent="0.3">
      <c r="A1975">
        <v>9324</v>
      </c>
      <c r="B1975" t="s">
        <v>10383</v>
      </c>
      <c r="C1975" t="s">
        <v>5043</v>
      </c>
      <c r="D1975" t="s">
        <v>8402</v>
      </c>
    </row>
    <row r="1976" spans="1:4" ht="14.45" x14ac:dyDescent="0.3">
      <c r="A1976">
        <v>8040</v>
      </c>
      <c r="B1976" t="s">
        <v>10384</v>
      </c>
      <c r="C1976" t="s">
        <v>5043</v>
      </c>
      <c r="D1976" t="s">
        <v>8402</v>
      </c>
    </row>
    <row r="1977" spans="1:4" ht="14.45" x14ac:dyDescent="0.3">
      <c r="A1977">
        <v>8493</v>
      </c>
      <c r="B1977" t="s">
        <v>10384</v>
      </c>
      <c r="C1977" t="s">
        <v>5043</v>
      </c>
      <c r="D1977" t="s">
        <v>8402</v>
      </c>
    </row>
    <row r="1978" spans="1:4" ht="14.45" x14ac:dyDescent="0.3">
      <c r="A1978">
        <v>9403</v>
      </c>
      <c r="B1978" t="s">
        <v>10384</v>
      </c>
      <c r="C1978" t="s">
        <v>5043</v>
      </c>
      <c r="D1978" t="s">
        <v>8402</v>
      </c>
    </row>
    <row r="1979" spans="1:4" ht="14.45" x14ac:dyDescent="0.3">
      <c r="A1979">
        <v>9441</v>
      </c>
      <c r="B1979" t="s">
        <v>10384</v>
      </c>
      <c r="C1979" t="s">
        <v>5043</v>
      </c>
      <c r="D1979" t="s">
        <v>8402</v>
      </c>
    </row>
    <row r="1980" spans="1:4" ht="14.45" x14ac:dyDescent="0.3">
      <c r="A1980">
        <v>7884</v>
      </c>
      <c r="B1980" t="s">
        <v>10385</v>
      </c>
      <c r="C1980" t="s">
        <v>5043</v>
      </c>
      <c r="D1980" t="s">
        <v>8402</v>
      </c>
    </row>
    <row r="1981" spans="1:4" ht="14.45" x14ac:dyDescent="0.3">
      <c r="A1981">
        <v>7889</v>
      </c>
      <c r="B1981" t="s">
        <v>10386</v>
      </c>
      <c r="C1981" t="s">
        <v>5043</v>
      </c>
      <c r="D1981" t="s">
        <v>8402</v>
      </c>
    </row>
    <row r="1982" spans="1:4" ht="14.45" x14ac:dyDescent="0.3">
      <c r="A1982">
        <v>10464</v>
      </c>
      <c r="B1982" t="s">
        <v>10387</v>
      </c>
      <c r="C1982" t="s">
        <v>5043</v>
      </c>
      <c r="D1982" t="s">
        <v>8402</v>
      </c>
    </row>
    <row r="1983" spans="1:4" ht="14.45" x14ac:dyDescent="0.3">
      <c r="A1983">
        <v>7064</v>
      </c>
      <c r="B1983" t="s">
        <v>10388</v>
      </c>
      <c r="C1983" t="s">
        <v>5043</v>
      </c>
      <c r="D1983" t="s">
        <v>8402</v>
      </c>
    </row>
    <row r="1984" spans="1:4" ht="14.45" x14ac:dyDescent="0.3">
      <c r="A1984">
        <v>7716</v>
      </c>
      <c r="B1984" t="s">
        <v>10388</v>
      </c>
      <c r="C1984" t="s">
        <v>5043</v>
      </c>
      <c r="D1984" t="s">
        <v>8402</v>
      </c>
    </row>
    <row r="1985" spans="1:4" ht="14.45" x14ac:dyDescent="0.3">
      <c r="A1985">
        <v>11175</v>
      </c>
      <c r="B1985" t="s">
        <v>10389</v>
      </c>
      <c r="C1985" t="s">
        <v>5043</v>
      </c>
      <c r="D1985" t="s">
        <v>8402</v>
      </c>
    </row>
    <row r="1986" spans="1:4" ht="14.45" x14ac:dyDescent="0.3">
      <c r="A1986">
        <v>7238</v>
      </c>
      <c r="B1986" t="s">
        <v>10389</v>
      </c>
      <c r="C1986" t="s">
        <v>5043</v>
      </c>
      <c r="D1986" t="s">
        <v>8402</v>
      </c>
    </row>
    <row r="1987" spans="1:4" ht="14.45" x14ac:dyDescent="0.3">
      <c r="A1987">
        <v>10424</v>
      </c>
      <c r="B1987" t="s">
        <v>10390</v>
      </c>
      <c r="C1987" t="s">
        <v>5043</v>
      </c>
      <c r="D1987" t="s">
        <v>8402</v>
      </c>
    </row>
    <row r="1988" spans="1:4" ht="14.45" x14ac:dyDescent="0.3">
      <c r="A1988">
        <v>6921</v>
      </c>
      <c r="B1988" t="s">
        <v>10390</v>
      </c>
      <c r="C1988" t="s">
        <v>5043</v>
      </c>
      <c r="D1988" t="s">
        <v>8402</v>
      </c>
    </row>
    <row r="1989" spans="1:4" ht="14.45" x14ac:dyDescent="0.3">
      <c r="A1989">
        <v>11065</v>
      </c>
      <c r="B1989" t="s">
        <v>10391</v>
      </c>
      <c r="C1989" t="s">
        <v>5043</v>
      </c>
      <c r="D1989" t="s">
        <v>8402</v>
      </c>
    </row>
    <row r="1990" spans="1:4" ht="14.45" x14ac:dyDescent="0.3">
      <c r="A1990">
        <v>6707</v>
      </c>
      <c r="B1990" t="s">
        <v>10391</v>
      </c>
      <c r="C1990" t="s">
        <v>5043</v>
      </c>
      <c r="D1990" t="s">
        <v>8402</v>
      </c>
    </row>
    <row r="1991" spans="1:4" ht="14.45" x14ac:dyDescent="0.3">
      <c r="A1991">
        <v>10446</v>
      </c>
      <c r="B1991" t="s">
        <v>10392</v>
      </c>
      <c r="C1991" t="s">
        <v>5043</v>
      </c>
      <c r="D1991" t="s">
        <v>8402</v>
      </c>
    </row>
    <row r="1992" spans="1:4" ht="14.45" x14ac:dyDescent="0.3">
      <c r="A1992">
        <v>6898</v>
      </c>
      <c r="B1992" t="s">
        <v>10392</v>
      </c>
      <c r="C1992" t="s">
        <v>5043</v>
      </c>
      <c r="D1992" t="s">
        <v>8402</v>
      </c>
    </row>
    <row r="1993" spans="1:4" ht="14.45" x14ac:dyDescent="0.3">
      <c r="A1993">
        <v>7063</v>
      </c>
      <c r="B1993" t="s">
        <v>10392</v>
      </c>
      <c r="C1993" t="s">
        <v>5043</v>
      </c>
      <c r="D1993" t="s">
        <v>8402</v>
      </c>
    </row>
    <row r="1994" spans="1:4" ht="14.45" x14ac:dyDescent="0.3">
      <c r="A1994">
        <v>7313</v>
      </c>
      <c r="B1994" t="s">
        <v>10392</v>
      </c>
      <c r="C1994" t="s">
        <v>5043</v>
      </c>
      <c r="D1994" t="s">
        <v>8402</v>
      </c>
    </row>
    <row r="1995" spans="1:4" ht="14.45" x14ac:dyDescent="0.3">
      <c r="A1995">
        <v>7962</v>
      </c>
      <c r="B1995" t="s">
        <v>10392</v>
      </c>
      <c r="C1995" t="s">
        <v>5043</v>
      </c>
      <c r="D1995" t="s">
        <v>8402</v>
      </c>
    </row>
    <row r="1996" spans="1:4" ht="14.45" x14ac:dyDescent="0.3">
      <c r="A1996">
        <v>8704</v>
      </c>
      <c r="B1996" t="s">
        <v>10392</v>
      </c>
      <c r="C1996" t="s">
        <v>5043</v>
      </c>
      <c r="D1996" t="s">
        <v>8402</v>
      </c>
    </row>
    <row r="1997" spans="1:4" ht="14.45" x14ac:dyDescent="0.3">
      <c r="A1997">
        <v>8734</v>
      </c>
      <c r="B1997" t="s">
        <v>10392</v>
      </c>
      <c r="C1997" t="s">
        <v>5043</v>
      </c>
      <c r="D1997" t="s">
        <v>8402</v>
      </c>
    </row>
    <row r="1998" spans="1:4" ht="14.45" x14ac:dyDescent="0.3">
      <c r="A1998">
        <v>9028</v>
      </c>
      <c r="B1998" t="s">
        <v>10392</v>
      </c>
      <c r="C1998" t="s">
        <v>5043</v>
      </c>
      <c r="D1998" t="s">
        <v>8402</v>
      </c>
    </row>
    <row r="1999" spans="1:4" ht="14.45" x14ac:dyDescent="0.3">
      <c r="A1999">
        <v>9281</v>
      </c>
      <c r="B1999" t="s">
        <v>10392</v>
      </c>
      <c r="C1999" t="s">
        <v>5043</v>
      </c>
      <c r="D1999" t="s">
        <v>8402</v>
      </c>
    </row>
    <row r="2000" spans="1:4" ht="14.45" x14ac:dyDescent="0.3">
      <c r="A2000">
        <v>9924</v>
      </c>
      <c r="B2000" t="s">
        <v>10392</v>
      </c>
      <c r="C2000" t="s">
        <v>5043</v>
      </c>
      <c r="D2000" t="s">
        <v>8402</v>
      </c>
    </row>
    <row r="2001" spans="1:4" ht="14.45" x14ac:dyDescent="0.3">
      <c r="A2001">
        <v>10253</v>
      </c>
      <c r="B2001" t="s">
        <v>10393</v>
      </c>
      <c r="C2001" t="s">
        <v>5043</v>
      </c>
      <c r="D2001" t="s">
        <v>8402</v>
      </c>
    </row>
    <row r="2002" spans="1:4" ht="14.45" x14ac:dyDescent="0.3">
      <c r="A2002">
        <v>9914</v>
      </c>
      <c r="B2002" t="s">
        <v>10393</v>
      </c>
      <c r="C2002" t="s">
        <v>5043</v>
      </c>
      <c r="D2002" t="s">
        <v>8402</v>
      </c>
    </row>
    <row r="2003" spans="1:4" ht="14.45" x14ac:dyDescent="0.3">
      <c r="A2003">
        <v>10617</v>
      </c>
      <c r="B2003" t="s">
        <v>10394</v>
      </c>
      <c r="C2003" t="s">
        <v>5043</v>
      </c>
      <c r="D2003" t="s">
        <v>8402</v>
      </c>
    </row>
    <row r="2004" spans="1:4" ht="14.45" x14ac:dyDescent="0.3">
      <c r="A2004">
        <v>6574</v>
      </c>
      <c r="B2004" t="s">
        <v>10394</v>
      </c>
      <c r="C2004" t="s">
        <v>5043</v>
      </c>
      <c r="D2004" t="s">
        <v>8402</v>
      </c>
    </row>
    <row r="2005" spans="1:4" ht="14.45" x14ac:dyDescent="0.3">
      <c r="A2005">
        <v>7725</v>
      </c>
      <c r="B2005" t="s">
        <v>10395</v>
      </c>
      <c r="C2005" t="s">
        <v>5043</v>
      </c>
      <c r="D2005" t="s">
        <v>8402</v>
      </c>
    </row>
    <row r="2006" spans="1:4" ht="14.45" x14ac:dyDescent="0.3">
      <c r="A2006">
        <v>9678</v>
      </c>
      <c r="B2006" t="s">
        <v>10395</v>
      </c>
      <c r="C2006" t="s">
        <v>5043</v>
      </c>
      <c r="D2006" t="s">
        <v>8402</v>
      </c>
    </row>
    <row r="2007" spans="1:4" ht="14.45" x14ac:dyDescent="0.3">
      <c r="A2007">
        <v>8172</v>
      </c>
      <c r="B2007" t="s">
        <v>10396</v>
      </c>
      <c r="C2007" t="s">
        <v>5043</v>
      </c>
      <c r="D2007" t="s">
        <v>8402</v>
      </c>
    </row>
    <row r="2008" spans="1:4" ht="14.45" x14ac:dyDescent="0.3">
      <c r="A2008">
        <v>9428</v>
      </c>
      <c r="B2008" t="s">
        <v>10396</v>
      </c>
      <c r="C2008" t="s">
        <v>5043</v>
      </c>
      <c r="D2008" t="s">
        <v>8402</v>
      </c>
    </row>
    <row r="2009" spans="1:4" ht="14.45" x14ac:dyDescent="0.3">
      <c r="A2009">
        <v>10086</v>
      </c>
      <c r="B2009" t="s">
        <v>10397</v>
      </c>
      <c r="C2009" t="s">
        <v>5043</v>
      </c>
      <c r="D2009" t="s">
        <v>8402</v>
      </c>
    </row>
    <row r="2010" spans="1:4" ht="14.45" x14ac:dyDescent="0.3">
      <c r="A2010">
        <v>10122</v>
      </c>
      <c r="B2010" t="s">
        <v>10397</v>
      </c>
      <c r="C2010" t="s">
        <v>5043</v>
      </c>
      <c r="D2010" t="s">
        <v>8402</v>
      </c>
    </row>
    <row r="2011" spans="1:4" ht="14.45" x14ac:dyDescent="0.3">
      <c r="A2011">
        <v>9593</v>
      </c>
      <c r="B2011" t="s">
        <v>10398</v>
      </c>
      <c r="C2011" t="s">
        <v>5043</v>
      </c>
      <c r="D2011" t="s">
        <v>8402</v>
      </c>
    </row>
    <row r="2012" spans="1:4" ht="14.45" x14ac:dyDescent="0.3">
      <c r="A2012">
        <v>9805</v>
      </c>
      <c r="B2012" t="s">
        <v>10398</v>
      </c>
      <c r="C2012" t="s">
        <v>5043</v>
      </c>
      <c r="D2012" t="s">
        <v>8402</v>
      </c>
    </row>
    <row r="2013" spans="1:4" ht="14.45" x14ac:dyDescent="0.3">
      <c r="A2013">
        <v>8559</v>
      </c>
      <c r="B2013" t="s">
        <v>10399</v>
      </c>
      <c r="C2013" t="s">
        <v>5043</v>
      </c>
      <c r="D2013" t="s">
        <v>8402</v>
      </c>
    </row>
    <row r="2014" spans="1:4" ht="14.45" x14ac:dyDescent="0.3">
      <c r="A2014">
        <v>9954</v>
      </c>
      <c r="B2014" t="s">
        <v>10399</v>
      </c>
      <c r="C2014" t="s">
        <v>5043</v>
      </c>
      <c r="D2014" t="s">
        <v>8402</v>
      </c>
    </row>
    <row r="2015" spans="1:4" ht="14.45" x14ac:dyDescent="0.3">
      <c r="A2015">
        <v>10764</v>
      </c>
      <c r="B2015" t="s">
        <v>10400</v>
      </c>
      <c r="C2015" t="s">
        <v>5043</v>
      </c>
      <c r="D2015" t="s">
        <v>8402</v>
      </c>
    </row>
    <row r="2016" spans="1:4" ht="14.45" x14ac:dyDescent="0.3">
      <c r="A2016">
        <v>8546</v>
      </c>
      <c r="B2016" t="s">
        <v>10400</v>
      </c>
      <c r="C2016" t="s">
        <v>5043</v>
      </c>
      <c r="D2016" t="s">
        <v>8402</v>
      </c>
    </row>
    <row r="2017" spans="1:4" ht="14.45" x14ac:dyDescent="0.3">
      <c r="A2017">
        <v>7712</v>
      </c>
      <c r="B2017" t="s">
        <v>10401</v>
      </c>
      <c r="C2017" t="s">
        <v>5043</v>
      </c>
      <c r="D2017" t="s">
        <v>8402</v>
      </c>
    </row>
    <row r="2018" spans="1:4" ht="14.45" x14ac:dyDescent="0.3">
      <c r="A2018">
        <v>8657</v>
      </c>
      <c r="B2018" t="s">
        <v>10401</v>
      </c>
      <c r="C2018" t="s">
        <v>5043</v>
      </c>
      <c r="D2018" t="s">
        <v>8402</v>
      </c>
    </row>
    <row r="2019" spans="1:4" ht="14.45" x14ac:dyDescent="0.3">
      <c r="A2019">
        <v>10755</v>
      </c>
      <c r="B2019" t="s">
        <v>10402</v>
      </c>
      <c r="C2019" t="s">
        <v>5043</v>
      </c>
      <c r="D2019" t="s">
        <v>8402</v>
      </c>
    </row>
    <row r="2020" spans="1:4" ht="14.45" x14ac:dyDescent="0.3">
      <c r="A2020">
        <v>8169</v>
      </c>
      <c r="B2020" t="s">
        <v>10402</v>
      </c>
      <c r="C2020" t="s">
        <v>5043</v>
      </c>
      <c r="D2020" t="s">
        <v>8402</v>
      </c>
    </row>
    <row r="2021" spans="1:4" ht="14.45" x14ac:dyDescent="0.3">
      <c r="A2021">
        <v>10370</v>
      </c>
      <c r="B2021" t="s">
        <v>10403</v>
      </c>
      <c r="C2021" t="s">
        <v>5043</v>
      </c>
      <c r="D2021" t="s">
        <v>8402</v>
      </c>
    </row>
    <row r="2022" spans="1:4" ht="14.45" x14ac:dyDescent="0.3">
      <c r="A2022">
        <v>10650</v>
      </c>
      <c r="B2022" t="s">
        <v>10403</v>
      </c>
      <c r="C2022" t="s">
        <v>5043</v>
      </c>
      <c r="D2022" t="s">
        <v>8402</v>
      </c>
    </row>
    <row r="2023" spans="1:4" ht="14.45" x14ac:dyDescent="0.3">
      <c r="A2023">
        <v>10687</v>
      </c>
      <c r="B2023" t="s">
        <v>10403</v>
      </c>
      <c r="C2023" t="s">
        <v>5043</v>
      </c>
      <c r="D2023" t="s">
        <v>8402</v>
      </c>
    </row>
    <row r="2024" spans="1:4" ht="14.45" x14ac:dyDescent="0.3">
      <c r="A2024">
        <v>10865</v>
      </c>
      <c r="B2024" t="s">
        <v>10403</v>
      </c>
      <c r="C2024" t="s">
        <v>5043</v>
      </c>
      <c r="D2024" t="s">
        <v>8402</v>
      </c>
    </row>
    <row r="2025" spans="1:4" ht="14.45" x14ac:dyDescent="0.3">
      <c r="A2025">
        <v>6784</v>
      </c>
      <c r="B2025" t="s">
        <v>10403</v>
      </c>
      <c r="C2025" t="s">
        <v>5043</v>
      </c>
      <c r="D2025" t="s">
        <v>8402</v>
      </c>
    </row>
    <row r="2026" spans="1:4" ht="14.45" x14ac:dyDescent="0.3">
      <c r="A2026">
        <v>7081</v>
      </c>
      <c r="B2026" t="s">
        <v>10403</v>
      </c>
      <c r="C2026" t="s">
        <v>5043</v>
      </c>
      <c r="D2026" t="s">
        <v>8402</v>
      </c>
    </row>
    <row r="2027" spans="1:4" ht="14.45" x14ac:dyDescent="0.3">
      <c r="A2027">
        <v>8066</v>
      </c>
      <c r="B2027" t="s">
        <v>10403</v>
      </c>
      <c r="C2027" t="s">
        <v>5043</v>
      </c>
      <c r="D2027" t="s">
        <v>8402</v>
      </c>
    </row>
    <row r="2028" spans="1:4" ht="14.45" x14ac:dyDescent="0.3">
      <c r="A2028">
        <v>8190</v>
      </c>
      <c r="B2028" t="s">
        <v>10403</v>
      </c>
      <c r="C2028" t="s">
        <v>5043</v>
      </c>
      <c r="D2028" t="s">
        <v>8402</v>
      </c>
    </row>
    <row r="2029" spans="1:4" ht="14.45" x14ac:dyDescent="0.3">
      <c r="A2029">
        <v>8370</v>
      </c>
      <c r="B2029" t="s">
        <v>10403</v>
      </c>
      <c r="C2029" t="s">
        <v>5043</v>
      </c>
      <c r="D2029" t="s">
        <v>8402</v>
      </c>
    </row>
    <row r="2030" spans="1:4" ht="14.45" x14ac:dyDescent="0.3">
      <c r="A2030">
        <v>8850</v>
      </c>
      <c r="B2030" t="s">
        <v>10403</v>
      </c>
      <c r="C2030" t="s">
        <v>5043</v>
      </c>
      <c r="D2030" t="s">
        <v>8402</v>
      </c>
    </row>
    <row r="2031" spans="1:4" ht="14.45" x14ac:dyDescent="0.3">
      <c r="A2031">
        <v>9384</v>
      </c>
      <c r="B2031" t="s">
        <v>10403</v>
      </c>
      <c r="C2031" t="s">
        <v>5043</v>
      </c>
      <c r="D2031" t="s">
        <v>8402</v>
      </c>
    </row>
    <row r="2032" spans="1:4" ht="14.45" x14ac:dyDescent="0.3">
      <c r="A2032">
        <v>9628</v>
      </c>
      <c r="B2032" t="s">
        <v>10403</v>
      </c>
      <c r="C2032" t="s">
        <v>5043</v>
      </c>
      <c r="D2032" t="s">
        <v>8402</v>
      </c>
    </row>
    <row r="2033" spans="1:4" ht="14.45" x14ac:dyDescent="0.3">
      <c r="A2033">
        <v>6675</v>
      </c>
      <c r="B2033" t="s">
        <v>10404</v>
      </c>
      <c r="C2033" t="s">
        <v>5043</v>
      </c>
      <c r="D2033" t="s">
        <v>8402</v>
      </c>
    </row>
    <row r="2034" spans="1:4" ht="14.45" x14ac:dyDescent="0.3">
      <c r="A2034">
        <v>10109</v>
      </c>
      <c r="B2034" t="s">
        <v>10405</v>
      </c>
      <c r="C2034" t="s">
        <v>5043</v>
      </c>
      <c r="D2034" t="s">
        <v>8402</v>
      </c>
    </row>
    <row r="2035" spans="1:4" ht="14.45" x14ac:dyDescent="0.3">
      <c r="A2035">
        <v>10543</v>
      </c>
      <c r="B2035" t="s">
        <v>10405</v>
      </c>
      <c r="C2035" t="s">
        <v>5043</v>
      </c>
      <c r="D2035" t="s">
        <v>8402</v>
      </c>
    </row>
    <row r="2036" spans="1:4" ht="14.45" x14ac:dyDescent="0.3">
      <c r="A2036">
        <v>11189</v>
      </c>
      <c r="B2036" t="s">
        <v>10405</v>
      </c>
      <c r="C2036" t="s">
        <v>5043</v>
      </c>
      <c r="D2036" t="s">
        <v>8402</v>
      </c>
    </row>
    <row r="2037" spans="1:4" ht="14.45" x14ac:dyDescent="0.3">
      <c r="A2037">
        <v>11236</v>
      </c>
      <c r="B2037" t="s">
        <v>10405</v>
      </c>
      <c r="C2037" t="s">
        <v>5043</v>
      </c>
      <c r="D2037" t="s">
        <v>8402</v>
      </c>
    </row>
    <row r="2038" spans="1:4" ht="14.45" x14ac:dyDescent="0.3">
      <c r="A2038">
        <v>7098</v>
      </c>
      <c r="B2038" t="s">
        <v>10405</v>
      </c>
      <c r="C2038" t="s">
        <v>5043</v>
      </c>
      <c r="D2038" t="s">
        <v>8402</v>
      </c>
    </row>
    <row r="2039" spans="1:4" ht="14.45" x14ac:dyDescent="0.3">
      <c r="A2039">
        <v>7153</v>
      </c>
      <c r="B2039" t="s">
        <v>10405</v>
      </c>
      <c r="C2039" t="s">
        <v>5043</v>
      </c>
      <c r="D2039" t="s">
        <v>8402</v>
      </c>
    </row>
    <row r="2040" spans="1:4" ht="14.45" x14ac:dyDescent="0.3">
      <c r="A2040">
        <v>7306</v>
      </c>
      <c r="B2040" t="s">
        <v>10405</v>
      </c>
      <c r="C2040" t="s">
        <v>5043</v>
      </c>
      <c r="D2040" t="s">
        <v>8402</v>
      </c>
    </row>
    <row r="2041" spans="1:4" ht="14.45" x14ac:dyDescent="0.3">
      <c r="A2041">
        <v>7427</v>
      </c>
      <c r="B2041" t="s">
        <v>10405</v>
      </c>
      <c r="C2041" t="s">
        <v>5043</v>
      </c>
      <c r="D2041" t="s">
        <v>8402</v>
      </c>
    </row>
    <row r="2042" spans="1:4" ht="14.45" x14ac:dyDescent="0.3">
      <c r="A2042">
        <v>7936</v>
      </c>
      <c r="B2042" t="s">
        <v>10405</v>
      </c>
      <c r="C2042" t="s">
        <v>5043</v>
      </c>
      <c r="D2042" t="s">
        <v>8402</v>
      </c>
    </row>
    <row r="2043" spans="1:4" ht="14.45" x14ac:dyDescent="0.3">
      <c r="A2043">
        <v>8307</v>
      </c>
      <c r="B2043" t="s">
        <v>10405</v>
      </c>
      <c r="C2043" t="s">
        <v>5043</v>
      </c>
      <c r="D2043" t="s">
        <v>8402</v>
      </c>
    </row>
    <row r="2044" spans="1:4" ht="14.45" x14ac:dyDescent="0.3">
      <c r="A2044">
        <v>8784</v>
      </c>
      <c r="B2044" t="s">
        <v>10405</v>
      </c>
      <c r="C2044" t="s">
        <v>5043</v>
      </c>
      <c r="D2044" t="s">
        <v>8402</v>
      </c>
    </row>
    <row r="2045" spans="1:4" ht="14.45" x14ac:dyDescent="0.3">
      <c r="A2045">
        <v>8840</v>
      </c>
      <c r="B2045" t="s">
        <v>10405</v>
      </c>
      <c r="C2045" t="s">
        <v>5043</v>
      </c>
      <c r="D2045" t="s">
        <v>8402</v>
      </c>
    </row>
    <row r="2046" spans="1:4" ht="14.45" x14ac:dyDescent="0.3">
      <c r="A2046">
        <v>8950</v>
      </c>
      <c r="B2046" t="s">
        <v>10405</v>
      </c>
      <c r="C2046" t="s">
        <v>5043</v>
      </c>
      <c r="D2046" t="s">
        <v>8402</v>
      </c>
    </row>
    <row r="2047" spans="1:4" ht="14.45" x14ac:dyDescent="0.3">
      <c r="A2047">
        <v>8980</v>
      </c>
      <c r="B2047" t="s">
        <v>10405</v>
      </c>
      <c r="C2047" t="s">
        <v>5043</v>
      </c>
      <c r="D2047" t="s">
        <v>8402</v>
      </c>
    </row>
    <row r="2048" spans="1:4" ht="14.45" x14ac:dyDescent="0.3">
      <c r="A2048">
        <v>9167</v>
      </c>
      <c r="B2048" t="s">
        <v>10405</v>
      </c>
      <c r="C2048" t="s">
        <v>5043</v>
      </c>
      <c r="D2048" t="s">
        <v>8402</v>
      </c>
    </row>
    <row r="2049" spans="1:4" ht="14.45" x14ac:dyDescent="0.3">
      <c r="A2049">
        <v>9484</v>
      </c>
      <c r="B2049" t="s">
        <v>10405</v>
      </c>
      <c r="C2049" t="s">
        <v>5043</v>
      </c>
      <c r="D2049" t="s">
        <v>8402</v>
      </c>
    </row>
    <row r="2050" spans="1:4" ht="14.45" x14ac:dyDescent="0.3">
      <c r="A2050">
        <v>9824</v>
      </c>
      <c r="B2050" t="s">
        <v>10405</v>
      </c>
      <c r="C2050" t="s">
        <v>5043</v>
      </c>
      <c r="D2050" t="s">
        <v>8402</v>
      </c>
    </row>
    <row r="2051" spans="1:4" ht="14.45" x14ac:dyDescent="0.3">
      <c r="A2051">
        <v>9870</v>
      </c>
      <c r="B2051" t="s">
        <v>10405</v>
      </c>
      <c r="C2051" t="s">
        <v>5043</v>
      </c>
      <c r="D2051" t="s">
        <v>8402</v>
      </c>
    </row>
    <row r="2052" spans="1:4" ht="14.45" x14ac:dyDescent="0.3">
      <c r="A2052">
        <v>11678</v>
      </c>
      <c r="B2052" t="s">
        <v>10406</v>
      </c>
      <c r="C2052" t="s">
        <v>5043</v>
      </c>
      <c r="D2052" t="s">
        <v>8402</v>
      </c>
    </row>
    <row r="2053" spans="1:4" ht="14.45" x14ac:dyDescent="0.3">
      <c r="A2053">
        <v>7608</v>
      </c>
      <c r="B2053" t="s">
        <v>10407</v>
      </c>
      <c r="C2053" t="s">
        <v>5043</v>
      </c>
      <c r="D2053" t="s">
        <v>8402</v>
      </c>
    </row>
    <row r="2054" spans="1:4" ht="14.45" x14ac:dyDescent="0.3">
      <c r="A2054">
        <v>11163</v>
      </c>
      <c r="B2054" t="s">
        <v>10408</v>
      </c>
      <c r="C2054" t="s">
        <v>5043</v>
      </c>
      <c r="D2054" t="s">
        <v>8402</v>
      </c>
    </row>
    <row r="2055" spans="1:4" ht="14.45" x14ac:dyDescent="0.3">
      <c r="A2055">
        <v>11723</v>
      </c>
      <c r="B2055" t="s">
        <v>10408</v>
      </c>
      <c r="C2055" t="s">
        <v>5043</v>
      </c>
      <c r="D2055" t="s">
        <v>8402</v>
      </c>
    </row>
    <row r="2056" spans="1:4" ht="14.45" x14ac:dyDescent="0.3">
      <c r="A2056">
        <v>6427</v>
      </c>
      <c r="B2056" t="s">
        <v>10408</v>
      </c>
      <c r="C2056" t="s">
        <v>5043</v>
      </c>
      <c r="D2056" t="s">
        <v>8402</v>
      </c>
    </row>
    <row r="2057" spans="1:4" ht="14.45" x14ac:dyDescent="0.3">
      <c r="A2057">
        <v>8198</v>
      </c>
      <c r="B2057" t="s">
        <v>10408</v>
      </c>
      <c r="C2057" t="s">
        <v>5043</v>
      </c>
      <c r="D2057" t="s">
        <v>8402</v>
      </c>
    </row>
    <row r="2058" spans="1:4" ht="14.45" x14ac:dyDescent="0.3">
      <c r="A2058">
        <v>10451</v>
      </c>
      <c r="B2058" t="s">
        <v>10409</v>
      </c>
      <c r="C2058" t="s">
        <v>5043</v>
      </c>
      <c r="D2058" t="s">
        <v>8402</v>
      </c>
    </row>
    <row r="2059" spans="1:4" ht="14.45" x14ac:dyDescent="0.3">
      <c r="A2059">
        <v>11319</v>
      </c>
      <c r="B2059" t="s">
        <v>10410</v>
      </c>
      <c r="C2059" t="s">
        <v>5043</v>
      </c>
      <c r="D2059" t="s">
        <v>8402</v>
      </c>
    </row>
    <row r="2060" spans="1:4" ht="14.45" x14ac:dyDescent="0.3">
      <c r="A2060">
        <v>8103</v>
      </c>
      <c r="B2060" t="s">
        <v>10410</v>
      </c>
      <c r="C2060" t="s">
        <v>5043</v>
      </c>
      <c r="D2060" t="s">
        <v>8402</v>
      </c>
    </row>
    <row r="2061" spans="1:4" ht="14.45" x14ac:dyDescent="0.3">
      <c r="A2061">
        <v>8869</v>
      </c>
      <c r="B2061" t="s">
        <v>10411</v>
      </c>
      <c r="C2061" t="s">
        <v>5043</v>
      </c>
      <c r="D2061" t="s">
        <v>8402</v>
      </c>
    </row>
    <row r="2062" spans="1:4" ht="14.45" x14ac:dyDescent="0.3">
      <c r="A2062">
        <v>7018</v>
      </c>
      <c r="B2062" t="s">
        <v>10412</v>
      </c>
      <c r="C2062" t="s">
        <v>5043</v>
      </c>
      <c r="D2062" t="s">
        <v>8402</v>
      </c>
    </row>
    <row r="2063" spans="1:4" ht="14.45" x14ac:dyDescent="0.3">
      <c r="A2063">
        <v>8715</v>
      </c>
      <c r="B2063" t="s">
        <v>10412</v>
      </c>
      <c r="C2063" t="s">
        <v>5043</v>
      </c>
      <c r="D2063" t="s">
        <v>8402</v>
      </c>
    </row>
    <row r="2064" spans="1:4" ht="14.45" x14ac:dyDescent="0.3">
      <c r="A2064">
        <v>10224</v>
      </c>
      <c r="B2064" t="s">
        <v>10413</v>
      </c>
      <c r="C2064" t="s">
        <v>5043</v>
      </c>
      <c r="D2064" t="s">
        <v>8402</v>
      </c>
    </row>
    <row r="2065" spans="1:4" ht="14.45" x14ac:dyDescent="0.3">
      <c r="A2065">
        <v>10290</v>
      </c>
      <c r="B2065" t="s">
        <v>10413</v>
      </c>
      <c r="C2065" t="s">
        <v>5043</v>
      </c>
      <c r="D2065" t="s">
        <v>8402</v>
      </c>
    </row>
    <row r="2066" spans="1:4" ht="14.45" x14ac:dyDescent="0.3">
      <c r="A2066">
        <v>7467</v>
      </c>
      <c r="B2066" t="s">
        <v>10413</v>
      </c>
      <c r="C2066" t="s">
        <v>5043</v>
      </c>
      <c r="D2066" t="s">
        <v>8402</v>
      </c>
    </row>
    <row r="2067" spans="1:4" ht="14.45" x14ac:dyDescent="0.3">
      <c r="A2067">
        <v>9418</v>
      </c>
      <c r="B2067" t="s">
        <v>10413</v>
      </c>
      <c r="C2067" t="s">
        <v>5043</v>
      </c>
      <c r="D2067" t="s">
        <v>8402</v>
      </c>
    </row>
    <row r="2068" spans="1:4" ht="14.45" x14ac:dyDescent="0.3">
      <c r="A2068">
        <v>10685</v>
      </c>
      <c r="B2068" t="s">
        <v>10414</v>
      </c>
      <c r="C2068" t="s">
        <v>5043</v>
      </c>
      <c r="D2068" t="s">
        <v>8402</v>
      </c>
    </row>
    <row r="2069" spans="1:4" ht="14.45" x14ac:dyDescent="0.3">
      <c r="A2069">
        <v>6579</v>
      </c>
      <c r="B2069" t="s">
        <v>10414</v>
      </c>
      <c r="C2069" t="s">
        <v>5043</v>
      </c>
      <c r="D2069" t="s">
        <v>8402</v>
      </c>
    </row>
    <row r="2070" spans="1:4" ht="14.45" x14ac:dyDescent="0.3">
      <c r="A2070">
        <v>9463</v>
      </c>
      <c r="B2070" t="s">
        <v>10414</v>
      </c>
      <c r="C2070" t="s">
        <v>5043</v>
      </c>
      <c r="D2070" t="s">
        <v>8402</v>
      </c>
    </row>
    <row r="2071" spans="1:4" ht="14.45" x14ac:dyDescent="0.3">
      <c r="A2071">
        <v>9694</v>
      </c>
      <c r="B2071" t="s">
        <v>10414</v>
      </c>
      <c r="C2071" t="s">
        <v>5043</v>
      </c>
      <c r="D2071" t="s">
        <v>8402</v>
      </c>
    </row>
    <row r="2072" spans="1:4" ht="14.45" x14ac:dyDescent="0.3">
      <c r="A2072">
        <v>11049</v>
      </c>
      <c r="B2072" t="s">
        <v>10415</v>
      </c>
      <c r="C2072" t="s">
        <v>5043</v>
      </c>
      <c r="D2072" t="s">
        <v>8402</v>
      </c>
    </row>
    <row r="2073" spans="1:4" ht="14.45" x14ac:dyDescent="0.3">
      <c r="A2073">
        <v>10172</v>
      </c>
      <c r="B2073" t="s">
        <v>10416</v>
      </c>
      <c r="C2073" t="s">
        <v>5043</v>
      </c>
      <c r="D2073" t="s">
        <v>8402</v>
      </c>
    </row>
    <row r="2074" spans="1:4" ht="14.45" x14ac:dyDescent="0.3">
      <c r="A2074">
        <v>7553</v>
      </c>
      <c r="B2074" t="s">
        <v>10416</v>
      </c>
      <c r="C2074" t="s">
        <v>5043</v>
      </c>
      <c r="D2074" t="s">
        <v>8402</v>
      </c>
    </row>
    <row r="2075" spans="1:4" ht="14.45" x14ac:dyDescent="0.3">
      <c r="A2075">
        <v>7881</v>
      </c>
      <c r="B2075" t="s">
        <v>10416</v>
      </c>
      <c r="C2075" t="s">
        <v>5043</v>
      </c>
      <c r="D2075" t="s">
        <v>8402</v>
      </c>
    </row>
    <row r="2076" spans="1:4" ht="14.45" x14ac:dyDescent="0.3">
      <c r="A2076">
        <v>8011</v>
      </c>
      <c r="B2076" t="s">
        <v>10416</v>
      </c>
      <c r="C2076" t="s">
        <v>5043</v>
      </c>
      <c r="D2076" t="s">
        <v>8402</v>
      </c>
    </row>
    <row r="2077" spans="1:4" ht="14.45" x14ac:dyDescent="0.3">
      <c r="A2077">
        <v>8589</v>
      </c>
      <c r="B2077" t="s">
        <v>10416</v>
      </c>
      <c r="C2077" t="s">
        <v>5043</v>
      </c>
      <c r="D2077" t="s">
        <v>8402</v>
      </c>
    </row>
    <row r="2078" spans="1:4" ht="14.45" x14ac:dyDescent="0.3">
      <c r="A2078">
        <v>9693</v>
      </c>
      <c r="B2078" t="s">
        <v>10416</v>
      </c>
      <c r="C2078" t="s">
        <v>5043</v>
      </c>
      <c r="D2078" t="s">
        <v>8402</v>
      </c>
    </row>
    <row r="2079" spans="1:4" ht="14.45" x14ac:dyDescent="0.3">
      <c r="A2079">
        <v>8592</v>
      </c>
      <c r="B2079" t="s">
        <v>10417</v>
      </c>
      <c r="C2079" t="s">
        <v>5043</v>
      </c>
      <c r="D2079" t="s">
        <v>8402</v>
      </c>
    </row>
    <row r="2080" spans="1:4" ht="14.45" x14ac:dyDescent="0.3">
      <c r="A2080">
        <v>9039</v>
      </c>
      <c r="B2080" t="s">
        <v>10417</v>
      </c>
      <c r="C2080" t="s">
        <v>5043</v>
      </c>
      <c r="D2080" t="s">
        <v>8402</v>
      </c>
    </row>
    <row r="2081" spans="1:4" ht="14.45" x14ac:dyDescent="0.3">
      <c r="A2081">
        <v>9750</v>
      </c>
      <c r="B2081" t="s">
        <v>10417</v>
      </c>
      <c r="C2081" t="s">
        <v>5043</v>
      </c>
      <c r="D2081" t="s">
        <v>8402</v>
      </c>
    </row>
    <row r="2082" spans="1:4" ht="14.45" x14ac:dyDescent="0.3">
      <c r="A2082">
        <v>8372</v>
      </c>
      <c r="B2082" t="s">
        <v>10418</v>
      </c>
      <c r="C2082" t="s">
        <v>5043</v>
      </c>
      <c r="D2082" t="s">
        <v>8402</v>
      </c>
    </row>
    <row r="2083" spans="1:4" ht="14.45" x14ac:dyDescent="0.3">
      <c r="A2083">
        <v>10022</v>
      </c>
      <c r="B2083" t="s">
        <v>10419</v>
      </c>
      <c r="C2083" t="s">
        <v>5043</v>
      </c>
      <c r="D2083" t="s">
        <v>8402</v>
      </c>
    </row>
    <row r="2084" spans="1:4" ht="14.45" x14ac:dyDescent="0.3">
      <c r="A2084">
        <v>10297</v>
      </c>
      <c r="B2084" t="s">
        <v>10419</v>
      </c>
      <c r="C2084" t="s">
        <v>5043</v>
      </c>
      <c r="D2084" t="s">
        <v>8402</v>
      </c>
    </row>
    <row r="2085" spans="1:4" ht="14.45" x14ac:dyDescent="0.3">
      <c r="A2085">
        <v>10303</v>
      </c>
      <c r="B2085" t="s">
        <v>10419</v>
      </c>
      <c r="C2085" t="s">
        <v>5043</v>
      </c>
      <c r="D2085" t="s">
        <v>8402</v>
      </c>
    </row>
    <row r="2086" spans="1:4" ht="14.45" x14ac:dyDescent="0.3">
      <c r="A2086">
        <v>10798</v>
      </c>
      <c r="B2086" t="s">
        <v>10419</v>
      </c>
      <c r="C2086" t="s">
        <v>5043</v>
      </c>
      <c r="D2086" t="s">
        <v>8402</v>
      </c>
    </row>
    <row r="2087" spans="1:4" ht="14.45" x14ac:dyDescent="0.3">
      <c r="A2087">
        <v>10873</v>
      </c>
      <c r="B2087" t="s">
        <v>10419</v>
      </c>
      <c r="C2087" t="s">
        <v>5043</v>
      </c>
      <c r="D2087" t="s">
        <v>8402</v>
      </c>
    </row>
    <row r="2088" spans="1:4" ht="14.45" x14ac:dyDescent="0.3">
      <c r="A2088">
        <v>11048</v>
      </c>
      <c r="B2088" t="s">
        <v>10419</v>
      </c>
      <c r="C2088" t="s">
        <v>5043</v>
      </c>
      <c r="D2088" t="s">
        <v>8402</v>
      </c>
    </row>
    <row r="2089" spans="1:4" ht="14.45" x14ac:dyDescent="0.3">
      <c r="A2089">
        <v>11258</v>
      </c>
      <c r="B2089" t="s">
        <v>10419</v>
      </c>
      <c r="C2089" t="s">
        <v>5043</v>
      </c>
      <c r="D2089" t="s">
        <v>8402</v>
      </c>
    </row>
    <row r="2090" spans="1:4" ht="14.45" x14ac:dyDescent="0.3">
      <c r="A2090">
        <v>7375</v>
      </c>
      <c r="B2090" t="s">
        <v>10419</v>
      </c>
      <c r="C2090" t="s">
        <v>5043</v>
      </c>
      <c r="D2090" t="s">
        <v>8402</v>
      </c>
    </row>
    <row r="2091" spans="1:4" ht="14.45" x14ac:dyDescent="0.3">
      <c r="A2091">
        <v>7380</v>
      </c>
      <c r="B2091" t="s">
        <v>10419</v>
      </c>
      <c r="C2091" t="s">
        <v>5043</v>
      </c>
      <c r="D2091" t="s">
        <v>8402</v>
      </c>
    </row>
    <row r="2092" spans="1:4" ht="14.45" x14ac:dyDescent="0.3">
      <c r="A2092">
        <v>8391</v>
      </c>
      <c r="B2092" t="s">
        <v>10419</v>
      </c>
      <c r="C2092" t="s">
        <v>5043</v>
      </c>
      <c r="D2092" t="s">
        <v>8402</v>
      </c>
    </row>
    <row r="2093" spans="1:4" ht="14.45" x14ac:dyDescent="0.3">
      <c r="A2093">
        <v>9408</v>
      </c>
      <c r="B2093" t="s">
        <v>10419</v>
      </c>
      <c r="C2093" t="s">
        <v>5043</v>
      </c>
      <c r="D2093" t="s">
        <v>8402</v>
      </c>
    </row>
    <row r="2094" spans="1:4" ht="14.45" x14ac:dyDescent="0.3">
      <c r="A2094">
        <v>9922</v>
      </c>
      <c r="B2094" t="s">
        <v>10419</v>
      </c>
      <c r="C2094" t="s">
        <v>5043</v>
      </c>
      <c r="D2094" t="s">
        <v>8402</v>
      </c>
    </row>
    <row r="2095" spans="1:4" ht="14.45" x14ac:dyDescent="0.3">
      <c r="A2095">
        <v>12355</v>
      </c>
      <c r="B2095" t="s">
        <v>10420</v>
      </c>
      <c r="C2095" t="s">
        <v>5043</v>
      </c>
      <c r="D2095" t="s">
        <v>8401</v>
      </c>
    </row>
    <row r="2096" spans="1:4" ht="14.45" x14ac:dyDescent="0.3">
      <c r="A2096">
        <v>12356</v>
      </c>
      <c r="B2096" t="s">
        <v>10420</v>
      </c>
      <c r="C2096" t="s">
        <v>5043</v>
      </c>
      <c r="D2096" t="s">
        <v>8401</v>
      </c>
    </row>
    <row r="2097" spans="1:4" ht="14.45" x14ac:dyDescent="0.3">
      <c r="A2097">
        <v>6498</v>
      </c>
      <c r="B2097" t="s">
        <v>10420</v>
      </c>
      <c r="C2097" t="s">
        <v>5043</v>
      </c>
      <c r="D2097" t="s">
        <v>8402</v>
      </c>
    </row>
    <row r="2098" spans="1:4" ht="14.45" x14ac:dyDescent="0.3">
      <c r="A2098">
        <v>10727</v>
      </c>
      <c r="B2098" t="s">
        <v>10421</v>
      </c>
      <c r="C2098" t="s">
        <v>5043</v>
      </c>
      <c r="D2098" t="s">
        <v>8402</v>
      </c>
    </row>
    <row r="2099" spans="1:4" ht="14.45" x14ac:dyDescent="0.3">
      <c r="A2099">
        <v>8271</v>
      </c>
      <c r="B2099" t="s">
        <v>10422</v>
      </c>
      <c r="C2099" t="s">
        <v>5043</v>
      </c>
      <c r="D2099" t="s">
        <v>8402</v>
      </c>
    </row>
    <row r="2100" spans="1:4" ht="14.45" x14ac:dyDescent="0.3">
      <c r="A2100">
        <v>11350</v>
      </c>
      <c r="B2100" t="s">
        <v>10423</v>
      </c>
      <c r="C2100" t="s">
        <v>5043</v>
      </c>
      <c r="D2100" t="s">
        <v>8402</v>
      </c>
    </row>
    <row r="2101" spans="1:4" ht="14.45" x14ac:dyDescent="0.3">
      <c r="A2101">
        <v>7323</v>
      </c>
      <c r="B2101" t="s">
        <v>10423</v>
      </c>
      <c r="C2101" t="s">
        <v>5043</v>
      </c>
      <c r="D2101" t="s">
        <v>8402</v>
      </c>
    </row>
    <row r="2102" spans="1:4" ht="14.45" x14ac:dyDescent="0.3">
      <c r="A2102">
        <v>7548</v>
      </c>
      <c r="B2102" t="s">
        <v>10423</v>
      </c>
      <c r="C2102" t="s">
        <v>5043</v>
      </c>
      <c r="D2102" t="s">
        <v>8402</v>
      </c>
    </row>
    <row r="2103" spans="1:4" ht="14.45" x14ac:dyDescent="0.3">
      <c r="A2103">
        <v>8862</v>
      </c>
      <c r="B2103" t="s">
        <v>10423</v>
      </c>
      <c r="C2103" t="s">
        <v>5043</v>
      </c>
      <c r="D2103" t="s">
        <v>8402</v>
      </c>
    </row>
    <row r="2104" spans="1:4" ht="14.45" x14ac:dyDescent="0.3">
      <c r="A2104">
        <v>9711</v>
      </c>
      <c r="B2104" t="s">
        <v>10423</v>
      </c>
      <c r="C2104" t="s">
        <v>5043</v>
      </c>
      <c r="D2104" t="s">
        <v>8402</v>
      </c>
    </row>
    <row r="2105" spans="1:4" ht="14.45" x14ac:dyDescent="0.3">
      <c r="A2105">
        <v>9834</v>
      </c>
      <c r="B2105" t="s">
        <v>10423</v>
      </c>
      <c r="C2105" t="s">
        <v>5043</v>
      </c>
      <c r="D2105" t="s">
        <v>8402</v>
      </c>
    </row>
    <row r="2106" spans="1:4" ht="14.45" x14ac:dyDescent="0.3">
      <c r="A2106">
        <v>10481</v>
      </c>
      <c r="B2106" t="s">
        <v>10424</v>
      </c>
      <c r="C2106" t="s">
        <v>5043</v>
      </c>
      <c r="D2106" t="s">
        <v>8402</v>
      </c>
    </row>
    <row r="2107" spans="1:4" ht="14.45" x14ac:dyDescent="0.3">
      <c r="A2107">
        <v>8293</v>
      </c>
      <c r="B2107" t="s">
        <v>10424</v>
      </c>
      <c r="C2107" t="s">
        <v>5043</v>
      </c>
      <c r="D2107" t="s">
        <v>8402</v>
      </c>
    </row>
    <row r="2108" spans="1:4" ht="14.45" x14ac:dyDescent="0.3">
      <c r="A2108">
        <v>11186</v>
      </c>
      <c r="B2108" t="s">
        <v>10425</v>
      </c>
      <c r="C2108" t="s">
        <v>5043</v>
      </c>
      <c r="D2108" t="s">
        <v>8402</v>
      </c>
    </row>
    <row r="2109" spans="1:4" ht="14.45" x14ac:dyDescent="0.3">
      <c r="A2109">
        <v>7602</v>
      </c>
      <c r="B2109" t="s">
        <v>10425</v>
      </c>
      <c r="C2109" t="s">
        <v>5043</v>
      </c>
      <c r="D2109" t="s">
        <v>8402</v>
      </c>
    </row>
    <row r="2110" spans="1:4" ht="14.45" x14ac:dyDescent="0.3">
      <c r="A2110">
        <v>10473</v>
      </c>
      <c r="B2110" t="s">
        <v>10426</v>
      </c>
      <c r="C2110" t="s">
        <v>5043</v>
      </c>
      <c r="D2110" t="s">
        <v>8402</v>
      </c>
    </row>
    <row r="2111" spans="1:4" ht="14.45" x14ac:dyDescent="0.3">
      <c r="A2111">
        <v>6674</v>
      </c>
      <c r="B2111" t="s">
        <v>10426</v>
      </c>
      <c r="C2111" t="s">
        <v>5043</v>
      </c>
      <c r="D2111" t="s">
        <v>8402</v>
      </c>
    </row>
    <row r="2112" spans="1:4" ht="14.45" x14ac:dyDescent="0.3">
      <c r="A2112">
        <v>11511</v>
      </c>
      <c r="B2112" t="s">
        <v>10427</v>
      </c>
      <c r="C2112" t="s">
        <v>5043</v>
      </c>
      <c r="D2112" t="s">
        <v>8402</v>
      </c>
    </row>
    <row r="2113" spans="1:4" ht="14.45" x14ac:dyDescent="0.3">
      <c r="A2113">
        <v>6443</v>
      </c>
      <c r="B2113" t="s">
        <v>10428</v>
      </c>
      <c r="C2113" t="s">
        <v>5043</v>
      </c>
      <c r="D2113" t="s">
        <v>8402</v>
      </c>
    </row>
    <row r="2114" spans="1:4" ht="14.45" x14ac:dyDescent="0.3">
      <c r="A2114">
        <v>6977</v>
      </c>
      <c r="B2114" t="s">
        <v>10428</v>
      </c>
      <c r="C2114" t="s">
        <v>5043</v>
      </c>
      <c r="D2114" t="s">
        <v>8402</v>
      </c>
    </row>
    <row r="2115" spans="1:4" ht="14.45" x14ac:dyDescent="0.3">
      <c r="A2115">
        <v>8272</v>
      </c>
      <c r="B2115" t="s">
        <v>10429</v>
      </c>
      <c r="C2115" t="s">
        <v>5043</v>
      </c>
      <c r="D2115" t="s">
        <v>8402</v>
      </c>
    </row>
    <row r="2116" spans="1:4" ht="14.45" x14ac:dyDescent="0.3">
      <c r="A2116">
        <v>11709</v>
      </c>
      <c r="B2116" t="s">
        <v>10430</v>
      </c>
      <c r="C2116" t="s">
        <v>5043</v>
      </c>
      <c r="D2116" t="s">
        <v>8402</v>
      </c>
    </row>
    <row r="2117" spans="1:4" ht="14.45" x14ac:dyDescent="0.3">
      <c r="A2117">
        <v>7523</v>
      </c>
      <c r="B2117" t="s">
        <v>10430</v>
      </c>
      <c r="C2117" t="s">
        <v>5043</v>
      </c>
      <c r="D2117" t="s">
        <v>8402</v>
      </c>
    </row>
    <row r="2118" spans="1:4" ht="14.45" x14ac:dyDescent="0.3">
      <c r="A2118">
        <v>10059</v>
      </c>
      <c r="B2118" t="s">
        <v>10431</v>
      </c>
      <c r="C2118" t="s">
        <v>5043</v>
      </c>
      <c r="D2118" t="s">
        <v>8402</v>
      </c>
    </row>
    <row r="2119" spans="1:4" ht="14.45" x14ac:dyDescent="0.3">
      <c r="A2119">
        <v>8231</v>
      </c>
      <c r="B2119" t="s">
        <v>10431</v>
      </c>
      <c r="C2119" t="s">
        <v>5043</v>
      </c>
      <c r="D2119" t="s">
        <v>8402</v>
      </c>
    </row>
    <row r="2120" spans="1:4" ht="14.45" x14ac:dyDescent="0.3">
      <c r="A2120">
        <v>8458</v>
      </c>
      <c r="B2120" t="s">
        <v>10431</v>
      </c>
      <c r="C2120" t="s">
        <v>5043</v>
      </c>
      <c r="D2120" t="s">
        <v>8402</v>
      </c>
    </row>
    <row r="2121" spans="1:4" ht="14.45" x14ac:dyDescent="0.3">
      <c r="A2121">
        <v>8709</v>
      </c>
      <c r="B2121" t="s">
        <v>10431</v>
      </c>
      <c r="C2121" t="s">
        <v>5043</v>
      </c>
      <c r="D2121" t="s">
        <v>8402</v>
      </c>
    </row>
    <row r="2122" spans="1:4" ht="14.45" x14ac:dyDescent="0.3">
      <c r="A2122">
        <v>7255</v>
      </c>
      <c r="B2122" t="s">
        <v>10432</v>
      </c>
      <c r="C2122" t="s">
        <v>5043</v>
      </c>
      <c r="D2122" t="s">
        <v>8402</v>
      </c>
    </row>
    <row r="2123" spans="1:4" ht="14.45" x14ac:dyDescent="0.3">
      <c r="A2123">
        <v>7853</v>
      </c>
      <c r="B2123" t="s">
        <v>10432</v>
      </c>
      <c r="C2123" t="s">
        <v>5043</v>
      </c>
      <c r="D2123" t="s">
        <v>8402</v>
      </c>
    </row>
    <row r="2124" spans="1:4" ht="14.45" x14ac:dyDescent="0.3">
      <c r="A2124">
        <v>9655</v>
      </c>
      <c r="B2124" t="s">
        <v>10432</v>
      </c>
      <c r="C2124" t="s">
        <v>5043</v>
      </c>
      <c r="D2124" t="s">
        <v>8402</v>
      </c>
    </row>
    <row r="2125" spans="1:4" ht="14.45" x14ac:dyDescent="0.3">
      <c r="A2125">
        <v>8842</v>
      </c>
      <c r="B2125" t="s">
        <v>10433</v>
      </c>
      <c r="C2125" t="s">
        <v>5043</v>
      </c>
      <c r="D2125" t="s">
        <v>8402</v>
      </c>
    </row>
    <row r="2126" spans="1:4" ht="14.45" x14ac:dyDescent="0.3">
      <c r="A2126">
        <v>10702</v>
      </c>
      <c r="B2126" t="s">
        <v>10434</v>
      </c>
      <c r="C2126" t="s">
        <v>5043</v>
      </c>
      <c r="D2126" t="s">
        <v>8402</v>
      </c>
    </row>
    <row r="2127" spans="1:4" ht="14.45" x14ac:dyDescent="0.3">
      <c r="A2127">
        <v>8598</v>
      </c>
      <c r="B2127" t="s">
        <v>10434</v>
      </c>
      <c r="C2127" t="s">
        <v>5043</v>
      </c>
      <c r="D2127" t="s">
        <v>8402</v>
      </c>
    </row>
    <row r="2128" spans="1:4" ht="14.45" x14ac:dyDescent="0.3">
      <c r="A2128">
        <v>10380</v>
      </c>
      <c r="B2128" t="s">
        <v>10435</v>
      </c>
      <c r="C2128" t="s">
        <v>5043</v>
      </c>
      <c r="D2128" t="s">
        <v>8402</v>
      </c>
    </row>
    <row r="2129" spans="1:4" ht="14.45" x14ac:dyDescent="0.3">
      <c r="A2129">
        <v>10704</v>
      </c>
      <c r="B2129" t="s">
        <v>10435</v>
      </c>
      <c r="C2129" t="s">
        <v>5043</v>
      </c>
      <c r="D2129" t="s">
        <v>8402</v>
      </c>
    </row>
    <row r="2130" spans="1:4" ht="14.45" x14ac:dyDescent="0.3">
      <c r="A2130">
        <v>7012</v>
      </c>
      <c r="B2130" t="s">
        <v>10435</v>
      </c>
      <c r="C2130" t="s">
        <v>5043</v>
      </c>
      <c r="D2130" t="s">
        <v>8402</v>
      </c>
    </row>
    <row r="2131" spans="1:4" ht="14.45" x14ac:dyDescent="0.3">
      <c r="A2131">
        <v>9290</v>
      </c>
      <c r="B2131" t="s">
        <v>10435</v>
      </c>
      <c r="C2131" t="s">
        <v>5043</v>
      </c>
      <c r="D2131" t="s">
        <v>8402</v>
      </c>
    </row>
    <row r="2132" spans="1:4" ht="14.45" x14ac:dyDescent="0.3">
      <c r="A2132">
        <v>8462</v>
      </c>
      <c r="B2132" t="s">
        <v>10436</v>
      </c>
      <c r="C2132" t="s">
        <v>5043</v>
      </c>
      <c r="D2132" t="s">
        <v>8402</v>
      </c>
    </row>
    <row r="2133" spans="1:4" ht="14.45" x14ac:dyDescent="0.3">
      <c r="A2133">
        <v>11044</v>
      </c>
      <c r="B2133" t="s">
        <v>10437</v>
      </c>
      <c r="C2133" t="s">
        <v>5043</v>
      </c>
      <c r="D2133" t="s">
        <v>8402</v>
      </c>
    </row>
    <row r="2134" spans="1:4" ht="14.45" x14ac:dyDescent="0.3">
      <c r="A2134">
        <v>7619</v>
      </c>
      <c r="B2134" t="s">
        <v>10437</v>
      </c>
      <c r="C2134" t="s">
        <v>5043</v>
      </c>
      <c r="D2134" t="s">
        <v>8402</v>
      </c>
    </row>
    <row r="2135" spans="1:4" ht="14.45" x14ac:dyDescent="0.3">
      <c r="A2135">
        <v>9440</v>
      </c>
      <c r="B2135" t="s">
        <v>10437</v>
      </c>
      <c r="C2135" t="s">
        <v>5043</v>
      </c>
      <c r="D2135" t="s">
        <v>8402</v>
      </c>
    </row>
    <row r="2136" spans="1:4" ht="14.45" x14ac:dyDescent="0.3">
      <c r="A2136">
        <v>11492</v>
      </c>
      <c r="B2136" t="s">
        <v>10438</v>
      </c>
      <c r="C2136" t="s">
        <v>5043</v>
      </c>
      <c r="D2136" t="s">
        <v>8401</v>
      </c>
    </row>
    <row r="2137" spans="1:4" ht="14.45" x14ac:dyDescent="0.3">
      <c r="A2137">
        <v>7252</v>
      </c>
      <c r="B2137" t="s">
        <v>10438</v>
      </c>
      <c r="C2137" t="s">
        <v>5043</v>
      </c>
      <c r="D2137" t="s">
        <v>8401</v>
      </c>
    </row>
    <row r="2138" spans="1:4" ht="14.45" x14ac:dyDescent="0.3">
      <c r="A2138">
        <v>11080</v>
      </c>
      <c r="B2138" t="s">
        <v>10439</v>
      </c>
      <c r="C2138" t="s">
        <v>5043</v>
      </c>
      <c r="D2138" t="s">
        <v>8401</v>
      </c>
    </row>
    <row r="2139" spans="1:4" ht="14.45" x14ac:dyDescent="0.3">
      <c r="A2139">
        <v>8510</v>
      </c>
      <c r="B2139" t="s">
        <v>10439</v>
      </c>
      <c r="C2139" t="s">
        <v>5043</v>
      </c>
      <c r="D2139" t="s">
        <v>8401</v>
      </c>
    </row>
    <row r="2140" spans="1:4" ht="14.45" x14ac:dyDescent="0.3">
      <c r="A2140">
        <v>11636</v>
      </c>
      <c r="B2140" t="s">
        <v>10440</v>
      </c>
      <c r="C2140" t="s">
        <v>5043</v>
      </c>
      <c r="D2140" t="s">
        <v>8401</v>
      </c>
    </row>
    <row r="2141" spans="1:4" ht="14.45" x14ac:dyDescent="0.3">
      <c r="A2141">
        <v>11637</v>
      </c>
      <c r="B2141" t="s">
        <v>10440</v>
      </c>
      <c r="C2141" t="s">
        <v>5043</v>
      </c>
      <c r="D2141" t="s">
        <v>8401</v>
      </c>
    </row>
    <row r="2142" spans="1:4" ht="14.45" x14ac:dyDescent="0.3">
      <c r="A2142">
        <v>7137</v>
      </c>
      <c r="B2142" t="s">
        <v>10440</v>
      </c>
      <c r="C2142" t="s">
        <v>5043</v>
      </c>
      <c r="D2142" t="s">
        <v>8401</v>
      </c>
    </row>
    <row r="2143" spans="1:4" ht="14.45" x14ac:dyDescent="0.3">
      <c r="A2143">
        <v>9671</v>
      </c>
      <c r="B2143" t="s">
        <v>10441</v>
      </c>
      <c r="C2143" t="s">
        <v>5043</v>
      </c>
      <c r="D2143" t="s">
        <v>8401</v>
      </c>
    </row>
    <row r="2144" spans="1:4" ht="14.45" x14ac:dyDescent="0.3">
      <c r="A2144">
        <v>9829</v>
      </c>
      <c r="B2144" t="s">
        <v>10441</v>
      </c>
      <c r="C2144" t="s">
        <v>5043</v>
      </c>
      <c r="D2144" t="s">
        <v>8401</v>
      </c>
    </row>
    <row r="2145" spans="1:4" ht="14.45" x14ac:dyDescent="0.3">
      <c r="A2145">
        <v>9916</v>
      </c>
      <c r="B2145" t="s">
        <v>10441</v>
      </c>
      <c r="C2145" t="s">
        <v>5043</v>
      </c>
      <c r="D2145" t="s">
        <v>8401</v>
      </c>
    </row>
    <row r="2146" spans="1:4" ht="14.45" x14ac:dyDescent="0.3">
      <c r="A2146">
        <v>11579</v>
      </c>
      <c r="B2146" t="s">
        <v>10442</v>
      </c>
      <c r="C2146" t="s">
        <v>5043</v>
      </c>
      <c r="D2146" t="s">
        <v>8401</v>
      </c>
    </row>
    <row r="2147" spans="1:4" ht="14.45" x14ac:dyDescent="0.3">
      <c r="A2147">
        <v>7325</v>
      </c>
      <c r="B2147" t="s">
        <v>10442</v>
      </c>
      <c r="C2147" t="s">
        <v>5043</v>
      </c>
      <c r="D2147" t="s">
        <v>8401</v>
      </c>
    </row>
    <row r="2148" spans="1:4" ht="14.45" x14ac:dyDescent="0.3">
      <c r="A2148">
        <v>8235</v>
      </c>
      <c r="B2148" t="s">
        <v>10442</v>
      </c>
      <c r="C2148" t="s">
        <v>5043</v>
      </c>
      <c r="D2148" t="s">
        <v>8401</v>
      </c>
    </row>
    <row r="2149" spans="1:4" ht="14.45" x14ac:dyDescent="0.3">
      <c r="A2149">
        <v>9568</v>
      </c>
      <c r="B2149" t="s">
        <v>10442</v>
      </c>
      <c r="C2149" t="s">
        <v>5043</v>
      </c>
      <c r="D2149" t="s">
        <v>8401</v>
      </c>
    </row>
    <row r="2150" spans="1:4" ht="14.45" x14ac:dyDescent="0.3">
      <c r="A2150">
        <v>10251</v>
      </c>
      <c r="B2150" t="s">
        <v>10443</v>
      </c>
      <c r="C2150" t="s">
        <v>5043</v>
      </c>
      <c r="D2150" t="s">
        <v>8401</v>
      </c>
    </row>
    <row r="2151" spans="1:4" ht="14.45" x14ac:dyDescent="0.3">
      <c r="A2151">
        <v>11437</v>
      </c>
      <c r="B2151" t="s">
        <v>10443</v>
      </c>
      <c r="C2151" t="s">
        <v>5043</v>
      </c>
      <c r="D2151" t="s">
        <v>8401</v>
      </c>
    </row>
    <row r="2152" spans="1:4" ht="14.45" x14ac:dyDescent="0.3">
      <c r="A2152">
        <v>11594</v>
      </c>
      <c r="B2152" t="s">
        <v>10443</v>
      </c>
      <c r="C2152" t="s">
        <v>5043</v>
      </c>
      <c r="D2152" t="s">
        <v>8401</v>
      </c>
    </row>
    <row r="2153" spans="1:4" ht="14.45" x14ac:dyDescent="0.3">
      <c r="A2153">
        <v>6576</v>
      </c>
      <c r="B2153" t="s">
        <v>10444</v>
      </c>
      <c r="C2153" t="s">
        <v>5043</v>
      </c>
      <c r="D2153" t="s">
        <v>8401</v>
      </c>
    </row>
    <row r="2154" spans="1:4" ht="14.45" x14ac:dyDescent="0.3">
      <c r="A2154">
        <v>10708</v>
      </c>
      <c r="B2154" t="s">
        <v>10445</v>
      </c>
      <c r="C2154" t="s">
        <v>5043</v>
      </c>
      <c r="D2154" t="s">
        <v>8401</v>
      </c>
    </row>
    <row r="2155" spans="1:4" ht="14.45" x14ac:dyDescent="0.3">
      <c r="A2155">
        <v>6885</v>
      </c>
      <c r="B2155" t="s">
        <v>10445</v>
      </c>
      <c r="C2155" t="s">
        <v>5043</v>
      </c>
      <c r="D2155" t="s">
        <v>8401</v>
      </c>
    </row>
    <row r="2156" spans="1:4" ht="14.45" x14ac:dyDescent="0.3">
      <c r="A2156">
        <v>9537</v>
      </c>
      <c r="B2156" t="s">
        <v>10445</v>
      </c>
      <c r="C2156" t="s">
        <v>5043</v>
      </c>
      <c r="D2156" t="s">
        <v>8401</v>
      </c>
    </row>
    <row r="2157" spans="1:4" ht="14.45" x14ac:dyDescent="0.3">
      <c r="A2157">
        <v>11090</v>
      </c>
      <c r="B2157" t="s">
        <v>10446</v>
      </c>
      <c r="C2157" t="s">
        <v>5043</v>
      </c>
      <c r="D2157" t="s">
        <v>8401</v>
      </c>
    </row>
    <row r="2158" spans="1:4" ht="14.45" x14ac:dyDescent="0.3">
      <c r="A2158">
        <v>7991</v>
      </c>
      <c r="B2158" t="s">
        <v>10447</v>
      </c>
      <c r="C2158" t="s">
        <v>5043</v>
      </c>
      <c r="D2158" t="s">
        <v>8401</v>
      </c>
    </row>
    <row r="2159" spans="1:4" ht="14.45" x14ac:dyDescent="0.3">
      <c r="A2159">
        <v>8338</v>
      </c>
      <c r="B2159" t="s">
        <v>10447</v>
      </c>
      <c r="C2159" t="s">
        <v>5043</v>
      </c>
      <c r="D2159" t="s">
        <v>8401</v>
      </c>
    </row>
    <row r="2160" spans="1:4" ht="14.45" x14ac:dyDescent="0.3">
      <c r="A2160">
        <v>10061</v>
      </c>
      <c r="B2160" t="s">
        <v>10448</v>
      </c>
      <c r="C2160" t="s">
        <v>5043</v>
      </c>
      <c r="D2160" t="s">
        <v>8401</v>
      </c>
    </row>
    <row r="2161" spans="1:4" ht="14.45" x14ac:dyDescent="0.3">
      <c r="A2161">
        <v>11577</v>
      </c>
      <c r="B2161" t="s">
        <v>10448</v>
      </c>
      <c r="C2161" t="s">
        <v>5043</v>
      </c>
      <c r="D2161" t="s">
        <v>8401</v>
      </c>
    </row>
    <row r="2162" spans="1:4" ht="14.45" x14ac:dyDescent="0.3">
      <c r="A2162">
        <v>7056</v>
      </c>
      <c r="B2162" t="s">
        <v>10448</v>
      </c>
      <c r="C2162" t="s">
        <v>5043</v>
      </c>
      <c r="D2162" t="s">
        <v>8401</v>
      </c>
    </row>
    <row r="2163" spans="1:4" ht="14.45" x14ac:dyDescent="0.3">
      <c r="A2163">
        <v>8281</v>
      </c>
      <c r="B2163" t="s">
        <v>10448</v>
      </c>
      <c r="C2163" t="s">
        <v>5043</v>
      </c>
      <c r="D2163" t="s">
        <v>8401</v>
      </c>
    </row>
    <row r="2164" spans="1:4" ht="14.45" x14ac:dyDescent="0.3">
      <c r="A2164">
        <v>8488</v>
      </c>
      <c r="B2164" t="s">
        <v>10448</v>
      </c>
      <c r="C2164" t="s">
        <v>5043</v>
      </c>
      <c r="D2164" t="s">
        <v>8401</v>
      </c>
    </row>
    <row r="2165" spans="1:4" ht="14.45" x14ac:dyDescent="0.3">
      <c r="A2165">
        <v>9786</v>
      </c>
      <c r="B2165" t="s">
        <v>10448</v>
      </c>
      <c r="C2165" t="s">
        <v>5043</v>
      </c>
      <c r="D2165" t="s">
        <v>8401</v>
      </c>
    </row>
    <row r="2166" spans="1:4" ht="14.45" x14ac:dyDescent="0.3">
      <c r="A2166">
        <v>11002</v>
      </c>
      <c r="B2166" t="s">
        <v>10449</v>
      </c>
      <c r="C2166" t="s">
        <v>5043</v>
      </c>
      <c r="D2166" t="s">
        <v>8401</v>
      </c>
    </row>
    <row r="2167" spans="1:4" ht="14.45" x14ac:dyDescent="0.3">
      <c r="A2167">
        <v>8892</v>
      </c>
      <c r="B2167" t="s">
        <v>10449</v>
      </c>
      <c r="C2167" t="s">
        <v>5043</v>
      </c>
      <c r="D2167" t="s">
        <v>8401</v>
      </c>
    </row>
    <row r="2168" spans="1:4" ht="14.45" x14ac:dyDescent="0.3">
      <c r="A2168">
        <v>11588</v>
      </c>
      <c r="B2168" t="s">
        <v>10450</v>
      </c>
      <c r="C2168" t="s">
        <v>5043</v>
      </c>
      <c r="D2168" t="s">
        <v>8401</v>
      </c>
    </row>
    <row r="2169" spans="1:4" ht="14.45" x14ac:dyDescent="0.3">
      <c r="A2169">
        <v>7265</v>
      </c>
      <c r="B2169" t="s">
        <v>10450</v>
      </c>
      <c r="C2169" t="s">
        <v>5043</v>
      </c>
      <c r="D2169" t="s">
        <v>8401</v>
      </c>
    </row>
    <row r="2170" spans="1:4" ht="14.45" x14ac:dyDescent="0.3">
      <c r="A2170">
        <v>11398</v>
      </c>
      <c r="B2170" t="s">
        <v>10451</v>
      </c>
      <c r="C2170" t="s">
        <v>5043</v>
      </c>
      <c r="D2170" t="s">
        <v>8401</v>
      </c>
    </row>
    <row r="2171" spans="1:4" ht="14.45" x14ac:dyDescent="0.3">
      <c r="A2171">
        <v>7909</v>
      </c>
      <c r="B2171" t="s">
        <v>10451</v>
      </c>
      <c r="C2171" t="s">
        <v>5043</v>
      </c>
      <c r="D2171" t="s">
        <v>8401</v>
      </c>
    </row>
    <row r="2172" spans="1:4" ht="14.45" x14ac:dyDescent="0.3">
      <c r="A2172">
        <v>10706</v>
      </c>
      <c r="B2172" t="s">
        <v>10452</v>
      </c>
      <c r="C2172" t="s">
        <v>5043</v>
      </c>
      <c r="D2172" t="s">
        <v>8401</v>
      </c>
    </row>
    <row r="2173" spans="1:4" ht="14.45" x14ac:dyDescent="0.3">
      <c r="A2173">
        <v>10721</v>
      </c>
      <c r="B2173" t="s">
        <v>10452</v>
      </c>
      <c r="C2173" t="s">
        <v>5043</v>
      </c>
      <c r="D2173" t="s">
        <v>8401</v>
      </c>
    </row>
    <row r="2174" spans="1:4" ht="14.45" x14ac:dyDescent="0.3">
      <c r="A2174">
        <v>10979</v>
      </c>
      <c r="B2174" t="s">
        <v>10453</v>
      </c>
      <c r="C2174" t="s">
        <v>5043</v>
      </c>
      <c r="D2174" t="s">
        <v>8401</v>
      </c>
    </row>
    <row r="2175" spans="1:4" ht="14.45" x14ac:dyDescent="0.3">
      <c r="A2175">
        <v>11724</v>
      </c>
      <c r="B2175" t="s">
        <v>10453</v>
      </c>
      <c r="C2175" t="s">
        <v>5043</v>
      </c>
      <c r="D2175" t="s">
        <v>8401</v>
      </c>
    </row>
    <row r="2176" spans="1:4" ht="14.45" x14ac:dyDescent="0.3">
      <c r="A2176">
        <v>6700</v>
      </c>
      <c r="B2176" t="s">
        <v>10453</v>
      </c>
      <c r="C2176" t="s">
        <v>5043</v>
      </c>
      <c r="D2176" t="s">
        <v>8401</v>
      </c>
    </row>
    <row r="2177" spans="1:4" ht="14.45" x14ac:dyDescent="0.3">
      <c r="A2177">
        <v>8388</v>
      </c>
      <c r="B2177" t="s">
        <v>10453</v>
      </c>
      <c r="C2177" t="s">
        <v>5043</v>
      </c>
      <c r="D2177" t="s">
        <v>8401</v>
      </c>
    </row>
    <row r="2178" spans="1:4" ht="14.45" x14ac:dyDescent="0.3">
      <c r="A2178">
        <v>9485</v>
      </c>
      <c r="B2178" t="s">
        <v>10453</v>
      </c>
      <c r="C2178" t="s">
        <v>5043</v>
      </c>
      <c r="D2178" t="s">
        <v>8401</v>
      </c>
    </row>
    <row r="2179" spans="1:4" ht="14.45" x14ac:dyDescent="0.3">
      <c r="A2179">
        <v>6742</v>
      </c>
      <c r="B2179" t="s">
        <v>10454</v>
      </c>
      <c r="C2179" t="s">
        <v>5043</v>
      </c>
      <c r="D2179" t="s">
        <v>8401</v>
      </c>
    </row>
    <row r="2180" spans="1:4" ht="14.45" x14ac:dyDescent="0.3">
      <c r="A2180">
        <v>6945</v>
      </c>
      <c r="B2180" t="s">
        <v>10454</v>
      </c>
      <c r="C2180" t="s">
        <v>5043</v>
      </c>
      <c r="D2180" t="s">
        <v>8401</v>
      </c>
    </row>
    <row r="2181" spans="1:4" ht="14.45" x14ac:dyDescent="0.3">
      <c r="A2181">
        <v>7176</v>
      </c>
      <c r="B2181" t="s">
        <v>10455</v>
      </c>
      <c r="C2181" t="s">
        <v>5043</v>
      </c>
      <c r="D2181" t="s">
        <v>8401</v>
      </c>
    </row>
    <row r="2182" spans="1:4" ht="14.45" x14ac:dyDescent="0.3">
      <c r="A2182">
        <v>7304</v>
      </c>
      <c r="B2182" t="s">
        <v>10455</v>
      </c>
      <c r="C2182" t="s">
        <v>5043</v>
      </c>
      <c r="D2182" t="s">
        <v>8401</v>
      </c>
    </row>
    <row r="2183" spans="1:4" ht="14.45" x14ac:dyDescent="0.3">
      <c r="A2183">
        <v>7300</v>
      </c>
      <c r="B2183" t="s">
        <v>10456</v>
      </c>
      <c r="C2183" t="s">
        <v>5043</v>
      </c>
      <c r="D2183" t="s">
        <v>8401</v>
      </c>
    </row>
    <row r="2184" spans="1:4" ht="14.45" x14ac:dyDescent="0.3">
      <c r="A2184">
        <v>9390</v>
      </c>
      <c r="B2184" t="s">
        <v>10456</v>
      </c>
      <c r="C2184" t="s">
        <v>5043</v>
      </c>
      <c r="D2184" t="s">
        <v>8401</v>
      </c>
    </row>
    <row r="2185" spans="1:4" ht="14.45" x14ac:dyDescent="0.3">
      <c r="A2185">
        <v>10518</v>
      </c>
      <c r="B2185" t="s">
        <v>10457</v>
      </c>
      <c r="C2185" t="s">
        <v>5043</v>
      </c>
      <c r="D2185" t="s">
        <v>8401</v>
      </c>
    </row>
    <row r="2186" spans="1:4" ht="14.45" x14ac:dyDescent="0.3">
      <c r="A2186">
        <v>7073</v>
      </c>
      <c r="B2186" t="s">
        <v>10457</v>
      </c>
      <c r="C2186" t="s">
        <v>5043</v>
      </c>
      <c r="D2186" t="s">
        <v>8401</v>
      </c>
    </row>
    <row r="2187" spans="1:4" ht="14.45" x14ac:dyDescent="0.3">
      <c r="A2187">
        <v>10842</v>
      </c>
      <c r="B2187" t="s">
        <v>10458</v>
      </c>
      <c r="C2187" t="s">
        <v>5043</v>
      </c>
      <c r="D2187" t="s">
        <v>8401</v>
      </c>
    </row>
    <row r="2188" spans="1:4" ht="14.45" x14ac:dyDescent="0.3">
      <c r="A2188">
        <v>7280</v>
      </c>
      <c r="B2188" t="s">
        <v>10458</v>
      </c>
      <c r="C2188" t="s">
        <v>5043</v>
      </c>
      <c r="D2188" t="s">
        <v>8401</v>
      </c>
    </row>
    <row r="2189" spans="1:4" ht="14.45" x14ac:dyDescent="0.3">
      <c r="A2189">
        <v>7637</v>
      </c>
      <c r="B2189" t="s">
        <v>10458</v>
      </c>
      <c r="C2189" t="s">
        <v>5043</v>
      </c>
      <c r="D2189" t="s">
        <v>8401</v>
      </c>
    </row>
    <row r="2190" spans="1:4" ht="14.45" x14ac:dyDescent="0.3">
      <c r="A2190">
        <v>8353</v>
      </c>
      <c r="B2190" t="s">
        <v>10458</v>
      </c>
      <c r="C2190" t="s">
        <v>5043</v>
      </c>
      <c r="D2190" t="s">
        <v>8401</v>
      </c>
    </row>
    <row r="2191" spans="1:4" ht="14.45" x14ac:dyDescent="0.3">
      <c r="A2191">
        <v>9458</v>
      </c>
      <c r="B2191" t="s">
        <v>10458</v>
      </c>
      <c r="C2191" t="s">
        <v>5043</v>
      </c>
      <c r="D2191" t="s">
        <v>8401</v>
      </c>
    </row>
    <row r="2192" spans="1:4" ht="14.45" x14ac:dyDescent="0.3">
      <c r="A2192">
        <v>7437</v>
      </c>
      <c r="B2192" t="s">
        <v>10459</v>
      </c>
      <c r="C2192" t="s">
        <v>5043</v>
      </c>
      <c r="D2192" t="s">
        <v>8401</v>
      </c>
    </row>
    <row r="2193" spans="1:4" ht="14.45" x14ac:dyDescent="0.3">
      <c r="A2193">
        <v>10856</v>
      </c>
      <c r="B2193" t="s">
        <v>10460</v>
      </c>
      <c r="C2193" t="s">
        <v>5043</v>
      </c>
      <c r="D2193" t="s">
        <v>8401</v>
      </c>
    </row>
    <row r="2194" spans="1:4" ht="14.45" x14ac:dyDescent="0.3">
      <c r="A2194">
        <v>11635</v>
      </c>
      <c r="B2194" t="s">
        <v>10460</v>
      </c>
      <c r="C2194" t="s">
        <v>5043</v>
      </c>
      <c r="D2194" t="s">
        <v>8401</v>
      </c>
    </row>
    <row r="2195" spans="1:4" ht="14.45" x14ac:dyDescent="0.3">
      <c r="A2195">
        <v>7597</v>
      </c>
      <c r="B2195" t="s">
        <v>10460</v>
      </c>
      <c r="C2195" t="s">
        <v>5043</v>
      </c>
      <c r="D2195" t="s">
        <v>8401</v>
      </c>
    </row>
    <row r="2196" spans="1:4" ht="14.45" x14ac:dyDescent="0.3">
      <c r="A2196">
        <v>8774</v>
      </c>
      <c r="B2196" t="s">
        <v>10460</v>
      </c>
      <c r="C2196" t="s">
        <v>5043</v>
      </c>
      <c r="D2196" t="s">
        <v>8401</v>
      </c>
    </row>
    <row r="2197" spans="1:4" ht="14.45" x14ac:dyDescent="0.3">
      <c r="A2197">
        <v>6619</v>
      </c>
      <c r="B2197" t="s">
        <v>10461</v>
      </c>
      <c r="C2197" t="s">
        <v>5043</v>
      </c>
      <c r="D2197" t="s">
        <v>8401</v>
      </c>
    </row>
    <row r="2198" spans="1:4" ht="14.45" x14ac:dyDescent="0.3">
      <c r="A2198">
        <v>7438</v>
      </c>
      <c r="B2198" t="s">
        <v>10461</v>
      </c>
      <c r="C2198" t="s">
        <v>5043</v>
      </c>
      <c r="D2198" t="s">
        <v>8401</v>
      </c>
    </row>
    <row r="2199" spans="1:4" ht="14.45" x14ac:dyDescent="0.3">
      <c r="A2199">
        <v>7632</v>
      </c>
      <c r="B2199" t="s">
        <v>10461</v>
      </c>
      <c r="C2199" t="s">
        <v>5043</v>
      </c>
      <c r="D2199" t="s">
        <v>8401</v>
      </c>
    </row>
    <row r="2200" spans="1:4" ht="14.45" x14ac:dyDescent="0.3">
      <c r="A2200">
        <v>9550</v>
      </c>
      <c r="B2200" t="s">
        <v>10461</v>
      </c>
      <c r="C2200" t="s">
        <v>5043</v>
      </c>
      <c r="D2200" t="s">
        <v>8401</v>
      </c>
    </row>
    <row r="2201" spans="1:4" ht="14.45" x14ac:dyDescent="0.3">
      <c r="A2201">
        <v>9789</v>
      </c>
      <c r="B2201" t="s">
        <v>10461</v>
      </c>
      <c r="C2201" t="s">
        <v>5043</v>
      </c>
      <c r="D2201" t="s">
        <v>8401</v>
      </c>
    </row>
    <row r="2202" spans="1:4" ht="14.45" x14ac:dyDescent="0.3">
      <c r="A2202">
        <v>11364</v>
      </c>
      <c r="B2202" t="s">
        <v>10462</v>
      </c>
      <c r="C2202" t="s">
        <v>5043</v>
      </c>
      <c r="D2202" t="s">
        <v>8401</v>
      </c>
    </row>
    <row r="2203" spans="1:4" ht="14.45" x14ac:dyDescent="0.3">
      <c r="A2203">
        <v>10363</v>
      </c>
      <c r="B2203" t="s">
        <v>10463</v>
      </c>
      <c r="C2203" t="s">
        <v>5043</v>
      </c>
      <c r="D2203" t="s">
        <v>8401</v>
      </c>
    </row>
    <row r="2204" spans="1:4" ht="14.45" x14ac:dyDescent="0.3">
      <c r="A2204">
        <v>11543</v>
      </c>
      <c r="B2204" t="s">
        <v>10463</v>
      </c>
      <c r="C2204" t="s">
        <v>5043</v>
      </c>
      <c r="D2204" t="s">
        <v>8401</v>
      </c>
    </row>
    <row r="2205" spans="1:4" ht="14.45" x14ac:dyDescent="0.3">
      <c r="A2205">
        <v>9294</v>
      </c>
      <c r="B2205" t="s">
        <v>10463</v>
      </c>
      <c r="C2205" t="s">
        <v>5043</v>
      </c>
      <c r="D2205" t="s">
        <v>8401</v>
      </c>
    </row>
    <row r="2206" spans="1:4" ht="14.45" x14ac:dyDescent="0.3">
      <c r="A2206">
        <v>7058</v>
      </c>
      <c r="B2206" t="s">
        <v>10464</v>
      </c>
      <c r="C2206" t="s">
        <v>5043</v>
      </c>
      <c r="D2206" t="s">
        <v>8401</v>
      </c>
    </row>
    <row r="2207" spans="1:4" ht="14.45" x14ac:dyDescent="0.3">
      <c r="A2207">
        <v>7714</v>
      </c>
      <c r="B2207" t="s">
        <v>10464</v>
      </c>
      <c r="C2207" t="s">
        <v>5043</v>
      </c>
      <c r="D2207" t="s">
        <v>8401</v>
      </c>
    </row>
    <row r="2208" spans="1:4" ht="14.45" x14ac:dyDescent="0.3">
      <c r="A2208">
        <v>8744</v>
      </c>
      <c r="B2208" t="s">
        <v>10464</v>
      </c>
      <c r="C2208" t="s">
        <v>5043</v>
      </c>
      <c r="D2208" t="s">
        <v>8401</v>
      </c>
    </row>
    <row r="2209" spans="1:4" ht="14.45" x14ac:dyDescent="0.3">
      <c r="A2209">
        <v>10193</v>
      </c>
      <c r="B2209" t="s">
        <v>10465</v>
      </c>
      <c r="C2209" t="s">
        <v>5043</v>
      </c>
      <c r="D2209" t="s">
        <v>8401</v>
      </c>
    </row>
    <row r="2210" spans="1:4" ht="14.45" x14ac:dyDescent="0.3">
      <c r="A2210">
        <v>6795</v>
      </c>
      <c r="B2210" t="s">
        <v>10465</v>
      </c>
      <c r="C2210" t="s">
        <v>5043</v>
      </c>
      <c r="D2210" t="s">
        <v>8401</v>
      </c>
    </row>
    <row r="2211" spans="1:4" ht="14.45" x14ac:dyDescent="0.3">
      <c r="A2211">
        <v>8794</v>
      </c>
      <c r="B2211" t="s">
        <v>10465</v>
      </c>
      <c r="C2211" t="s">
        <v>5043</v>
      </c>
      <c r="D2211" t="s">
        <v>8401</v>
      </c>
    </row>
    <row r="2212" spans="1:4" ht="14.45" x14ac:dyDescent="0.3">
      <c r="A2212">
        <v>9053</v>
      </c>
      <c r="B2212" t="s">
        <v>10465</v>
      </c>
      <c r="C2212" t="s">
        <v>5043</v>
      </c>
      <c r="D2212" t="s">
        <v>8401</v>
      </c>
    </row>
    <row r="2213" spans="1:4" ht="14.45" x14ac:dyDescent="0.3">
      <c r="A2213">
        <v>9057</v>
      </c>
      <c r="B2213" t="s">
        <v>10466</v>
      </c>
      <c r="C2213" t="s">
        <v>5043</v>
      </c>
      <c r="D2213" t="s">
        <v>8401</v>
      </c>
    </row>
    <row r="2214" spans="1:4" ht="14.45" x14ac:dyDescent="0.3">
      <c r="A2214">
        <v>10555</v>
      </c>
      <c r="B2214" t="s">
        <v>10467</v>
      </c>
      <c r="C2214" t="s">
        <v>5043</v>
      </c>
      <c r="D2214" t="s">
        <v>8401</v>
      </c>
    </row>
    <row r="2215" spans="1:4" ht="14.45" x14ac:dyDescent="0.3">
      <c r="A2215">
        <v>6722</v>
      </c>
      <c r="B2215" t="s">
        <v>10467</v>
      </c>
      <c r="C2215" t="s">
        <v>5043</v>
      </c>
      <c r="D2215" t="s">
        <v>8401</v>
      </c>
    </row>
    <row r="2216" spans="1:4" ht="14.45" x14ac:dyDescent="0.3">
      <c r="A2216">
        <v>8335</v>
      </c>
      <c r="B2216" t="s">
        <v>10468</v>
      </c>
      <c r="C2216" t="s">
        <v>5043</v>
      </c>
      <c r="D2216" t="s">
        <v>8401</v>
      </c>
    </row>
    <row r="2217" spans="1:4" ht="14.45" x14ac:dyDescent="0.3">
      <c r="A2217">
        <v>10466</v>
      </c>
      <c r="B2217" t="s">
        <v>10469</v>
      </c>
      <c r="C2217" t="s">
        <v>5043</v>
      </c>
      <c r="D2217" t="s">
        <v>8401</v>
      </c>
    </row>
    <row r="2218" spans="1:4" ht="14.45" x14ac:dyDescent="0.3">
      <c r="A2218">
        <v>10132</v>
      </c>
      <c r="B2218" t="s">
        <v>10470</v>
      </c>
      <c r="C2218" t="s">
        <v>5043</v>
      </c>
      <c r="D2218" t="s">
        <v>8401</v>
      </c>
    </row>
    <row r="2219" spans="1:4" ht="14.45" x14ac:dyDescent="0.3">
      <c r="A2219">
        <v>10296</v>
      </c>
      <c r="B2219" t="s">
        <v>10470</v>
      </c>
      <c r="C2219" t="s">
        <v>5043</v>
      </c>
      <c r="D2219" t="s">
        <v>8401</v>
      </c>
    </row>
    <row r="2220" spans="1:4" ht="14.45" x14ac:dyDescent="0.3">
      <c r="A2220">
        <v>10669</v>
      </c>
      <c r="B2220" t="s">
        <v>10470</v>
      </c>
      <c r="C2220" t="s">
        <v>5043</v>
      </c>
      <c r="D2220" t="s">
        <v>8401</v>
      </c>
    </row>
    <row r="2221" spans="1:4" ht="14.45" x14ac:dyDescent="0.3">
      <c r="A2221">
        <v>10792</v>
      </c>
      <c r="B2221" t="s">
        <v>10470</v>
      </c>
      <c r="C2221" t="s">
        <v>5043</v>
      </c>
      <c r="D2221" t="s">
        <v>8401</v>
      </c>
    </row>
    <row r="2222" spans="1:4" ht="14.45" x14ac:dyDescent="0.3">
      <c r="A2222">
        <v>10810</v>
      </c>
      <c r="B2222" t="s">
        <v>10470</v>
      </c>
      <c r="C2222" t="s">
        <v>5043</v>
      </c>
      <c r="D2222" t="s">
        <v>8401</v>
      </c>
    </row>
    <row r="2223" spans="1:4" ht="14.45" x14ac:dyDescent="0.3">
      <c r="A2223">
        <v>10871</v>
      </c>
      <c r="B2223" t="s">
        <v>10470</v>
      </c>
      <c r="C2223" t="s">
        <v>5043</v>
      </c>
      <c r="D2223" t="s">
        <v>8401</v>
      </c>
    </row>
    <row r="2224" spans="1:4" ht="14.45" x14ac:dyDescent="0.3">
      <c r="A2224">
        <v>11393</v>
      </c>
      <c r="B2224" t="s">
        <v>10470</v>
      </c>
      <c r="C2224" t="s">
        <v>5043</v>
      </c>
      <c r="D2224" t="s">
        <v>8401</v>
      </c>
    </row>
    <row r="2225" spans="1:4" ht="14.45" x14ac:dyDescent="0.3">
      <c r="A2225">
        <v>6409</v>
      </c>
      <c r="B2225" t="s">
        <v>10470</v>
      </c>
      <c r="C2225" t="s">
        <v>5043</v>
      </c>
      <c r="D2225" t="s">
        <v>8401</v>
      </c>
    </row>
    <row r="2226" spans="1:4" ht="14.45" x14ac:dyDescent="0.3">
      <c r="A2226">
        <v>6477</v>
      </c>
      <c r="B2226" t="s">
        <v>10470</v>
      </c>
      <c r="C2226" t="s">
        <v>5043</v>
      </c>
      <c r="D2226" t="s">
        <v>8401</v>
      </c>
    </row>
    <row r="2227" spans="1:4" ht="14.45" x14ac:dyDescent="0.3">
      <c r="A2227">
        <v>7155</v>
      </c>
      <c r="B2227" t="s">
        <v>10470</v>
      </c>
      <c r="C2227" t="s">
        <v>5043</v>
      </c>
      <c r="D2227" t="s">
        <v>8401</v>
      </c>
    </row>
    <row r="2228" spans="1:4" ht="14.45" x14ac:dyDescent="0.3">
      <c r="A2228">
        <v>7577</v>
      </c>
      <c r="B2228" t="s">
        <v>10470</v>
      </c>
      <c r="C2228" t="s">
        <v>5043</v>
      </c>
      <c r="D2228" t="s">
        <v>8401</v>
      </c>
    </row>
    <row r="2229" spans="1:4" ht="14.45" x14ac:dyDescent="0.3">
      <c r="A2229">
        <v>8058</v>
      </c>
      <c r="B2229" t="s">
        <v>10470</v>
      </c>
      <c r="C2229" t="s">
        <v>5043</v>
      </c>
      <c r="D2229" t="s">
        <v>8401</v>
      </c>
    </row>
    <row r="2230" spans="1:4" ht="14.45" x14ac:dyDescent="0.3">
      <c r="A2230">
        <v>8450</v>
      </c>
      <c r="B2230" t="s">
        <v>10470</v>
      </c>
      <c r="C2230" t="s">
        <v>5043</v>
      </c>
      <c r="D2230" t="s">
        <v>8401</v>
      </c>
    </row>
    <row r="2231" spans="1:4" ht="14.45" x14ac:dyDescent="0.3">
      <c r="A2231">
        <v>8686</v>
      </c>
      <c r="B2231" t="s">
        <v>10470</v>
      </c>
      <c r="C2231" t="s">
        <v>5043</v>
      </c>
      <c r="D2231" t="s">
        <v>8401</v>
      </c>
    </row>
    <row r="2232" spans="1:4" ht="14.45" x14ac:dyDescent="0.3">
      <c r="A2232">
        <v>9010</v>
      </c>
      <c r="B2232" t="s">
        <v>10470</v>
      </c>
      <c r="C2232" t="s">
        <v>5043</v>
      </c>
      <c r="D2232" t="s">
        <v>8401</v>
      </c>
    </row>
    <row r="2233" spans="1:4" ht="14.45" x14ac:dyDescent="0.3">
      <c r="A2233">
        <v>9111</v>
      </c>
      <c r="B2233" t="s">
        <v>10470</v>
      </c>
      <c r="C2233" t="s">
        <v>5043</v>
      </c>
      <c r="D2233" t="s">
        <v>8401</v>
      </c>
    </row>
    <row r="2234" spans="1:4" ht="14.45" x14ac:dyDescent="0.3">
      <c r="A2234">
        <v>9279</v>
      </c>
      <c r="B2234" t="s">
        <v>10470</v>
      </c>
      <c r="C2234" t="s">
        <v>5043</v>
      </c>
      <c r="D2234" t="s">
        <v>8401</v>
      </c>
    </row>
    <row r="2235" spans="1:4" ht="14.45" x14ac:dyDescent="0.3">
      <c r="A2235">
        <v>9581</v>
      </c>
      <c r="B2235" t="s">
        <v>10470</v>
      </c>
      <c r="C2235" t="s">
        <v>5043</v>
      </c>
      <c r="D2235" t="s">
        <v>8401</v>
      </c>
    </row>
    <row r="2236" spans="1:4" ht="14.45" x14ac:dyDescent="0.3">
      <c r="A2236">
        <v>9787</v>
      </c>
      <c r="B2236" t="s">
        <v>10470</v>
      </c>
      <c r="C2236" t="s">
        <v>5043</v>
      </c>
      <c r="D2236" t="s">
        <v>8401</v>
      </c>
    </row>
    <row r="2237" spans="1:4" ht="14.45" x14ac:dyDescent="0.3">
      <c r="A2237">
        <v>9897</v>
      </c>
      <c r="B2237" t="s">
        <v>10471</v>
      </c>
      <c r="C2237" t="s">
        <v>5043</v>
      </c>
      <c r="D2237" t="s">
        <v>8401</v>
      </c>
    </row>
    <row r="2238" spans="1:4" ht="14.45" x14ac:dyDescent="0.3">
      <c r="A2238">
        <v>10098</v>
      </c>
      <c r="B2238" t="s">
        <v>10472</v>
      </c>
      <c r="C2238" t="s">
        <v>5043</v>
      </c>
      <c r="D2238" t="s">
        <v>8401</v>
      </c>
    </row>
    <row r="2239" spans="1:4" ht="14.45" x14ac:dyDescent="0.3">
      <c r="A2239">
        <v>10032</v>
      </c>
      <c r="B2239" t="s">
        <v>10473</v>
      </c>
      <c r="C2239" t="s">
        <v>5043</v>
      </c>
      <c r="D2239" t="s">
        <v>8401</v>
      </c>
    </row>
    <row r="2240" spans="1:4" ht="14.45" x14ac:dyDescent="0.3">
      <c r="A2240">
        <v>10569</v>
      </c>
      <c r="B2240" t="s">
        <v>10473</v>
      </c>
      <c r="C2240" t="s">
        <v>5043</v>
      </c>
      <c r="D2240" t="s">
        <v>8401</v>
      </c>
    </row>
    <row r="2241" spans="1:4" ht="14.45" x14ac:dyDescent="0.3">
      <c r="A2241">
        <v>10844</v>
      </c>
      <c r="B2241" t="s">
        <v>10473</v>
      </c>
      <c r="C2241" t="s">
        <v>5043</v>
      </c>
      <c r="D2241" t="s">
        <v>8401</v>
      </c>
    </row>
    <row r="2242" spans="1:4" ht="14.45" x14ac:dyDescent="0.3">
      <c r="A2242">
        <v>11024</v>
      </c>
      <c r="B2242" t="s">
        <v>10473</v>
      </c>
      <c r="C2242" t="s">
        <v>5043</v>
      </c>
      <c r="D2242" t="s">
        <v>8401</v>
      </c>
    </row>
    <row r="2243" spans="1:4" ht="14.45" x14ac:dyDescent="0.3">
      <c r="A2243">
        <v>7821</v>
      </c>
      <c r="B2243" t="s">
        <v>10473</v>
      </c>
      <c r="C2243" t="s">
        <v>5043</v>
      </c>
      <c r="D2243" t="s">
        <v>8401</v>
      </c>
    </row>
    <row r="2244" spans="1:4" ht="14.45" x14ac:dyDescent="0.3">
      <c r="A2244">
        <v>9220</v>
      </c>
      <c r="B2244" t="s">
        <v>10473</v>
      </c>
      <c r="C2244" t="s">
        <v>5043</v>
      </c>
      <c r="D2244" t="s">
        <v>8401</v>
      </c>
    </row>
    <row r="2245" spans="1:4" ht="14.45" x14ac:dyDescent="0.3">
      <c r="A2245">
        <v>11199</v>
      </c>
      <c r="B2245" t="s">
        <v>10474</v>
      </c>
      <c r="C2245" t="s">
        <v>5043</v>
      </c>
      <c r="D2245" t="s">
        <v>8401</v>
      </c>
    </row>
    <row r="2246" spans="1:4" ht="14.45" x14ac:dyDescent="0.3">
      <c r="A2246">
        <v>6661</v>
      </c>
      <c r="B2246" t="s">
        <v>10474</v>
      </c>
      <c r="C2246" t="s">
        <v>5043</v>
      </c>
      <c r="D2246" t="s">
        <v>8401</v>
      </c>
    </row>
    <row r="2247" spans="1:4" ht="14.45" x14ac:dyDescent="0.3">
      <c r="A2247">
        <v>6798</v>
      </c>
      <c r="B2247" t="s">
        <v>10474</v>
      </c>
      <c r="C2247" t="s">
        <v>5043</v>
      </c>
      <c r="D2247" t="s">
        <v>8401</v>
      </c>
    </row>
    <row r="2248" spans="1:4" ht="14.45" x14ac:dyDescent="0.3">
      <c r="A2248">
        <v>12605</v>
      </c>
      <c r="B2248" t="s">
        <v>11565</v>
      </c>
      <c r="C2248" t="s">
        <v>5043</v>
      </c>
      <c r="D2248" t="s">
        <v>8401</v>
      </c>
    </row>
    <row r="2249" spans="1:4" ht="14.45" x14ac:dyDescent="0.3">
      <c r="A2249">
        <v>12607</v>
      </c>
      <c r="B2249" t="s">
        <v>11565</v>
      </c>
      <c r="C2249" t="s">
        <v>5043</v>
      </c>
      <c r="D2249" t="s">
        <v>8401</v>
      </c>
    </row>
    <row r="2250" spans="1:4" ht="14.45" x14ac:dyDescent="0.3">
      <c r="A2250">
        <v>12608</v>
      </c>
      <c r="B2250" t="s">
        <v>11566</v>
      </c>
      <c r="C2250" t="s">
        <v>5043</v>
      </c>
      <c r="D2250" t="s">
        <v>8401</v>
      </c>
    </row>
    <row r="2251" spans="1:4" ht="14.45" x14ac:dyDescent="0.3">
      <c r="A2251">
        <v>12609</v>
      </c>
      <c r="B2251" t="s">
        <v>11566</v>
      </c>
      <c r="C2251" t="s">
        <v>5043</v>
      </c>
      <c r="D2251" t="s">
        <v>8401</v>
      </c>
    </row>
    <row r="2252" spans="1:4" ht="14.45" x14ac:dyDescent="0.3">
      <c r="A2252">
        <v>12613</v>
      </c>
      <c r="B2252" t="s">
        <v>11566</v>
      </c>
      <c r="C2252" t="s">
        <v>5043</v>
      </c>
      <c r="D2252" t="s">
        <v>8401</v>
      </c>
    </row>
    <row r="2253" spans="1:4" ht="14.45" x14ac:dyDescent="0.3">
      <c r="A2253">
        <v>12617</v>
      </c>
      <c r="B2253" t="s">
        <v>11566</v>
      </c>
      <c r="C2253" t="s">
        <v>5043</v>
      </c>
      <c r="D2253" t="s">
        <v>8401</v>
      </c>
    </row>
    <row r="2254" spans="1:4" ht="14.45" x14ac:dyDescent="0.3">
      <c r="A2254">
        <v>12603</v>
      </c>
      <c r="B2254" t="s">
        <v>11567</v>
      </c>
      <c r="C2254" t="s">
        <v>5043</v>
      </c>
      <c r="D2254" t="s">
        <v>8401</v>
      </c>
    </row>
    <row r="2255" spans="1:4" ht="14.45" x14ac:dyDescent="0.3">
      <c r="A2255">
        <v>12610</v>
      </c>
      <c r="B2255" t="s">
        <v>11567</v>
      </c>
      <c r="C2255" t="s">
        <v>5043</v>
      </c>
      <c r="D2255" t="s">
        <v>8401</v>
      </c>
    </row>
    <row r="2256" spans="1:4" ht="14.45" x14ac:dyDescent="0.3">
      <c r="A2256">
        <v>12611</v>
      </c>
      <c r="B2256" t="s">
        <v>11567</v>
      </c>
      <c r="C2256" t="s">
        <v>5043</v>
      </c>
      <c r="D2256" t="s">
        <v>8401</v>
      </c>
    </row>
    <row r="2257" spans="1:4" ht="14.45" x14ac:dyDescent="0.3">
      <c r="A2257">
        <v>12612</v>
      </c>
      <c r="B2257" t="s">
        <v>11567</v>
      </c>
      <c r="C2257" t="s">
        <v>5043</v>
      </c>
      <c r="D2257" t="s">
        <v>8401</v>
      </c>
    </row>
    <row r="2258" spans="1:4" ht="14.45" x14ac:dyDescent="0.3">
      <c r="A2258">
        <v>12614</v>
      </c>
      <c r="B2258" t="s">
        <v>11568</v>
      </c>
      <c r="C2258" t="s">
        <v>5043</v>
      </c>
      <c r="D2258" t="s">
        <v>8401</v>
      </c>
    </row>
    <row r="2259" spans="1:4" ht="14.45" x14ac:dyDescent="0.3">
      <c r="A2259">
        <v>12616</v>
      </c>
      <c r="B2259" t="s">
        <v>11568</v>
      </c>
      <c r="C2259" t="s">
        <v>5043</v>
      </c>
      <c r="D2259" t="s">
        <v>8401</v>
      </c>
    </row>
    <row r="2260" spans="1:4" ht="14.45" x14ac:dyDescent="0.3">
      <c r="A2260">
        <v>7658</v>
      </c>
      <c r="B2260" t="s">
        <v>10475</v>
      </c>
      <c r="C2260" t="s">
        <v>5043</v>
      </c>
      <c r="D2260" t="s">
        <v>8401</v>
      </c>
    </row>
    <row r="2261" spans="1:4" ht="14.45" x14ac:dyDescent="0.3">
      <c r="A2261">
        <v>10075</v>
      </c>
      <c r="B2261" t="s">
        <v>10476</v>
      </c>
      <c r="C2261" t="s">
        <v>5043</v>
      </c>
      <c r="D2261" t="s">
        <v>8401</v>
      </c>
    </row>
    <row r="2262" spans="1:4" ht="14.45" x14ac:dyDescent="0.3">
      <c r="A2262">
        <v>8916</v>
      </c>
      <c r="B2262" t="s">
        <v>10476</v>
      </c>
      <c r="C2262" t="s">
        <v>5043</v>
      </c>
      <c r="D2262" t="s">
        <v>8401</v>
      </c>
    </row>
    <row r="2263" spans="1:4" ht="14.45" x14ac:dyDescent="0.3">
      <c r="A2263">
        <v>9051</v>
      </c>
      <c r="B2263" t="s">
        <v>10476</v>
      </c>
      <c r="C2263" t="s">
        <v>5043</v>
      </c>
      <c r="D2263" t="s">
        <v>8401</v>
      </c>
    </row>
    <row r="2264" spans="1:4" ht="14.45" x14ac:dyDescent="0.3">
      <c r="A2264">
        <v>10235</v>
      </c>
      <c r="B2264" t="s">
        <v>8816</v>
      </c>
      <c r="C2264" t="s">
        <v>5043</v>
      </c>
      <c r="D2264" t="s">
        <v>8401</v>
      </c>
    </row>
    <row r="2265" spans="1:4" ht="14.45" x14ac:dyDescent="0.3">
      <c r="A2265">
        <v>7589</v>
      </c>
      <c r="B2265" t="s">
        <v>8816</v>
      </c>
      <c r="C2265" t="s">
        <v>5043</v>
      </c>
      <c r="D2265" t="s">
        <v>8401</v>
      </c>
    </row>
    <row r="2266" spans="1:4" ht="14.45" x14ac:dyDescent="0.3">
      <c r="A2266">
        <v>9076</v>
      </c>
      <c r="B2266" t="s">
        <v>8816</v>
      </c>
      <c r="C2266" t="s">
        <v>5043</v>
      </c>
      <c r="D2266" t="s">
        <v>8401</v>
      </c>
    </row>
    <row r="2267" spans="1:4" ht="14.45" x14ac:dyDescent="0.3">
      <c r="A2267">
        <v>8911</v>
      </c>
      <c r="B2267" t="s">
        <v>10477</v>
      </c>
      <c r="C2267" t="s">
        <v>5043</v>
      </c>
      <c r="D2267" t="s">
        <v>8401</v>
      </c>
    </row>
    <row r="2268" spans="1:4" ht="14.45" x14ac:dyDescent="0.3">
      <c r="A2268">
        <v>8278</v>
      </c>
      <c r="B2268" t="s">
        <v>8817</v>
      </c>
      <c r="C2268" t="s">
        <v>5043</v>
      </c>
      <c r="D2268" t="s">
        <v>8401</v>
      </c>
    </row>
    <row r="2269" spans="1:4" ht="14.45" x14ac:dyDescent="0.3">
      <c r="A2269">
        <v>11344</v>
      </c>
      <c r="B2269" t="s">
        <v>8818</v>
      </c>
      <c r="C2269" t="s">
        <v>5043</v>
      </c>
      <c r="D2269" t="s">
        <v>8401</v>
      </c>
    </row>
    <row r="2270" spans="1:4" ht="14.45" x14ac:dyDescent="0.3">
      <c r="A2270">
        <v>6431</v>
      </c>
      <c r="B2270" t="s">
        <v>8818</v>
      </c>
      <c r="C2270" t="s">
        <v>5043</v>
      </c>
      <c r="D2270" t="s">
        <v>8401</v>
      </c>
    </row>
    <row r="2271" spans="1:4" ht="14.45" x14ac:dyDescent="0.3">
      <c r="A2271">
        <v>9308</v>
      </c>
      <c r="B2271" t="s">
        <v>8818</v>
      </c>
      <c r="C2271" t="s">
        <v>5043</v>
      </c>
      <c r="D2271" t="s">
        <v>8401</v>
      </c>
    </row>
    <row r="2272" spans="1:4" ht="14.45" x14ac:dyDescent="0.3">
      <c r="A2272">
        <v>7352</v>
      </c>
      <c r="B2272" t="s">
        <v>8819</v>
      </c>
      <c r="C2272" t="s">
        <v>5043</v>
      </c>
      <c r="D2272" t="s">
        <v>8401</v>
      </c>
    </row>
    <row r="2273" spans="1:4" ht="14.45" x14ac:dyDescent="0.3">
      <c r="A2273">
        <v>8403</v>
      </c>
      <c r="B2273" t="s">
        <v>8819</v>
      </c>
      <c r="C2273" t="s">
        <v>5043</v>
      </c>
      <c r="D2273" t="s">
        <v>8401</v>
      </c>
    </row>
    <row r="2274" spans="1:4" ht="14.45" x14ac:dyDescent="0.3">
      <c r="A2274">
        <v>8268</v>
      </c>
      <c r="B2274" t="s">
        <v>10478</v>
      </c>
      <c r="C2274" t="s">
        <v>5043</v>
      </c>
      <c r="D2274" t="s">
        <v>8401</v>
      </c>
    </row>
    <row r="2275" spans="1:4" ht="14.45" x14ac:dyDescent="0.3">
      <c r="A2275">
        <v>8402</v>
      </c>
      <c r="B2275" t="s">
        <v>10478</v>
      </c>
      <c r="C2275" t="s">
        <v>5043</v>
      </c>
      <c r="D2275" t="s">
        <v>8401</v>
      </c>
    </row>
    <row r="2276" spans="1:4" ht="14.45" x14ac:dyDescent="0.3">
      <c r="A2276">
        <v>8540</v>
      </c>
      <c r="B2276" t="s">
        <v>10478</v>
      </c>
      <c r="C2276" t="s">
        <v>5043</v>
      </c>
      <c r="D2276" t="s">
        <v>8401</v>
      </c>
    </row>
    <row r="2277" spans="1:4" ht="14.45" x14ac:dyDescent="0.3">
      <c r="A2277">
        <v>8620</v>
      </c>
      <c r="B2277" t="s">
        <v>10479</v>
      </c>
      <c r="C2277" t="s">
        <v>5043</v>
      </c>
      <c r="D2277" t="s">
        <v>8401</v>
      </c>
    </row>
    <row r="2278" spans="1:4" ht="14.45" x14ac:dyDescent="0.3">
      <c r="A2278">
        <v>7662</v>
      </c>
      <c r="B2278" t="s">
        <v>10480</v>
      </c>
      <c r="C2278" t="s">
        <v>5043</v>
      </c>
      <c r="D2278" t="s">
        <v>8401</v>
      </c>
    </row>
    <row r="2279" spans="1:4" ht="14.45" x14ac:dyDescent="0.3">
      <c r="A2279">
        <v>11660</v>
      </c>
      <c r="B2279" t="s">
        <v>10481</v>
      </c>
      <c r="C2279" t="s">
        <v>5043</v>
      </c>
      <c r="D2279" t="s">
        <v>8401</v>
      </c>
    </row>
    <row r="2280" spans="1:4" ht="14.45" x14ac:dyDescent="0.3">
      <c r="A2280">
        <v>10749</v>
      </c>
      <c r="B2280" t="s">
        <v>10482</v>
      </c>
      <c r="C2280" t="s">
        <v>5043</v>
      </c>
      <c r="D2280" t="s">
        <v>8401</v>
      </c>
    </row>
    <row r="2281" spans="1:4" ht="14.45" x14ac:dyDescent="0.3">
      <c r="A2281">
        <v>10850</v>
      </c>
      <c r="B2281" t="s">
        <v>10482</v>
      </c>
      <c r="C2281" t="s">
        <v>5043</v>
      </c>
      <c r="D2281" t="s">
        <v>8401</v>
      </c>
    </row>
    <row r="2282" spans="1:4" ht="14.45" x14ac:dyDescent="0.3">
      <c r="A2282">
        <v>11308</v>
      </c>
      <c r="B2282" t="s">
        <v>10482</v>
      </c>
      <c r="C2282" t="s">
        <v>5043</v>
      </c>
      <c r="D2282" t="s">
        <v>8401</v>
      </c>
    </row>
    <row r="2283" spans="1:4" ht="14.45" x14ac:dyDescent="0.3">
      <c r="A2283">
        <v>8973</v>
      </c>
      <c r="B2283" t="s">
        <v>10482</v>
      </c>
      <c r="C2283" t="s">
        <v>5043</v>
      </c>
      <c r="D2283" t="s">
        <v>8401</v>
      </c>
    </row>
    <row r="2284" spans="1:4" ht="14.45" x14ac:dyDescent="0.3">
      <c r="A2284">
        <v>9098</v>
      </c>
      <c r="B2284" t="s">
        <v>10482</v>
      </c>
      <c r="C2284" t="s">
        <v>5043</v>
      </c>
      <c r="D2284" t="s">
        <v>8401</v>
      </c>
    </row>
    <row r="2285" spans="1:4" ht="14.45" x14ac:dyDescent="0.3">
      <c r="A2285">
        <v>10077</v>
      </c>
      <c r="B2285" t="s">
        <v>10483</v>
      </c>
      <c r="C2285" t="s">
        <v>5043</v>
      </c>
      <c r="D2285" t="s">
        <v>8401</v>
      </c>
    </row>
    <row r="2286" spans="1:4" ht="14.45" x14ac:dyDescent="0.3">
      <c r="A2286">
        <v>10144</v>
      </c>
      <c r="B2286" t="s">
        <v>10483</v>
      </c>
      <c r="C2286" t="s">
        <v>5043</v>
      </c>
      <c r="D2286" t="s">
        <v>8401</v>
      </c>
    </row>
    <row r="2287" spans="1:4" ht="14.45" x14ac:dyDescent="0.3">
      <c r="A2287">
        <v>11351</v>
      </c>
      <c r="B2287" t="s">
        <v>10483</v>
      </c>
      <c r="C2287" t="s">
        <v>5043</v>
      </c>
      <c r="D2287" t="s">
        <v>8401</v>
      </c>
    </row>
    <row r="2288" spans="1:4" ht="14.45" x14ac:dyDescent="0.3">
      <c r="A2288">
        <v>6396</v>
      </c>
      <c r="B2288" t="s">
        <v>10483</v>
      </c>
      <c r="C2288" t="s">
        <v>5043</v>
      </c>
      <c r="D2288" t="s">
        <v>8401</v>
      </c>
    </row>
    <row r="2289" spans="1:4" ht="14.45" x14ac:dyDescent="0.3">
      <c r="A2289">
        <v>6628</v>
      </c>
      <c r="B2289" t="s">
        <v>10483</v>
      </c>
      <c r="C2289" t="s">
        <v>5043</v>
      </c>
      <c r="D2289" t="s">
        <v>8401</v>
      </c>
    </row>
    <row r="2290" spans="1:4" ht="14.45" x14ac:dyDescent="0.3">
      <c r="A2290">
        <v>8002</v>
      </c>
      <c r="B2290" t="s">
        <v>10483</v>
      </c>
      <c r="C2290" t="s">
        <v>5043</v>
      </c>
      <c r="D2290" t="s">
        <v>8401</v>
      </c>
    </row>
    <row r="2291" spans="1:4" ht="14.45" x14ac:dyDescent="0.3">
      <c r="A2291">
        <v>6547</v>
      </c>
      <c r="B2291" t="s">
        <v>10484</v>
      </c>
      <c r="C2291" t="s">
        <v>5043</v>
      </c>
      <c r="D2291" t="s">
        <v>8401</v>
      </c>
    </row>
    <row r="2292" spans="1:4" ht="14.45" x14ac:dyDescent="0.3">
      <c r="A2292">
        <v>7667</v>
      </c>
      <c r="B2292" t="s">
        <v>10485</v>
      </c>
      <c r="C2292" t="s">
        <v>5043</v>
      </c>
      <c r="D2292" t="s">
        <v>8401</v>
      </c>
    </row>
    <row r="2293" spans="1:4" ht="14.45" x14ac:dyDescent="0.3">
      <c r="A2293">
        <v>8477</v>
      </c>
      <c r="B2293" t="s">
        <v>10485</v>
      </c>
      <c r="C2293" t="s">
        <v>5043</v>
      </c>
      <c r="D2293" t="s">
        <v>8401</v>
      </c>
    </row>
    <row r="2294" spans="1:4" ht="14.45" x14ac:dyDescent="0.3">
      <c r="A2294">
        <v>9740</v>
      </c>
      <c r="B2294" t="s">
        <v>10485</v>
      </c>
      <c r="C2294" t="s">
        <v>5043</v>
      </c>
      <c r="D2294" t="s">
        <v>8401</v>
      </c>
    </row>
    <row r="2295" spans="1:4" ht="14.45" x14ac:dyDescent="0.3">
      <c r="A2295">
        <v>10991</v>
      </c>
      <c r="B2295" t="s">
        <v>8820</v>
      </c>
      <c r="C2295" t="s">
        <v>5043</v>
      </c>
      <c r="D2295" t="s">
        <v>8401</v>
      </c>
    </row>
    <row r="2296" spans="1:4" ht="14.45" x14ac:dyDescent="0.3">
      <c r="A2296">
        <v>10937</v>
      </c>
      <c r="B2296" t="s">
        <v>10486</v>
      </c>
      <c r="C2296" t="s">
        <v>5043</v>
      </c>
      <c r="D2296" t="s">
        <v>8401</v>
      </c>
    </row>
    <row r="2297" spans="1:4" ht="14.45" x14ac:dyDescent="0.3">
      <c r="A2297">
        <v>6964</v>
      </c>
      <c r="B2297" t="s">
        <v>10486</v>
      </c>
      <c r="C2297" t="s">
        <v>5043</v>
      </c>
      <c r="D2297" t="s">
        <v>8401</v>
      </c>
    </row>
    <row r="2298" spans="1:4" ht="14.45" x14ac:dyDescent="0.3">
      <c r="A2298">
        <v>6976</v>
      </c>
      <c r="B2298" t="s">
        <v>10486</v>
      </c>
      <c r="C2298" t="s">
        <v>5043</v>
      </c>
      <c r="D2298" t="s">
        <v>8401</v>
      </c>
    </row>
    <row r="2299" spans="1:4" ht="14.45" x14ac:dyDescent="0.3">
      <c r="A2299">
        <v>6990</v>
      </c>
      <c r="B2299" t="s">
        <v>10486</v>
      </c>
      <c r="C2299" t="s">
        <v>5043</v>
      </c>
      <c r="D2299" t="s">
        <v>8401</v>
      </c>
    </row>
    <row r="2300" spans="1:4" ht="14.45" x14ac:dyDescent="0.3">
      <c r="A2300">
        <v>7394</v>
      </c>
      <c r="B2300" t="s">
        <v>10486</v>
      </c>
      <c r="C2300" t="s">
        <v>5043</v>
      </c>
      <c r="D2300" t="s">
        <v>8401</v>
      </c>
    </row>
    <row r="2301" spans="1:4" ht="14.45" x14ac:dyDescent="0.3">
      <c r="A2301">
        <v>7401</v>
      </c>
      <c r="B2301" t="s">
        <v>10486</v>
      </c>
      <c r="C2301" t="s">
        <v>5043</v>
      </c>
      <c r="D2301" t="s">
        <v>8401</v>
      </c>
    </row>
    <row r="2302" spans="1:4" ht="14.45" x14ac:dyDescent="0.3">
      <c r="A2302">
        <v>7686</v>
      </c>
      <c r="B2302" t="s">
        <v>10486</v>
      </c>
      <c r="C2302" t="s">
        <v>5043</v>
      </c>
      <c r="D2302" t="s">
        <v>8401</v>
      </c>
    </row>
    <row r="2303" spans="1:4" ht="14.45" x14ac:dyDescent="0.3">
      <c r="A2303">
        <v>7739</v>
      </c>
      <c r="B2303" t="s">
        <v>10486</v>
      </c>
      <c r="C2303" t="s">
        <v>5043</v>
      </c>
      <c r="D2303" t="s">
        <v>8401</v>
      </c>
    </row>
    <row r="2304" spans="1:4" ht="14.45" x14ac:dyDescent="0.3">
      <c r="A2304">
        <v>7986</v>
      </c>
      <c r="B2304" t="s">
        <v>10486</v>
      </c>
      <c r="C2304" t="s">
        <v>5043</v>
      </c>
      <c r="D2304" t="s">
        <v>8401</v>
      </c>
    </row>
    <row r="2305" spans="1:4" ht="14.45" x14ac:dyDescent="0.3">
      <c r="A2305">
        <v>8947</v>
      </c>
      <c r="B2305" t="s">
        <v>10486</v>
      </c>
      <c r="C2305" t="s">
        <v>5043</v>
      </c>
      <c r="D2305" t="s">
        <v>8401</v>
      </c>
    </row>
    <row r="2306" spans="1:4" ht="14.45" x14ac:dyDescent="0.3">
      <c r="A2306">
        <v>9179</v>
      </c>
      <c r="B2306" t="s">
        <v>10486</v>
      </c>
      <c r="C2306" t="s">
        <v>5043</v>
      </c>
      <c r="D2306" t="s">
        <v>8401</v>
      </c>
    </row>
    <row r="2307" spans="1:4" ht="14.45" x14ac:dyDescent="0.3">
      <c r="A2307">
        <v>9926</v>
      </c>
      <c r="B2307" t="s">
        <v>10486</v>
      </c>
      <c r="C2307" t="s">
        <v>5043</v>
      </c>
      <c r="D2307" t="s">
        <v>8401</v>
      </c>
    </row>
    <row r="2308" spans="1:4" ht="14.45" x14ac:dyDescent="0.3">
      <c r="A2308">
        <v>6458</v>
      </c>
      <c r="B2308" t="s">
        <v>8821</v>
      </c>
      <c r="C2308" t="s">
        <v>5043</v>
      </c>
      <c r="D2308" t="s">
        <v>8401</v>
      </c>
    </row>
    <row r="2309" spans="1:4" ht="14.45" x14ac:dyDescent="0.3">
      <c r="A2309">
        <v>9066</v>
      </c>
      <c r="B2309" t="s">
        <v>8821</v>
      </c>
      <c r="C2309" t="s">
        <v>5043</v>
      </c>
      <c r="D2309" t="s">
        <v>8401</v>
      </c>
    </row>
    <row r="2310" spans="1:4" ht="14.45" x14ac:dyDescent="0.3">
      <c r="A2310">
        <v>10071</v>
      </c>
      <c r="B2310" t="s">
        <v>8822</v>
      </c>
      <c r="C2310" t="s">
        <v>5043</v>
      </c>
      <c r="D2310" t="s">
        <v>8401</v>
      </c>
    </row>
    <row r="2311" spans="1:4" ht="14.45" x14ac:dyDescent="0.3">
      <c r="A2311">
        <v>7497</v>
      </c>
      <c r="B2311" t="s">
        <v>8822</v>
      </c>
      <c r="C2311" t="s">
        <v>5043</v>
      </c>
      <c r="D2311" t="s">
        <v>8401</v>
      </c>
    </row>
    <row r="2312" spans="1:4" ht="14.45" x14ac:dyDescent="0.3">
      <c r="A2312">
        <v>10116</v>
      </c>
      <c r="B2312" t="s">
        <v>8823</v>
      </c>
      <c r="C2312" t="s">
        <v>5043</v>
      </c>
      <c r="D2312" t="s">
        <v>8401</v>
      </c>
    </row>
    <row r="2313" spans="1:4" ht="14.45" x14ac:dyDescent="0.3">
      <c r="A2313">
        <v>11409</v>
      </c>
      <c r="B2313" t="s">
        <v>8823</v>
      </c>
      <c r="C2313" t="s">
        <v>5043</v>
      </c>
      <c r="D2313" t="s">
        <v>8401</v>
      </c>
    </row>
    <row r="2314" spans="1:4" ht="14.45" x14ac:dyDescent="0.3">
      <c r="A2314">
        <v>11424</v>
      </c>
      <c r="B2314" t="s">
        <v>8823</v>
      </c>
      <c r="C2314" t="s">
        <v>5043</v>
      </c>
      <c r="D2314" t="s">
        <v>8401</v>
      </c>
    </row>
    <row r="2315" spans="1:4" ht="14.45" x14ac:dyDescent="0.3">
      <c r="A2315">
        <v>8502</v>
      </c>
      <c r="B2315" t="s">
        <v>8823</v>
      </c>
      <c r="C2315" t="s">
        <v>5043</v>
      </c>
      <c r="D2315" t="s">
        <v>8401</v>
      </c>
    </row>
    <row r="2316" spans="1:4" ht="14.45" x14ac:dyDescent="0.3">
      <c r="A2316">
        <v>8658</v>
      </c>
      <c r="B2316" t="s">
        <v>8823</v>
      </c>
      <c r="C2316" t="s">
        <v>5043</v>
      </c>
      <c r="D2316" t="s">
        <v>8401</v>
      </c>
    </row>
    <row r="2317" spans="1:4" ht="14.45" x14ac:dyDescent="0.3">
      <c r="A2317">
        <v>9827</v>
      </c>
      <c r="B2317" t="s">
        <v>8823</v>
      </c>
      <c r="C2317" t="s">
        <v>5043</v>
      </c>
      <c r="D2317" t="s">
        <v>8401</v>
      </c>
    </row>
    <row r="2318" spans="1:4" ht="14.45" x14ac:dyDescent="0.3">
      <c r="A2318">
        <v>11503</v>
      </c>
      <c r="B2318" t="s">
        <v>8824</v>
      </c>
      <c r="C2318" t="s">
        <v>5043</v>
      </c>
      <c r="D2318" t="s">
        <v>8401</v>
      </c>
    </row>
    <row r="2319" spans="1:4" ht="14.45" x14ac:dyDescent="0.3">
      <c r="A2319">
        <v>9929</v>
      </c>
      <c r="B2319" t="s">
        <v>8824</v>
      </c>
      <c r="C2319" t="s">
        <v>5043</v>
      </c>
      <c r="D2319" t="s">
        <v>8401</v>
      </c>
    </row>
    <row r="2320" spans="1:4" ht="14.45" x14ac:dyDescent="0.3">
      <c r="A2320">
        <v>7104</v>
      </c>
      <c r="B2320" t="s">
        <v>10487</v>
      </c>
      <c r="C2320" t="s">
        <v>5043</v>
      </c>
      <c r="D2320" t="s">
        <v>8401</v>
      </c>
    </row>
    <row r="2321" spans="1:4" ht="14.45" x14ac:dyDescent="0.3">
      <c r="A2321">
        <v>7385</v>
      </c>
      <c r="B2321" t="s">
        <v>10487</v>
      </c>
      <c r="C2321" t="s">
        <v>5043</v>
      </c>
      <c r="D2321" t="s">
        <v>8401</v>
      </c>
    </row>
    <row r="2322" spans="1:4" ht="14.45" x14ac:dyDescent="0.3">
      <c r="A2322">
        <v>9003</v>
      </c>
      <c r="B2322" t="s">
        <v>10487</v>
      </c>
      <c r="C2322" t="s">
        <v>5043</v>
      </c>
      <c r="D2322" t="s">
        <v>8401</v>
      </c>
    </row>
    <row r="2323" spans="1:4" ht="14.45" x14ac:dyDescent="0.3">
      <c r="A2323">
        <v>11318</v>
      </c>
      <c r="B2323" t="s">
        <v>8825</v>
      </c>
      <c r="C2323" t="s">
        <v>5043</v>
      </c>
      <c r="D2323" t="s">
        <v>8401</v>
      </c>
    </row>
    <row r="2324" spans="1:4" ht="14.45" x14ac:dyDescent="0.3">
      <c r="A2324">
        <v>7218</v>
      </c>
      <c r="B2324" t="s">
        <v>8825</v>
      </c>
      <c r="C2324" t="s">
        <v>5043</v>
      </c>
      <c r="D2324" t="s">
        <v>8401</v>
      </c>
    </row>
    <row r="2325" spans="1:4" ht="14.45" x14ac:dyDescent="0.3">
      <c r="A2325">
        <v>8854</v>
      </c>
      <c r="B2325" t="s">
        <v>8825</v>
      </c>
      <c r="C2325" t="s">
        <v>5043</v>
      </c>
      <c r="D2325" t="s">
        <v>8401</v>
      </c>
    </row>
    <row r="2326" spans="1:4" ht="14.45" x14ac:dyDescent="0.3">
      <c r="A2326">
        <v>9393</v>
      </c>
      <c r="B2326" t="s">
        <v>8825</v>
      </c>
      <c r="C2326" t="s">
        <v>5043</v>
      </c>
      <c r="D2326" t="s">
        <v>8401</v>
      </c>
    </row>
    <row r="2327" spans="1:4" ht="14.45" x14ac:dyDescent="0.3">
      <c r="A2327">
        <v>10161</v>
      </c>
      <c r="B2327" t="s">
        <v>8826</v>
      </c>
      <c r="C2327" t="s">
        <v>5043</v>
      </c>
      <c r="D2327" t="s">
        <v>8401</v>
      </c>
    </row>
    <row r="2328" spans="1:4" ht="14.45" x14ac:dyDescent="0.3">
      <c r="A2328">
        <v>10571</v>
      </c>
      <c r="B2328" t="s">
        <v>8826</v>
      </c>
      <c r="C2328" t="s">
        <v>5043</v>
      </c>
      <c r="D2328" t="s">
        <v>8401</v>
      </c>
    </row>
    <row r="2329" spans="1:4" ht="14.45" x14ac:dyDescent="0.3">
      <c r="A2329">
        <v>10621</v>
      </c>
      <c r="B2329" t="s">
        <v>8826</v>
      </c>
      <c r="C2329" t="s">
        <v>5043</v>
      </c>
      <c r="D2329" t="s">
        <v>8401</v>
      </c>
    </row>
    <row r="2330" spans="1:4" ht="14.45" x14ac:dyDescent="0.3">
      <c r="A2330">
        <v>10718</v>
      </c>
      <c r="B2330" t="s">
        <v>8826</v>
      </c>
      <c r="C2330" t="s">
        <v>5043</v>
      </c>
      <c r="D2330" t="s">
        <v>8401</v>
      </c>
    </row>
    <row r="2331" spans="1:4" ht="14.45" x14ac:dyDescent="0.3">
      <c r="A2331">
        <v>8068</v>
      </c>
      <c r="B2331" t="s">
        <v>8826</v>
      </c>
      <c r="C2331" t="s">
        <v>5043</v>
      </c>
      <c r="D2331" t="s">
        <v>8401</v>
      </c>
    </row>
    <row r="2332" spans="1:4" ht="14.45" x14ac:dyDescent="0.3">
      <c r="A2332">
        <v>8530</v>
      </c>
      <c r="B2332" t="s">
        <v>8826</v>
      </c>
      <c r="C2332" t="s">
        <v>5043</v>
      </c>
      <c r="D2332" t="s">
        <v>8401</v>
      </c>
    </row>
    <row r="2333" spans="1:4" ht="14.45" x14ac:dyDescent="0.3">
      <c r="A2333">
        <v>10786</v>
      </c>
      <c r="B2333" t="s">
        <v>8827</v>
      </c>
      <c r="C2333" t="s">
        <v>5043</v>
      </c>
      <c r="D2333" t="s">
        <v>8401</v>
      </c>
    </row>
    <row r="2334" spans="1:4" ht="14.45" x14ac:dyDescent="0.3">
      <c r="A2334">
        <v>12646</v>
      </c>
      <c r="B2334" t="s">
        <v>8827</v>
      </c>
      <c r="C2334" t="s">
        <v>5043</v>
      </c>
      <c r="D2334" t="s">
        <v>8401</v>
      </c>
    </row>
    <row r="2335" spans="1:4" ht="14.45" x14ac:dyDescent="0.3">
      <c r="A2335">
        <v>9516</v>
      </c>
      <c r="B2335" t="s">
        <v>8827</v>
      </c>
      <c r="C2335" t="s">
        <v>5043</v>
      </c>
      <c r="D2335" t="s">
        <v>8401</v>
      </c>
    </row>
    <row r="2336" spans="1:4" ht="14.45" x14ac:dyDescent="0.3">
      <c r="A2336">
        <v>7944</v>
      </c>
      <c r="B2336" t="s">
        <v>8828</v>
      </c>
      <c r="C2336" t="s">
        <v>5043</v>
      </c>
      <c r="D2336" t="s">
        <v>8401</v>
      </c>
    </row>
    <row r="2337" spans="1:4" ht="14.45" x14ac:dyDescent="0.3">
      <c r="A2337">
        <v>8590</v>
      </c>
      <c r="B2337" t="s">
        <v>8829</v>
      </c>
      <c r="C2337" t="s">
        <v>5043</v>
      </c>
      <c r="D2337" t="s">
        <v>8401</v>
      </c>
    </row>
    <row r="2338" spans="1:4" ht="14.45" x14ac:dyDescent="0.3">
      <c r="A2338">
        <v>6419</v>
      </c>
      <c r="B2338" t="s">
        <v>10488</v>
      </c>
      <c r="C2338" t="s">
        <v>5043</v>
      </c>
      <c r="D2338" t="s">
        <v>8401</v>
      </c>
    </row>
    <row r="2339" spans="1:4" ht="14.45" x14ac:dyDescent="0.3">
      <c r="A2339">
        <v>7075</v>
      </c>
      <c r="B2339" t="s">
        <v>10489</v>
      </c>
      <c r="C2339" t="s">
        <v>5043</v>
      </c>
      <c r="D2339" t="s">
        <v>8401</v>
      </c>
    </row>
    <row r="2340" spans="1:4" ht="14.45" x14ac:dyDescent="0.3">
      <c r="A2340">
        <v>8751</v>
      </c>
      <c r="B2340" t="s">
        <v>10489</v>
      </c>
      <c r="C2340" t="s">
        <v>5043</v>
      </c>
      <c r="D2340" t="s">
        <v>8401</v>
      </c>
    </row>
    <row r="2341" spans="1:4" ht="14.45" x14ac:dyDescent="0.3">
      <c r="A2341">
        <v>9036</v>
      </c>
      <c r="B2341" t="s">
        <v>10490</v>
      </c>
      <c r="C2341" t="s">
        <v>5043</v>
      </c>
      <c r="D2341" t="s">
        <v>8401</v>
      </c>
    </row>
    <row r="2342" spans="1:4" ht="14.45" x14ac:dyDescent="0.3">
      <c r="A2342">
        <v>7201</v>
      </c>
      <c r="B2342" t="s">
        <v>10491</v>
      </c>
      <c r="C2342" t="s">
        <v>5043</v>
      </c>
      <c r="D2342" t="s">
        <v>8401</v>
      </c>
    </row>
    <row r="2343" spans="1:4" ht="14.45" x14ac:dyDescent="0.3">
      <c r="A2343">
        <v>10088</v>
      </c>
      <c r="B2343" t="s">
        <v>8830</v>
      </c>
      <c r="C2343" t="s">
        <v>5043</v>
      </c>
      <c r="D2343" t="s">
        <v>8401</v>
      </c>
    </row>
    <row r="2344" spans="1:4" ht="14.45" x14ac:dyDescent="0.3">
      <c r="A2344">
        <v>11683</v>
      </c>
      <c r="B2344" t="s">
        <v>8830</v>
      </c>
      <c r="C2344" t="s">
        <v>5043</v>
      </c>
      <c r="D2344" t="s">
        <v>8401</v>
      </c>
    </row>
    <row r="2345" spans="1:4" ht="14.45" x14ac:dyDescent="0.3">
      <c r="A2345">
        <v>7579</v>
      </c>
      <c r="B2345" t="s">
        <v>8830</v>
      </c>
      <c r="C2345" t="s">
        <v>5043</v>
      </c>
      <c r="D2345" t="s">
        <v>8401</v>
      </c>
    </row>
    <row r="2346" spans="1:4" ht="14.45" x14ac:dyDescent="0.3">
      <c r="A2346">
        <v>9454</v>
      </c>
      <c r="B2346" t="s">
        <v>8830</v>
      </c>
      <c r="C2346" t="s">
        <v>5043</v>
      </c>
      <c r="D2346" t="s">
        <v>8401</v>
      </c>
    </row>
    <row r="2347" spans="1:4" ht="14.45" x14ac:dyDescent="0.3">
      <c r="A2347">
        <v>8053</v>
      </c>
      <c r="B2347" t="s">
        <v>10492</v>
      </c>
      <c r="C2347" t="s">
        <v>5043</v>
      </c>
      <c r="D2347" t="s">
        <v>8401</v>
      </c>
    </row>
    <row r="2348" spans="1:4" ht="14.45" x14ac:dyDescent="0.3">
      <c r="A2348">
        <v>8115</v>
      </c>
      <c r="B2348" t="s">
        <v>10492</v>
      </c>
      <c r="C2348" t="s">
        <v>5043</v>
      </c>
      <c r="D2348" t="s">
        <v>8401</v>
      </c>
    </row>
    <row r="2349" spans="1:4" ht="14.45" x14ac:dyDescent="0.3">
      <c r="A2349">
        <v>8961</v>
      </c>
      <c r="B2349" t="s">
        <v>10492</v>
      </c>
      <c r="C2349" t="s">
        <v>5043</v>
      </c>
      <c r="D2349" t="s">
        <v>8401</v>
      </c>
    </row>
    <row r="2350" spans="1:4" ht="14.45" x14ac:dyDescent="0.3">
      <c r="A2350">
        <v>10544</v>
      </c>
      <c r="B2350" t="s">
        <v>8831</v>
      </c>
      <c r="C2350" t="s">
        <v>5043</v>
      </c>
      <c r="D2350" t="s">
        <v>8401</v>
      </c>
    </row>
    <row r="2351" spans="1:4" ht="14.45" x14ac:dyDescent="0.3">
      <c r="A2351">
        <v>6562</v>
      </c>
      <c r="B2351" t="s">
        <v>8831</v>
      </c>
      <c r="C2351" t="s">
        <v>5043</v>
      </c>
      <c r="D2351" t="s">
        <v>8401</v>
      </c>
    </row>
    <row r="2352" spans="1:4" ht="14.45" x14ac:dyDescent="0.3">
      <c r="A2352">
        <v>9158</v>
      </c>
      <c r="B2352" t="s">
        <v>8831</v>
      </c>
      <c r="C2352" t="s">
        <v>5043</v>
      </c>
      <c r="D2352" t="s">
        <v>8401</v>
      </c>
    </row>
    <row r="2353" spans="1:4" ht="14.45" x14ac:dyDescent="0.3">
      <c r="A2353">
        <v>9146</v>
      </c>
      <c r="B2353" t="s">
        <v>10493</v>
      </c>
      <c r="C2353" t="s">
        <v>5043</v>
      </c>
      <c r="D2353" t="s">
        <v>8401</v>
      </c>
    </row>
    <row r="2354" spans="1:4" ht="14.45" x14ac:dyDescent="0.3">
      <c r="A2354">
        <v>11286</v>
      </c>
      <c r="B2354" t="s">
        <v>10494</v>
      </c>
      <c r="C2354" t="s">
        <v>5043</v>
      </c>
      <c r="D2354" t="s">
        <v>8401</v>
      </c>
    </row>
    <row r="2355" spans="1:4" ht="14.45" x14ac:dyDescent="0.3">
      <c r="A2355">
        <v>11538</v>
      </c>
      <c r="B2355" t="s">
        <v>10494</v>
      </c>
      <c r="C2355" t="s">
        <v>5043</v>
      </c>
      <c r="D2355" t="s">
        <v>8401</v>
      </c>
    </row>
    <row r="2356" spans="1:4" ht="14.45" x14ac:dyDescent="0.3">
      <c r="A2356">
        <v>6410</v>
      </c>
      <c r="B2356" t="s">
        <v>10494</v>
      </c>
      <c r="C2356" t="s">
        <v>5043</v>
      </c>
      <c r="D2356" t="s">
        <v>8401</v>
      </c>
    </row>
    <row r="2357" spans="1:4" ht="14.45" x14ac:dyDescent="0.3">
      <c r="A2357">
        <v>6630</v>
      </c>
      <c r="B2357" t="s">
        <v>10494</v>
      </c>
      <c r="C2357" t="s">
        <v>5043</v>
      </c>
      <c r="D2357" t="s">
        <v>8401</v>
      </c>
    </row>
    <row r="2358" spans="1:4" ht="14.45" x14ac:dyDescent="0.3">
      <c r="A2358">
        <v>8220</v>
      </c>
      <c r="B2358" t="s">
        <v>10494</v>
      </c>
      <c r="C2358" t="s">
        <v>5043</v>
      </c>
      <c r="D2358" t="s">
        <v>8401</v>
      </c>
    </row>
    <row r="2359" spans="1:4" ht="14.45" x14ac:dyDescent="0.3">
      <c r="A2359">
        <v>8526</v>
      </c>
      <c r="B2359" t="s">
        <v>10494</v>
      </c>
      <c r="C2359" t="s">
        <v>5043</v>
      </c>
      <c r="D2359" t="s">
        <v>8401</v>
      </c>
    </row>
    <row r="2360" spans="1:4" ht="14.45" x14ac:dyDescent="0.3">
      <c r="A2360">
        <v>8823</v>
      </c>
      <c r="B2360" t="s">
        <v>10494</v>
      </c>
      <c r="C2360" t="s">
        <v>5043</v>
      </c>
      <c r="D2360" t="s">
        <v>8401</v>
      </c>
    </row>
    <row r="2361" spans="1:4" ht="14.45" x14ac:dyDescent="0.3">
      <c r="A2361">
        <v>9526</v>
      </c>
      <c r="B2361" t="s">
        <v>10494</v>
      </c>
      <c r="C2361" t="s">
        <v>5043</v>
      </c>
      <c r="D2361" t="s">
        <v>8401</v>
      </c>
    </row>
    <row r="2362" spans="1:4" ht="14.45" x14ac:dyDescent="0.3">
      <c r="A2362">
        <v>10243</v>
      </c>
      <c r="B2362" t="s">
        <v>10495</v>
      </c>
      <c r="C2362" t="s">
        <v>5043</v>
      </c>
      <c r="D2362" t="s">
        <v>8401</v>
      </c>
    </row>
    <row r="2363" spans="1:4" ht="14.45" x14ac:dyDescent="0.3">
      <c r="A2363">
        <v>6983</v>
      </c>
      <c r="B2363" t="s">
        <v>10495</v>
      </c>
      <c r="C2363" t="s">
        <v>5043</v>
      </c>
      <c r="D2363" t="s">
        <v>8401</v>
      </c>
    </row>
    <row r="2364" spans="1:4" ht="14.45" x14ac:dyDescent="0.3">
      <c r="A2364">
        <v>7783</v>
      </c>
      <c r="B2364" t="s">
        <v>10495</v>
      </c>
      <c r="C2364" t="s">
        <v>5043</v>
      </c>
      <c r="D2364" t="s">
        <v>8401</v>
      </c>
    </row>
    <row r="2365" spans="1:4" ht="14.45" x14ac:dyDescent="0.3">
      <c r="A2365">
        <v>10828</v>
      </c>
      <c r="B2365" t="s">
        <v>10496</v>
      </c>
      <c r="C2365" t="s">
        <v>5043</v>
      </c>
      <c r="D2365" t="s">
        <v>8401</v>
      </c>
    </row>
    <row r="2366" spans="1:4" ht="14.45" x14ac:dyDescent="0.3">
      <c r="A2366">
        <v>9233</v>
      </c>
      <c r="B2366" t="s">
        <v>10496</v>
      </c>
      <c r="C2366" t="s">
        <v>5043</v>
      </c>
      <c r="D2366" t="s">
        <v>8401</v>
      </c>
    </row>
    <row r="2367" spans="1:4" ht="14.45" x14ac:dyDescent="0.3">
      <c r="A2367">
        <v>10411</v>
      </c>
      <c r="B2367" t="s">
        <v>8832</v>
      </c>
      <c r="C2367" t="s">
        <v>5043</v>
      </c>
      <c r="D2367" t="s">
        <v>8401</v>
      </c>
    </row>
    <row r="2368" spans="1:4" ht="14.45" x14ac:dyDescent="0.3">
      <c r="A2368">
        <v>10766</v>
      </c>
      <c r="B2368" t="s">
        <v>8832</v>
      </c>
      <c r="C2368" t="s">
        <v>5043</v>
      </c>
      <c r="D2368" t="s">
        <v>8401</v>
      </c>
    </row>
    <row r="2369" spans="1:4" ht="14.45" x14ac:dyDescent="0.3">
      <c r="A2369">
        <v>11240</v>
      </c>
      <c r="B2369" t="s">
        <v>8832</v>
      </c>
      <c r="C2369" t="s">
        <v>5043</v>
      </c>
      <c r="D2369" t="s">
        <v>8401</v>
      </c>
    </row>
    <row r="2370" spans="1:4" ht="14.45" x14ac:dyDescent="0.3">
      <c r="A2370">
        <v>6866</v>
      </c>
      <c r="B2370" t="s">
        <v>8832</v>
      </c>
      <c r="C2370" t="s">
        <v>5043</v>
      </c>
      <c r="D2370" t="s">
        <v>8401</v>
      </c>
    </row>
    <row r="2371" spans="1:4" ht="14.45" x14ac:dyDescent="0.3">
      <c r="A2371">
        <v>7522</v>
      </c>
      <c r="B2371" t="s">
        <v>8832</v>
      </c>
      <c r="C2371" t="s">
        <v>5043</v>
      </c>
      <c r="D2371" t="s">
        <v>8401</v>
      </c>
    </row>
    <row r="2372" spans="1:4" ht="14.45" x14ac:dyDescent="0.3">
      <c r="A2372">
        <v>8309</v>
      </c>
      <c r="B2372" t="s">
        <v>8832</v>
      </c>
      <c r="C2372" t="s">
        <v>5043</v>
      </c>
      <c r="D2372" t="s">
        <v>8401</v>
      </c>
    </row>
    <row r="2373" spans="1:4" ht="14.45" x14ac:dyDescent="0.3">
      <c r="A2373">
        <v>8316</v>
      </c>
      <c r="B2373" t="s">
        <v>8832</v>
      </c>
      <c r="C2373" t="s">
        <v>5043</v>
      </c>
      <c r="D2373" t="s">
        <v>8401</v>
      </c>
    </row>
    <row r="2374" spans="1:4" ht="14.45" x14ac:dyDescent="0.3">
      <c r="A2374">
        <v>7033</v>
      </c>
      <c r="B2374" t="s">
        <v>8833</v>
      </c>
      <c r="C2374" t="s">
        <v>5043</v>
      </c>
      <c r="D2374" t="s">
        <v>8401</v>
      </c>
    </row>
    <row r="2375" spans="1:4" ht="14.45" x14ac:dyDescent="0.3">
      <c r="A2375">
        <v>11324</v>
      </c>
      <c r="B2375" t="s">
        <v>8834</v>
      </c>
      <c r="C2375" t="s">
        <v>5043</v>
      </c>
      <c r="D2375" t="s">
        <v>8401</v>
      </c>
    </row>
    <row r="2376" spans="1:4" ht="14.45" x14ac:dyDescent="0.3">
      <c r="A2376">
        <v>6465</v>
      </c>
      <c r="B2376" t="s">
        <v>8834</v>
      </c>
      <c r="C2376" t="s">
        <v>5043</v>
      </c>
      <c r="D2376" t="s">
        <v>8401</v>
      </c>
    </row>
    <row r="2377" spans="1:4" ht="14.45" x14ac:dyDescent="0.3">
      <c r="A2377">
        <v>6723</v>
      </c>
      <c r="B2377" t="s">
        <v>8834</v>
      </c>
      <c r="C2377" t="s">
        <v>5043</v>
      </c>
      <c r="D2377" t="s">
        <v>8401</v>
      </c>
    </row>
    <row r="2378" spans="1:4" ht="14.45" x14ac:dyDescent="0.3">
      <c r="A2378">
        <v>8030</v>
      </c>
      <c r="B2378" t="s">
        <v>8834</v>
      </c>
      <c r="C2378" t="s">
        <v>5043</v>
      </c>
      <c r="D2378" t="s">
        <v>8401</v>
      </c>
    </row>
    <row r="2379" spans="1:4" ht="14.45" x14ac:dyDescent="0.3">
      <c r="A2379">
        <v>8810</v>
      </c>
      <c r="B2379" t="s">
        <v>8834</v>
      </c>
      <c r="C2379" t="s">
        <v>5043</v>
      </c>
      <c r="D2379" t="s">
        <v>8401</v>
      </c>
    </row>
    <row r="2380" spans="1:4" ht="14.45" x14ac:dyDescent="0.3">
      <c r="A2380">
        <v>7086</v>
      </c>
      <c r="B2380" t="s">
        <v>10497</v>
      </c>
      <c r="C2380" t="s">
        <v>5043</v>
      </c>
      <c r="D2380" t="s">
        <v>8401</v>
      </c>
    </row>
    <row r="2381" spans="1:4" ht="14.45" x14ac:dyDescent="0.3">
      <c r="A2381">
        <v>10444</v>
      </c>
      <c r="B2381" t="s">
        <v>8835</v>
      </c>
      <c r="C2381" t="s">
        <v>5043</v>
      </c>
      <c r="D2381" t="s">
        <v>8401</v>
      </c>
    </row>
    <row r="2382" spans="1:4" ht="14.45" x14ac:dyDescent="0.3">
      <c r="A2382">
        <v>10447</v>
      </c>
      <c r="B2382" t="s">
        <v>8835</v>
      </c>
      <c r="C2382" t="s">
        <v>5043</v>
      </c>
      <c r="D2382" t="s">
        <v>8401</v>
      </c>
    </row>
    <row r="2383" spans="1:4" ht="14.45" x14ac:dyDescent="0.3">
      <c r="A2383">
        <v>11177</v>
      </c>
      <c r="B2383" t="s">
        <v>8835</v>
      </c>
      <c r="C2383" t="s">
        <v>5043</v>
      </c>
      <c r="D2383" t="s">
        <v>8401</v>
      </c>
    </row>
    <row r="2384" spans="1:4" ht="14.45" x14ac:dyDescent="0.3">
      <c r="A2384">
        <v>6451</v>
      </c>
      <c r="B2384" t="s">
        <v>8835</v>
      </c>
      <c r="C2384" t="s">
        <v>5043</v>
      </c>
      <c r="D2384" t="s">
        <v>8401</v>
      </c>
    </row>
    <row r="2385" spans="1:4" ht="14.45" x14ac:dyDescent="0.3">
      <c r="A2385">
        <v>6464</v>
      </c>
      <c r="B2385" t="s">
        <v>8835</v>
      </c>
      <c r="C2385" t="s">
        <v>5043</v>
      </c>
      <c r="D2385" t="s">
        <v>8401</v>
      </c>
    </row>
    <row r="2386" spans="1:4" ht="14.45" x14ac:dyDescent="0.3">
      <c r="A2386">
        <v>7586</v>
      </c>
      <c r="B2386" t="s">
        <v>8835</v>
      </c>
      <c r="C2386" t="s">
        <v>5043</v>
      </c>
      <c r="D2386" t="s">
        <v>8401</v>
      </c>
    </row>
    <row r="2387" spans="1:4" ht="14.45" x14ac:dyDescent="0.3">
      <c r="A2387">
        <v>8655</v>
      </c>
      <c r="B2387" t="s">
        <v>8835</v>
      </c>
      <c r="C2387" t="s">
        <v>5043</v>
      </c>
      <c r="D2387" t="s">
        <v>8401</v>
      </c>
    </row>
    <row r="2388" spans="1:4" ht="14.45" x14ac:dyDescent="0.3">
      <c r="A2388">
        <v>8860</v>
      </c>
      <c r="B2388" t="s">
        <v>8835</v>
      </c>
      <c r="C2388" t="s">
        <v>5043</v>
      </c>
      <c r="D2388" t="s">
        <v>8401</v>
      </c>
    </row>
    <row r="2389" spans="1:4" ht="14.45" x14ac:dyDescent="0.3">
      <c r="A2389">
        <v>10729</v>
      </c>
      <c r="B2389" t="s">
        <v>8836</v>
      </c>
      <c r="C2389" t="s">
        <v>5043</v>
      </c>
      <c r="D2389" t="s">
        <v>8401</v>
      </c>
    </row>
    <row r="2390" spans="1:4" ht="14.45" x14ac:dyDescent="0.3">
      <c r="A2390">
        <v>11233</v>
      </c>
      <c r="B2390" t="s">
        <v>8836</v>
      </c>
      <c r="C2390" t="s">
        <v>5043</v>
      </c>
      <c r="D2390" t="s">
        <v>8401</v>
      </c>
    </row>
    <row r="2391" spans="1:4" ht="14.45" x14ac:dyDescent="0.3">
      <c r="A2391">
        <v>6637</v>
      </c>
      <c r="B2391" t="s">
        <v>8836</v>
      </c>
      <c r="C2391" t="s">
        <v>5043</v>
      </c>
      <c r="D2391" t="s">
        <v>8401</v>
      </c>
    </row>
    <row r="2392" spans="1:4" ht="14.45" x14ac:dyDescent="0.3">
      <c r="A2392">
        <v>6961</v>
      </c>
      <c r="B2392" t="s">
        <v>8836</v>
      </c>
      <c r="C2392" t="s">
        <v>5043</v>
      </c>
      <c r="D2392" t="s">
        <v>8401</v>
      </c>
    </row>
    <row r="2393" spans="1:4" ht="14.45" x14ac:dyDescent="0.3">
      <c r="A2393">
        <v>7276</v>
      </c>
      <c r="B2393" t="s">
        <v>8836</v>
      </c>
      <c r="C2393" t="s">
        <v>5043</v>
      </c>
      <c r="D2393" t="s">
        <v>8401</v>
      </c>
    </row>
    <row r="2394" spans="1:4" ht="14.45" x14ac:dyDescent="0.3">
      <c r="A2394">
        <v>7302</v>
      </c>
      <c r="B2394" t="s">
        <v>8836</v>
      </c>
      <c r="C2394" t="s">
        <v>5043</v>
      </c>
      <c r="D2394" t="s">
        <v>8401</v>
      </c>
    </row>
    <row r="2395" spans="1:4" ht="14.45" x14ac:dyDescent="0.3">
      <c r="A2395">
        <v>7625</v>
      </c>
      <c r="B2395" t="s">
        <v>8836</v>
      </c>
      <c r="C2395" t="s">
        <v>5043</v>
      </c>
      <c r="D2395" t="s">
        <v>8401</v>
      </c>
    </row>
    <row r="2396" spans="1:4" ht="14.45" x14ac:dyDescent="0.3">
      <c r="A2396">
        <v>8285</v>
      </c>
      <c r="B2396" t="s">
        <v>8836</v>
      </c>
      <c r="C2396" t="s">
        <v>5043</v>
      </c>
      <c r="D2396" t="s">
        <v>8401</v>
      </c>
    </row>
    <row r="2397" spans="1:4" ht="14.45" x14ac:dyDescent="0.3">
      <c r="A2397">
        <v>8726</v>
      </c>
      <c r="B2397" t="s">
        <v>8836</v>
      </c>
      <c r="C2397" t="s">
        <v>5043</v>
      </c>
      <c r="D2397" t="s">
        <v>8401</v>
      </c>
    </row>
    <row r="2398" spans="1:4" ht="14.45" x14ac:dyDescent="0.3">
      <c r="A2398">
        <v>10803</v>
      </c>
      <c r="B2398" t="s">
        <v>10498</v>
      </c>
      <c r="C2398" t="s">
        <v>5043</v>
      </c>
      <c r="D2398" t="s">
        <v>8401</v>
      </c>
    </row>
    <row r="2399" spans="1:4" ht="14.45" x14ac:dyDescent="0.3">
      <c r="A2399">
        <v>6828</v>
      </c>
      <c r="B2399" t="s">
        <v>10498</v>
      </c>
      <c r="C2399" t="s">
        <v>5043</v>
      </c>
      <c r="D2399" t="s">
        <v>8401</v>
      </c>
    </row>
    <row r="2400" spans="1:4" ht="14.45" x14ac:dyDescent="0.3">
      <c r="A2400">
        <v>7024</v>
      </c>
      <c r="B2400" t="s">
        <v>10498</v>
      </c>
      <c r="C2400" t="s">
        <v>5043</v>
      </c>
      <c r="D2400" t="s">
        <v>8401</v>
      </c>
    </row>
    <row r="2401" spans="1:4" ht="14.45" x14ac:dyDescent="0.3">
      <c r="A2401">
        <v>7932</v>
      </c>
      <c r="B2401" t="s">
        <v>10498</v>
      </c>
      <c r="C2401" t="s">
        <v>5043</v>
      </c>
      <c r="D2401" t="s">
        <v>8401</v>
      </c>
    </row>
    <row r="2402" spans="1:4" ht="14.45" x14ac:dyDescent="0.3">
      <c r="A2402">
        <v>8565</v>
      </c>
      <c r="B2402" t="s">
        <v>10498</v>
      </c>
      <c r="C2402" t="s">
        <v>5043</v>
      </c>
      <c r="D2402" t="s">
        <v>8401</v>
      </c>
    </row>
    <row r="2403" spans="1:4" ht="14.45" x14ac:dyDescent="0.3">
      <c r="A2403">
        <v>9434</v>
      </c>
      <c r="B2403" t="s">
        <v>10498</v>
      </c>
      <c r="C2403" t="s">
        <v>5043</v>
      </c>
      <c r="D2403" t="s">
        <v>8401</v>
      </c>
    </row>
    <row r="2404" spans="1:4" ht="14.45" x14ac:dyDescent="0.3">
      <c r="A2404">
        <v>9753</v>
      </c>
      <c r="B2404" t="s">
        <v>10498</v>
      </c>
      <c r="C2404" t="s">
        <v>5043</v>
      </c>
      <c r="D2404" t="s">
        <v>8401</v>
      </c>
    </row>
    <row r="2405" spans="1:4" ht="14.45" x14ac:dyDescent="0.3">
      <c r="A2405">
        <v>6914</v>
      </c>
      <c r="B2405" t="s">
        <v>8837</v>
      </c>
      <c r="C2405" t="s">
        <v>5043</v>
      </c>
      <c r="D2405" t="s">
        <v>8401</v>
      </c>
    </row>
    <row r="2406" spans="1:4" ht="14.45" x14ac:dyDescent="0.3">
      <c r="A2406">
        <v>7016</v>
      </c>
      <c r="B2406" t="s">
        <v>8837</v>
      </c>
      <c r="C2406" t="s">
        <v>5043</v>
      </c>
      <c r="D2406" t="s">
        <v>8401</v>
      </c>
    </row>
    <row r="2407" spans="1:4" ht="14.45" x14ac:dyDescent="0.3">
      <c r="A2407">
        <v>8965</v>
      </c>
      <c r="B2407" t="s">
        <v>10499</v>
      </c>
      <c r="C2407" t="s">
        <v>5043</v>
      </c>
      <c r="D2407" t="s">
        <v>8401</v>
      </c>
    </row>
    <row r="2408" spans="1:4" ht="14.45" x14ac:dyDescent="0.3">
      <c r="A2408">
        <v>9260</v>
      </c>
      <c r="B2408" t="s">
        <v>10499</v>
      </c>
      <c r="C2408" t="s">
        <v>5043</v>
      </c>
      <c r="D2408" t="s">
        <v>8401</v>
      </c>
    </row>
    <row r="2409" spans="1:4" ht="14.45" x14ac:dyDescent="0.3">
      <c r="A2409">
        <v>10015</v>
      </c>
      <c r="B2409" t="s">
        <v>8838</v>
      </c>
      <c r="C2409" t="s">
        <v>5043</v>
      </c>
      <c r="D2409" t="s">
        <v>8401</v>
      </c>
    </row>
    <row r="2410" spans="1:4" ht="14.45" x14ac:dyDescent="0.3">
      <c r="A2410">
        <v>10153</v>
      </c>
      <c r="B2410" t="s">
        <v>8839</v>
      </c>
      <c r="C2410" t="s">
        <v>5043</v>
      </c>
      <c r="D2410" t="s">
        <v>8401</v>
      </c>
    </row>
    <row r="2411" spans="1:4" ht="14.45" x14ac:dyDescent="0.3">
      <c r="A2411">
        <v>10470</v>
      </c>
      <c r="B2411" t="s">
        <v>8839</v>
      </c>
      <c r="C2411" t="s">
        <v>5043</v>
      </c>
      <c r="D2411" t="s">
        <v>8401</v>
      </c>
    </row>
    <row r="2412" spans="1:4" ht="14.45" x14ac:dyDescent="0.3">
      <c r="A2412">
        <v>11799</v>
      </c>
      <c r="B2412" t="s">
        <v>8839</v>
      </c>
      <c r="C2412" t="s">
        <v>5043</v>
      </c>
      <c r="D2412" t="s">
        <v>8401</v>
      </c>
    </row>
    <row r="2413" spans="1:4" ht="14.45" x14ac:dyDescent="0.3">
      <c r="A2413">
        <v>6398</v>
      </c>
      <c r="B2413" t="s">
        <v>8839</v>
      </c>
      <c r="C2413" t="s">
        <v>5043</v>
      </c>
      <c r="D2413" t="s">
        <v>8401</v>
      </c>
    </row>
    <row r="2414" spans="1:4" ht="14.45" x14ac:dyDescent="0.3">
      <c r="A2414">
        <v>6986</v>
      </c>
      <c r="B2414" t="s">
        <v>8839</v>
      </c>
      <c r="C2414" t="s">
        <v>5043</v>
      </c>
      <c r="D2414" t="s">
        <v>8401</v>
      </c>
    </row>
    <row r="2415" spans="1:4" ht="14.45" x14ac:dyDescent="0.3">
      <c r="A2415">
        <v>9457</v>
      </c>
      <c r="B2415" t="s">
        <v>8839</v>
      </c>
      <c r="C2415" t="s">
        <v>5043</v>
      </c>
      <c r="D2415" t="s">
        <v>8401</v>
      </c>
    </row>
    <row r="2416" spans="1:4" ht="14.45" x14ac:dyDescent="0.3">
      <c r="A2416">
        <v>9571</v>
      </c>
      <c r="B2416" t="s">
        <v>8839</v>
      </c>
      <c r="C2416" t="s">
        <v>5043</v>
      </c>
      <c r="D2416" t="s">
        <v>8401</v>
      </c>
    </row>
    <row r="2417" spans="1:4" ht="14.45" x14ac:dyDescent="0.3">
      <c r="A2417">
        <v>10957</v>
      </c>
      <c r="B2417" t="s">
        <v>10500</v>
      </c>
      <c r="C2417" t="s">
        <v>5043</v>
      </c>
      <c r="D2417" t="s">
        <v>8401</v>
      </c>
    </row>
    <row r="2418" spans="1:4" ht="14.45" x14ac:dyDescent="0.3">
      <c r="A2418">
        <v>11632</v>
      </c>
      <c r="B2418" t="s">
        <v>10500</v>
      </c>
      <c r="C2418" t="s">
        <v>5043</v>
      </c>
      <c r="D2418" t="s">
        <v>8401</v>
      </c>
    </row>
    <row r="2419" spans="1:4" ht="14.45" x14ac:dyDescent="0.3">
      <c r="A2419">
        <v>7711</v>
      </c>
      <c r="B2419" t="s">
        <v>10500</v>
      </c>
      <c r="C2419" t="s">
        <v>5043</v>
      </c>
      <c r="D2419" t="s">
        <v>8401</v>
      </c>
    </row>
    <row r="2420" spans="1:4" ht="14.45" x14ac:dyDescent="0.3">
      <c r="A2420">
        <v>7793</v>
      </c>
      <c r="B2420" t="s">
        <v>10501</v>
      </c>
      <c r="C2420" t="s">
        <v>5043</v>
      </c>
      <c r="D2420" t="s">
        <v>8401</v>
      </c>
    </row>
    <row r="2421" spans="1:4" ht="14.45" x14ac:dyDescent="0.3">
      <c r="A2421">
        <v>12410</v>
      </c>
      <c r="B2421" t="s">
        <v>10502</v>
      </c>
      <c r="C2421" t="s">
        <v>5043</v>
      </c>
      <c r="D2421" t="s">
        <v>8401</v>
      </c>
    </row>
    <row r="2422" spans="1:4" ht="14.45" x14ac:dyDescent="0.3">
      <c r="A2422">
        <v>12411</v>
      </c>
      <c r="B2422" t="s">
        <v>10502</v>
      </c>
      <c r="C2422" t="s">
        <v>5043</v>
      </c>
      <c r="D2422" t="s">
        <v>8401</v>
      </c>
    </row>
    <row r="2423" spans="1:4" ht="14.45" x14ac:dyDescent="0.3">
      <c r="A2423">
        <v>6849</v>
      </c>
      <c r="B2423" t="s">
        <v>10502</v>
      </c>
      <c r="C2423" t="s">
        <v>5043</v>
      </c>
      <c r="D2423" t="s">
        <v>8401</v>
      </c>
    </row>
    <row r="2424" spans="1:4" ht="14.45" x14ac:dyDescent="0.3">
      <c r="A2424">
        <v>9344</v>
      </c>
      <c r="B2424" t="s">
        <v>10502</v>
      </c>
      <c r="C2424" t="s">
        <v>5043</v>
      </c>
      <c r="D2424" t="s">
        <v>8401</v>
      </c>
    </row>
    <row r="2425" spans="1:4" ht="14.45" x14ac:dyDescent="0.3">
      <c r="A2425">
        <v>10124</v>
      </c>
      <c r="B2425" t="s">
        <v>10503</v>
      </c>
      <c r="C2425" t="s">
        <v>5043</v>
      </c>
      <c r="D2425" t="s">
        <v>8401</v>
      </c>
    </row>
    <row r="2426" spans="1:4" ht="14.45" x14ac:dyDescent="0.3">
      <c r="A2426">
        <v>11531</v>
      </c>
      <c r="B2426" t="s">
        <v>10503</v>
      </c>
      <c r="C2426" t="s">
        <v>5043</v>
      </c>
      <c r="D2426" t="s">
        <v>8401</v>
      </c>
    </row>
    <row r="2427" spans="1:4" ht="14.45" x14ac:dyDescent="0.3">
      <c r="A2427">
        <v>6705</v>
      </c>
      <c r="B2427" t="s">
        <v>10503</v>
      </c>
      <c r="C2427" t="s">
        <v>5043</v>
      </c>
      <c r="D2427" t="s">
        <v>8401</v>
      </c>
    </row>
    <row r="2428" spans="1:4" ht="14.45" x14ac:dyDescent="0.3">
      <c r="A2428">
        <v>10462</v>
      </c>
      <c r="B2428" t="s">
        <v>8840</v>
      </c>
      <c r="C2428" t="s">
        <v>5043</v>
      </c>
      <c r="D2428" t="s">
        <v>8401</v>
      </c>
    </row>
    <row r="2429" spans="1:4" ht="14.45" x14ac:dyDescent="0.3">
      <c r="A2429">
        <v>8060</v>
      </c>
      <c r="B2429" t="s">
        <v>8840</v>
      </c>
      <c r="C2429" t="s">
        <v>5043</v>
      </c>
      <c r="D2429" t="s">
        <v>8401</v>
      </c>
    </row>
    <row r="2430" spans="1:4" ht="14.45" x14ac:dyDescent="0.3">
      <c r="A2430">
        <v>10823</v>
      </c>
      <c r="B2430" t="s">
        <v>8841</v>
      </c>
      <c r="C2430" t="s">
        <v>5043</v>
      </c>
      <c r="D2430" t="s">
        <v>8401</v>
      </c>
    </row>
    <row r="2431" spans="1:4" ht="14.45" x14ac:dyDescent="0.3">
      <c r="A2431">
        <v>11338</v>
      </c>
      <c r="B2431" t="s">
        <v>8841</v>
      </c>
      <c r="C2431" t="s">
        <v>5043</v>
      </c>
      <c r="D2431" t="s">
        <v>8401</v>
      </c>
    </row>
    <row r="2432" spans="1:4" ht="14.45" x14ac:dyDescent="0.3">
      <c r="A2432">
        <v>8553</v>
      </c>
      <c r="B2432" t="s">
        <v>10504</v>
      </c>
      <c r="C2432" t="s">
        <v>5043</v>
      </c>
      <c r="D2432" t="s">
        <v>8401</v>
      </c>
    </row>
    <row r="2433" spans="1:4" ht="14.45" x14ac:dyDescent="0.3">
      <c r="A2433">
        <v>9542</v>
      </c>
      <c r="B2433" t="s">
        <v>10504</v>
      </c>
      <c r="C2433" t="s">
        <v>5043</v>
      </c>
      <c r="D2433" t="s">
        <v>8401</v>
      </c>
    </row>
    <row r="2434" spans="1:4" ht="14.45" x14ac:dyDescent="0.3">
      <c r="A2434">
        <v>10824</v>
      </c>
      <c r="B2434" t="s">
        <v>10505</v>
      </c>
      <c r="C2434" t="s">
        <v>5043</v>
      </c>
      <c r="D2434" t="s">
        <v>8401</v>
      </c>
    </row>
    <row r="2435" spans="1:4" ht="14.45" x14ac:dyDescent="0.3">
      <c r="A2435">
        <v>6759</v>
      </c>
      <c r="B2435" t="s">
        <v>10505</v>
      </c>
      <c r="C2435" t="s">
        <v>5043</v>
      </c>
      <c r="D2435" t="s">
        <v>8401</v>
      </c>
    </row>
    <row r="2436" spans="1:4" ht="14.45" x14ac:dyDescent="0.3">
      <c r="A2436">
        <v>8052</v>
      </c>
      <c r="B2436" t="s">
        <v>10505</v>
      </c>
      <c r="C2436" t="s">
        <v>5043</v>
      </c>
      <c r="D2436" t="s">
        <v>8401</v>
      </c>
    </row>
    <row r="2437" spans="1:4" ht="14.45" x14ac:dyDescent="0.3">
      <c r="A2437">
        <v>8918</v>
      </c>
      <c r="B2437" t="s">
        <v>10505</v>
      </c>
      <c r="C2437" t="s">
        <v>5043</v>
      </c>
      <c r="D2437" t="s">
        <v>8401</v>
      </c>
    </row>
    <row r="2438" spans="1:4" ht="14.45" x14ac:dyDescent="0.3">
      <c r="A2438">
        <v>9011</v>
      </c>
      <c r="B2438" t="s">
        <v>10505</v>
      </c>
      <c r="C2438" t="s">
        <v>5043</v>
      </c>
      <c r="D2438" t="s">
        <v>8401</v>
      </c>
    </row>
    <row r="2439" spans="1:4" ht="14.45" x14ac:dyDescent="0.3">
      <c r="A2439">
        <v>9464</v>
      </c>
      <c r="B2439" t="s">
        <v>10505</v>
      </c>
      <c r="C2439" t="s">
        <v>5043</v>
      </c>
      <c r="D2439" t="s">
        <v>8401</v>
      </c>
    </row>
    <row r="2440" spans="1:4" ht="14.45" x14ac:dyDescent="0.3">
      <c r="A2440">
        <v>9540</v>
      </c>
      <c r="B2440" t="s">
        <v>10505</v>
      </c>
      <c r="C2440" t="s">
        <v>5043</v>
      </c>
      <c r="D2440" t="s">
        <v>8401</v>
      </c>
    </row>
    <row r="2441" spans="1:4" ht="14.45" x14ac:dyDescent="0.3">
      <c r="A2441">
        <v>9726</v>
      </c>
      <c r="B2441" t="s">
        <v>10505</v>
      </c>
      <c r="C2441" t="s">
        <v>5043</v>
      </c>
      <c r="D2441" t="s">
        <v>8401</v>
      </c>
    </row>
    <row r="2442" spans="1:4" ht="14.45" x14ac:dyDescent="0.3">
      <c r="A2442">
        <v>9911</v>
      </c>
      <c r="B2442" t="s">
        <v>10505</v>
      </c>
      <c r="C2442" t="s">
        <v>5043</v>
      </c>
      <c r="D2442" t="s">
        <v>8401</v>
      </c>
    </row>
    <row r="2443" spans="1:4" ht="14.45" x14ac:dyDescent="0.3">
      <c r="A2443">
        <v>10004</v>
      </c>
      <c r="B2443" t="s">
        <v>10506</v>
      </c>
      <c r="C2443" t="s">
        <v>5043</v>
      </c>
      <c r="D2443" t="s">
        <v>8401</v>
      </c>
    </row>
    <row r="2444" spans="1:4" ht="14.45" x14ac:dyDescent="0.3">
      <c r="A2444">
        <v>10014</v>
      </c>
      <c r="B2444" t="s">
        <v>10506</v>
      </c>
      <c r="C2444" t="s">
        <v>5043</v>
      </c>
      <c r="D2444" t="s">
        <v>8401</v>
      </c>
    </row>
    <row r="2445" spans="1:4" ht="14.45" x14ac:dyDescent="0.3">
      <c r="A2445">
        <v>10707</v>
      </c>
      <c r="B2445" t="s">
        <v>10506</v>
      </c>
      <c r="C2445" t="s">
        <v>5043</v>
      </c>
      <c r="D2445" t="s">
        <v>8401</v>
      </c>
    </row>
    <row r="2446" spans="1:4" ht="14.45" x14ac:dyDescent="0.3">
      <c r="A2446">
        <v>11711</v>
      </c>
      <c r="B2446" t="s">
        <v>10506</v>
      </c>
      <c r="C2446" t="s">
        <v>5043</v>
      </c>
      <c r="D2446" t="s">
        <v>8401</v>
      </c>
    </row>
    <row r="2447" spans="1:4" ht="14.45" x14ac:dyDescent="0.3">
      <c r="A2447">
        <v>6546</v>
      </c>
      <c r="B2447" t="s">
        <v>10506</v>
      </c>
      <c r="C2447" t="s">
        <v>5043</v>
      </c>
      <c r="D2447" t="s">
        <v>8401</v>
      </c>
    </row>
    <row r="2448" spans="1:4" ht="14.45" x14ac:dyDescent="0.3">
      <c r="A2448">
        <v>6913</v>
      </c>
      <c r="B2448" t="s">
        <v>10506</v>
      </c>
      <c r="C2448" t="s">
        <v>5043</v>
      </c>
      <c r="D2448" t="s">
        <v>8401</v>
      </c>
    </row>
    <row r="2449" spans="1:4" ht="14.45" x14ac:dyDescent="0.3">
      <c r="A2449">
        <v>7410</v>
      </c>
      <c r="B2449" t="s">
        <v>10506</v>
      </c>
      <c r="C2449" t="s">
        <v>5043</v>
      </c>
      <c r="D2449" t="s">
        <v>8401</v>
      </c>
    </row>
    <row r="2450" spans="1:4" ht="14.45" x14ac:dyDescent="0.3">
      <c r="A2450">
        <v>8496</v>
      </c>
      <c r="B2450" t="s">
        <v>10506</v>
      </c>
      <c r="C2450" t="s">
        <v>5043</v>
      </c>
      <c r="D2450" t="s">
        <v>8401</v>
      </c>
    </row>
    <row r="2451" spans="1:4" ht="14.45" x14ac:dyDescent="0.3">
      <c r="A2451">
        <v>9298</v>
      </c>
      <c r="B2451" t="s">
        <v>10506</v>
      </c>
      <c r="C2451" t="s">
        <v>5043</v>
      </c>
      <c r="D2451" t="s">
        <v>8401</v>
      </c>
    </row>
    <row r="2452" spans="1:4" ht="14.45" x14ac:dyDescent="0.3">
      <c r="A2452">
        <v>10672</v>
      </c>
      <c r="B2452" t="s">
        <v>10507</v>
      </c>
      <c r="C2452" t="s">
        <v>5043</v>
      </c>
      <c r="D2452" t="s">
        <v>8401</v>
      </c>
    </row>
    <row r="2453" spans="1:4" ht="14.45" x14ac:dyDescent="0.3">
      <c r="A2453">
        <v>6632</v>
      </c>
      <c r="B2453" t="s">
        <v>10507</v>
      </c>
      <c r="C2453" t="s">
        <v>5043</v>
      </c>
      <c r="D2453" t="s">
        <v>8401</v>
      </c>
    </row>
    <row r="2454" spans="1:4" ht="14.45" x14ac:dyDescent="0.3">
      <c r="A2454">
        <v>7450</v>
      </c>
      <c r="B2454" t="s">
        <v>10507</v>
      </c>
      <c r="C2454" t="s">
        <v>5043</v>
      </c>
      <c r="D2454" t="s">
        <v>8401</v>
      </c>
    </row>
    <row r="2455" spans="1:4" ht="14.45" x14ac:dyDescent="0.3">
      <c r="A2455">
        <v>8544</v>
      </c>
      <c r="B2455" t="s">
        <v>10507</v>
      </c>
      <c r="C2455" t="s">
        <v>5043</v>
      </c>
      <c r="D2455" t="s">
        <v>8401</v>
      </c>
    </row>
    <row r="2456" spans="1:4" ht="14.45" x14ac:dyDescent="0.3">
      <c r="A2456">
        <v>9320</v>
      </c>
      <c r="B2456" t="s">
        <v>10507</v>
      </c>
      <c r="C2456" t="s">
        <v>5043</v>
      </c>
      <c r="D2456" t="s">
        <v>8401</v>
      </c>
    </row>
    <row r="2457" spans="1:4" ht="14.45" x14ac:dyDescent="0.3">
      <c r="A2457">
        <v>7504</v>
      </c>
      <c r="B2457" t="s">
        <v>10508</v>
      </c>
      <c r="C2457" t="s">
        <v>5043</v>
      </c>
      <c r="D2457" t="s">
        <v>8401</v>
      </c>
    </row>
    <row r="2458" spans="1:4" ht="14.45" x14ac:dyDescent="0.3">
      <c r="A2458">
        <v>9074</v>
      </c>
      <c r="B2458" t="s">
        <v>10508</v>
      </c>
      <c r="C2458" t="s">
        <v>5043</v>
      </c>
      <c r="D2458" t="s">
        <v>8401</v>
      </c>
    </row>
    <row r="2459" spans="1:4" ht="14.45" x14ac:dyDescent="0.3">
      <c r="A2459">
        <v>9236</v>
      </c>
      <c r="B2459" t="s">
        <v>10508</v>
      </c>
      <c r="C2459" t="s">
        <v>5043</v>
      </c>
      <c r="D2459" t="s">
        <v>8401</v>
      </c>
    </row>
    <row r="2460" spans="1:4" ht="14.45" x14ac:dyDescent="0.3">
      <c r="A2460">
        <v>9346</v>
      </c>
      <c r="B2460" t="s">
        <v>10508</v>
      </c>
      <c r="C2460" t="s">
        <v>5043</v>
      </c>
      <c r="D2460" t="s">
        <v>8401</v>
      </c>
    </row>
    <row r="2461" spans="1:4" ht="14.45" x14ac:dyDescent="0.3">
      <c r="A2461">
        <v>10831</v>
      </c>
      <c r="B2461" t="s">
        <v>10509</v>
      </c>
      <c r="C2461" t="s">
        <v>5043</v>
      </c>
      <c r="D2461" t="s">
        <v>8401</v>
      </c>
    </row>
    <row r="2462" spans="1:4" ht="14.45" x14ac:dyDescent="0.3">
      <c r="A2462">
        <v>6400</v>
      </c>
      <c r="B2462" t="s">
        <v>10509</v>
      </c>
      <c r="C2462" t="s">
        <v>5043</v>
      </c>
      <c r="D2462" t="s">
        <v>8401</v>
      </c>
    </row>
    <row r="2463" spans="1:4" ht="14.45" x14ac:dyDescent="0.3">
      <c r="A2463">
        <v>7559</v>
      </c>
      <c r="B2463" t="s">
        <v>10509</v>
      </c>
      <c r="C2463" t="s">
        <v>5043</v>
      </c>
      <c r="D2463" t="s">
        <v>8401</v>
      </c>
    </row>
    <row r="2464" spans="1:4" ht="14.45" x14ac:dyDescent="0.3">
      <c r="A2464">
        <v>9142</v>
      </c>
      <c r="B2464" t="s">
        <v>10509</v>
      </c>
      <c r="C2464" t="s">
        <v>5043</v>
      </c>
      <c r="D2464" t="s">
        <v>8401</v>
      </c>
    </row>
    <row r="2465" spans="1:4" ht="14.45" x14ac:dyDescent="0.3">
      <c r="A2465">
        <v>10170</v>
      </c>
      <c r="B2465" t="s">
        <v>10510</v>
      </c>
      <c r="C2465" t="s">
        <v>5043</v>
      </c>
      <c r="D2465" t="s">
        <v>8401</v>
      </c>
    </row>
    <row r="2466" spans="1:4" ht="14.45" x14ac:dyDescent="0.3">
      <c r="A2466">
        <v>11374</v>
      </c>
      <c r="B2466" t="s">
        <v>10510</v>
      </c>
      <c r="C2466" t="s">
        <v>5043</v>
      </c>
      <c r="D2466" t="s">
        <v>8401</v>
      </c>
    </row>
    <row r="2467" spans="1:4" ht="14.45" x14ac:dyDescent="0.3">
      <c r="A2467">
        <v>11676</v>
      </c>
      <c r="B2467" t="s">
        <v>10510</v>
      </c>
      <c r="C2467" t="s">
        <v>5043</v>
      </c>
      <c r="D2467" t="s">
        <v>8401</v>
      </c>
    </row>
    <row r="2468" spans="1:4" ht="14.45" x14ac:dyDescent="0.3">
      <c r="A2468">
        <v>7776</v>
      </c>
      <c r="B2468" t="s">
        <v>10510</v>
      </c>
      <c r="C2468" t="s">
        <v>5043</v>
      </c>
      <c r="D2468" t="s">
        <v>8401</v>
      </c>
    </row>
    <row r="2469" spans="1:4" ht="14.45" x14ac:dyDescent="0.3">
      <c r="A2469">
        <v>7928</v>
      </c>
      <c r="B2469" t="s">
        <v>10510</v>
      </c>
      <c r="C2469" t="s">
        <v>5043</v>
      </c>
      <c r="D2469" t="s">
        <v>8401</v>
      </c>
    </row>
    <row r="2470" spans="1:4" ht="14.45" x14ac:dyDescent="0.3">
      <c r="A2470">
        <v>10067</v>
      </c>
      <c r="B2470" t="s">
        <v>10511</v>
      </c>
      <c r="C2470" t="s">
        <v>5043</v>
      </c>
      <c r="D2470" t="s">
        <v>8401</v>
      </c>
    </row>
    <row r="2471" spans="1:4" ht="14.45" x14ac:dyDescent="0.3">
      <c r="A2471">
        <v>11578</v>
      </c>
      <c r="B2471" t="s">
        <v>10511</v>
      </c>
      <c r="C2471" t="s">
        <v>5043</v>
      </c>
      <c r="D2471" t="s">
        <v>8401</v>
      </c>
    </row>
    <row r="2472" spans="1:4" ht="14.45" x14ac:dyDescent="0.3">
      <c r="A2472">
        <v>7850</v>
      </c>
      <c r="B2472" t="s">
        <v>10511</v>
      </c>
      <c r="C2472" t="s">
        <v>5043</v>
      </c>
      <c r="D2472" t="s">
        <v>8401</v>
      </c>
    </row>
    <row r="2473" spans="1:4" ht="14.45" x14ac:dyDescent="0.3">
      <c r="A2473">
        <v>8441</v>
      </c>
      <c r="B2473" t="s">
        <v>10511</v>
      </c>
      <c r="C2473" t="s">
        <v>5043</v>
      </c>
      <c r="D2473" t="s">
        <v>8401</v>
      </c>
    </row>
    <row r="2474" spans="1:4" ht="14.45" x14ac:dyDescent="0.3">
      <c r="A2474">
        <v>9661</v>
      </c>
      <c r="B2474" t="s">
        <v>10511</v>
      </c>
      <c r="C2474" t="s">
        <v>5043</v>
      </c>
      <c r="D2474" t="s">
        <v>8401</v>
      </c>
    </row>
    <row r="2475" spans="1:4" ht="14.45" x14ac:dyDescent="0.3">
      <c r="A2475">
        <v>6715</v>
      </c>
      <c r="B2475" t="s">
        <v>10512</v>
      </c>
      <c r="C2475" t="s">
        <v>5043</v>
      </c>
      <c r="D2475" t="s">
        <v>8401</v>
      </c>
    </row>
    <row r="2476" spans="1:4" ht="14.45" x14ac:dyDescent="0.3">
      <c r="A2476">
        <v>7194</v>
      </c>
      <c r="B2476" t="s">
        <v>10512</v>
      </c>
      <c r="C2476" t="s">
        <v>5043</v>
      </c>
      <c r="D2476" t="s">
        <v>8401</v>
      </c>
    </row>
    <row r="2477" spans="1:4" ht="14.45" x14ac:dyDescent="0.3">
      <c r="A2477">
        <v>7335</v>
      </c>
      <c r="B2477" t="s">
        <v>10512</v>
      </c>
      <c r="C2477" t="s">
        <v>5043</v>
      </c>
      <c r="D2477" t="s">
        <v>8401</v>
      </c>
    </row>
    <row r="2478" spans="1:4" ht="14.45" x14ac:dyDescent="0.3">
      <c r="A2478">
        <v>8438</v>
      </c>
      <c r="B2478" t="s">
        <v>10512</v>
      </c>
      <c r="C2478" t="s">
        <v>5043</v>
      </c>
      <c r="D2478" t="s">
        <v>8401</v>
      </c>
    </row>
    <row r="2479" spans="1:4" ht="14.45" x14ac:dyDescent="0.3">
      <c r="A2479">
        <v>9980</v>
      </c>
      <c r="B2479" t="s">
        <v>10512</v>
      </c>
      <c r="C2479" t="s">
        <v>5043</v>
      </c>
      <c r="D2479" t="s">
        <v>8401</v>
      </c>
    </row>
    <row r="2480" spans="1:4" ht="14.45" x14ac:dyDescent="0.3">
      <c r="A2480">
        <v>10653</v>
      </c>
      <c r="B2480" t="s">
        <v>10513</v>
      </c>
      <c r="C2480" t="s">
        <v>5043</v>
      </c>
      <c r="D2480" t="s">
        <v>8401</v>
      </c>
    </row>
    <row r="2481" spans="1:4" ht="14.45" x14ac:dyDescent="0.3">
      <c r="A2481">
        <v>10720</v>
      </c>
      <c r="B2481" t="s">
        <v>10513</v>
      </c>
      <c r="C2481" t="s">
        <v>5043</v>
      </c>
      <c r="D2481" t="s">
        <v>8401</v>
      </c>
    </row>
    <row r="2482" spans="1:4" ht="14.45" x14ac:dyDescent="0.3">
      <c r="A2482">
        <v>11131</v>
      </c>
      <c r="B2482" t="s">
        <v>10513</v>
      </c>
      <c r="C2482" t="s">
        <v>5043</v>
      </c>
      <c r="D2482" t="s">
        <v>8401</v>
      </c>
    </row>
    <row r="2483" spans="1:4" ht="14.45" x14ac:dyDescent="0.3">
      <c r="A2483">
        <v>7633</v>
      </c>
      <c r="B2483" t="s">
        <v>10513</v>
      </c>
      <c r="C2483" t="s">
        <v>5043</v>
      </c>
      <c r="D2483" t="s">
        <v>8401</v>
      </c>
    </row>
    <row r="2484" spans="1:4" ht="14.45" x14ac:dyDescent="0.3">
      <c r="A2484">
        <v>9139</v>
      </c>
      <c r="B2484" t="s">
        <v>10513</v>
      </c>
      <c r="C2484" t="s">
        <v>5043</v>
      </c>
      <c r="D2484" t="s">
        <v>8401</v>
      </c>
    </row>
    <row r="2485" spans="1:4" ht="14.45" x14ac:dyDescent="0.3">
      <c r="A2485">
        <v>8820</v>
      </c>
      <c r="B2485" t="s">
        <v>10514</v>
      </c>
      <c r="C2485" t="s">
        <v>5043</v>
      </c>
      <c r="D2485" t="s">
        <v>8401</v>
      </c>
    </row>
    <row r="2486" spans="1:4" ht="14.45" x14ac:dyDescent="0.3">
      <c r="A2486">
        <v>9868</v>
      </c>
      <c r="B2486" t="s">
        <v>10514</v>
      </c>
      <c r="C2486" t="s">
        <v>5043</v>
      </c>
      <c r="D2486" t="s">
        <v>8401</v>
      </c>
    </row>
    <row r="2487" spans="1:4" ht="14.45" x14ac:dyDescent="0.3">
      <c r="A2487">
        <v>6664</v>
      </c>
      <c r="B2487" t="s">
        <v>10515</v>
      </c>
      <c r="C2487" t="s">
        <v>5043</v>
      </c>
      <c r="D2487" t="s">
        <v>8401</v>
      </c>
    </row>
    <row r="2488" spans="1:4" ht="14.45" x14ac:dyDescent="0.3">
      <c r="A2488">
        <v>7958</v>
      </c>
      <c r="B2488" t="s">
        <v>10515</v>
      </c>
      <c r="C2488" t="s">
        <v>5043</v>
      </c>
      <c r="D2488" t="s">
        <v>8401</v>
      </c>
    </row>
    <row r="2489" spans="1:4" ht="14.45" x14ac:dyDescent="0.3">
      <c r="A2489">
        <v>10247</v>
      </c>
      <c r="B2489" t="s">
        <v>10516</v>
      </c>
      <c r="C2489" t="s">
        <v>5043</v>
      </c>
      <c r="D2489" t="s">
        <v>8401</v>
      </c>
    </row>
    <row r="2490" spans="1:4" ht="14.45" x14ac:dyDescent="0.3">
      <c r="A2490">
        <v>8940</v>
      </c>
      <c r="B2490" t="s">
        <v>10516</v>
      </c>
      <c r="C2490" t="s">
        <v>5043</v>
      </c>
      <c r="D2490" t="s">
        <v>8401</v>
      </c>
    </row>
    <row r="2491" spans="1:4" ht="14.45" x14ac:dyDescent="0.3">
      <c r="A2491">
        <v>8905</v>
      </c>
      <c r="B2491" t="s">
        <v>10517</v>
      </c>
      <c r="C2491" t="s">
        <v>5043</v>
      </c>
      <c r="D2491" t="s">
        <v>8401</v>
      </c>
    </row>
    <row r="2492" spans="1:4" ht="14.45" x14ac:dyDescent="0.3">
      <c r="A2492">
        <v>6799</v>
      </c>
      <c r="B2492" t="s">
        <v>8842</v>
      </c>
      <c r="C2492" t="s">
        <v>5043</v>
      </c>
      <c r="D2492" t="s">
        <v>8401</v>
      </c>
    </row>
    <row r="2493" spans="1:4" ht="14.45" x14ac:dyDescent="0.3">
      <c r="A2493">
        <v>7009</v>
      </c>
      <c r="B2493" t="s">
        <v>8842</v>
      </c>
      <c r="C2493" t="s">
        <v>5043</v>
      </c>
      <c r="D2493" t="s">
        <v>8401</v>
      </c>
    </row>
    <row r="2494" spans="1:4" ht="14.45" x14ac:dyDescent="0.3">
      <c r="A2494">
        <v>9181</v>
      </c>
      <c r="B2494" t="s">
        <v>8842</v>
      </c>
      <c r="C2494" t="s">
        <v>5043</v>
      </c>
      <c r="D2494" t="s">
        <v>8401</v>
      </c>
    </row>
    <row r="2495" spans="1:4" ht="14.45" x14ac:dyDescent="0.3">
      <c r="A2495">
        <v>8279</v>
      </c>
      <c r="B2495" t="s">
        <v>10518</v>
      </c>
      <c r="C2495" t="s">
        <v>5043</v>
      </c>
      <c r="D2495" t="s">
        <v>8401</v>
      </c>
    </row>
    <row r="2496" spans="1:4" ht="14.45" x14ac:dyDescent="0.3">
      <c r="A2496">
        <v>10379</v>
      </c>
      <c r="B2496" t="s">
        <v>8843</v>
      </c>
      <c r="C2496" t="s">
        <v>5043</v>
      </c>
      <c r="D2496" t="s">
        <v>8401</v>
      </c>
    </row>
    <row r="2497" spans="1:4" ht="14.45" x14ac:dyDescent="0.3">
      <c r="A2497">
        <v>7402</v>
      </c>
      <c r="B2497" t="s">
        <v>8843</v>
      </c>
      <c r="C2497" t="s">
        <v>5043</v>
      </c>
      <c r="D2497" t="s">
        <v>8401</v>
      </c>
    </row>
    <row r="2498" spans="1:4" ht="14.45" x14ac:dyDescent="0.3">
      <c r="A2498">
        <v>7742</v>
      </c>
      <c r="B2498" t="s">
        <v>8843</v>
      </c>
      <c r="C2498" t="s">
        <v>5043</v>
      </c>
      <c r="D2498" t="s">
        <v>8401</v>
      </c>
    </row>
    <row r="2499" spans="1:4" ht="14.45" x14ac:dyDescent="0.3">
      <c r="A2499">
        <v>9161</v>
      </c>
      <c r="B2499" t="s">
        <v>8843</v>
      </c>
      <c r="C2499" t="s">
        <v>5043</v>
      </c>
      <c r="D2499" t="s">
        <v>8401</v>
      </c>
    </row>
    <row r="2500" spans="1:4" ht="14.45" x14ac:dyDescent="0.3">
      <c r="A2500">
        <v>7715</v>
      </c>
      <c r="B2500" t="s">
        <v>10519</v>
      </c>
      <c r="C2500" t="s">
        <v>5043</v>
      </c>
      <c r="D2500" t="s">
        <v>8401</v>
      </c>
    </row>
    <row r="2501" spans="1:4" ht="14.45" x14ac:dyDescent="0.3">
      <c r="A2501">
        <v>10047</v>
      </c>
      <c r="B2501" t="s">
        <v>10520</v>
      </c>
      <c r="C2501" t="s">
        <v>5043</v>
      </c>
      <c r="D2501" t="s">
        <v>8401</v>
      </c>
    </row>
    <row r="2502" spans="1:4" ht="14.45" x14ac:dyDescent="0.3">
      <c r="A2502">
        <v>10526</v>
      </c>
      <c r="B2502" t="s">
        <v>10520</v>
      </c>
      <c r="C2502" t="s">
        <v>5043</v>
      </c>
      <c r="D2502" t="s">
        <v>8401</v>
      </c>
    </row>
    <row r="2503" spans="1:4" ht="14.45" x14ac:dyDescent="0.3">
      <c r="A2503">
        <v>6728</v>
      </c>
      <c r="B2503" t="s">
        <v>10520</v>
      </c>
      <c r="C2503" t="s">
        <v>5043</v>
      </c>
      <c r="D2503" t="s">
        <v>8401</v>
      </c>
    </row>
    <row r="2504" spans="1:4" ht="14.45" x14ac:dyDescent="0.3">
      <c r="A2504">
        <v>7108</v>
      </c>
      <c r="B2504" t="s">
        <v>10520</v>
      </c>
      <c r="C2504" t="s">
        <v>5043</v>
      </c>
      <c r="D2504" t="s">
        <v>8401</v>
      </c>
    </row>
    <row r="2505" spans="1:4" ht="14.45" x14ac:dyDescent="0.3">
      <c r="A2505">
        <v>7960</v>
      </c>
      <c r="B2505" t="s">
        <v>10520</v>
      </c>
      <c r="C2505" t="s">
        <v>5043</v>
      </c>
      <c r="D2505" t="s">
        <v>8401</v>
      </c>
    </row>
    <row r="2506" spans="1:4" ht="14.45" x14ac:dyDescent="0.3">
      <c r="A2506">
        <v>8560</v>
      </c>
      <c r="B2506" t="s">
        <v>10520</v>
      </c>
      <c r="C2506" t="s">
        <v>5043</v>
      </c>
      <c r="D2506" t="s">
        <v>8401</v>
      </c>
    </row>
    <row r="2507" spans="1:4" ht="14.45" x14ac:dyDescent="0.3">
      <c r="A2507">
        <v>8632</v>
      </c>
      <c r="B2507" t="s">
        <v>10520</v>
      </c>
      <c r="C2507" t="s">
        <v>5043</v>
      </c>
      <c r="D2507" t="s">
        <v>8401</v>
      </c>
    </row>
    <row r="2508" spans="1:4" ht="14.45" x14ac:dyDescent="0.3">
      <c r="A2508">
        <v>8909</v>
      </c>
      <c r="B2508" t="s">
        <v>10520</v>
      </c>
      <c r="C2508" t="s">
        <v>5043</v>
      </c>
      <c r="D2508" t="s">
        <v>8401</v>
      </c>
    </row>
    <row r="2509" spans="1:4" ht="14.45" x14ac:dyDescent="0.3">
      <c r="A2509">
        <v>9017</v>
      </c>
      <c r="B2509" t="s">
        <v>10520</v>
      </c>
      <c r="C2509" t="s">
        <v>5043</v>
      </c>
      <c r="D2509" t="s">
        <v>8401</v>
      </c>
    </row>
    <row r="2510" spans="1:4" ht="14.45" x14ac:dyDescent="0.3">
      <c r="A2510">
        <v>11651</v>
      </c>
      <c r="B2510" t="s">
        <v>10521</v>
      </c>
      <c r="C2510" t="s">
        <v>5043</v>
      </c>
      <c r="D2510" t="s">
        <v>8401</v>
      </c>
    </row>
    <row r="2511" spans="1:4" ht="14.45" x14ac:dyDescent="0.3">
      <c r="A2511">
        <v>8739</v>
      </c>
      <c r="B2511" t="s">
        <v>10522</v>
      </c>
      <c r="C2511" t="s">
        <v>5043</v>
      </c>
      <c r="D2511" t="s">
        <v>8401</v>
      </c>
    </row>
    <row r="2512" spans="1:4" ht="14.45" x14ac:dyDescent="0.3">
      <c r="A2512">
        <v>10401</v>
      </c>
      <c r="B2512" t="s">
        <v>8844</v>
      </c>
      <c r="C2512" t="s">
        <v>5043</v>
      </c>
      <c r="D2512" t="s">
        <v>8401</v>
      </c>
    </row>
    <row r="2513" spans="1:4" ht="14.45" x14ac:dyDescent="0.3">
      <c r="A2513">
        <v>7897</v>
      </c>
      <c r="B2513" t="s">
        <v>8844</v>
      </c>
      <c r="C2513" t="s">
        <v>5043</v>
      </c>
      <c r="D2513" t="s">
        <v>8401</v>
      </c>
    </row>
    <row r="2514" spans="1:4" ht="14.45" x14ac:dyDescent="0.3">
      <c r="A2514">
        <v>7050</v>
      </c>
      <c r="B2514" t="s">
        <v>10523</v>
      </c>
      <c r="C2514" t="s">
        <v>5043</v>
      </c>
      <c r="D2514" t="s">
        <v>8401</v>
      </c>
    </row>
    <row r="2515" spans="1:4" ht="14.45" x14ac:dyDescent="0.3">
      <c r="A2515">
        <v>10540</v>
      </c>
      <c r="B2515" t="s">
        <v>8845</v>
      </c>
      <c r="C2515" t="s">
        <v>5043</v>
      </c>
      <c r="D2515" t="s">
        <v>8401</v>
      </c>
    </row>
    <row r="2516" spans="1:4" ht="14.45" x14ac:dyDescent="0.3">
      <c r="A2516">
        <v>10868</v>
      </c>
      <c r="B2516" t="s">
        <v>8845</v>
      </c>
      <c r="C2516" t="s">
        <v>5043</v>
      </c>
      <c r="D2516" t="s">
        <v>8401</v>
      </c>
    </row>
    <row r="2517" spans="1:4" ht="14.45" x14ac:dyDescent="0.3">
      <c r="A2517">
        <v>8071</v>
      </c>
      <c r="B2517" t="s">
        <v>8845</v>
      </c>
      <c r="C2517" t="s">
        <v>5043</v>
      </c>
      <c r="D2517" t="s">
        <v>8401</v>
      </c>
    </row>
    <row r="2518" spans="1:4" ht="14.45" x14ac:dyDescent="0.3">
      <c r="A2518">
        <v>8839</v>
      </c>
      <c r="B2518" t="s">
        <v>8845</v>
      </c>
      <c r="C2518" t="s">
        <v>5043</v>
      </c>
      <c r="D2518" t="s">
        <v>8401</v>
      </c>
    </row>
    <row r="2519" spans="1:4" ht="14.45" x14ac:dyDescent="0.3">
      <c r="A2519">
        <v>10031</v>
      </c>
      <c r="B2519" t="s">
        <v>10524</v>
      </c>
      <c r="C2519" t="s">
        <v>5043</v>
      </c>
      <c r="D2519" t="s">
        <v>8401</v>
      </c>
    </row>
    <row r="2520" spans="1:4" ht="14.45" x14ac:dyDescent="0.3">
      <c r="A2520">
        <v>10463</v>
      </c>
      <c r="B2520" t="s">
        <v>10524</v>
      </c>
      <c r="C2520" t="s">
        <v>5043</v>
      </c>
      <c r="D2520" t="s">
        <v>8401</v>
      </c>
    </row>
    <row r="2521" spans="1:4" ht="14.45" x14ac:dyDescent="0.3">
      <c r="A2521">
        <v>11176</v>
      </c>
      <c r="B2521" t="s">
        <v>10524</v>
      </c>
      <c r="C2521" t="s">
        <v>5043</v>
      </c>
      <c r="D2521" t="s">
        <v>8401</v>
      </c>
    </row>
    <row r="2522" spans="1:4" ht="14.45" x14ac:dyDescent="0.3">
      <c r="A2522">
        <v>6953</v>
      </c>
      <c r="B2522" t="s">
        <v>10524</v>
      </c>
      <c r="C2522" t="s">
        <v>5043</v>
      </c>
      <c r="D2522" t="s">
        <v>8401</v>
      </c>
    </row>
    <row r="2523" spans="1:4" ht="14.45" x14ac:dyDescent="0.3">
      <c r="A2523">
        <v>7927</v>
      </c>
      <c r="B2523" t="s">
        <v>10524</v>
      </c>
      <c r="C2523" t="s">
        <v>5043</v>
      </c>
      <c r="D2523" t="s">
        <v>8401</v>
      </c>
    </row>
    <row r="2524" spans="1:4" ht="14.45" x14ac:dyDescent="0.3">
      <c r="A2524">
        <v>7945</v>
      </c>
      <c r="B2524" t="s">
        <v>10524</v>
      </c>
      <c r="C2524" t="s">
        <v>5043</v>
      </c>
      <c r="D2524" t="s">
        <v>8401</v>
      </c>
    </row>
    <row r="2525" spans="1:4" ht="14.45" x14ac:dyDescent="0.3">
      <c r="A2525">
        <v>10588</v>
      </c>
      <c r="B2525" t="s">
        <v>8846</v>
      </c>
      <c r="C2525" t="s">
        <v>5043</v>
      </c>
      <c r="D2525" t="s">
        <v>8401</v>
      </c>
    </row>
    <row r="2526" spans="1:4" ht="14.45" x14ac:dyDescent="0.3">
      <c r="A2526">
        <v>10640</v>
      </c>
      <c r="B2526" t="s">
        <v>8846</v>
      </c>
      <c r="C2526" t="s">
        <v>5043</v>
      </c>
      <c r="D2526" t="s">
        <v>8401</v>
      </c>
    </row>
    <row r="2527" spans="1:4" ht="14.45" x14ac:dyDescent="0.3">
      <c r="A2527">
        <v>11132</v>
      </c>
      <c r="B2527" t="s">
        <v>8846</v>
      </c>
      <c r="C2527" t="s">
        <v>5043</v>
      </c>
      <c r="D2527" t="s">
        <v>8401</v>
      </c>
    </row>
    <row r="2528" spans="1:4" ht="14.45" x14ac:dyDescent="0.3">
      <c r="A2528">
        <v>11133</v>
      </c>
      <c r="B2528" t="s">
        <v>8846</v>
      </c>
      <c r="C2528" t="s">
        <v>5043</v>
      </c>
      <c r="D2528" t="s">
        <v>8401</v>
      </c>
    </row>
    <row r="2529" spans="1:4" ht="14.45" x14ac:dyDescent="0.3">
      <c r="A2529">
        <v>11972</v>
      </c>
      <c r="B2529" t="s">
        <v>8846</v>
      </c>
      <c r="C2529" t="s">
        <v>5043</v>
      </c>
      <c r="D2529" t="s">
        <v>8401</v>
      </c>
    </row>
    <row r="2530" spans="1:4" ht="14.45" x14ac:dyDescent="0.3">
      <c r="A2530">
        <v>6485</v>
      </c>
      <c r="B2530" t="s">
        <v>8846</v>
      </c>
      <c r="C2530" t="s">
        <v>5043</v>
      </c>
      <c r="D2530" t="s">
        <v>8401</v>
      </c>
    </row>
    <row r="2531" spans="1:4" ht="14.45" x14ac:dyDescent="0.3">
      <c r="A2531">
        <v>6646</v>
      </c>
      <c r="B2531" t="s">
        <v>8846</v>
      </c>
      <c r="C2531" t="s">
        <v>5043</v>
      </c>
      <c r="D2531" t="s">
        <v>8401</v>
      </c>
    </row>
    <row r="2532" spans="1:4" ht="14.45" x14ac:dyDescent="0.3">
      <c r="A2532">
        <v>6812</v>
      </c>
      <c r="B2532" t="s">
        <v>8846</v>
      </c>
      <c r="C2532" t="s">
        <v>5043</v>
      </c>
      <c r="D2532" t="s">
        <v>8401</v>
      </c>
    </row>
    <row r="2533" spans="1:4" ht="14.45" x14ac:dyDescent="0.3">
      <c r="A2533">
        <v>7763</v>
      </c>
      <c r="B2533" t="s">
        <v>8846</v>
      </c>
      <c r="C2533" t="s">
        <v>5043</v>
      </c>
      <c r="D2533" t="s">
        <v>8401</v>
      </c>
    </row>
    <row r="2534" spans="1:4" ht="14.45" x14ac:dyDescent="0.3">
      <c r="A2534">
        <v>8792</v>
      </c>
      <c r="B2534" t="s">
        <v>8846</v>
      </c>
      <c r="C2534" t="s">
        <v>5043</v>
      </c>
      <c r="D2534" t="s">
        <v>8401</v>
      </c>
    </row>
    <row r="2535" spans="1:4" ht="14.45" x14ac:dyDescent="0.3">
      <c r="A2535">
        <v>8912</v>
      </c>
      <c r="B2535" t="s">
        <v>8846</v>
      </c>
      <c r="C2535" t="s">
        <v>5043</v>
      </c>
      <c r="D2535" t="s">
        <v>8401</v>
      </c>
    </row>
    <row r="2536" spans="1:4" ht="14.45" x14ac:dyDescent="0.3">
      <c r="A2536">
        <v>7876</v>
      </c>
      <c r="B2536" t="s">
        <v>10525</v>
      </c>
      <c r="C2536" t="s">
        <v>5043</v>
      </c>
      <c r="D2536" t="s">
        <v>8401</v>
      </c>
    </row>
    <row r="2537" spans="1:4" ht="14.45" x14ac:dyDescent="0.3">
      <c r="A2537">
        <v>11084</v>
      </c>
      <c r="B2537" t="s">
        <v>8847</v>
      </c>
      <c r="C2537" t="s">
        <v>5043</v>
      </c>
      <c r="D2537" t="s">
        <v>8401</v>
      </c>
    </row>
    <row r="2538" spans="1:4" ht="14.45" x14ac:dyDescent="0.3">
      <c r="A2538">
        <v>11530</v>
      </c>
      <c r="B2538" t="s">
        <v>8847</v>
      </c>
      <c r="C2538" t="s">
        <v>5043</v>
      </c>
      <c r="D2538" t="s">
        <v>8401</v>
      </c>
    </row>
    <row r="2539" spans="1:4" ht="14.45" x14ac:dyDescent="0.3">
      <c r="A2539">
        <v>8695</v>
      </c>
      <c r="B2539" t="s">
        <v>8847</v>
      </c>
      <c r="C2539" t="s">
        <v>5043</v>
      </c>
      <c r="D2539" t="s">
        <v>8401</v>
      </c>
    </row>
    <row r="2540" spans="1:4" ht="14.45" x14ac:dyDescent="0.3">
      <c r="A2540">
        <v>10620</v>
      </c>
      <c r="B2540" t="s">
        <v>10526</v>
      </c>
      <c r="C2540" t="s">
        <v>5043</v>
      </c>
      <c r="D2540" t="s">
        <v>8401</v>
      </c>
    </row>
    <row r="2541" spans="1:4" ht="14.45" x14ac:dyDescent="0.3">
      <c r="A2541">
        <v>10682</v>
      </c>
      <c r="B2541" t="s">
        <v>10526</v>
      </c>
      <c r="C2541" t="s">
        <v>5043</v>
      </c>
      <c r="D2541" t="s">
        <v>8401</v>
      </c>
    </row>
    <row r="2542" spans="1:4" ht="14.45" x14ac:dyDescent="0.3">
      <c r="A2542">
        <v>10930</v>
      </c>
      <c r="B2542" t="s">
        <v>10526</v>
      </c>
      <c r="C2542" t="s">
        <v>5043</v>
      </c>
      <c r="D2542" t="s">
        <v>8401</v>
      </c>
    </row>
    <row r="2543" spans="1:4" ht="14.45" x14ac:dyDescent="0.3">
      <c r="A2543">
        <v>10946</v>
      </c>
      <c r="B2543" t="s">
        <v>10526</v>
      </c>
      <c r="C2543" t="s">
        <v>5043</v>
      </c>
      <c r="D2543" t="s">
        <v>8401</v>
      </c>
    </row>
    <row r="2544" spans="1:4" ht="14.45" x14ac:dyDescent="0.3">
      <c r="A2544">
        <v>8012</v>
      </c>
      <c r="B2544" t="s">
        <v>8848</v>
      </c>
      <c r="C2544" t="s">
        <v>5043</v>
      </c>
      <c r="D2544" t="s">
        <v>8401</v>
      </c>
    </row>
    <row r="2545" spans="1:4" ht="14.45" x14ac:dyDescent="0.3">
      <c r="A2545">
        <v>8539</v>
      </c>
      <c r="B2545" t="s">
        <v>8848</v>
      </c>
      <c r="C2545" t="s">
        <v>5043</v>
      </c>
      <c r="D2545" t="s">
        <v>8401</v>
      </c>
    </row>
    <row r="2546" spans="1:4" ht="14.45" x14ac:dyDescent="0.3">
      <c r="A2546">
        <v>10180</v>
      </c>
      <c r="B2546" t="s">
        <v>10527</v>
      </c>
      <c r="C2546" t="s">
        <v>5043</v>
      </c>
      <c r="D2546" t="s">
        <v>8401</v>
      </c>
    </row>
    <row r="2547" spans="1:4" ht="14.45" x14ac:dyDescent="0.3">
      <c r="A2547">
        <v>7090</v>
      </c>
      <c r="B2547" t="s">
        <v>10527</v>
      </c>
      <c r="C2547" t="s">
        <v>5043</v>
      </c>
      <c r="D2547" t="s">
        <v>8401</v>
      </c>
    </row>
    <row r="2548" spans="1:4" ht="14.45" x14ac:dyDescent="0.3">
      <c r="A2548">
        <v>8727</v>
      </c>
      <c r="B2548" t="s">
        <v>10527</v>
      </c>
      <c r="C2548" t="s">
        <v>5043</v>
      </c>
      <c r="D2548" t="s">
        <v>8401</v>
      </c>
    </row>
    <row r="2549" spans="1:4" ht="14.45" x14ac:dyDescent="0.3">
      <c r="A2549">
        <v>11070</v>
      </c>
      <c r="B2549" t="s">
        <v>10528</v>
      </c>
      <c r="C2549" t="s">
        <v>5043</v>
      </c>
      <c r="D2549" t="s">
        <v>8401</v>
      </c>
    </row>
    <row r="2550" spans="1:4" ht="14.45" x14ac:dyDescent="0.3">
      <c r="A2550">
        <v>12672</v>
      </c>
      <c r="B2550" t="s">
        <v>10528</v>
      </c>
      <c r="C2550" t="s">
        <v>5043</v>
      </c>
      <c r="D2550" t="s">
        <v>8401</v>
      </c>
    </row>
    <row r="2551" spans="1:4" ht="14.45" x14ac:dyDescent="0.3">
      <c r="A2551">
        <v>12673</v>
      </c>
      <c r="B2551" t="s">
        <v>10528</v>
      </c>
      <c r="C2551" t="s">
        <v>5043</v>
      </c>
      <c r="D2551" t="s">
        <v>8401</v>
      </c>
    </row>
    <row r="2552" spans="1:4" ht="14.45" x14ac:dyDescent="0.3">
      <c r="A2552">
        <v>9047</v>
      </c>
      <c r="B2552" t="s">
        <v>10528</v>
      </c>
      <c r="C2552" t="s">
        <v>5043</v>
      </c>
      <c r="D2552" t="s">
        <v>8401</v>
      </c>
    </row>
    <row r="2553" spans="1:4" ht="14.45" x14ac:dyDescent="0.3">
      <c r="A2553">
        <v>9853</v>
      </c>
      <c r="B2553" t="s">
        <v>10528</v>
      </c>
      <c r="C2553" t="s">
        <v>5043</v>
      </c>
      <c r="D2553" t="s">
        <v>8401</v>
      </c>
    </row>
    <row r="2554" spans="1:4" ht="14.45" x14ac:dyDescent="0.3">
      <c r="A2554">
        <v>6531</v>
      </c>
      <c r="B2554" t="s">
        <v>10529</v>
      </c>
      <c r="C2554" t="s">
        <v>5043</v>
      </c>
      <c r="D2554" t="s">
        <v>8401</v>
      </c>
    </row>
    <row r="2555" spans="1:4" ht="14.45" x14ac:dyDescent="0.3">
      <c r="A2555">
        <v>10285</v>
      </c>
      <c r="B2555" t="s">
        <v>8849</v>
      </c>
      <c r="C2555" t="s">
        <v>5043</v>
      </c>
      <c r="D2555" t="s">
        <v>8401</v>
      </c>
    </row>
    <row r="2556" spans="1:4" ht="14.45" x14ac:dyDescent="0.3">
      <c r="A2556">
        <v>7443</v>
      </c>
      <c r="B2556" t="s">
        <v>8849</v>
      </c>
      <c r="C2556" t="s">
        <v>5043</v>
      </c>
      <c r="D2556" t="s">
        <v>8401</v>
      </c>
    </row>
    <row r="2557" spans="1:4" ht="14.45" x14ac:dyDescent="0.3">
      <c r="A2557">
        <v>11369</v>
      </c>
      <c r="B2557" t="s">
        <v>8850</v>
      </c>
      <c r="C2557" t="s">
        <v>5043</v>
      </c>
      <c r="D2557" t="s">
        <v>8401</v>
      </c>
    </row>
    <row r="2558" spans="1:4" ht="14.45" x14ac:dyDescent="0.3">
      <c r="A2558">
        <v>8484</v>
      </c>
      <c r="B2558" t="s">
        <v>8850</v>
      </c>
      <c r="C2558" t="s">
        <v>5043</v>
      </c>
      <c r="D2558" t="s">
        <v>8401</v>
      </c>
    </row>
    <row r="2559" spans="1:4" ht="14.45" x14ac:dyDescent="0.3">
      <c r="A2559">
        <v>10256</v>
      </c>
      <c r="B2559" t="s">
        <v>10530</v>
      </c>
      <c r="C2559" t="s">
        <v>5043</v>
      </c>
      <c r="D2559" t="s">
        <v>8401</v>
      </c>
    </row>
    <row r="2560" spans="1:4" ht="14.45" x14ac:dyDescent="0.3">
      <c r="A2560">
        <v>11001</v>
      </c>
      <c r="B2560" t="s">
        <v>10530</v>
      </c>
      <c r="C2560" t="s">
        <v>5043</v>
      </c>
      <c r="D2560" t="s">
        <v>8401</v>
      </c>
    </row>
    <row r="2561" spans="1:4" ht="14.45" x14ac:dyDescent="0.3">
      <c r="A2561">
        <v>10736</v>
      </c>
      <c r="B2561" t="s">
        <v>10531</v>
      </c>
      <c r="C2561" t="s">
        <v>5043</v>
      </c>
      <c r="D2561" t="s">
        <v>8401</v>
      </c>
    </row>
    <row r="2562" spans="1:4" ht="14.45" x14ac:dyDescent="0.3">
      <c r="A2562">
        <v>6903</v>
      </c>
      <c r="B2562" t="s">
        <v>10532</v>
      </c>
      <c r="C2562" t="s">
        <v>5043</v>
      </c>
      <c r="D2562" t="s">
        <v>8401</v>
      </c>
    </row>
    <row r="2563" spans="1:4" ht="14.45" x14ac:dyDescent="0.3">
      <c r="A2563">
        <v>9615</v>
      </c>
      <c r="B2563" t="s">
        <v>10533</v>
      </c>
      <c r="C2563" t="s">
        <v>5043</v>
      </c>
      <c r="D2563" t="s">
        <v>8401</v>
      </c>
    </row>
    <row r="2564" spans="1:4" ht="14.45" x14ac:dyDescent="0.3">
      <c r="A2564">
        <v>8596</v>
      </c>
      <c r="B2564" t="s">
        <v>10534</v>
      </c>
      <c r="C2564" t="s">
        <v>5043</v>
      </c>
      <c r="D2564" t="s">
        <v>8401</v>
      </c>
    </row>
    <row r="2565" spans="1:4" ht="14.45" x14ac:dyDescent="0.3">
      <c r="A2565">
        <v>10367</v>
      </c>
      <c r="B2565" t="s">
        <v>10535</v>
      </c>
      <c r="C2565" t="s">
        <v>5043</v>
      </c>
      <c r="D2565" t="s">
        <v>8401</v>
      </c>
    </row>
    <row r="2566" spans="1:4" ht="14.45" x14ac:dyDescent="0.3">
      <c r="A2566">
        <v>6863</v>
      </c>
      <c r="B2566" t="s">
        <v>10535</v>
      </c>
      <c r="C2566" t="s">
        <v>5043</v>
      </c>
      <c r="D2566" t="s">
        <v>8401</v>
      </c>
    </row>
    <row r="2567" spans="1:4" ht="14.45" x14ac:dyDescent="0.3">
      <c r="A2567">
        <v>8571</v>
      </c>
      <c r="B2567" t="s">
        <v>10536</v>
      </c>
      <c r="C2567" t="s">
        <v>5043</v>
      </c>
      <c r="D2567" t="s">
        <v>8401</v>
      </c>
    </row>
    <row r="2568" spans="1:4" ht="14.45" x14ac:dyDescent="0.3">
      <c r="A2568">
        <v>11877</v>
      </c>
      <c r="B2568" t="s">
        <v>10537</v>
      </c>
      <c r="C2568" t="s">
        <v>5043</v>
      </c>
      <c r="D2568" t="s">
        <v>8401</v>
      </c>
    </row>
    <row r="2569" spans="1:4" ht="14.45" x14ac:dyDescent="0.3">
      <c r="A2569">
        <v>10025</v>
      </c>
      <c r="B2569" t="s">
        <v>10538</v>
      </c>
      <c r="C2569" t="s">
        <v>5043</v>
      </c>
      <c r="D2569" t="s">
        <v>8401</v>
      </c>
    </row>
    <row r="2570" spans="1:4" ht="14.45" x14ac:dyDescent="0.3">
      <c r="A2570">
        <v>10958</v>
      </c>
      <c r="B2570" t="s">
        <v>10538</v>
      </c>
      <c r="C2570" t="s">
        <v>5043</v>
      </c>
      <c r="D2570" t="s">
        <v>8401</v>
      </c>
    </row>
    <row r="2571" spans="1:4" ht="14.45" x14ac:dyDescent="0.3">
      <c r="A2571">
        <v>7489</v>
      </c>
      <c r="B2571" t="s">
        <v>10538</v>
      </c>
      <c r="C2571" t="s">
        <v>5043</v>
      </c>
      <c r="D2571" t="s">
        <v>8401</v>
      </c>
    </row>
    <row r="2572" spans="1:4" ht="14.45" x14ac:dyDescent="0.3">
      <c r="A2572">
        <v>11267</v>
      </c>
      <c r="B2572" t="s">
        <v>10539</v>
      </c>
      <c r="C2572" t="s">
        <v>5043</v>
      </c>
      <c r="D2572" t="s">
        <v>8401</v>
      </c>
    </row>
    <row r="2573" spans="1:4" ht="14.45" x14ac:dyDescent="0.3">
      <c r="A2573">
        <v>10181</v>
      </c>
      <c r="B2573" t="s">
        <v>8851</v>
      </c>
      <c r="C2573" t="s">
        <v>5043</v>
      </c>
      <c r="D2573" t="s">
        <v>8401</v>
      </c>
    </row>
    <row r="2574" spans="1:4" ht="14.45" x14ac:dyDescent="0.3">
      <c r="A2574">
        <v>11262</v>
      </c>
      <c r="B2574" t="s">
        <v>8851</v>
      </c>
      <c r="C2574" t="s">
        <v>5043</v>
      </c>
      <c r="D2574" t="s">
        <v>8401</v>
      </c>
    </row>
    <row r="2575" spans="1:4" ht="14.45" x14ac:dyDescent="0.3">
      <c r="A2575">
        <v>7832</v>
      </c>
      <c r="B2575" t="s">
        <v>8851</v>
      </c>
      <c r="C2575" t="s">
        <v>5043</v>
      </c>
      <c r="D2575" t="s">
        <v>8401</v>
      </c>
    </row>
    <row r="2576" spans="1:4" ht="14.45" x14ac:dyDescent="0.3">
      <c r="A2576">
        <v>8557</v>
      </c>
      <c r="B2576" t="s">
        <v>8851</v>
      </c>
      <c r="C2576" t="s">
        <v>5043</v>
      </c>
      <c r="D2576" t="s">
        <v>8401</v>
      </c>
    </row>
    <row r="2577" spans="1:4" ht="14.45" x14ac:dyDescent="0.3">
      <c r="A2577">
        <v>9317</v>
      </c>
      <c r="B2577" t="s">
        <v>8851</v>
      </c>
      <c r="C2577" t="s">
        <v>5043</v>
      </c>
      <c r="D2577" t="s">
        <v>8401</v>
      </c>
    </row>
    <row r="2578" spans="1:4" ht="14.45" x14ac:dyDescent="0.3">
      <c r="A2578">
        <v>10334</v>
      </c>
      <c r="B2578" t="s">
        <v>8852</v>
      </c>
      <c r="C2578" t="s">
        <v>5043</v>
      </c>
      <c r="D2578" t="s">
        <v>8401</v>
      </c>
    </row>
    <row r="2579" spans="1:4" ht="14.45" x14ac:dyDescent="0.3">
      <c r="A2579">
        <v>11248</v>
      </c>
      <c r="B2579" t="s">
        <v>8852</v>
      </c>
      <c r="C2579" t="s">
        <v>5043</v>
      </c>
      <c r="D2579" t="s">
        <v>8401</v>
      </c>
    </row>
    <row r="2580" spans="1:4" ht="14.45" x14ac:dyDescent="0.3">
      <c r="A2580">
        <v>10661</v>
      </c>
      <c r="B2580" t="s">
        <v>10540</v>
      </c>
      <c r="C2580" t="s">
        <v>5043</v>
      </c>
      <c r="D2580" t="s">
        <v>8401</v>
      </c>
    </row>
    <row r="2581" spans="1:4" ht="14.45" x14ac:dyDescent="0.3">
      <c r="A2581">
        <v>10670</v>
      </c>
      <c r="B2581" t="s">
        <v>10540</v>
      </c>
      <c r="C2581" t="s">
        <v>5043</v>
      </c>
      <c r="D2581" t="s">
        <v>8401</v>
      </c>
    </row>
    <row r="2582" spans="1:4" ht="14.45" x14ac:dyDescent="0.3">
      <c r="A2582">
        <v>6946</v>
      </c>
      <c r="B2582" t="s">
        <v>10540</v>
      </c>
      <c r="C2582" t="s">
        <v>5043</v>
      </c>
      <c r="D2582" t="s">
        <v>8401</v>
      </c>
    </row>
    <row r="2583" spans="1:4" ht="14.45" x14ac:dyDescent="0.3">
      <c r="A2583">
        <v>9546</v>
      </c>
      <c r="B2583" t="s">
        <v>10540</v>
      </c>
      <c r="C2583" t="s">
        <v>5043</v>
      </c>
      <c r="D2583" t="s">
        <v>8401</v>
      </c>
    </row>
    <row r="2584" spans="1:4" ht="14.45" x14ac:dyDescent="0.3">
      <c r="A2584">
        <v>9556</v>
      </c>
      <c r="B2584" t="s">
        <v>10540</v>
      </c>
      <c r="C2584" t="s">
        <v>5043</v>
      </c>
      <c r="D2584" t="s">
        <v>8401</v>
      </c>
    </row>
    <row r="2585" spans="1:4" ht="14.45" x14ac:dyDescent="0.3">
      <c r="A2585">
        <v>10112</v>
      </c>
      <c r="B2585" t="s">
        <v>10541</v>
      </c>
      <c r="C2585" t="s">
        <v>5043</v>
      </c>
      <c r="D2585" t="s">
        <v>8401</v>
      </c>
    </row>
    <row r="2586" spans="1:4" ht="14.45" x14ac:dyDescent="0.3">
      <c r="A2586">
        <v>6869</v>
      </c>
      <c r="B2586" t="s">
        <v>10541</v>
      </c>
      <c r="C2586" t="s">
        <v>5043</v>
      </c>
      <c r="D2586" t="s">
        <v>8401</v>
      </c>
    </row>
    <row r="2587" spans="1:4" ht="14.45" x14ac:dyDescent="0.3">
      <c r="A2587">
        <v>6737</v>
      </c>
      <c r="B2587" t="s">
        <v>10542</v>
      </c>
      <c r="C2587" t="s">
        <v>5043</v>
      </c>
      <c r="D2587" t="s">
        <v>8401</v>
      </c>
    </row>
    <row r="2588" spans="1:4" ht="14.45" x14ac:dyDescent="0.3">
      <c r="A2588">
        <v>7094</v>
      </c>
      <c r="B2588" t="s">
        <v>10543</v>
      </c>
      <c r="C2588" t="s">
        <v>5043</v>
      </c>
      <c r="D2588" t="s">
        <v>8401</v>
      </c>
    </row>
    <row r="2589" spans="1:4" ht="14.45" x14ac:dyDescent="0.3">
      <c r="A2589">
        <v>11206</v>
      </c>
      <c r="B2589" t="s">
        <v>10544</v>
      </c>
      <c r="C2589" t="s">
        <v>5043</v>
      </c>
      <c r="D2589" t="s">
        <v>8401</v>
      </c>
    </row>
    <row r="2590" spans="1:4" ht="14.45" x14ac:dyDescent="0.3">
      <c r="A2590">
        <v>6490</v>
      </c>
      <c r="B2590" t="s">
        <v>10544</v>
      </c>
      <c r="C2590" t="s">
        <v>5043</v>
      </c>
      <c r="D2590" t="s">
        <v>8401</v>
      </c>
    </row>
    <row r="2591" spans="1:4" ht="14.45" x14ac:dyDescent="0.3">
      <c r="A2591">
        <v>6569</v>
      </c>
      <c r="B2591" t="s">
        <v>10544</v>
      </c>
      <c r="C2591" t="s">
        <v>5043</v>
      </c>
      <c r="D2591" t="s">
        <v>8401</v>
      </c>
    </row>
    <row r="2592" spans="1:4" ht="14.45" x14ac:dyDescent="0.3">
      <c r="A2592">
        <v>7273</v>
      </c>
      <c r="B2592" t="s">
        <v>10544</v>
      </c>
      <c r="C2592" t="s">
        <v>5043</v>
      </c>
      <c r="D2592" t="s">
        <v>8401</v>
      </c>
    </row>
    <row r="2593" spans="1:4" ht="14.45" x14ac:dyDescent="0.3">
      <c r="A2593">
        <v>10436</v>
      </c>
      <c r="B2593" t="s">
        <v>8853</v>
      </c>
      <c r="C2593" t="s">
        <v>5043</v>
      </c>
      <c r="D2593" t="s">
        <v>8401</v>
      </c>
    </row>
    <row r="2594" spans="1:4" ht="14.45" x14ac:dyDescent="0.3">
      <c r="A2594">
        <v>11426</v>
      </c>
      <c r="B2594" t="s">
        <v>8853</v>
      </c>
      <c r="C2594" t="s">
        <v>5043</v>
      </c>
      <c r="D2594" t="s">
        <v>8401</v>
      </c>
    </row>
    <row r="2595" spans="1:4" ht="14.45" x14ac:dyDescent="0.3">
      <c r="A2595">
        <v>8453</v>
      </c>
      <c r="B2595" t="s">
        <v>8853</v>
      </c>
      <c r="C2595" t="s">
        <v>5043</v>
      </c>
      <c r="D2595" t="s">
        <v>8401</v>
      </c>
    </row>
    <row r="2596" spans="1:4" ht="14.45" x14ac:dyDescent="0.3">
      <c r="A2596">
        <v>8914</v>
      </c>
      <c r="B2596" t="s">
        <v>8853</v>
      </c>
      <c r="C2596" t="s">
        <v>5043</v>
      </c>
      <c r="D2596" t="s">
        <v>8401</v>
      </c>
    </row>
    <row r="2597" spans="1:4" ht="14.45" x14ac:dyDescent="0.3">
      <c r="A2597">
        <v>9450</v>
      </c>
      <c r="B2597" t="s">
        <v>8853</v>
      </c>
      <c r="C2597" t="s">
        <v>5043</v>
      </c>
      <c r="D2597" t="s">
        <v>8401</v>
      </c>
    </row>
    <row r="2598" spans="1:4" ht="14.45" x14ac:dyDescent="0.3">
      <c r="A2598">
        <v>8400</v>
      </c>
      <c r="B2598" t="s">
        <v>10545</v>
      </c>
      <c r="C2598" t="s">
        <v>5043</v>
      </c>
      <c r="D2598" t="s">
        <v>8401</v>
      </c>
    </row>
    <row r="2599" spans="1:4" ht="14.45" x14ac:dyDescent="0.3">
      <c r="A2599">
        <v>9043</v>
      </c>
      <c r="B2599" t="s">
        <v>10546</v>
      </c>
      <c r="C2599" t="s">
        <v>5043</v>
      </c>
      <c r="D2599" t="s">
        <v>8401</v>
      </c>
    </row>
    <row r="2600" spans="1:4" ht="14.45" x14ac:dyDescent="0.3">
      <c r="A2600">
        <v>10008</v>
      </c>
      <c r="B2600" t="s">
        <v>8854</v>
      </c>
      <c r="C2600" t="s">
        <v>5043</v>
      </c>
      <c r="D2600" t="s">
        <v>8401</v>
      </c>
    </row>
    <row r="2601" spans="1:4" ht="14.45" x14ac:dyDescent="0.3">
      <c r="A2601">
        <v>10162</v>
      </c>
      <c r="B2601" t="s">
        <v>8854</v>
      </c>
      <c r="C2601" t="s">
        <v>5043</v>
      </c>
      <c r="D2601" t="s">
        <v>8401</v>
      </c>
    </row>
    <row r="2602" spans="1:4" ht="14.45" x14ac:dyDescent="0.3">
      <c r="A2602">
        <v>10398</v>
      </c>
      <c r="B2602" t="s">
        <v>8854</v>
      </c>
      <c r="C2602" t="s">
        <v>5043</v>
      </c>
      <c r="D2602" t="s">
        <v>8401</v>
      </c>
    </row>
    <row r="2603" spans="1:4" ht="14.45" x14ac:dyDescent="0.3">
      <c r="A2603">
        <v>10491</v>
      </c>
      <c r="B2603" t="s">
        <v>8854</v>
      </c>
      <c r="C2603" t="s">
        <v>5043</v>
      </c>
      <c r="D2603" t="s">
        <v>8401</v>
      </c>
    </row>
    <row r="2604" spans="1:4" ht="14.45" x14ac:dyDescent="0.3">
      <c r="A2604">
        <v>10553</v>
      </c>
      <c r="B2604" t="s">
        <v>8854</v>
      </c>
      <c r="C2604" t="s">
        <v>5043</v>
      </c>
      <c r="D2604" t="s">
        <v>8401</v>
      </c>
    </row>
    <row r="2605" spans="1:4" ht="14.45" x14ac:dyDescent="0.3">
      <c r="A2605">
        <v>10579</v>
      </c>
      <c r="B2605" t="s">
        <v>8854</v>
      </c>
      <c r="C2605" t="s">
        <v>5043</v>
      </c>
      <c r="D2605" t="s">
        <v>8401</v>
      </c>
    </row>
    <row r="2606" spans="1:4" ht="14.45" x14ac:dyDescent="0.3">
      <c r="A2606">
        <v>10876</v>
      </c>
      <c r="B2606" t="s">
        <v>8854</v>
      </c>
      <c r="C2606" t="s">
        <v>5043</v>
      </c>
      <c r="D2606" t="s">
        <v>8401</v>
      </c>
    </row>
    <row r="2607" spans="1:4" ht="14.45" x14ac:dyDescent="0.3">
      <c r="A2607">
        <v>11260</v>
      </c>
      <c r="B2607" t="s">
        <v>8854</v>
      </c>
      <c r="C2607" t="s">
        <v>5043</v>
      </c>
      <c r="D2607" t="s">
        <v>8401</v>
      </c>
    </row>
    <row r="2608" spans="1:4" ht="14.45" x14ac:dyDescent="0.3">
      <c r="A2608">
        <v>6492</v>
      </c>
      <c r="B2608" t="s">
        <v>8854</v>
      </c>
      <c r="C2608" t="s">
        <v>5043</v>
      </c>
      <c r="D2608" t="s">
        <v>8401</v>
      </c>
    </row>
    <row r="2609" spans="1:4" ht="14.45" x14ac:dyDescent="0.3">
      <c r="A2609">
        <v>6857</v>
      </c>
      <c r="B2609" t="s">
        <v>8854</v>
      </c>
      <c r="C2609" t="s">
        <v>5043</v>
      </c>
      <c r="D2609" t="s">
        <v>8401</v>
      </c>
    </row>
    <row r="2610" spans="1:4" ht="14.45" x14ac:dyDescent="0.3">
      <c r="A2610">
        <v>7736</v>
      </c>
      <c r="B2610" t="s">
        <v>8854</v>
      </c>
      <c r="C2610" t="s">
        <v>5043</v>
      </c>
      <c r="D2610" t="s">
        <v>8401</v>
      </c>
    </row>
    <row r="2611" spans="1:4" ht="14.45" x14ac:dyDescent="0.3">
      <c r="A2611">
        <v>7827</v>
      </c>
      <c r="B2611" t="s">
        <v>8854</v>
      </c>
      <c r="C2611" t="s">
        <v>5043</v>
      </c>
      <c r="D2611" t="s">
        <v>8401</v>
      </c>
    </row>
    <row r="2612" spans="1:4" ht="14.45" x14ac:dyDescent="0.3">
      <c r="A2612">
        <v>8003</v>
      </c>
      <c r="B2612" t="s">
        <v>8854</v>
      </c>
      <c r="C2612" t="s">
        <v>5043</v>
      </c>
      <c r="D2612" t="s">
        <v>8401</v>
      </c>
    </row>
    <row r="2613" spans="1:4" ht="14.45" x14ac:dyDescent="0.3">
      <c r="A2613">
        <v>8688</v>
      </c>
      <c r="B2613" t="s">
        <v>8854</v>
      </c>
      <c r="C2613" t="s">
        <v>5043</v>
      </c>
      <c r="D2613" t="s">
        <v>8401</v>
      </c>
    </row>
    <row r="2614" spans="1:4" ht="14.45" x14ac:dyDescent="0.3">
      <c r="A2614">
        <v>9273</v>
      </c>
      <c r="B2614" t="s">
        <v>8854</v>
      </c>
      <c r="C2614" t="s">
        <v>5043</v>
      </c>
      <c r="D2614" t="s">
        <v>8401</v>
      </c>
    </row>
    <row r="2615" spans="1:4" ht="14.45" x14ac:dyDescent="0.3">
      <c r="A2615">
        <v>9449</v>
      </c>
      <c r="B2615" t="s">
        <v>8854</v>
      </c>
      <c r="C2615" t="s">
        <v>5043</v>
      </c>
      <c r="D2615" t="s">
        <v>8401</v>
      </c>
    </row>
    <row r="2616" spans="1:4" ht="14.45" x14ac:dyDescent="0.3">
      <c r="A2616">
        <v>9928</v>
      </c>
      <c r="B2616" t="s">
        <v>8854</v>
      </c>
      <c r="C2616" t="s">
        <v>5043</v>
      </c>
      <c r="D2616" t="s">
        <v>8401</v>
      </c>
    </row>
    <row r="2617" spans="1:4" ht="14.45" x14ac:dyDescent="0.3">
      <c r="A2617">
        <v>7630</v>
      </c>
      <c r="B2617" t="s">
        <v>8855</v>
      </c>
      <c r="C2617" t="s">
        <v>5043</v>
      </c>
      <c r="D2617" t="s">
        <v>8401</v>
      </c>
    </row>
    <row r="2618" spans="1:4" ht="14.45" x14ac:dyDescent="0.3">
      <c r="A2618">
        <v>8173</v>
      </c>
      <c r="B2618" t="s">
        <v>10547</v>
      </c>
      <c r="C2618" t="s">
        <v>5043</v>
      </c>
      <c r="D2618" t="s">
        <v>8401</v>
      </c>
    </row>
    <row r="2619" spans="1:4" ht="14.45" x14ac:dyDescent="0.3">
      <c r="A2619">
        <v>11373</v>
      </c>
      <c r="B2619" t="s">
        <v>10548</v>
      </c>
      <c r="C2619" t="s">
        <v>5043</v>
      </c>
      <c r="D2619" t="s">
        <v>8401</v>
      </c>
    </row>
    <row r="2620" spans="1:4" ht="14.45" x14ac:dyDescent="0.3">
      <c r="A2620">
        <v>9687</v>
      </c>
      <c r="B2620" t="s">
        <v>10548</v>
      </c>
      <c r="C2620" t="s">
        <v>5043</v>
      </c>
      <c r="D2620" t="s">
        <v>8401</v>
      </c>
    </row>
    <row r="2621" spans="1:4" ht="14.45" x14ac:dyDescent="0.3">
      <c r="A2621">
        <v>6530</v>
      </c>
      <c r="B2621" t="s">
        <v>10549</v>
      </c>
      <c r="C2621" t="s">
        <v>5043</v>
      </c>
      <c r="D2621" t="s">
        <v>8401</v>
      </c>
    </row>
    <row r="2622" spans="1:4" ht="14.45" x14ac:dyDescent="0.3">
      <c r="A2622">
        <v>10487</v>
      </c>
      <c r="B2622" t="s">
        <v>10550</v>
      </c>
      <c r="C2622" t="s">
        <v>5043</v>
      </c>
      <c r="D2622" t="s">
        <v>8401</v>
      </c>
    </row>
    <row r="2623" spans="1:4" ht="14.45" x14ac:dyDescent="0.3">
      <c r="A2623">
        <v>8518</v>
      </c>
      <c r="B2623" t="s">
        <v>10550</v>
      </c>
      <c r="C2623" t="s">
        <v>5043</v>
      </c>
      <c r="D2623" t="s">
        <v>8401</v>
      </c>
    </row>
    <row r="2624" spans="1:4" ht="14.45" x14ac:dyDescent="0.3">
      <c r="A2624">
        <v>9143</v>
      </c>
      <c r="B2624" t="s">
        <v>10550</v>
      </c>
      <c r="C2624" t="s">
        <v>5043</v>
      </c>
      <c r="D2624" t="s">
        <v>8401</v>
      </c>
    </row>
    <row r="2625" spans="1:4" ht="14.45" x14ac:dyDescent="0.3">
      <c r="A2625">
        <v>10078</v>
      </c>
      <c r="B2625" t="s">
        <v>10551</v>
      </c>
      <c r="C2625" t="s">
        <v>5043</v>
      </c>
      <c r="D2625" t="s">
        <v>8401</v>
      </c>
    </row>
    <row r="2626" spans="1:4" ht="14.45" x14ac:dyDescent="0.3">
      <c r="A2626">
        <v>11591</v>
      </c>
      <c r="B2626" t="s">
        <v>10551</v>
      </c>
      <c r="C2626" t="s">
        <v>5043</v>
      </c>
      <c r="D2626" t="s">
        <v>8401</v>
      </c>
    </row>
    <row r="2627" spans="1:4" ht="14.45" x14ac:dyDescent="0.3">
      <c r="A2627">
        <v>7310</v>
      </c>
      <c r="B2627" t="s">
        <v>10551</v>
      </c>
      <c r="C2627" t="s">
        <v>5043</v>
      </c>
      <c r="D2627" t="s">
        <v>8401</v>
      </c>
    </row>
    <row r="2628" spans="1:4" ht="14.45" x14ac:dyDescent="0.3">
      <c r="A2628">
        <v>9589</v>
      </c>
      <c r="B2628" t="s">
        <v>10551</v>
      </c>
      <c r="C2628" t="s">
        <v>5043</v>
      </c>
      <c r="D2628" t="s">
        <v>8401</v>
      </c>
    </row>
    <row r="2629" spans="1:4" ht="14.45" x14ac:dyDescent="0.3">
      <c r="A2629">
        <v>9265</v>
      </c>
      <c r="B2629" t="s">
        <v>10552</v>
      </c>
      <c r="C2629" t="s">
        <v>5043</v>
      </c>
      <c r="D2629" t="s">
        <v>8401</v>
      </c>
    </row>
    <row r="2630" spans="1:4" ht="14.45" x14ac:dyDescent="0.3">
      <c r="A2630">
        <v>10796</v>
      </c>
      <c r="B2630" t="s">
        <v>10553</v>
      </c>
      <c r="C2630" t="s">
        <v>5043</v>
      </c>
      <c r="D2630" t="s">
        <v>8401</v>
      </c>
    </row>
    <row r="2631" spans="1:4" ht="14.45" x14ac:dyDescent="0.3">
      <c r="A2631">
        <v>11697</v>
      </c>
      <c r="B2631" t="s">
        <v>10553</v>
      </c>
      <c r="C2631" t="s">
        <v>5043</v>
      </c>
      <c r="D2631" t="s">
        <v>8401</v>
      </c>
    </row>
    <row r="2632" spans="1:4" ht="14.45" x14ac:dyDescent="0.3">
      <c r="A2632">
        <v>7940</v>
      </c>
      <c r="B2632" t="s">
        <v>10553</v>
      </c>
      <c r="C2632" t="s">
        <v>5043</v>
      </c>
      <c r="D2632" t="s">
        <v>8401</v>
      </c>
    </row>
    <row r="2633" spans="1:4" ht="14.45" x14ac:dyDescent="0.3">
      <c r="A2633">
        <v>10329</v>
      </c>
      <c r="B2633" t="s">
        <v>8856</v>
      </c>
      <c r="C2633" t="s">
        <v>5043</v>
      </c>
      <c r="D2633" t="s">
        <v>8401</v>
      </c>
    </row>
    <row r="2634" spans="1:4" ht="14.45" x14ac:dyDescent="0.3">
      <c r="A2634">
        <v>10427</v>
      </c>
      <c r="B2634" t="s">
        <v>8856</v>
      </c>
      <c r="C2634" t="s">
        <v>5043</v>
      </c>
      <c r="D2634" t="s">
        <v>8401</v>
      </c>
    </row>
    <row r="2635" spans="1:4" ht="14.45" x14ac:dyDescent="0.3">
      <c r="A2635">
        <v>11125</v>
      </c>
      <c r="B2635" t="s">
        <v>8856</v>
      </c>
      <c r="C2635" t="s">
        <v>5043</v>
      </c>
      <c r="D2635" t="s">
        <v>8401</v>
      </c>
    </row>
    <row r="2636" spans="1:4" ht="14.45" x14ac:dyDescent="0.3">
      <c r="A2636">
        <v>8076</v>
      </c>
      <c r="B2636" t="s">
        <v>8856</v>
      </c>
      <c r="C2636" t="s">
        <v>5043</v>
      </c>
      <c r="D2636" t="s">
        <v>8401</v>
      </c>
    </row>
    <row r="2637" spans="1:4" ht="14.45" x14ac:dyDescent="0.3">
      <c r="A2637">
        <v>9594</v>
      </c>
      <c r="B2637" t="s">
        <v>8856</v>
      </c>
      <c r="C2637" t="s">
        <v>5043</v>
      </c>
      <c r="D2637" t="s">
        <v>8401</v>
      </c>
    </row>
    <row r="2638" spans="1:4" ht="14.45" x14ac:dyDescent="0.3">
      <c r="A2638">
        <v>11053</v>
      </c>
      <c r="B2638" t="s">
        <v>10554</v>
      </c>
      <c r="C2638" t="s">
        <v>5043</v>
      </c>
      <c r="D2638" t="s">
        <v>8401</v>
      </c>
    </row>
    <row r="2639" spans="1:4" ht="14.45" x14ac:dyDescent="0.3">
      <c r="A2639">
        <v>8796</v>
      </c>
      <c r="B2639" t="s">
        <v>10554</v>
      </c>
      <c r="C2639" t="s">
        <v>5043</v>
      </c>
      <c r="D2639" t="s">
        <v>8401</v>
      </c>
    </row>
    <row r="2640" spans="1:4" ht="14.45" x14ac:dyDescent="0.3">
      <c r="A2640">
        <v>9978</v>
      </c>
      <c r="B2640" t="s">
        <v>10554</v>
      </c>
      <c r="C2640" t="s">
        <v>5043</v>
      </c>
      <c r="D2640" t="s">
        <v>8401</v>
      </c>
    </row>
    <row r="2641" spans="1:4" ht="14.45" x14ac:dyDescent="0.3">
      <c r="A2641">
        <v>10404</v>
      </c>
      <c r="B2641" t="s">
        <v>8857</v>
      </c>
      <c r="C2641" t="s">
        <v>5043</v>
      </c>
      <c r="D2641" t="s">
        <v>8401</v>
      </c>
    </row>
    <row r="2642" spans="1:4" ht="14.45" x14ac:dyDescent="0.3">
      <c r="A2642">
        <v>10406</v>
      </c>
      <c r="B2642" t="s">
        <v>8857</v>
      </c>
      <c r="C2642" t="s">
        <v>5043</v>
      </c>
      <c r="D2642" t="s">
        <v>8401</v>
      </c>
    </row>
    <row r="2643" spans="1:4" ht="14.45" x14ac:dyDescent="0.3">
      <c r="A2643">
        <v>10855</v>
      </c>
      <c r="B2643" t="s">
        <v>8857</v>
      </c>
      <c r="C2643" t="s">
        <v>5043</v>
      </c>
      <c r="D2643" t="s">
        <v>8401</v>
      </c>
    </row>
    <row r="2644" spans="1:4" ht="14.45" x14ac:dyDescent="0.3">
      <c r="A2644">
        <v>11309</v>
      </c>
      <c r="B2644" t="s">
        <v>8857</v>
      </c>
      <c r="C2644" t="s">
        <v>5043</v>
      </c>
      <c r="D2644" t="s">
        <v>8401</v>
      </c>
    </row>
    <row r="2645" spans="1:4" ht="14.45" x14ac:dyDescent="0.3">
      <c r="A2645">
        <v>7037</v>
      </c>
      <c r="B2645" t="s">
        <v>8857</v>
      </c>
      <c r="C2645" t="s">
        <v>5043</v>
      </c>
      <c r="D2645" t="s">
        <v>8401</v>
      </c>
    </row>
    <row r="2646" spans="1:4" ht="14.45" x14ac:dyDescent="0.3">
      <c r="A2646">
        <v>7754</v>
      </c>
      <c r="B2646" t="s">
        <v>8857</v>
      </c>
      <c r="C2646" t="s">
        <v>5043</v>
      </c>
      <c r="D2646" t="s">
        <v>8401</v>
      </c>
    </row>
    <row r="2647" spans="1:4" ht="14.45" x14ac:dyDescent="0.3">
      <c r="A2647">
        <v>8663</v>
      </c>
      <c r="B2647" t="s">
        <v>8857</v>
      </c>
      <c r="C2647" t="s">
        <v>5043</v>
      </c>
      <c r="D2647" t="s">
        <v>8401</v>
      </c>
    </row>
    <row r="2648" spans="1:4" ht="14.45" x14ac:dyDescent="0.3">
      <c r="A2648">
        <v>9531</v>
      </c>
      <c r="B2648" t="s">
        <v>8857</v>
      </c>
      <c r="C2648" t="s">
        <v>5043</v>
      </c>
      <c r="D2648" t="s">
        <v>8401</v>
      </c>
    </row>
    <row r="2649" spans="1:4" ht="14.45" x14ac:dyDescent="0.3">
      <c r="A2649">
        <v>9752</v>
      </c>
      <c r="B2649" t="s">
        <v>8857</v>
      </c>
      <c r="C2649" t="s">
        <v>5043</v>
      </c>
      <c r="D2649" t="s">
        <v>8401</v>
      </c>
    </row>
    <row r="2650" spans="1:4" ht="14.45" x14ac:dyDescent="0.3">
      <c r="A2650">
        <v>9941</v>
      </c>
      <c r="B2650" t="s">
        <v>8857</v>
      </c>
      <c r="C2650" t="s">
        <v>5043</v>
      </c>
      <c r="D2650" t="s">
        <v>8401</v>
      </c>
    </row>
    <row r="2651" spans="1:4" ht="14.45" x14ac:dyDescent="0.3">
      <c r="A2651">
        <v>7527</v>
      </c>
      <c r="B2651" t="s">
        <v>8858</v>
      </c>
      <c r="C2651" t="s">
        <v>5043</v>
      </c>
      <c r="D2651" t="s">
        <v>8401</v>
      </c>
    </row>
    <row r="2652" spans="1:4" ht="14.45" x14ac:dyDescent="0.3">
      <c r="A2652">
        <v>7631</v>
      </c>
      <c r="B2652" t="s">
        <v>8858</v>
      </c>
      <c r="C2652" t="s">
        <v>5043</v>
      </c>
      <c r="D2652" t="s">
        <v>8401</v>
      </c>
    </row>
    <row r="2653" spans="1:4" ht="14.45" x14ac:dyDescent="0.3">
      <c r="A2653">
        <v>8634</v>
      </c>
      <c r="B2653" t="s">
        <v>8858</v>
      </c>
      <c r="C2653" t="s">
        <v>5043</v>
      </c>
      <c r="D2653" t="s">
        <v>8401</v>
      </c>
    </row>
    <row r="2654" spans="1:4" ht="14.45" x14ac:dyDescent="0.3">
      <c r="A2654">
        <v>8813</v>
      </c>
      <c r="B2654" t="s">
        <v>8858</v>
      </c>
      <c r="C2654" t="s">
        <v>5043</v>
      </c>
      <c r="D2654" t="s">
        <v>8401</v>
      </c>
    </row>
    <row r="2655" spans="1:4" ht="14.45" x14ac:dyDescent="0.3">
      <c r="A2655">
        <v>9426</v>
      </c>
      <c r="B2655" t="s">
        <v>8858</v>
      </c>
      <c r="C2655" t="s">
        <v>5043</v>
      </c>
      <c r="D2655" t="s">
        <v>8401</v>
      </c>
    </row>
    <row r="2656" spans="1:4" ht="14.45" x14ac:dyDescent="0.3">
      <c r="A2656">
        <v>6533</v>
      </c>
      <c r="B2656" t="s">
        <v>8859</v>
      </c>
      <c r="C2656" t="s">
        <v>5043</v>
      </c>
      <c r="D2656" t="s">
        <v>8401</v>
      </c>
    </row>
    <row r="2657" spans="1:4" ht="14.45" x14ac:dyDescent="0.3">
      <c r="A2657">
        <v>7861</v>
      </c>
      <c r="B2657" t="s">
        <v>8859</v>
      </c>
      <c r="C2657" t="s">
        <v>5043</v>
      </c>
      <c r="D2657" t="s">
        <v>8401</v>
      </c>
    </row>
    <row r="2658" spans="1:4" ht="14.45" x14ac:dyDescent="0.3">
      <c r="A2658">
        <v>8164</v>
      </c>
      <c r="B2658" t="s">
        <v>8859</v>
      </c>
      <c r="C2658" t="s">
        <v>5043</v>
      </c>
      <c r="D2658" t="s">
        <v>8401</v>
      </c>
    </row>
    <row r="2659" spans="1:4" ht="14.45" x14ac:dyDescent="0.3">
      <c r="A2659">
        <v>11115</v>
      </c>
      <c r="B2659" t="s">
        <v>10555</v>
      </c>
      <c r="C2659" t="s">
        <v>5043</v>
      </c>
      <c r="D2659" t="s">
        <v>8401</v>
      </c>
    </row>
    <row r="2660" spans="1:4" ht="14.45" x14ac:dyDescent="0.3">
      <c r="A2660">
        <v>11698</v>
      </c>
      <c r="B2660" t="s">
        <v>10555</v>
      </c>
      <c r="C2660" t="s">
        <v>5043</v>
      </c>
      <c r="D2660" t="s">
        <v>8401</v>
      </c>
    </row>
    <row r="2661" spans="1:4" ht="14.45" x14ac:dyDescent="0.3">
      <c r="A2661">
        <v>6714</v>
      </c>
      <c r="B2661" t="s">
        <v>10555</v>
      </c>
      <c r="C2661" t="s">
        <v>5043</v>
      </c>
      <c r="D2661" t="s">
        <v>8401</v>
      </c>
    </row>
    <row r="2662" spans="1:4" ht="14.45" x14ac:dyDescent="0.3">
      <c r="A2662">
        <v>10750</v>
      </c>
      <c r="B2662" t="s">
        <v>10556</v>
      </c>
      <c r="C2662" t="s">
        <v>5043</v>
      </c>
      <c r="D2662" t="s">
        <v>8401</v>
      </c>
    </row>
    <row r="2663" spans="1:4" ht="14.45" x14ac:dyDescent="0.3">
      <c r="A2663">
        <v>7101</v>
      </c>
      <c r="B2663" t="s">
        <v>10556</v>
      </c>
      <c r="C2663" t="s">
        <v>5043</v>
      </c>
      <c r="D2663" t="s">
        <v>8401</v>
      </c>
    </row>
    <row r="2664" spans="1:4" ht="14.45" x14ac:dyDescent="0.3">
      <c r="A2664">
        <v>8621</v>
      </c>
      <c r="B2664" t="s">
        <v>10556</v>
      </c>
      <c r="C2664" t="s">
        <v>5043</v>
      </c>
      <c r="D2664" t="s">
        <v>8401</v>
      </c>
    </row>
    <row r="2665" spans="1:4" ht="14.45" x14ac:dyDescent="0.3">
      <c r="A2665">
        <v>6635</v>
      </c>
      <c r="B2665" t="s">
        <v>10557</v>
      </c>
      <c r="C2665" t="s">
        <v>5043</v>
      </c>
      <c r="D2665" t="s">
        <v>8401</v>
      </c>
    </row>
    <row r="2666" spans="1:4" ht="14.45" x14ac:dyDescent="0.3">
      <c r="A2666">
        <v>7332</v>
      </c>
      <c r="B2666" t="s">
        <v>10557</v>
      </c>
      <c r="C2666" t="s">
        <v>5043</v>
      </c>
      <c r="D2666" t="s">
        <v>8401</v>
      </c>
    </row>
    <row r="2667" spans="1:4" ht="14.45" x14ac:dyDescent="0.3">
      <c r="A2667">
        <v>9506</v>
      </c>
      <c r="B2667" t="s">
        <v>10557</v>
      </c>
      <c r="C2667" t="s">
        <v>5043</v>
      </c>
      <c r="D2667" t="s">
        <v>8401</v>
      </c>
    </row>
    <row r="2668" spans="1:4" ht="14.45" x14ac:dyDescent="0.3">
      <c r="A2668">
        <v>9795</v>
      </c>
      <c r="B2668" t="s">
        <v>10557</v>
      </c>
      <c r="C2668" t="s">
        <v>5043</v>
      </c>
      <c r="D2668" t="s">
        <v>8401</v>
      </c>
    </row>
    <row r="2669" spans="1:4" ht="14.45" x14ac:dyDescent="0.3">
      <c r="A2669">
        <v>7749</v>
      </c>
      <c r="B2669" t="s">
        <v>10558</v>
      </c>
      <c r="C2669" t="s">
        <v>5043</v>
      </c>
      <c r="D2669" t="s">
        <v>8401</v>
      </c>
    </row>
    <row r="2670" spans="1:4" ht="14.45" x14ac:dyDescent="0.3">
      <c r="A2670">
        <v>7751</v>
      </c>
      <c r="B2670" t="s">
        <v>10558</v>
      </c>
      <c r="C2670" t="s">
        <v>5043</v>
      </c>
      <c r="D2670" t="s">
        <v>8401</v>
      </c>
    </row>
    <row r="2671" spans="1:4" ht="14.45" x14ac:dyDescent="0.3">
      <c r="A2671">
        <v>8463</v>
      </c>
      <c r="B2671" t="s">
        <v>10558</v>
      </c>
      <c r="C2671" t="s">
        <v>5043</v>
      </c>
      <c r="D2671" t="s">
        <v>8401</v>
      </c>
    </row>
    <row r="2672" spans="1:4" ht="14.45" x14ac:dyDescent="0.3">
      <c r="A2672">
        <v>9867</v>
      </c>
      <c r="B2672" t="s">
        <v>10558</v>
      </c>
      <c r="C2672" t="s">
        <v>5043</v>
      </c>
      <c r="D2672" t="s">
        <v>8401</v>
      </c>
    </row>
    <row r="2673" spans="1:4" ht="14.45" x14ac:dyDescent="0.3">
      <c r="A2673">
        <v>10763</v>
      </c>
      <c r="B2673" t="s">
        <v>10559</v>
      </c>
      <c r="C2673" t="s">
        <v>5043</v>
      </c>
      <c r="D2673" t="s">
        <v>8401</v>
      </c>
    </row>
    <row r="2674" spans="1:4" ht="14.45" x14ac:dyDescent="0.3">
      <c r="A2674">
        <v>10716</v>
      </c>
      <c r="B2674" t="s">
        <v>8860</v>
      </c>
      <c r="C2674" t="s">
        <v>5043</v>
      </c>
      <c r="D2674" t="s">
        <v>8401</v>
      </c>
    </row>
    <row r="2675" spans="1:4" ht="14.45" x14ac:dyDescent="0.3">
      <c r="A2675">
        <v>11682</v>
      </c>
      <c r="B2675" t="s">
        <v>8860</v>
      </c>
      <c r="C2675" t="s">
        <v>5043</v>
      </c>
      <c r="D2675" t="s">
        <v>8401</v>
      </c>
    </row>
    <row r="2676" spans="1:4" ht="14.45" x14ac:dyDescent="0.3">
      <c r="A2676">
        <v>6833</v>
      </c>
      <c r="B2676" t="s">
        <v>8860</v>
      </c>
      <c r="C2676" t="s">
        <v>5043</v>
      </c>
      <c r="D2676" t="s">
        <v>8401</v>
      </c>
    </row>
    <row r="2677" spans="1:4" ht="14.45" x14ac:dyDescent="0.3">
      <c r="A2677">
        <v>8437</v>
      </c>
      <c r="B2677" t="s">
        <v>8860</v>
      </c>
      <c r="C2677" t="s">
        <v>5043</v>
      </c>
      <c r="D2677" t="s">
        <v>8401</v>
      </c>
    </row>
    <row r="2678" spans="1:4" ht="14.45" x14ac:dyDescent="0.3">
      <c r="A2678">
        <v>9328</v>
      </c>
      <c r="B2678" t="s">
        <v>8860</v>
      </c>
      <c r="C2678" t="s">
        <v>5043</v>
      </c>
      <c r="D2678" t="s">
        <v>8401</v>
      </c>
    </row>
    <row r="2679" spans="1:4" ht="14.45" x14ac:dyDescent="0.3">
      <c r="A2679">
        <v>6467</v>
      </c>
      <c r="B2679" t="s">
        <v>10560</v>
      </c>
      <c r="C2679" t="s">
        <v>5043</v>
      </c>
      <c r="D2679" t="s">
        <v>8401</v>
      </c>
    </row>
    <row r="2680" spans="1:4" ht="14.45" x14ac:dyDescent="0.3">
      <c r="A2680">
        <v>6478</v>
      </c>
      <c r="B2680" t="s">
        <v>10560</v>
      </c>
      <c r="C2680" t="s">
        <v>5043</v>
      </c>
      <c r="D2680" t="s">
        <v>8401</v>
      </c>
    </row>
    <row r="2681" spans="1:4" ht="14.45" x14ac:dyDescent="0.3">
      <c r="A2681">
        <v>7946</v>
      </c>
      <c r="B2681" t="s">
        <v>10560</v>
      </c>
      <c r="C2681" t="s">
        <v>5043</v>
      </c>
      <c r="D2681" t="s">
        <v>8401</v>
      </c>
    </row>
    <row r="2682" spans="1:4" ht="14.45" x14ac:dyDescent="0.3">
      <c r="A2682">
        <v>7025</v>
      </c>
      <c r="B2682" t="s">
        <v>10561</v>
      </c>
      <c r="C2682" t="s">
        <v>5043</v>
      </c>
      <c r="D2682" t="s">
        <v>8401</v>
      </c>
    </row>
    <row r="2683" spans="1:4" ht="14.45" x14ac:dyDescent="0.3">
      <c r="A2683">
        <v>7848</v>
      </c>
      <c r="B2683" t="s">
        <v>10561</v>
      </c>
      <c r="C2683" t="s">
        <v>5043</v>
      </c>
      <c r="D2683" t="s">
        <v>8401</v>
      </c>
    </row>
    <row r="2684" spans="1:4" ht="14.45" x14ac:dyDescent="0.3">
      <c r="A2684">
        <v>8507</v>
      </c>
      <c r="B2684" t="s">
        <v>10562</v>
      </c>
      <c r="C2684" t="s">
        <v>5043</v>
      </c>
      <c r="D2684" t="s">
        <v>8401</v>
      </c>
    </row>
    <row r="2685" spans="1:4" ht="14.45" x14ac:dyDescent="0.3">
      <c r="A2685">
        <v>9882</v>
      </c>
      <c r="B2685" t="s">
        <v>10562</v>
      </c>
      <c r="C2685" t="s">
        <v>5043</v>
      </c>
      <c r="D2685" t="s">
        <v>8401</v>
      </c>
    </row>
    <row r="2686" spans="1:4" ht="14.45" x14ac:dyDescent="0.3">
      <c r="A2686">
        <v>11072</v>
      </c>
      <c r="B2686" t="s">
        <v>10563</v>
      </c>
      <c r="C2686" t="s">
        <v>5043</v>
      </c>
      <c r="D2686" t="s">
        <v>8401</v>
      </c>
    </row>
    <row r="2687" spans="1:4" ht="14.45" x14ac:dyDescent="0.3">
      <c r="A2687">
        <v>11121</v>
      </c>
      <c r="B2687" t="s">
        <v>10563</v>
      </c>
      <c r="C2687" t="s">
        <v>5043</v>
      </c>
      <c r="D2687" t="s">
        <v>8401</v>
      </c>
    </row>
    <row r="2688" spans="1:4" ht="14.45" x14ac:dyDescent="0.3">
      <c r="A2688">
        <v>6670</v>
      </c>
      <c r="B2688" t="s">
        <v>10563</v>
      </c>
      <c r="C2688" t="s">
        <v>5043</v>
      </c>
      <c r="D2688" t="s">
        <v>8401</v>
      </c>
    </row>
    <row r="2689" spans="1:4" ht="14.45" x14ac:dyDescent="0.3">
      <c r="A2689">
        <v>8516</v>
      </c>
      <c r="B2689" t="s">
        <v>10563</v>
      </c>
      <c r="C2689" t="s">
        <v>5043</v>
      </c>
      <c r="D2689" t="s">
        <v>8401</v>
      </c>
    </row>
    <row r="2690" spans="1:4" ht="14.45" x14ac:dyDescent="0.3">
      <c r="A2690">
        <v>7187</v>
      </c>
      <c r="B2690" t="s">
        <v>8861</v>
      </c>
      <c r="C2690" t="s">
        <v>5043</v>
      </c>
      <c r="D2690" t="s">
        <v>8401</v>
      </c>
    </row>
    <row r="2691" spans="1:4" ht="14.45" x14ac:dyDescent="0.3">
      <c r="A2691">
        <v>10126</v>
      </c>
      <c r="B2691" t="s">
        <v>10564</v>
      </c>
      <c r="C2691" t="s">
        <v>5043</v>
      </c>
      <c r="D2691" t="s">
        <v>8401</v>
      </c>
    </row>
    <row r="2692" spans="1:4" ht="14.45" x14ac:dyDescent="0.3">
      <c r="A2692">
        <v>8646</v>
      </c>
      <c r="B2692" t="s">
        <v>10564</v>
      </c>
      <c r="C2692" t="s">
        <v>5043</v>
      </c>
      <c r="D2692" t="s">
        <v>8401</v>
      </c>
    </row>
    <row r="2693" spans="1:4" ht="14.45" x14ac:dyDescent="0.3">
      <c r="A2693">
        <v>9510</v>
      </c>
      <c r="B2693" t="s">
        <v>10564</v>
      </c>
      <c r="C2693" t="s">
        <v>5043</v>
      </c>
      <c r="D2693" t="s">
        <v>8401</v>
      </c>
    </row>
    <row r="2694" spans="1:4" ht="14.45" x14ac:dyDescent="0.3">
      <c r="A2694">
        <v>8255</v>
      </c>
      <c r="B2694" t="s">
        <v>10565</v>
      </c>
      <c r="C2694" t="s">
        <v>5043</v>
      </c>
      <c r="D2694" t="s">
        <v>8401</v>
      </c>
    </row>
    <row r="2695" spans="1:4" ht="14.45" x14ac:dyDescent="0.3">
      <c r="A2695">
        <v>9886</v>
      </c>
      <c r="B2695" t="s">
        <v>8862</v>
      </c>
      <c r="C2695" t="s">
        <v>5043</v>
      </c>
      <c r="D2695" t="s">
        <v>8401</v>
      </c>
    </row>
    <row r="2696" spans="1:4" ht="14.45" x14ac:dyDescent="0.3">
      <c r="A2696">
        <v>6787</v>
      </c>
      <c r="B2696" t="s">
        <v>8863</v>
      </c>
      <c r="C2696" t="s">
        <v>5043</v>
      </c>
      <c r="D2696" t="s">
        <v>8401</v>
      </c>
    </row>
    <row r="2697" spans="1:4" ht="14.45" x14ac:dyDescent="0.3">
      <c r="A2697">
        <v>7506</v>
      </c>
      <c r="B2697" t="s">
        <v>8863</v>
      </c>
      <c r="C2697" t="s">
        <v>5043</v>
      </c>
      <c r="D2697" t="s">
        <v>8401</v>
      </c>
    </row>
    <row r="2698" spans="1:4" ht="14.45" x14ac:dyDescent="0.3">
      <c r="A2698">
        <v>8652</v>
      </c>
      <c r="B2698" t="s">
        <v>8863</v>
      </c>
      <c r="C2698" t="s">
        <v>5043</v>
      </c>
      <c r="D2698" t="s">
        <v>8401</v>
      </c>
    </row>
    <row r="2699" spans="1:4" ht="14.45" x14ac:dyDescent="0.3">
      <c r="A2699">
        <v>10210</v>
      </c>
      <c r="B2699" t="s">
        <v>10566</v>
      </c>
      <c r="C2699" t="s">
        <v>5043</v>
      </c>
      <c r="D2699" t="s">
        <v>8401</v>
      </c>
    </row>
    <row r="2700" spans="1:4" ht="14.45" x14ac:dyDescent="0.3">
      <c r="A2700">
        <v>7046</v>
      </c>
      <c r="B2700" t="s">
        <v>10566</v>
      </c>
      <c r="C2700" t="s">
        <v>5043</v>
      </c>
      <c r="D2700" t="s">
        <v>8401</v>
      </c>
    </row>
    <row r="2701" spans="1:4" ht="14.45" x14ac:dyDescent="0.3">
      <c r="A2701">
        <v>8319</v>
      </c>
      <c r="B2701" t="s">
        <v>10566</v>
      </c>
      <c r="C2701" t="s">
        <v>5043</v>
      </c>
      <c r="D2701" t="s">
        <v>8401</v>
      </c>
    </row>
    <row r="2702" spans="1:4" ht="14.45" x14ac:dyDescent="0.3">
      <c r="A2702">
        <v>10373</v>
      </c>
      <c r="B2702" t="s">
        <v>8864</v>
      </c>
      <c r="C2702" t="s">
        <v>5043</v>
      </c>
      <c r="D2702" t="s">
        <v>8401</v>
      </c>
    </row>
    <row r="2703" spans="1:4" ht="14.45" x14ac:dyDescent="0.3">
      <c r="A2703">
        <v>7549</v>
      </c>
      <c r="B2703" t="s">
        <v>10567</v>
      </c>
      <c r="C2703" t="s">
        <v>5043</v>
      </c>
      <c r="D2703" t="s">
        <v>8401</v>
      </c>
    </row>
    <row r="2704" spans="1:4" ht="14.45" x14ac:dyDescent="0.3">
      <c r="A2704">
        <v>8312</v>
      </c>
      <c r="B2704" t="s">
        <v>10567</v>
      </c>
      <c r="C2704" t="s">
        <v>5043</v>
      </c>
      <c r="D2704" t="s">
        <v>8401</v>
      </c>
    </row>
    <row r="2705" spans="1:4" ht="14.45" x14ac:dyDescent="0.3">
      <c r="A2705">
        <v>6399</v>
      </c>
      <c r="B2705" t="s">
        <v>10568</v>
      </c>
      <c r="C2705" t="s">
        <v>5043</v>
      </c>
      <c r="D2705" t="s">
        <v>8401</v>
      </c>
    </row>
    <row r="2706" spans="1:4" ht="14.45" x14ac:dyDescent="0.3">
      <c r="A2706">
        <v>6738</v>
      </c>
      <c r="B2706" t="s">
        <v>10568</v>
      </c>
      <c r="C2706" t="s">
        <v>5043</v>
      </c>
      <c r="D2706" t="s">
        <v>8401</v>
      </c>
    </row>
    <row r="2707" spans="1:4" ht="14.45" x14ac:dyDescent="0.3">
      <c r="A2707">
        <v>8392</v>
      </c>
      <c r="B2707" t="s">
        <v>10568</v>
      </c>
      <c r="C2707" t="s">
        <v>5043</v>
      </c>
      <c r="D2707" t="s">
        <v>8401</v>
      </c>
    </row>
    <row r="2708" spans="1:4" ht="14.45" x14ac:dyDescent="0.3">
      <c r="A2708">
        <v>7336</v>
      </c>
      <c r="B2708" t="s">
        <v>8865</v>
      </c>
      <c r="C2708" t="s">
        <v>5043</v>
      </c>
      <c r="D2708" t="s">
        <v>8401</v>
      </c>
    </row>
    <row r="2709" spans="1:4" ht="14.45" x14ac:dyDescent="0.3">
      <c r="A2709">
        <v>10222</v>
      </c>
      <c r="B2709" t="s">
        <v>10569</v>
      </c>
      <c r="C2709" t="s">
        <v>5043</v>
      </c>
      <c r="D2709" t="s">
        <v>8401</v>
      </c>
    </row>
    <row r="2710" spans="1:4" ht="14.45" x14ac:dyDescent="0.3">
      <c r="A2710">
        <v>10391</v>
      </c>
      <c r="B2710" t="s">
        <v>10569</v>
      </c>
      <c r="C2710" t="s">
        <v>5043</v>
      </c>
      <c r="D2710" t="s">
        <v>8401</v>
      </c>
    </row>
    <row r="2711" spans="1:4" ht="14.45" x14ac:dyDescent="0.3">
      <c r="A2711">
        <v>10541</v>
      </c>
      <c r="B2711" t="s">
        <v>10569</v>
      </c>
      <c r="C2711" t="s">
        <v>5043</v>
      </c>
      <c r="D2711" t="s">
        <v>8401</v>
      </c>
    </row>
    <row r="2712" spans="1:4" ht="14.45" x14ac:dyDescent="0.3">
      <c r="A2712">
        <v>10559</v>
      </c>
      <c r="B2712" t="s">
        <v>10569</v>
      </c>
      <c r="C2712" t="s">
        <v>5043</v>
      </c>
      <c r="D2712" t="s">
        <v>8401</v>
      </c>
    </row>
    <row r="2713" spans="1:4" ht="14.45" x14ac:dyDescent="0.3">
      <c r="A2713">
        <v>11146</v>
      </c>
      <c r="B2713" t="s">
        <v>10569</v>
      </c>
      <c r="C2713" t="s">
        <v>5043</v>
      </c>
      <c r="D2713" t="s">
        <v>8401</v>
      </c>
    </row>
    <row r="2714" spans="1:4" ht="14.45" x14ac:dyDescent="0.3">
      <c r="A2714">
        <v>6494</v>
      </c>
      <c r="B2714" t="s">
        <v>10569</v>
      </c>
      <c r="C2714" t="s">
        <v>5043</v>
      </c>
      <c r="D2714" t="s">
        <v>8401</v>
      </c>
    </row>
    <row r="2715" spans="1:4" ht="14.45" x14ac:dyDescent="0.3">
      <c r="A2715">
        <v>6591</v>
      </c>
      <c r="B2715" t="s">
        <v>10569</v>
      </c>
      <c r="C2715" t="s">
        <v>5043</v>
      </c>
      <c r="D2715" t="s">
        <v>8401</v>
      </c>
    </row>
    <row r="2716" spans="1:4" ht="14.45" x14ac:dyDescent="0.3">
      <c r="A2716">
        <v>7293</v>
      </c>
      <c r="B2716" t="s">
        <v>10569</v>
      </c>
      <c r="C2716" t="s">
        <v>5043</v>
      </c>
      <c r="D2716" t="s">
        <v>8401</v>
      </c>
    </row>
    <row r="2717" spans="1:4" ht="14.45" x14ac:dyDescent="0.3">
      <c r="A2717">
        <v>7456</v>
      </c>
      <c r="B2717" t="s">
        <v>10569</v>
      </c>
      <c r="C2717" t="s">
        <v>5043</v>
      </c>
      <c r="D2717" t="s">
        <v>8401</v>
      </c>
    </row>
    <row r="2718" spans="1:4" ht="14.45" x14ac:dyDescent="0.3">
      <c r="A2718">
        <v>7650</v>
      </c>
      <c r="B2718" t="s">
        <v>10569</v>
      </c>
      <c r="C2718" t="s">
        <v>5043</v>
      </c>
      <c r="D2718" t="s">
        <v>8401</v>
      </c>
    </row>
    <row r="2719" spans="1:4" ht="14.45" x14ac:dyDescent="0.3">
      <c r="A2719">
        <v>7845</v>
      </c>
      <c r="B2719" t="s">
        <v>10569</v>
      </c>
      <c r="C2719" t="s">
        <v>5043</v>
      </c>
      <c r="D2719" t="s">
        <v>8401</v>
      </c>
    </row>
    <row r="2720" spans="1:4" ht="14.45" x14ac:dyDescent="0.3">
      <c r="A2720">
        <v>7908</v>
      </c>
      <c r="B2720" t="s">
        <v>10569</v>
      </c>
      <c r="C2720" t="s">
        <v>5043</v>
      </c>
      <c r="D2720" t="s">
        <v>8401</v>
      </c>
    </row>
    <row r="2721" spans="1:4" ht="14.45" x14ac:dyDescent="0.3">
      <c r="A2721">
        <v>8035</v>
      </c>
      <c r="B2721" t="s">
        <v>10569</v>
      </c>
      <c r="C2721" t="s">
        <v>5043</v>
      </c>
      <c r="D2721" t="s">
        <v>8401</v>
      </c>
    </row>
    <row r="2722" spans="1:4" ht="14.45" x14ac:dyDescent="0.3">
      <c r="A2722">
        <v>9838</v>
      </c>
      <c r="B2722" t="s">
        <v>10569</v>
      </c>
      <c r="C2722" t="s">
        <v>5043</v>
      </c>
      <c r="D2722" t="s">
        <v>8401</v>
      </c>
    </row>
    <row r="2723" spans="1:4" ht="14.45" x14ac:dyDescent="0.3">
      <c r="A2723">
        <v>9957</v>
      </c>
      <c r="B2723" t="s">
        <v>10569</v>
      </c>
      <c r="C2723" t="s">
        <v>5043</v>
      </c>
      <c r="D2723" t="s">
        <v>8401</v>
      </c>
    </row>
    <row r="2724" spans="1:4" ht="14.45" x14ac:dyDescent="0.3">
      <c r="A2724">
        <v>9374</v>
      </c>
      <c r="B2724" t="s">
        <v>10570</v>
      </c>
      <c r="C2724" t="s">
        <v>5043</v>
      </c>
      <c r="D2724" t="s">
        <v>8401</v>
      </c>
    </row>
    <row r="2725" spans="1:4" ht="14.45" x14ac:dyDescent="0.3">
      <c r="A2725">
        <v>6523</v>
      </c>
      <c r="B2725" t="s">
        <v>10571</v>
      </c>
      <c r="C2725" t="s">
        <v>5043</v>
      </c>
      <c r="D2725" t="s">
        <v>8401</v>
      </c>
    </row>
    <row r="2726" spans="1:4" ht="14.45" x14ac:dyDescent="0.3">
      <c r="A2726">
        <v>8427</v>
      </c>
      <c r="B2726" t="s">
        <v>10571</v>
      </c>
      <c r="C2726" t="s">
        <v>5043</v>
      </c>
      <c r="D2726" t="s">
        <v>8401</v>
      </c>
    </row>
    <row r="2727" spans="1:4" ht="14.45" x14ac:dyDescent="0.3">
      <c r="A2727">
        <v>9691</v>
      </c>
      <c r="B2727" t="s">
        <v>10572</v>
      </c>
      <c r="C2727" t="s">
        <v>5043</v>
      </c>
      <c r="D2727" t="s">
        <v>8401</v>
      </c>
    </row>
    <row r="2728" spans="1:4" ht="14.45" x14ac:dyDescent="0.3">
      <c r="A2728">
        <v>10730</v>
      </c>
      <c r="B2728" t="s">
        <v>10573</v>
      </c>
      <c r="C2728" t="s">
        <v>5043</v>
      </c>
      <c r="D2728" t="s">
        <v>8401</v>
      </c>
    </row>
    <row r="2729" spans="1:4" ht="14.45" x14ac:dyDescent="0.3">
      <c r="A2729">
        <v>10581</v>
      </c>
      <c r="B2729" t="s">
        <v>8866</v>
      </c>
      <c r="C2729" t="s">
        <v>5043</v>
      </c>
      <c r="D2729" t="s">
        <v>8401</v>
      </c>
    </row>
    <row r="2730" spans="1:4" ht="14.45" x14ac:dyDescent="0.3">
      <c r="A2730">
        <v>10347</v>
      </c>
      <c r="B2730" t="s">
        <v>10574</v>
      </c>
      <c r="C2730" t="s">
        <v>5043</v>
      </c>
      <c r="D2730" t="s">
        <v>8401</v>
      </c>
    </row>
    <row r="2731" spans="1:4" ht="14.45" x14ac:dyDescent="0.3">
      <c r="A2731">
        <v>6567</v>
      </c>
      <c r="B2731" t="s">
        <v>10574</v>
      </c>
      <c r="C2731" t="s">
        <v>5043</v>
      </c>
      <c r="D2731" t="s">
        <v>8401</v>
      </c>
    </row>
    <row r="2732" spans="1:4" ht="14.45" x14ac:dyDescent="0.3">
      <c r="A2732">
        <v>6907</v>
      </c>
      <c r="B2732" t="s">
        <v>10574</v>
      </c>
      <c r="C2732" t="s">
        <v>5043</v>
      </c>
      <c r="D2732" t="s">
        <v>8401</v>
      </c>
    </row>
    <row r="2733" spans="1:4" ht="14.45" x14ac:dyDescent="0.3">
      <c r="A2733">
        <v>7648</v>
      </c>
      <c r="B2733" t="s">
        <v>10574</v>
      </c>
      <c r="C2733" t="s">
        <v>5043</v>
      </c>
      <c r="D2733" t="s">
        <v>8401</v>
      </c>
    </row>
    <row r="2734" spans="1:4" ht="14.45" x14ac:dyDescent="0.3">
      <c r="A2734">
        <v>8700</v>
      </c>
      <c r="B2734" t="s">
        <v>10574</v>
      </c>
      <c r="C2734" t="s">
        <v>5043</v>
      </c>
      <c r="D2734" t="s">
        <v>8401</v>
      </c>
    </row>
    <row r="2735" spans="1:4" ht="14.45" x14ac:dyDescent="0.3">
      <c r="A2735">
        <v>10357</v>
      </c>
      <c r="B2735" t="s">
        <v>8867</v>
      </c>
      <c r="C2735" t="s">
        <v>5043</v>
      </c>
      <c r="D2735" t="s">
        <v>8401</v>
      </c>
    </row>
    <row r="2736" spans="1:4" ht="14.45" x14ac:dyDescent="0.3">
      <c r="A2736">
        <v>11202</v>
      </c>
      <c r="B2736" t="s">
        <v>8867</v>
      </c>
      <c r="C2736" t="s">
        <v>5043</v>
      </c>
      <c r="D2736" t="s">
        <v>8401</v>
      </c>
    </row>
    <row r="2737" spans="1:4" ht="14.45" x14ac:dyDescent="0.3">
      <c r="A2737">
        <v>9503</v>
      </c>
      <c r="B2737" t="s">
        <v>8867</v>
      </c>
      <c r="C2737" t="s">
        <v>5043</v>
      </c>
      <c r="D2737" t="s">
        <v>8401</v>
      </c>
    </row>
    <row r="2738" spans="1:4" ht="14.45" x14ac:dyDescent="0.3">
      <c r="A2738">
        <v>11476</v>
      </c>
      <c r="B2738" t="s">
        <v>10575</v>
      </c>
      <c r="C2738" t="s">
        <v>5043</v>
      </c>
      <c r="D2738" t="s">
        <v>8401</v>
      </c>
    </row>
    <row r="2739" spans="1:4" ht="14.45" x14ac:dyDescent="0.3">
      <c r="A2739">
        <v>7641</v>
      </c>
      <c r="B2739" t="s">
        <v>10575</v>
      </c>
      <c r="C2739" t="s">
        <v>5043</v>
      </c>
      <c r="D2739" t="s">
        <v>8401</v>
      </c>
    </row>
    <row r="2740" spans="1:4" ht="14.45" x14ac:dyDescent="0.3">
      <c r="A2740">
        <v>7693</v>
      </c>
      <c r="B2740" t="s">
        <v>10575</v>
      </c>
      <c r="C2740" t="s">
        <v>5043</v>
      </c>
      <c r="D2740" t="s">
        <v>8401</v>
      </c>
    </row>
    <row r="2741" spans="1:4" ht="14.45" x14ac:dyDescent="0.3">
      <c r="A2741">
        <v>8587</v>
      </c>
      <c r="B2741" t="s">
        <v>10575</v>
      </c>
      <c r="C2741" t="s">
        <v>5043</v>
      </c>
      <c r="D2741" t="s">
        <v>8401</v>
      </c>
    </row>
    <row r="2742" spans="1:4" ht="14.45" x14ac:dyDescent="0.3">
      <c r="A2742">
        <v>9104</v>
      </c>
      <c r="B2742" t="s">
        <v>10575</v>
      </c>
      <c r="C2742" t="s">
        <v>5043</v>
      </c>
      <c r="D2742" t="s">
        <v>8401</v>
      </c>
    </row>
    <row r="2743" spans="1:4" ht="14.45" x14ac:dyDescent="0.3">
      <c r="A2743">
        <v>10346</v>
      </c>
      <c r="B2743" t="s">
        <v>10576</v>
      </c>
      <c r="C2743" t="s">
        <v>5043</v>
      </c>
      <c r="D2743" t="s">
        <v>8401</v>
      </c>
    </row>
    <row r="2744" spans="1:4" ht="14.45" x14ac:dyDescent="0.3">
      <c r="A2744">
        <v>6867</v>
      </c>
      <c r="B2744" t="s">
        <v>10576</v>
      </c>
      <c r="C2744" t="s">
        <v>5043</v>
      </c>
      <c r="D2744" t="s">
        <v>8401</v>
      </c>
    </row>
    <row r="2745" spans="1:4" ht="14.45" x14ac:dyDescent="0.3">
      <c r="A2745">
        <v>9727</v>
      </c>
      <c r="B2745" t="s">
        <v>10576</v>
      </c>
      <c r="C2745" t="s">
        <v>5043</v>
      </c>
      <c r="D2745" t="s">
        <v>8401</v>
      </c>
    </row>
    <row r="2746" spans="1:4" ht="14.45" x14ac:dyDescent="0.3">
      <c r="A2746">
        <v>10202</v>
      </c>
      <c r="B2746" t="s">
        <v>8868</v>
      </c>
      <c r="C2746" t="s">
        <v>5043</v>
      </c>
      <c r="D2746" t="s">
        <v>8401</v>
      </c>
    </row>
    <row r="2747" spans="1:4" ht="14.45" x14ac:dyDescent="0.3">
      <c r="A2747">
        <v>8371</v>
      </c>
      <c r="B2747" t="s">
        <v>8868</v>
      </c>
      <c r="C2747" t="s">
        <v>5043</v>
      </c>
      <c r="D2747" t="s">
        <v>8401</v>
      </c>
    </row>
    <row r="2748" spans="1:4" ht="14.45" x14ac:dyDescent="0.3">
      <c r="A2748">
        <v>10891</v>
      </c>
      <c r="B2748" t="s">
        <v>8869</v>
      </c>
      <c r="C2748" t="s">
        <v>5043</v>
      </c>
      <c r="D2748" t="s">
        <v>8401</v>
      </c>
    </row>
    <row r="2749" spans="1:4" ht="14.45" x14ac:dyDescent="0.3">
      <c r="A2749">
        <v>11108</v>
      </c>
      <c r="B2749" t="s">
        <v>8869</v>
      </c>
      <c r="C2749" t="s">
        <v>5043</v>
      </c>
      <c r="D2749" t="s">
        <v>8401</v>
      </c>
    </row>
    <row r="2750" spans="1:4" ht="14.45" x14ac:dyDescent="0.3">
      <c r="A2750">
        <v>7366</v>
      </c>
      <c r="B2750" t="s">
        <v>8869</v>
      </c>
      <c r="C2750" t="s">
        <v>5043</v>
      </c>
      <c r="D2750" t="s">
        <v>8401</v>
      </c>
    </row>
    <row r="2751" spans="1:4" ht="14.45" x14ac:dyDescent="0.3">
      <c r="A2751">
        <v>7804</v>
      </c>
      <c r="B2751" t="s">
        <v>8869</v>
      </c>
      <c r="C2751" t="s">
        <v>5043</v>
      </c>
      <c r="D2751" t="s">
        <v>8401</v>
      </c>
    </row>
    <row r="2752" spans="1:4" ht="14.45" x14ac:dyDescent="0.3">
      <c r="A2752">
        <v>7872</v>
      </c>
      <c r="B2752" t="s">
        <v>8869</v>
      </c>
      <c r="C2752" t="s">
        <v>5043</v>
      </c>
      <c r="D2752" t="s">
        <v>8401</v>
      </c>
    </row>
    <row r="2753" spans="1:4" ht="14.45" x14ac:dyDescent="0.3">
      <c r="A2753">
        <v>8101</v>
      </c>
      <c r="B2753" t="s">
        <v>8869</v>
      </c>
      <c r="C2753" t="s">
        <v>5043</v>
      </c>
      <c r="D2753" t="s">
        <v>8401</v>
      </c>
    </row>
    <row r="2754" spans="1:4" ht="14.45" x14ac:dyDescent="0.3">
      <c r="A2754">
        <v>8586</v>
      </c>
      <c r="B2754" t="s">
        <v>8869</v>
      </c>
      <c r="C2754" t="s">
        <v>5043</v>
      </c>
      <c r="D2754" t="s">
        <v>8401</v>
      </c>
    </row>
    <row r="2755" spans="1:4" ht="14.45" x14ac:dyDescent="0.3">
      <c r="A2755">
        <v>9125</v>
      </c>
      <c r="B2755" t="s">
        <v>8869</v>
      </c>
      <c r="C2755" t="s">
        <v>5043</v>
      </c>
      <c r="D2755" t="s">
        <v>8401</v>
      </c>
    </row>
    <row r="2756" spans="1:4" ht="14.45" x14ac:dyDescent="0.3">
      <c r="A2756">
        <v>9212</v>
      </c>
      <c r="B2756" t="s">
        <v>8869</v>
      </c>
      <c r="C2756" t="s">
        <v>5043</v>
      </c>
      <c r="D2756" t="s">
        <v>8401</v>
      </c>
    </row>
    <row r="2757" spans="1:4" ht="14.45" x14ac:dyDescent="0.3">
      <c r="A2757">
        <v>9436</v>
      </c>
      <c r="B2757" t="s">
        <v>8869</v>
      </c>
      <c r="C2757" t="s">
        <v>5043</v>
      </c>
      <c r="D2757" t="s">
        <v>8401</v>
      </c>
    </row>
    <row r="2758" spans="1:4" ht="14.45" x14ac:dyDescent="0.3">
      <c r="A2758">
        <v>9514</v>
      </c>
      <c r="B2758" t="s">
        <v>10577</v>
      </c>
      <c r="C2758" t="s">
        <v>5043</v>
      </c>
      <c r="D2758" t="s">
        <v>8401</v>
      </c>
    </row>
    <row r="2759" spans="1:4" ht="14.45" x14ac:dyDescent="0.3">
      <c r="A2759">
        <v>7333</v>
      </c>
      <c r="B2759" t="s">
        <v>8870</v>
      </c>
      <c r="C2759" t="s">
        <v>5043</v>
      </c>
      <c r="D2759" t="s">
        <v>8401</v>
      </c>
    </row>
    <row r="2760" spans="1:4" ht="14.45" x14ac:dyDescent="0.3">
      <c r="A2760">
        <v>11467</v>
      </c>
      <c r="B2760" t="s">
        <v>8871</v>
      </c>
      <c r="C2760" t="s">
        <v>5043</v>
      </c>
      <c r="D2760" t="s">
        <v>8401</v>
      </c>
    </row>
    <row r="2761" spans="1:4" ht="14.45" x14ac:dyDescent="0.3">
      <c r="A2761">
        <v>7738</v>
      </c>
      <c r="B2761" t="s">
        <v>8871</v>
      </c>
      <c r="C2761" t="s">
        <v>5043</v>
      </c>
      <c r="D2761" t="s">
        <v>8401</v>
      </c>
    </row>
    <row r="2762" spans="1:4" ht="14.45" x14ac:dyDescent="0.3">
      <c r="A2762">
        <v>8422</v>
      </c>
      <c r="B2762" t="s">
        <v>8871</v>
      </c>
      <c r="C2762" t="s">
        <v>5043</v>
      </c>
      <c r="D2762" t="s">
        <v>8401</v>
      </c>
    </row>
    <row r="2763" spans="1:4" ht="14.45" x14ac:dyDescent="0.3">
      <c r="A2763">
        <v>9746</v>
      </c>
      <c r="B2763" t="s">
        <v>8872</v>
      </c>
      <c r="C2763" t="s">
        <v>5043</v>
      </c>
      <c r="D2763" t="s">
        <v>8401</v>
      </c>
    </row>
    <row r="2764" spans="1:4" ht="14.45" x14ac:dyDescent="0.3">
      <c r="A2764">
        <v>9847</v>
      </c>
      <c r="B2764" t="s">
        <v>8872</v>
      </c>
      <c r="C2764" t="s">
        <v>5043</v>
      </c>
      <c r="D2764" t="s">
        <v>8401</v>
      </c>
    </row>
    <row r="2765" spans="1:4" ht="14.45" x14ac:dyDescent="0.3">
      <c r="A2765">
        <v>7165</v>
      </c>
      <c r="B2765" t="s">
        <v>8873</v>
      </c>
      <c r="C2765" t="s">
        <v>5043</v>
      </c>
      <c r="D2765" t="s">
        <v>8401</v>
      </c>
    </row>
    <row r="2766" spans="1:4" ht="14.45" x14ac:dyDescent="0.3">
      <c r="A2766">
        <v>9701</v>
      </c>
      <c r="B2766" t="s">
        <v>8873</v>
      </c>
      <c r="C2766" t="s">
        <v>5043</v>
      </c>
      <c r="D2766" t="s">
        <v>8401</v>
      </c>
    </row>
    <row r="2767" spans="1:4" ht="14.45" x14ac:dyDescent="0.3">
      <c r="A2767">
        <v>6842</v>
      </c>
      <c r="B2767" t="s">
        <v>10578</v>
      </c>
      <c r="C2767" t="s">
        <v>5043</v>
      </c>
      <c r="D2767" t="s">
        <v>8401</v>
      </c>
    </row>
    <row r="2768" spans="1:4" ht="14.45" x14ac:dyDescent="0.3">
      <c r="A2768">
        <v>10735</v>
      </c>
      <c r="B2768" t="s">
        <v>10579</v>
      </c>
      <c r="C2768" t="s">
        <v>5043</v>
      </c>
      <c r="D2768" t="s">
        <v>8401</v>
      </c>
    </row>
    <row r="2769" spans="1:4" ht="14.45" x14ac:dyDescent="0.3">
      <c r="A2769">
        <v>8261</v>
      </c>
      <c r="B2769" t="s">
        <v>10579</v>
      </c>
      <c r="C2769" t="s">
        <v>5043</v>
      </c>
      <c r="D2769" t="s">
        <v>8401</v>
      </c>
    </row>
    <row r="2770" spans="1:4" ht="14.45" x14ac:dyDescent="0.3">
      <c r="A2770">
        <v>9588</v>
      </c>
      <c r="B2770" t="s">
        <v>10579</v>
      </c>
      <c r="C2770" t="s">
        <v>5043</v>
      </c>
      <c r="D2770" t="s">
        <v>8401</v>
      </c>
    </row>
    <row r="2771" spans="1:4" ht="14.45" x14ac:dyDescent="0.3">
      <c r="A2771">
        <v>9756</v>
      </c>
      <c r="B2771" t="s">
        <v>10579</v>
      </c>
      <c r="C2771" t="s">
        <v>5043</v>
      </c>
      <c r="D2771" t="s">
        <v>8401</v>
      </c>
    </row>
    <row r="2772" spans="1:4" ht="14.45" x14ac:dyDescent="0.3">
      <c r="A2772">
        <v>11648</v>
      </c>
      <c r="B2772" t="s">
        <v>10580</v>
      </c>
      <c r="C2772" t="s">
        <v>5043</v>
      </c>
      <c r="D2772" t="s">
        <v>8401</v>
      </c>
    </row>
    <row r="2773" spans="1:4" ht="14.45" x14ac:dyDescent="0.3">
      <c r="A2773">
        <v>7299</v>
      </c>
      <c r="B2773" t="s">
        <v>10580</v>
      </c>
      <c r="C2773" t="s">
        <v>5043</v>
      </c>
      <c r="D2773" t="s">
        <v>8401</v>
      </c>
    </row>
    <row r="2774" spans="1:4" ht="14.45" x14ac:dyDescent="0.3">
      <c r="A2774">
        <v>6605</v>
      </c>
      <c r="B2774" t="s">
        <v>10581</v>
      </c>
      <c r="C2774" t="s">
        <v>5043</v>
      </c>
      <c r="D2774" t="s">
        <v>8401</v>
      </c>
    </row>
    <row r="2775" spans="1:4" ht="14.45" x14ac:dyDescent="0.3">
      <c r="A2775">
        <v>7074</v>
      </c>
      <c r="B2775" t="s">
        <v>10581</v>
      </c>
      <c r="C2775" t="s">
        <v>5043</v>
      </c>
      <c r="D2775" t="s">
        <v>8401</v>
      </c>
    </row>
    <row r="2776" spans="1:4" ht="14.45" x14ac:dyDescent="0.3">
      <c r="A2776">
        <v>10317</v>
      </c>
      <c r="B2776" t="s">
        <v>10582</v>
      </c>
      <c r="C2776" t="s">
        <v>5043</v>
      </c>
      <c r="D2776" t="s">
        <v>8401</v>
      </c>
    </row>
    <row r="2777" spans="1:4" ht="14.45" x14ac:dyDescent="0.3">
      <c r="A2777">
        <v>7448</v>
      </c>
      <c r="B2777" t="s">
        <v>10582</v>
      </c>
      <c r="C2777" t="s">
        <v>5043</v>
      </c>
      <c r="D2777" t="s">
        <v>8401</v>
      </c>
    </row>
    <row r="2778" spans="1:4" ht="14.45" x14ac:dyDescent="0.3">
      <c r="A2778">
        <v>11182</v>
      </c>
      <c r="B2778" t="s">
        <v>8874</v>
      </c>
      <c r="C2778" t="s">
        <v>5043</v>
      </c>
      <c r="D2778" t="s">
        <v>8401</v>
      </c>
    </row>
    <row r="2779" spans="1:4" ht="14.45" x14ac:dyDescent="0.3">
      <c r="A2779">
        <v>6466</v>
      </c>
      <c r="B2779" t="s">
        <v>8874</v>
      </c>
      <c r="C2779" t="s">
        <v>5043</v>
      </c>
      <c r="D2779" t="s">
        <v>8401</v>
      </c>
    </row>
    <row r="2780" spans="1:4" ht="14.45" x14ac:dyDescent="0.3">
      <c r="A2780">
        <v>7965</v>
      </c>
      <c r="B2780" t="s">
        <v>8874</v>
      </c>
      <c r="C2780" t="s">
        <v>5043</v>
      </c>
      <c r="D2780" t="s">
        <v>8401</v>
      </c>
    </row>
    <row r="2781" spans="1:4" ht="14.45" x14ac:dyDescent="0.3">
      <c r="A2781">
        <v>8051</v>
      </c>
      <c r="B2781" t="s">
        <v>8874</v>
      </c>
      <c r="C2781" t="s">
        <v>5043</v>
      </c>
      <c r="D2781" t="s">
        <v>8401</v>
      </c>
    </row>
    <row r="2782" spans="1:4" ht="14.45" x14ac:dyDescent="0.3">
      <c r="A2782">
        <v>6788</v>
      </c>
      <c r="B2782" t="s">
        <v>10583</v>
      </c>
      <c r="C2782" t="s">
        <v>5043</v>
      </c>
      <c r="D2782" t="s">
        <v>8401</v>
      </c>
    </row>
    <row r="2783" spans="1:4" ht="14.45" x14ac:dyDescent="0.3">
      <c r="A2783">
        <v>10212</v>
      </c>
      <c r="B2783" t="s">
        <v>10584</v>
      </c>
      <c r="C2783" t="s">
        <v>5043</v>
      </c>
      <c r="D2783" t="s">
        <v>8401</v>
      </c>
    </row>
    <row r="2784" spans="1:4" ht="14.45" x14ac:dyDescent="0.3">
      <c r="A2784">
        <v>7254</v>
      </c>
      <c r="B2784" t="s">
        <v>10584</v>
      </c>
      <c r="C2784" t="s">
        <v>5043</v>
      </c>
      <c r="D2784" t="s">
        <v>8401</v>
      </c>
    </row>
    <row r="2785" spans="1:4" ht="14.45" x14ac:dyDescent="0.3">
      <c r="A2785">
        <v>9858</v>
      </c>
      <c r="B2785" t="s">
        <v>10585</v>
      </c>
      <c r="C2785" t="s">
        <v>5043</v>
      </c>
      <c r="D2785" t="s">
        <v>8401</v>
      </c>
    </row>
    <row r="2786" spans="1:4" ht="14.45" x14ac:dyDescent="0.3">
      <c r="A2786">
        <v>10505</v>
      </c>
      <c r="B2786" t="s">
        <v>10586</v>
      </c>
      <c r="C2786" t="s">
        <v>5043</v>
      </c>
      <c r="D2786" t="s">
        <v>8401</v>
      </c>
    </row>
    <row r="2787" spans="1:4" ht="14.45" x14ac:dyDescent="0.3">
      <c r="A2787">
        <v>6432</v>
      </c>
      <c r="B2787" t="s">
        <v>10586</v>
      </c>
      <c r="C2787" t="s">
        <v>5043</v>
      </c>
      <c r="D2787" t="s">
        <v>8401</v>
      </c>
    </row>
    <row r="2788" spans="1:4" ht="14.45" x14ac:dyDescent="0.3">
      <c r="A2788">
        <v>6588</v>
      </c>
      <c r="B2788" t="s">
        <v>10587</v>
      </c>
      <c r="C2788" t="s">
        <v>5043</v>
      </c>
      <c r="D2788" t="s">
        <v>8401</v>
      </c>
    </row>
    <row r="2789" spans="1:4" ht="14.45" x14ac:dyDescent="0.3">
      <c r="A2789">
        <v>11480</v>
      </c>
      <c r="B2789" t="s">
        <v>10588</v>
      </c>
      <c r="C2789" t="s">
        <v>5043</v>
      </c>
      <c r="D2789" t="s">
        <v>8401</v>
      </c>
    </row>
    <row r="2790" spans="1:4" ht="14.45" x14ac:dyDescent="0.3">
      <c r="A2790">
        <v>7282</v>
      </c>
      <c r="B2790" t="s">
        <v>10588</v>
      </c>
      <c r="C2790" t="s">
        <v>5043</v>
      </c>
      <c r="D2790" t="s">
        <v>8401</v>
      </c>
    </row>
    <row r="2791" spans="1:4" ht="14.45" x14ac:dyDescent="0.3">
      <c r="A2791">
        <v>8023</v>
      </c>
      <c r="B2791" t="s">
        <v>10588</v>
      </c>
      <c r="C2791" t="s">
        <v>5043</v>
      </c>
      <c r="D2791" t="s">
        <v>8401</v>
      </c>
    </row>
    <row r="2792" spans="1:4" ht="14.45" x14ac:dyDescent="0.3">
      <c r="A2792">
        <v>9380</v>
      </c>
      <c r="B2792" t="s">
        <v>10588</v>
      </c>
      <c r="C2792" t="s">
        <v>5043</v>
      </c>
      <c r="D2792" t="s">
        <v>8401</v>
      </c>
    </row>
    <row r="2793" spans="1:4" ht="14.45" x14ac:dyDescent="0.3">
      <c r="A2793">
        <v>7733</v>
      </c>
      <c r="B2793" t="s">
        <v>8875</v>
      </c>
      <c r="C2793" t="s">
        <v>5043</v>
      </c>
      <c r="D2793" t="s">
        <v>8401</v>
      </c>
    </row>
    <row r="2794" spans="1:4" ht="14.45" x14ac:dyDescent="0.3">
      <c r="A2794">
        <v>7510</v>
      </c>
      <c r="B2794" t="s">
        <v>10589</v>
      </c>
      <c r="C2794" t="s">
        <v>5043</v>
      </c>
      <c r="D2794" t="s">
        <v>8401</v>
      </c>
    </row>
    <row r="2795" spans="1:4" ht="14.45" x14ac:dyDescent="0.3">
      <c r="A2795">
        <v>8591</v>
      </c>
      <c r="B2795" t="s">
        <v>10589</v>
      </c>
      <c r="C2795" t="s">
        <v>5043</v>
      </c>
      <c r="D2795" t="s">
        <v>8401</v>
      </c>
    </row>
    <row r="2796" spans="1:4" ht="14.45" x14ac:dyDescent="0.3">
      <c r="A2796">
        <v>8016</v>
      </c>
      <c r="B2796" t="s">
        <v>10590</v>
      </c>
      <c r="C2796" t="s">
        <v>5043</v>
      </c>
      <c r="D2796" t="s">
        <v>8401</v>
      </c>
    </row>
    <row r="2797" spans="1:4" ht="14.45" x14ac:dyDescent="0.3">
      <c r="A2797">
        <v>10338</v>
      </c>
      <c r="B2797" t="s">
        <v>10591</v>
      </c>
      <c r="C2797" t="s">
        <v>5043</v>
      </c>
      <c r="D2797" t="s">
        <v>8401</v>
      </c>
    </row>
    <row r="2798" spans="1:4" ht="14.45" x14ac:dyDescent="0.3">
      <c r="A2798">
        <v>6757</v>
      </c>
      <c r="B2798" t="s">
        <v>10592</v>
      </c>
      <c r="C2798" t="s">
        <v>5043</v>
      </c>
      <c r="D2798" t="s">
        <v>8401</v>
      </c>
    </row>
    <row r="2799" spans="1:4" ht="14.45" x14ac:dyDescent="0.3">
      <c r="A2799">
        <v>9225</v>
      </c>
      <c r="B2799" t="s">
        <v>10592</v>
      </c>
      <c r="C2799" t="s">
        <v>5043</v>
      </c>
      <c r="D2799" t="s">
        <v>8401</v>
      </c>
    </row>
    <row r="2800" spans="1:4" ht="14.45" x14ac:dyDescent="0.3">
      <c r="A2800">
        <v>10953</v>
      </c>
      <c r="B2800" t="s">
        <v>10593</v>
      </c>
      <c r="C2800" t="s">
        <v>5043</v>
      </c>
      <c r="D2800" t="s">
        <v>8401</v>
      </c>
    </row>
    <row r="2801" spans="1:4" ht="14.45" x14ac:dyDescent="0.3">
      <c r="A2801">
        <v>11028</v>
      </c>
      <c r="B2801" t="s">
        <v>10593</v>
      </c>
      <c r="C2801" t="s">
        <v>5043</v>
      </c>
      <c r="D2801" t="s">
        <v>8401</v>
      </c>
    </row>
    <row r="2802" spans="1:4" ht="14.45" x14ac:dyDescent="0.3">
      <c r="A2802">
        <v>7767</v>
      </c>
      <c r="B2802" t="s">
        <v>10593</v>
      </c>
      <c r="C2802" t="s">
        <v>5043</v>
      </c>
      <c r="D2802" t="s">
        <v>8401</v>
      </c>
    </row>
    <row r="2803" spans="1:4" ht="14.45" x14ac:dyDescent="0.3">
      <c r="A2803">
        <v>9031</v>
      </c>
      <c r="B2803" t="s">
        <v>10593</v>
      </c>
      <c r="C2803" t="s">
        <v>5043</v>
      </c>
      <c r="D2803" t="s">
        <v>8401</v>
      </c>
    </row>
    <row r="2804" spans="1:4" ht="14.45" x14ac:dyDescent="0.3">
      <c r="A2804">
        <v>6503</v>
      </c>
      <c r="B2804" t="s">
        <v>10594</v>
      </c>
      <c r="C2804" t="s">
        <v>5043</v>
      </c>
      <c r="D2804" t="s">
        <v>8401</v>
      </c>
    </row>
    <row r="2805" spans="1:4" ht="14.45" x14ac:dyDescent="0.3">
      <c r="A2805">
        <v>8131</v>
      </c>
      <c r="B2805" t="s">
        <v>10594</v>
      </c>
      <c r="C2805" t="s">
        <v>5043</v>
      </c>
      <c r="D2805" t="s">
        <v>8401</v>
      </c>
    </row>
    <row r="2806" spans="1:4" ht="14.45" x14ac:dyDescent="0.3">
      <c r="A2806">
        <v>7168</v>
      </c>
      <c r="B2806" t="s">
        <v>8876</v>
      </c>
      <c r="C2806" t="s">
        <v>5043</v>
      </c>
      <c r="D2806" t="s">
        <v>8401</v>
      </c>
    </row>
    <row r="2807" spans="1:4" ht="14.45" x14ac:dyDescent="0.3">
      <c r="A2807">
        <v>11466</v>
      </c>
      <c r="B2807" t="s">
        <v>8877</v>
      </c>
      <c r="C2807" t="s">
        <v>5043</v>
      </c>
      <c r="D2807" t="s">
        <v>8401</v>
      </c>
    </row>
    <row r="2808" spans="1:4" ht="14.45" x14ac:dyDescent="0.3">
      <c r="A2808">
        <v>7182</v>
      </c>
      <c r="B2808" t="s">
        <v>8877</v>
      </c>
      <c r="C2808" t="s">
        <v>5043</v>
      </c>
      <c r="D2808" t="s">
        <v>8401</v>
      </c>
    </row>
    <row r="2809" spans="1:4" ht="14.45" x14ac:dyDescent="0.3">
      <c r="A2809">
        <v>10383</v>
      </c>
      <c r="B2809" t="s">
        <v>10595</v>
      </c>
      <c r="C2809" t="s">
        <v>5043</v>
      </c>
      <c r="D2809" t="s">
        <v>8401</v>
      </c>
    </row>
    <row r="2810" spans="1:4" ht="14.45" x14ac:dyDescent="0.3">
      <c r="A2810">
        <v>10625</v>
      </c>
      <c r="B2810" t="s">
        <v>10595</v>
      </c>
      <c r="C2810" t="s">
        <v>5043</v>
      </c>
      <c r="D2810" t="s">
        <v>8401</v>
      </c>
    </row>
    <row r="2811" spans="1:4" ht="14.45" x14ac:dyDescent="0.3">
      <c r="A2811">
        <v>7308</v>
      </c>
      <c r="B2811" t="s">
        <v>10595</v>
      </c>
      <c r="C2811" t="s">
        <v>5043</v>
      </c>
      <c r="D2811" t="s">
        <v>8401</v>
      </c>
    </row>
    <row r="2812" spans="1:4" ht="14.45" x14ac:dyDescent="0.3">
      <c r="A2812">
        <v>7649</v>
      </c>
      <c r="B2812" t="s">
        <v>10595</v>
      </c>
      <c r="C2812" t="s">
        <v>5043</v>
      </c>
      <c r="D2812" t="s">
        <v>8401</v>
      </c>
    </row>
    <row r="2813" spans="1:4" ht="14.45" x14ac:dyDescent="0.3">
      <c r="A2813">
        <v>9222</v>
      </c>
      <c r="B2813" t="s">
        <v>10595</v>
      </c>
      <c r="C2813" t="s">
        <v>5043</v>
      </c>
      <c r="D2813" t="s">
        <v>8401</v>
      </c>
    </row>
    <row r="2814" spans="1:4" ht="14.45" x14ac:dyDescent="0.3">
      <c r="A2814">
        <v>9818</v>
      </c>
      <c r="B2814" t="s">
        <v>10595</v>
      </c>
      <c r="C2814" t="s">
        <v>5043</v>
      </c>
      <c r="D2814" t="s">
        <v>8401</v>
      </c>
    </row>
    <row r="2815" spans="1:4" ht="14.45" x14ac:dyDescent="0.3">
      <c r="A2815">
        <v>10372</v>
      </c>
      <c r="B2815" t="s">
        <v>8878</v>
      </c>
      <c r="C2815" t="s">
        <v>5043</v>
      </c>
      <c r="D2815" t="s">
        <v>8401</v>
      </c>
    </row>
    <row r="2816" spans="1:4" ht="14.45" x14ac:dyDescent="0.3">
      <c r="A2816">
        <v>10478</v>
      </c>
      <c r="B2816" t="s">
        <v>8878</v>
      </c>
      <c r="C2816" t="s">
        <v>5043</v>
      </c>
      <c r="D2816" t="s">
        <v>8401</v>
      </c>
    </row>
    <row r="2817" spans="1:4" ht="14.45" x14ac:dyDescent="0.3">
      <c r="A2817">
        <v>11540</v>
      </c>
      <c r="B2817" t="s">
        <v>8878</v>
      </c>
      <c r="C2817" t="s">
        <v>5043</v>
      </c>
      <c r="D2817" t="s">
        <v>8401</v>
      </c>
    </row>
    <row r="2818" spans="1:4" ht="14.45" x14ac:dyDescent="0.3">
      <c r="A2818">
        <v>6484</v>
      </c>
      <c r="B2818" t="s">
        <v>8878</v>
      </c>
      <c r="C2818" t="s">
        <v>5043</v>
      </c>
      <c r="D2818" t="s">
        <v>8401</v>
      </c>
    </row>
    <row r="2819" spans="1:4" ht="14.45" x14ac:dyDescent="0.3">
      <c r="A2819">
        <v>6529</v>
      </c>
      <c r="B2819" t="s">
        <v>8878</v>
      </c>
      <c r="C2819" t="s">
        <v>5043</v>
      </c>
      <c r="D2819" t="s">
        <v>8401</v>
      </c>
    </row>
    <row r="2820" spans="1:4" ht="14.45" x14ac:dyDescent="0.3">
      <c r="A2820">
        <v>6846</v>
      </c>
      <c r="B2820" t="s">
        <v>8878</v>
      </c>
      <c r="C2820" t="s">
        <v>5043</v>
      </c>
      <c r="D2820" t="s">
        <v>8401</v>
      </c>
    </row>
    <row r="2821" spans="1:4" ht="14.45" x14ac:dyDescent="0.3">
      <c r="A2821">
        <v>7278</v>
      </c>
      <c r="B2821" t="s">
        <v>8878</v>
      </c>
      <c r="C2821" t="s">
        <v>5043</v>
      </c>
      <c r="D2821" t="s">
        <v>8401</v>
      </c>
    </row>
    <row r="2822" spans="1:4" ht="14.45" x14ac:dyDescent="0.3">
      <c r="A2822">
        <v>7418</v>
      </c>
      <c r="B2822" t="s">
        <v>8878</v>
      </c>
      <c r="C2822" t="s">
        <v>5043</v>
      </c>
      <c r="D2822" t="s">
        <v>8401</v>
      </c>
    </row>
    <row r="2823" spans="1:4" ht="14.45" x14ac:dyDescent="0.3">
      <c r="A2823">
        <v>8188</v>
      </c>
      <c r="B2823" t="s">
        <v>8878</v>
      </c>
      <c r="C2823" t="s">
        <v>5043</v>
      </c>
      <c r="D2823" t="s">
        <v>8401</v>
      </c>
    </row>
    <row r="2824" spans="1:4" ht="14.45" x14ac:dyDescent="0.3">
      <c r="A2824">
        <v>9653</v>
      </c>
      <c r="B2824" t="s">
        <v>8878</v>
      </c>
      <c r="C2824" t="s">
        <v>5043</v>
      </c>
      <c r="D2824" t="s">
        <v>8401</v>
      </c>
    </row>
    <row r="2825" spans="1:4" ht="14.45" x14ac:dyDescent="0.3">
      <c r="A2825">
        <v>10054</v>
      </c>
      <c r="B2825" t="s">
        <v>8879</v>
      </c>
      <c r="C2825" t="s">
        <v>5043</v>
      </c>
      <c r="D2825" t="s">
        <v>8401</v>
      </c>
    </row>
    <row r="2826" spans="1:4" ht="14.45" x14ac:dyDescent="0.3">
      <c r="A2826">
        <v>7257</v>
      </c>
      <c r="B2826" t="s">
        <v>8879</v>
      </c>
      <c r="C2826" t="s">
        <v>5043</v>
      </c>
      <c r="D2826" t="s">
        <v>8401</v>
      </c>
    </row>
    <row r="2827" spans="1:4" ht="14.45" x14ac:dyDescent="0.3">
      <c r="A2827">
        <v>7710</v>
      </c>
      <c r="B2827" t="s">
        <v>8879</v>
      </c>
      <c r="C2827" t="s">
        <v>5043</v>
      </c>
      <c r="D2827" t="s">
        <v>8401</v>
      </c>
    </row>
    <row r="2828" spans="1:4" ht="14.45" x14ac:dyDescent="0.3">
      <c r="A2828">
        <v>11314</v>
      </c>
      <c r="B2828" t="s">
        <v>10596</v>
      </c>
      <c r="C2828" t="s">
        <v>5043</v>
      </c>
      <c r="D2828" t="s">
        <v>8401</v>
      </c>
    </row>
    <row r="2829" spans="1:4" ht="14.45" x14ac:dyDescent="0.3">
      <c r="A2829">
        <v>11359</v>
      </c>
      <c r="B2829" t="s">
        <v>10596</v>
      </c>
      <c r="C2829" t="s">
        <v>5043</v>
      </c>
      <c r="D2829" t="s">
        <v>8401</v>
      </c>
    </row>
    <row r="2830" spans="1:4" ht="14.45" x14ac:dyDescent="0.3">
      <c r="A2830">
        <v>7500</v>
      </c>
      <c r="B2830" t="s">
        <v>10596</v>
      </c>
      <c r="C2830" t="s">
        <v>5043</v>
      </c>
      <c r="D2830" t="s">
        <v>8401</v>
      </c>
    </row>
    <row r="2831" spans="1:4" ht="14.45" x14ac:dyDescent="0.3">
      <c r="A2831">
        <v>8937</v>
      </c>
      <c r="B2831" t="s">
        <v>10596</v>
      </c>
      <c r="C2831" t="s">
        <v>5043</v>
      </c>
      <c r="D2831" t="s">
        <v>8401</v>
      </c>
    </row>
    <row r="2832" spans="1:4" ht="14.45" x14ac:dyDescent="0.3">
      <c r="A2832">
        <v>8938</v>
      </c>
      <c r="B2832" t="s">
        <v>10596</v>
      </c>
      <c r="C2832" t="s">
        <v>5043</v>
      </c>
      <c r="D2832" t="s">
        <v>8401</v>
      </c>
    </row>
    <row r="2833" spans="1:4" ht="14.45" x14ac:dyDescent="0.3">
      <c r="A2833">
        <v>9162</v>
      </c>
      <c r="B2833" t="s">
        <v>10596</v>
      </c>
      <c r="C2833" t="s">
        <v>5043</v>
      </c>
      <c r="D2833" t="s">
        <v>8401</v>
      </c>
    </row>
    <row r="2834" spans="1:4" ht="14.45" x14ac:dyDescent="0.3">
      <c r="A2834">
        <v>7947</v>
      </c>
      <c r="B2834" t="s">
        <v>10597</v>
      </c>
      <c r="C2834" t="s">
        <v>5043</v>
      </c>
      <c r="D2834" t="s">
        <v>8401</v>
      </c>
    </row>
    <row r="2835" spans="1:4" ht="14.45" x14ac:dyDescent="0.3">
      <c r="A2835">
        <v>6645</v>
      </c>
      <c r="B2835" t="s">
        <v>10598</v>
      </c>
      <c r="C2835" t="s">
        <v>5043</v>
      </c>
      <c r="D2835" t="s">
        <v>8401</v>
      </c>
    </row>
    <row r="2836" spans="1:4" ht="14.45" x14ac:dyDescent="0.3">
      <c r="A2836">
        <v>8964</v>
      </c>
      <c r="B2836" t="s">
        <v>10598</v>
      </c>
      <c r="C2836" t="s">
        <v>5043</v>
      </c>
      <c r="D2836" t="s">
        <v>8401</v>
      </c>
    </row>
    <row r="2837" spans="1:4" ht="14.45" x14ac:dyDescent="0.3">
      <c r="A2837">
        <v>10910</v>
      </c>
      <c r="B2837" t="s">
        <v>8880</v>
      </c>
      <c r="C2837" t="s">
        <v>5043</v>
      </c>
      <c r="D2837" t="s">
        <v>8401</v>
      </c>
    </row>
    <row r="2838" spans="1:4" ht="14.45" x14ac:dyDescent="0.3">
      <c r="A2838">
        <v>7657</v>
      </c>
      <c r="B2838" t="s">
        <v>8880</v>
      </c>
      <c r="C2838" t="s">
        <v>5043</v>
      </c>
      <c r="D2838" t="s">
        <v>8401</v>
      </c>
    </row>
    <row r="2839" spans="1:4" ht="14.45" x14ac:dyDescent="0.3">
      <c r="A2839">
        <v>9892</v>
      </c>
      <c r="B2839" t="s">
        <v>8880</v>
      </c>
      <c r="C2839" t="s">
        <v>5043</v>
      </c>
      <c r="D2839" t="s">
        <v>8401</v>
      </c>
    </row>
    <row r="2840" spans="1:4" ht="14.45" x14ac:dyDescent="0.3">
      <c r="A2840">
        <v>7871</v>
      </c>
      <c r="B2840" t="s">
        <v>8881</v>
      </c>
      <c r="C2840" t="s">
        <v>5043</v>
      </c>
      <c r="D2840" t="s">
        <v>8401</v>
      </c>
    </row>
    <row r="2841" spans="1:4" ht="14.45" x14ac:dyDescent="0.3">
      <c r="A2841">
        <v>7941</v>
      </c>
      <c r="B2841" t="s">
        <v>10599</v>
      </c>
      <c r="C2841" t="s">
        <v>5043</v>
      </c>
      <c r="D2841" t="s">
        <v>8401</v>
      </c>
    </row>
    <row r="2842" spans="1:4" ht="14.45" x14ac:dyDescent="0.3">
      <c r="A2842">
        <v>8153</v>
      </c>
      <c r="B2842" t="s">
        <v>10599</v>
      </c>
      <c r="C2842" t="s">
        <v>5043</v>
      </c>
      <c r="D2842" t="s">
        <v>8401</v>
      </c>
    </row>
    <row r="2843" spans="1:4" ht="14.45" x14ac:dyDescent="0.3">
      <c r="A2843">
        <v>8264</v>
      </c>
      <c r="B2843" t="s">
        <v>10599</v>
      </c>
      <c r="C2843" t="s">
        <v>5043</v>
      </c>
      <c r="D2843" t="s">
        <v>8401</v>
      </c>
    </row>
    <row r="2844" spans="1:4" ht="14.45" x14ac:dyDescent="0.3">
      <c r="A2844">
        <v>8691</v>
      </c>
      <c r="B2844" t="s">
        <v>10599</v>
      </c>
      <c r="C2844" t="s">
        <v>5043</v>
      </c>
      <c r="D2844" t="s">
        <v>8401</v>
      </c>
    </row>
    <row r="2845" spans="1:4" ht="14.45" x14ac:dyDescent="0.3">
      <c r="A2845">
        <v>10279</v>
      </c>
      <c r="B2845" t="s">
        <v>8882</v>
      </c>
      <c r="C2845" t="s">
        <v>5043</v>
      </c>
      <c r="D2845" t="s">
        <v>8401</v>
      </c>
    </row>
    <row r="2846" spans="1:4" ht="14.45" x14ac:dyDescent="0.3">
      <c r="A2846">
        <v>11617</v>
      </c>
      <c r="B2846" t="s">
        <v>8882</v>
      </c>
      <c r="C2846" t="s">
        <v>5043</v>
      </c>
      <c r="D2846" t="s">
        <v>8401</v>
      </c>
    </row>
    <row r="2847" spans="1:4" ht="14.45" x14ac:dyDescent="0.3">
      <c r="A2847">
        <v>11485</v>
      </c>
      <c r="B2847" t="s">
        <v>10600</v>
      </c>
      <c r="C2847" t="s">
        <v>5043</v>
      </c>
      <c r="D2847" t="s">
        <v>8401</v>
      </c>
    </row>
    <row r="2848" spans="1:4" ht="14.45" x14ac:dyDescent="0.3">
      <c r="A2848">
        <v>9364</v>
      </c>
      <c r="B2848" t="s">
        <v>10600</v>
      </c>
      <c r="C2848" t="s">
        <v>5043</v>
      </c>
      <c r="D2848" t="s">
        <v>8401</v>
      </c>
    </row>
    <row r="2849" spans="1:4" ht="14.45" x14ac:dyDescent="0.3">
      <c r="A2849">
        <v>7473</v>
      </c>
      <c r="B2849" t="s">
        <v>10601</v>
      </c>
      <c r="C2849" t="s">
        <v>5043</v>
      </c>
      <c r="D2849" t="s">
        <v>8401</v>
      </c>
    </row>
    <row r="2850" spans="1:4" ht="14.45" x14ac:dyDescent="0.3">
      <c r="A2850">
        <v>8084</v>
      </c>
      <c r="B2850" t="s">
        <v>10601</v>
      </c>
      <c r="C2850" t="s">
        <v>5043</v>
      </c>
      <c r="D2850" t="s">
        <v>8401</v>
      </c>
    </row>
    <row r="2851" spans="1:4" ht="14.45" x14ac:dyDescent="0.3">
      <c r="A2851">
        <v>8952</v>
      </c>
      <c r="B2851" t="s">
        <v>10601</v>
      </c>
      <c r="C2851" t="s">
        <v>5043</v>
      </c>
      <c r="D2851" t="s">
        <v>8401</v>
      </c>
    </row>
    <row r="2852" spans="1:4" ht="14.45" x14ac:dyDescent="0.3">
      <c r="A2852">
        <v>9405</v>
      </c>
      <c r="B2852" t="s">
        <v>10601</v>
      </c>
      <c r="C2852" t="s">
        <v>5043</v>
      </c>
      <c r="D2852" t="s">
        <v>8401</v>
      </c>
    </row>
    <row r="2853" spans="1:4" ht="14.45" x14ac:dyDescent="0.3">
      <c r="A2853">
        <v>9814</v>
      </c>
      <c r="B2853" t="s">
        <v>10601</v>
      </c>
      <c r="C2853" t="s">
        <v>5043</v>
      </c>
      <c r="D2853" t="s">
        <v>8401</v>
      </c>
    </row>
    <row r="2854" spans="1:4" ht="14.45" x14ac:dyDescent="0.3">
      <c r="A2854">
        <v>10711</v>
      </c>
      <c r="B2854" t="s">
        <v>8883</v>
      </c>
      <c r="C2854" t="s">
        <v>5043</v>
      </c>
      <c r="D2854" t="s">
        <v>8401</v>
      </c>
    </row>
    <row r="2855" spans="1:4" ht="14.45" x14ac:dyDescent="0.3">
      <c r="A2855">
        <v>7883</v>
      </c>
      <c r="B2855" t="s">
        <v>8883</v>
      </c>
      <c r="C2855" t="s">
        <v>5043</v>
      </c>
      <c r="D2855" t="s">
        <v>8401</v>
      </c>
    </row>
    <row r="2856" spans="1:4" ht="14.45" x14ac:dyDescent="0.3">
      <c r="A2856">
        <v>9196</v>
      </c>
      <c r="B2856" t="s">
        <v>8883</v>
      </c>
      <c r="C2856" t="s">
        <v>5043</v>
      </c>
      <c r="D2856" t="s">
        <v>8401</v>
      </c>
    </row>
    <row r="2857" spans="1:4" ht="14.45" x14ac:dyDescent="0.3">
      <c r="A2857">
        <v>10434</v>
      </c>
      <c r="B2857" t="s">
        <v>10602</v>
      </c>
      <c r="C2857" t="s">
        <v>5043</v>
      </c>
      <c r="D2857" t="s">
        <v>8401</v>
      </c>
    </row>
    <row r="2858" spans="1:4" ht="14.45" x14ac:dyDescent="0.3">
      <c r="A2858">
        <v>8221</v>
      </c>
      <c r="B2858" t="s">
        <v>10602</v>
      </c>
      <c r="C2858" t="s">
        <v>5043</v>
      </c>
      <c r="D2858" t="s">
        <v>8401</v>
      </c>
    </row>
    <row r="2859" spans="1:4" ht="14.45" x14ac:dyDescent="0.3">
      <c r="A2859">
        <v>7873</v>
      </c>
      <c r="B2859" t="s">
        <v>8884</v>
      </c>
      <c r="C2859" t="s">
        <v>5043</v>
      </c>
      <c r="D2859" t="s">
        <v>8401</v>
      </c>
    </row>
    <row r="2860" spans="1:4" ht="14.45" x14ac:dyDescent="0.3">
      <c r="A2860">
        <v>11671</v>
      </c>
      <c r="B2860" t="s">
        <v>8885</v>
      </c>
      <c r="C2860" t="s">
        <v>5043</v>
      </c>
      <c r="D2860" t="s">
        <v>8401</v>
      </c>
    </row>
    <row r="2861" spans="1:4" ht="14.45" x14ac:dyDescent="0.3">
      <c r="A2861">
        <v>8106</v>
      </c>
      <c r="B2861" t="s">
        <v>10603</v>
      </c>
      <c r="C2861" t="s">
        <v>5043</v>
      </c>
      <c r="D2861" t="s">
        <v>8401</v>
      </c>
    </row>
    <row r="2862" spans="1:4" ht="14.45" x14ac:dyDescent="0.3">
      <c r="A2862">
        <v>10259</v>
      </c>
      <c r="B2862" t="s">
        <v>8886</v>
      </c>
      <c r="C2862" t="s">
        <v>5043</v>
      </c>
      <c r="D2862" t="s">
        <v>8401</v>
      </c>
    </row>
    <row r="2863" spans="1:4" ht="14.45" x14ac:dyDescent="0.3">
      <c r="A2863">
        <v>11302</v>
      </c>
      <c r="B2863" t="s">
        <v>8886</v>
      </c>
      <c r="C2863" t="s">
        <v>5043</v>
      </c>
      <c r="D2863" t="s">
        <v>8401</v>
      </c>
    </row>
    <row r="2864" spans="1:4" ht="14.45" x14ac:dyDescent="0.3">
      <c r="A2864">
        <v>11571</v>
      </c>
      <c r="B2864" t="s">
        <v>8886</v>
      </c>
      <c r="C2864" t="s">
        <v>5043</v>
      </c>
      <c r="D2864" t="s">
        <v>8401</v>
      </c>
    </row>
    <row r="2865" spans="1:4" ht="14.45" x14ac:dyDescent="0.3">
      <c r="A2865">
        <v>11606</v>
      </c>
      <c r="B2865" t="s">
        <v>8886</v>
      </c>
      <c r="C2865" t="s">
        <v>5043</v>
      </c>
      <c r="D2865" t="s">
        <v>8401</v>
      </c>
    </row>
    <row r="2866" spans="1:4" ht="14.45" x14ac:dyDescent="0.3">
      <c r="A2866">
        <v>7102</v>
      </c>
      <c r="B2866" t="s">
        <v>8886</v>
      </c>
      <c r="C2866" t="s">
        <v>5043</v>
      </c>
      <c r="D2866" t="s">
        <v>8401</v>
      </c>
    </row>
    <row r="2867" spans="1:4" ht="14.45" x14ac:dyDescent="0.3">
      <c r="A2867">
        <v>9360</v>
      </c>
      <c r="B2867" t="s">
        <v>8886</v>
      </c>
      <c r="C2867" t="s">
        <v>5043</v>
      </c>
      <c r="D2867" t="s">
        <v>8401</v>
      </c>
    </row>
    <row r="2868" spans="1:4" ht="14.45" x14ac:dyDescent="0.3">
      <c r="A2868">
        <v>11621</v>
      </c>
      <c r="B2868" t="s">
        <v>10604</v>
      </c>
      <c r="C2868" t="s">
        <v>5043</v>
      </c>
      <c r="D2868" t="s">
        <v>8401</v>
      </c>
    </row>
    <row r="2869" spans="1:4" ht="14.45" x14ac:dyDescent="0.3">
      <c r="A2869">
        <v>10461</v>
      </c>
      <c r="B2869" t="s">
        <v>10605</v>
      </c>
      <c r="C2869" t="s">
        <v>5043</v>
      </c>
      <c r="D2869" t="s">
        <v>8401</v>
      </c>
    </row>
    <row r="2870" spans="1:4" ht="14.45" x14ac:dyDescent="0.3">
      <c r="A2870">
        <v>10841</v>
      </c>
      <c r="B2870" t="s">
        <v>10605</v>
      </c>
      <c r="C2870" t="s">
        <v>5043</v>
      </c>
      <c r="D2870" t="s">
        <v>8401</v>
      </c>
    </row>
    <row r="2871" spans="1:4" ht="14.45" x14ac:dyDescent="0.3">
      <c r="A2871">
        <v>8129</v>
      </c>
      <c r="B2871" t="s">
        <v>10605</v>
      </c>
      <c r="C2871" t="s">
        <v>5043</v>
      </c>
      <c r="D2871" t="s">
        <v>8401</v>
      </c>
    </row>
    <row r="2872" spans="1:4" ht="14.45" x14ac:dyDescent="0.3">
      <c r="A2872">
        <v>10576</v>
      </c>
      <c r="B2872" t="s">
        <v>8887</v>
      </c>
      <c r="C2872" t="s">
        <v>5043</v>
      </c>
      <c r="D2872" t="s">
        <v>8401</v>
      </c>
    </row>
    <row r="2873" spans="1:4" ht="14.45" x14ac:dyDescent="0.3">
      <c r="A2873">
        <v>8762</v>
      </c>
      <c r="B2873" t="s">
        <v>8887</v>
      </c>
      <c r="C2873" t="s">
        <v>5043</v>
      </c>
      <c r="D2873" t="s">
        <v>8401</v>
      </c>
    </row>
    <row r="2874" spans="1:4" ht="14.45" x14ac:dyDescent="0.3">
      <c r="A2874">
        <v>11722</v>
      </c>
      <c r="B2874" t="s">
        <v>8888</v>
      </c>
      <c r="C2874" t="s">
        <v>5043</v>
      </c>
      <c r="D2874" t="s">
        <v>8401</v>
      </c>
    </row>
    <row r="2875" spans="1:4" ht="14.45" x14ac:dyDescent="0.3">
      <c r="A2875">
        <v>7344</v>
      </c>
      <c r="B2875" t="s">
        <v>8888</v>
      </c>
      <c r="C2875" t="s">
        <v>5043</v>
      </c>
      <c r="D2875" t="s">
        <v>8401</v>
      </c>
    </row>
    <row r="2876" spans="1:4" ht="14.45" x14ac:dyDescent="0.3">
      <c r="A2876">
        <v>10141</v>
      </c>
      <c r="B2876" t="s">
        <v>8889</v>
      </c>
      <c r="C2876" t="s">
        <v>5043</v>
      </c>
      <c r="D2876" t="s">
        <v>8401</v>
      </c>
    </row>
    <row r="2877" spans="1:4" ht="14.45" x14ac:dyDescent="0.3">
      <c r="A2877">
        <v>10737</v>
      </c>
      <c r="B2877" t="s">
        <v>8889</v>
      </c>
      <c r="C2877" t="s">
        <v>5043</v>
      </c>
      <c r="D2877" t="s">
        <v>8401</v>
      </c>
    </row>
    <row r="2878" spans="1:4" ht="14.45" x14ac:dyDescent="0.3">
      <c r="A2878">
        <v>6774</v>
      </c>
      <c r="B2878" t="s">
        <v>8889</v>
      </c>
      <c r="C2878" t="s">
        <v>5043</v>
      </c>
      <c r="D2878" t="s">
        <v>8401</v>
      </c>
    </row>
    <row r="2879" spans="1:4" ht="14.45" x14ac:dyDescent="0.3">
      <c r="A2879">
        <v>6854</v>
      </c>
      <c r="B2879" t="s">
        <v>8889</v>
      </c>
      <c r="C2879" t="s">
        <v>5043</v>
      </c>
      <c r="D2879" t="s">
        <v>8401</v>
      </c>
    </row>
    <row r="2880" spans="1:4" ht="14.45" x14ac:dyDescent="0.3">
      <c r="A2880">
        <v>7372</v>
      </c>
      <c r="B2880" t="s">
        <v>8889</v>
      </c>
      <c r="C2880" t="s">
        <v>5043</v>
      </c>
      <c r="D2880" t="s">
        <v>8401</v>
      </c>
    </row>
    <row r="2881" spans="1:4" ht="14.45" x14ac:dyDescent="0.3">
      <c r="A2881">
        <v>7801</v>
      </c>
      <c r="B2881" t="s">
        <v>8889</v>
      </c>
      <c r="C2881" t="s">
        <v>5043</v>
      </c>
      <c r="D2881" t="s">
        <v>8401</v>
      </c>
    </row>
    <row r="2882" spans="1:4" ht="14.45" x14ac:dyDescent="0.3">
      <c r="A2882">
        <v>8856</v>
      </c>
      <c r="B2882" t="s">
        <v>8889</v>
      </c>
      <c r="C2882" t="s">
        <v>5043</v>
      </c>
      <c r="D2882" t="s">
        <v>8401</v>
      </c>
    </row>
    <row r="2883" spans="1:4" ht="14.45" x14ac:dyDescent="0.3">
      <c r="A2883">
        <v>9831</v>
      </c>
      <c r="B2883" t="s">
        <v>8889</v>
      </c>
      <c r="C2883" t="s">
        <v>5043</v>
      </c>
      <c r="D2883" t="s">
        <v>8401</v>
      </c>
    </row>
    <row r="2884" spans="1:4" ht="14.45" x14ac:dyDescent="0.3">
      <c r="A2884">
        <v>9145</v>
      </c>
      <c r="B2884" t="s">
        <v>10606</v>
      </c>
      <c r="C2884" t="s">
        <v>5043</v>
      </c>
      <c r="D2884" t="s">
        <v>8401</v>
      </c>
    </row>
    <row r="2885" spans="1:4" ht="14.45" x14ac:dyDescent="0.3">
      <c r="A2885">
        <v>11181</v>
      </c>
      <c r="B2885" t="s">
        <v>8890</v>
      </c>
      <c r="C2885" t="s">
        <v>5043</v>
      </c>
      <c r="D2885" t="s">
        <v>8401</v>
      </c>
    </row>
    <row r="2886" spans="1:4" ht="14.45" x14ac:dyDescent="0.3">
      <c r="A2886">
        <v>7213</v>
      </c>
      <c r="B2886" t="s">
        <v>8890</v>
      </c>
      <c r="C2886" t="s">
        <v>5043</v>
      </c>
      <c r="D2886" t="s">
        <v>8401</v>
      </c>
    </row>
    <row r="2887" spans="1:4" ht="14.45" x14ac:dyDescent="0.3">
      <c r="A2887">
        <v>8321</v>
      </c>
      <c r="B2887" t="s">
        <v>8890</v>
      </c>
      <c r="C2887" t="s">
        <v>5043</v>
      </c>
      <c r="D2887" t="s">
        <v>8401</v>
      </c>
    </row>
    <row r="2888" spans="1:4" ht="14.45" x14ac:dyDescent="0.3">
      <c r="A2888">
        <v>12664</v>
      </c>
      <c r="B2888" t="s">
        <v>11569</v>
      </c>
      <c r="C2888" t="s">
        <v>5043</v>
      </c>
      <c r="D2888" t="s">
        <v>8401</v>
      </c>
    </row>
    <row r="2889" spans="1:4" ht="14.45" x14ac:dyDescent="0.3">
      <c r="A2889">
        <v>11277</v>
      </c>
      <c r="B2889" t="s">
        <v>8891</v>
      </c>
      <c r="C2889" t="s">
        <v>5043</v>
      </c>
      <c r="D2889" t="s">
        <v>8401</v>
      </c>
    </row>
    <row r="2890" spans="1:4" ht="14.45" x14ac:dyDescent="0.3">
      <c r="A2890">
        <v>8931</v>
      </c>
      <c r="B2890" t="s">
        <v>8891</v>
      </c>
      <c r="C2890" t="s">
        <v>5043</v>
      </c>
      <c r="D2890" t="s">
        <v>8401</v>
      </c>
    </row>
    <row r="2891" spans="1:4" ht="14.45" x14ac:dyDescent="0.3">
      <c r="A2891">
        <v>9982</v>
      </c>
      <c r="B2891" t="s">
        <v>8891</v>
      </c>
      <c r="C2891" t="s">
        <v>5043</v>
      </c>
      <c r="D2891" t="s">
        <v>8401</v>
      </c>
    </row>
    <row r="2892" spans="1:4" ht="14.45" x14ac:dyDescent="0.3">
      <c r="A2892">
        <v>7378</v>
      </c>
      <c r="B2892" t="s">
        <v>10607</v>
      </c>
      <c r="C2892" t="s">
        <v>5043</v>
      </c>
      <c r="D2892" t="s">
        <v>8401</v>
      </c>
    </row>
    <row r="2893" spans="1:4" ht="14.45" x14ac:dyDescent="0.3">
      <c r="A2893">
        <v>8009</v>
      </c>
      <c r="B2893" t="s">
        <v>10608</v>
      </c>
      <c r="C2893" t="s">
        <v>5043</v>
      </c>
      <c r="D2893" t="s">
        <v>8401</v>
      </c>
    </row>
    <row r="2894" spans="1:4" ht="14.45" x14ac:dyDescent="0.3">
      <c r="A2894">
        <v>11347</v>
      </c>
      <c r="B2894" t="s">
        <v>10609</v>
      </c>
      <c r="C2894" t="s">
        <v>5043</v>
      </c>
      <c r="D2894" t="s">
        <v>8401</v>
      </c>
    </row>
    <row r="2895" spans="1:4" ht="14.45" x14ac:dyDescent="0.3">
      <c r="A2895">
        <v>7151</v>
      </c>
      <c r="B2895" t="s">
        <v>10610</v>
      </c>
      <c r="C2895" t="s">
        <v>5043</v>
      </c>
      <c r="D2895" t="s">
        <v>8401</v>
      </c>
    </row>
    <row r="2896" spans="1:4" ht="14.45" x14ac:dyDescent="0.3">
      <c r="A2896">
        <v>10502</v>
      </c>
      <c r="B2896" t="s">
        <v>8892</v>
      </c>
      <c r="C2896" t="s">
        <v>5043</v>
      </c>
      <c r="D2896" t="s">
        <v>8401</v>
      </c>
    </row>
    <row r="2897" spans="1:4" ht="14.45" x14ac:dyDescent="0.3">
      <c r="A2897">
        <v>10988</v>
      </c>
      <c r="B2897" t="s">
        <v>8892</v>
      </c>
      <c r="C2897" t="s">
        <v>5043</v>
      </c>
      <c r="D2897" t="s">
        <v>8401</v>
      </c>
    </row>
    <row r="2898" spans="1:4" ht="14.45" x14ac:dyDescent="0.3">
      <c r="A2898">
        <v>7237</v>
      </c>
      <c r="B2898" t="s">
        <v>8892</v>
      </c>
      <c r="C2898" t="s">
        <v>5043</v>
      </c>
      <c r="D2898" t="s">
        <v>8401</v>
      </c>
    </row>
    <row r="2899" spans="1:4" ht="14.45" x14ac:dyDescent="0.3">
      <c r="A2899">
        <v>8535</v>
      </c>
      <c r="B2899" t="s">
        <v>8892</v>
      </c>
      <c r="C2899" t="s">
        <v>5043</v>
      </c>
      <c r="D2899" t="s">
        <v>8401</v>
      </c>
    </row>
    <row r="2900" spans="1:4" ht="14.45" x14ac:dyDescent="0.3">
      <c r="A2900">
        <v>9219</v>
      </c>
      <c r="B2900" t="s">
        <v>8892</v>
      </c>
      <c r="C2900" t="s">
        <v>5043</v>
      </c>
      <c r="D2900" t="s">
        <v>8401</v>
      </c>
    </row>
    <row r="2901" spans="1:4" ht="14.45" x14ac:dyDescent="0.3">
      <c r="A2901">
        <v>10817</v>
      </c>
      <c r="B2901" t="s">
        <v>8893</v>
      </c>
      <c r="C2901" t="s">
        <v>5043</v>
      </c>
      <c r="D2901" t="s">
        <v>8401</v>
      </c>
    </row>
    <row r="2902" spans="1:4" ht="14.45" x14ac:dyDescent="0.3">
      <c r="A2902">
        <v>11613</v>
      </c>
      <c r="B2902" t="s">
        <v>8893</v>
      </c>
      <c r="C2902" t="s">
        <v>5043</v>
      </c>
      <c r="D2902" t="s">
        <v>8401</v>
      </c>
    </row>
    <row r="2903" spans="1:4" ht="14.45" x14ac:dyDescent="0.3">
      <c r="A2903">
        <v>9285</v>
      </c>
      <c r="B2903" t="s">
        <v>8893</v>
      </c>
      <c r="C2903" t="s">
        <v>5043</v>
      </c>
      <c r="D2903" t="s">
        <v>8401</v>
      </c>
    </row>
    <row r="2904" spans="1:4" ht="14.45" x14ac:dyDescent="0.3">
      <c r="A2904">
        <v>9488</v>
      </c>
      <c r="B2904" t="s">
        <v>10611</v>
      </c>
      <c r="C2904" t="s">
        <v>5043</v>
      </c>
      <c r="D2904" t="s">
        <v>8401</v>
      </c>
    </row>
    <row r="2905" spans="1:4" ht="14.45" x14ac:dyDescent="0.3">
      <c r="A2905">
        <v>10610</v>
      </c>
      <c r="B2905" t="s">
        <v>8894</v>
      </c>
      <c r="C2905" t="s">
        <v>5043</v>
      </c>
      <c r="D2905" t="s">
        <v>8401</v>
      </c>
    </row>
    <row r="2906" spans="1:4" ht="14.45" x14ac:dyDescent="0.3">
      <c r="A2906">
        <v>10983</v>
      </c>
      <c r="B2906" t="s">
        <v>8894</v>
      </c>
      <c r="C2906" t="s">
        <v>5043</v>
      </c>
      <c r="D2906" t="s">
        <v>8401</v>
      </c>
    </row>
    <row r="2907" spans="1:4" ht="14.45" x14ac:dyDescent="0.3">
      <c r="A2907">
        <v>11237</v>
      </c>
      <c r="B2907" t="s">
        <v>8894</v>
      </c>
      <c r="C2907" t="s">
        <v>5043</v>
      </c>
      <c r="D2907" t="s">
        <v>8401</v>
      </c>
    </row>
    <row r="2908" spans="1:4" ht="14.45" x14ac:dyDescent="0.3">
      <c r="A2908">
        <v>11400</v>
      </c>
      <c r="B2908" t="s">
        <v>8894</v>
      </c>
      <c r="C2908" t="s">
        <v>5043</v>
      </c>
      <c r="D2908" t="s">
        <v>8401</v>
      </c>
    </row>
    <row r="2909" spans="1:4" ht="14.45" x14ac:dyDescent="0.3">
      <c r="A2909">
        <v>6600</v>
      </c>
      <c r="B2909" t="s">
        <v>8894</v>
      </c>
      <c r="C2909" t="s">
        <v>5043</v>
      </c>
      <c r="D2909" t="s">
        <v>8401</v>
      </c>
    </row>
    <row r="2910" spans="1:4" ht="14.45" x14ac:dyDescent="0.3">
      <c r="A2910">
        <v>7639</v>
      </c>
      <c r="B2910" t="s">
        <v>8894</v>
      </c>
      <c r="C2910" t="s">
        <v>5043</v>
      </c>
      <c r="D2910" t="s">
        <v>8401</v>
      </c>
    </row>
    <row r="2911" spans="1:4" ht="14.45" x14ac:dyDescent="0.3">
      <c r="A2911">
        <v>9082</v>
      </c>
      <c r="B2911" t="s">
        <v>8894</v>
      </c>
      <c r="C2911" t="s">
        <v>5043</v>
      </c>
      <c r="D2911" t="s">
        <v>8401</v>
      </c>
    </row>
    <row r="2912" spans="1:4" ht="14.45" x14ac:dyDescent="0.3">
      <c r="A2912">
        <v>8551</v>
      </c>
      <c r="B2912" t="s">
        <v>10612</v>
      </c>
      <c r="C2912" t="s">
        <v>5043</v>
      </c>
      <c r="D2912" t="s">
        <v>8401</v>
      </c>
    </row>
    <row r="2913" spans="1:4" ht="14.45" x14ac:dyDescent="0.3">
      <c r="A2913">
        <v>11358</v>
      </c>
      <c r="B2913" t="s">
        <v>8895</v>
      </c>
      <c r="C2913" t="s">
        <v>5043</v>
      </c>
      <c r="D2913" t="s">
        <v>8401</v>
      </c>
    </row>
    <row r="2914" spans="1:4" ht="14.45" x14ac:dyDescent="0.3">
      <c r="A2914">
        <v>6887</v>
      </c>
      <c r="B2914" t="s">
        <v>8895</v>
      </c>
      <c r="C2914" t="s">
        <v>5043</v>
      </c>
      <c r="D2914" t="s">
        <v>8401</v>
      </c>
    </row>
    <row r="2915" spans="1:4" ht="14.45" x14ac:dyDescent="0.3">
      <c r="A2915">
        <v>7416</v>
      </c>
      <c r="B2915" t="s">
        <v>8895</v>
      </c>
      <c r="C2915" t="s">
        <v>5043</v>
      </c>
      <c r="D2915" t="s">
        <v>8401</v>
      </c>
    </row>
    <row r="2916" spans="1:4" ht="14.45" x14ac:dyDescent="0.3">
      <c r="A2916">
        <v>10486</v>
      </c>
      <c r="B2916" t="s">
        <v>10613</v>
      </c>
      <c r="C2916" t="s">
        <v>5043</v>
      </c>
      <c r="D2916" t="s">
        <v>8401</v>
      </c>
    </row>
    <row r="2917" spans="1:4" ht="14.45" x14ac:dyDescent="0.3">
      <c r="A2917">
        <v>6998</v>
      </c>
      <c r="B2917" t="s">
        <v>10613</v>
      </c>
      <c r="C2917" t="s">
        <v>5043</v>
      </c>
      <c r="D2917" t="s">
        <v>8401</v>
      </c>
    </row>
    <row r="2918" spans="1:4" ht="14.45" x14ac:dyDescent="0.3">
      <c r="A2918">
        <v>11264</v>
      </c>
      <c r="B2918" t="s">
        <v>8896</v>
      </c>
      <c r="C2918" t="s">
        <v>5043</v>
      </c>
      <c r="D2918" t="s">
        <v>8401</v>
      </c>
    </row>
    <row r="2919" spans="1:4" ht="14.45" x14ac:dyDescent="0.3">
      <c r="A2919">
        <v>11691</v>
      </c>
      <c r="B2919" t="s">
        <v>8896</v>
      </c>
      <c r="C2919" t="s">
        <v>5043</v>
      </c>
      <c r="D2919" t="s">
        <v>8401</v>
      </c>
    </row>
    <row r="2920" spans="1:4" ht="14.45" x14ac:dyDescent="0.3">
      <c r="A2920">
        <v>10892</v>
      </c>
      <c r="B2920" t="s">
        <v>10614</v>
      </c>
      <c r="C2920" t="s">
        <v>5043</v>
      </c>
      <c r="D2920" t="s">
        <v>8401</v>
      </c>
    </row>
    <row r="2921" spans="1:4" ht="14.45" x14ac:dyDescent="0.3">
      <c r="A2921">
        <v>7837</v>
      </c>
      <c r="B2921" t="s">
        <v>10614</v>
      </c>
      <c r="C2921" t="s">
        <v>5043</v>
      </c>
      <c r="D2921" t="s">
        <v>8401</v>
      </c>
    </row>
    <row r="2922" spans="1:4" ht="14.45" x14ac:dyDescent="0.3">
      <c r="A2922">
        <v>8824</v>
      </c>
      <c r="B2922" t="s">
        <v>10614</v>
      </c>
      <c r="C2922" t="s">
        <v>5043</v>
      </c>
      <c r="D2922" t="s">
        <v>8401</v>
      </c>
    </row>
    <row r="2923" spans="1:4" ht="14.45" x14ac:dyDescent="0.3">
      <c r="A2923">
        <v>10049</v>
      </c>
      <c r="B2923" t="s">
        <v>8897</v>
      </c>
      <c r="C2923" t="s">
        <v>5043</v>
      </c>
      <c r="D2923" t="s">
        <v>8401</v>
      </c>
    </row>
    <row r="2924" spans="1:4" ht="14.45" x14ac:dyDescent="0.3">
      <c r="A2924">
        <v>10960</v>
      </c>
      <c r="B2924" t="s">
        <v>8897</v>
      </c>
      <c r="C2924" t="s">
        <v>5043</v>
      </c>
      <c r="D2924" t="s">
        <v>8401</v>
      </c>
    </row>
    <row r="2925" spans="1:4" ht="14.45" x14ac:dyDescent="0.3">
      <c r="A2925">
        <v>7534</v>
      </c>
      <c r="B2925" t="s">
        <v>8897</v>
      </c>
      <c r="C2925" t="s">
        <v>5043</v>
      </c>
      <c r="D2925" t="s">
        <v>8401</v>
      </c>
    </row>
    <row r="2926" spans="1:4" ht="14.45" x14ac:dyDescent="0.3">
      <c r="A2926">
        <v>9768</v>
      </c>
      <c r="B2926" t="s">
        <v>8897</v>
      </c>
      <c r="C2926" t="s">
        <v>5043</v>
      </c>
      <c r="D2926" t="s">
        <v>8401</v>
      </c>
    </row>
    <row r="2927" spans="1:4" ht="14.45" x14ac:dyDescent="0.3">
      <c r="A2927">
        <v>11484</v>
      </c>
      <c r="B2927" t="s">
        <v>8898</v>
      </c>
      <c r="C2927" t="s">
        <v>5043</v>
      </c>
      <c r="D2927" t="s">
        <v>8401</v>
      </c>
    </row>
    <row r="2928" spans="1:4" ht="14.45" x14ac:dyDescent="0.3">
      <c r="A2928">
        <v>7746</v>
      </c>
      <c r="B2928" t="s">
        <v>8898</v>
      </c>
      <c r="C2928" t="s">
        <v>5043</v>
      </c>
      <c r="D2928" t="s">
        <v>8401</v>
      </c>
    </row>
    <row r="2929" spans="1:4" ht="14.45" x14ac:dyDescent="0.3">
      <c r="A2929">
        <v>10494</v>
      </c>
      <c r="B2929" t="s">
        <v>8899</v>
      </c>
      <c r="C2929" t="s">
        <v>5043</v>
      </c>
      <c r="D2929" t="s">
        <v>8401</v>
      </c>
    </row>
    <row r="2930" spans="1:4" ht="14.45" x14ac:dyDescent="0.3">
      <c r="A2930">
        <v>11387</v>
      </c>
      <c r="B2930" t="s">
        <v>8899</v>
      </c>
      <c r="C2930" t="s">
        <v>5043</v>
      </c>
      <c r="D2930" t="s">
        <v>8401</v>
      </c>
    </row>
    <row r="2931" spans="1:4" ht="14.45" x14ac:dyDescent="0.3">
      <c r="A2931">
        <v>9796</v>
      </c>
      <c r="B2931" t="s">
        <v>8899</v>
      </c>
      <c r="C2931" t="s">
        <v>5043</v>
      </c>
      <c r="D2931" t="s">
        <v>8401</v>
      </c>
    </row>
    <row r="2932" spans="1:4" ht="14.45" x14ac:dyDescent="0.3">
      <c r="A2932">
        <v>10053</v>
      </c>
      <c r="B2932" t="s">
        <v>8900</v>
      </c>
      <c r="C2932" t="s">
        <v>5043</v>
      </c>
      <c r="D2932" t="s">
        <v>8401</v>
      </c>
    </row>
    <row r="2933" spans="1:4" ht="14.45" x14ac:dyDescent="0.3">
      <c r="A2933">
        <v>10349</v>
      </c>
      <c r="B2933" t="s">
        <v>8900</v>
      </c>
      <c r="C2933" t="s">
        <v>5043</v>
      </c>
      <c r="D2933" t="s">
        <v>8401</v>
      </c>
    </row>
    <row r="2934" spans="1:4" ht="14.45" x14ac:dyDescent="0.3">
      <c r="A2934">
        <v>10351</v>
      </c>
      <c r="B2934" t="s">
        <v>8900</v>
      </c>
      <c r="C2934" t="s">
        <v>5043</v>
      </c>
      <c r="D2934" t="s">
        <v>8401</v>
      </c>
    </row>
    <row r="2935" spans="1:4" ht="14.45" x14ac:dyDescent="0.3">
      <c r="A2935">
        <v>10440</v>
      </c>
      <c r="B2935" t="s">
        <v>8900</v>
      </c>
      <c r="C2935" t="s">
        <v>5043</v>
      </c>
      <c r="D2935" t="s">
        <v>8401</v>
      </c>
    </row>
    <row r="2936" spans="1:4" ht="14.45" x14ac:dyDescent="0.3">
      <c r="A2936">
        <v>11261</v>
      </c>
      <c r="B2936" t="s">
        <v>8900</v>
      </c>
      <c r="C2936" t="s">
        <v>5043</v>
      </c>
      <c r="D2936" t="s">
        <v>8401</v>
      </c>
    </row>
    <row r="2937" spans="1:4" ht="14.45" x14ac:dyDescent="0.3">
      <c r="A2937">
        <v>11644</v>
      </c>
      <c r="B2937" t="s">
        <v>8900</v>
      </c>
      <c r="C2937" t="s">
        <v>5043</v>
      </c>
      <c r="D2937" t="s">
        <v>8401</v>
      </c>
    </row>
    <row r="2938" spans="1:4" ht="14.45" x14ac:dyDescent="0.3">
      <c r="A2938">
        <v>6741</v>
      </c>
      <c r="B2938" t="s">
        <v>8900</v>
      </c>
      <c r="C2938" t="s">
        <v>5043</v>
      </c>
      <c r="D2938" t="s">
        <v>8401</v>
      </c>
    </row>
    <row r="2939" spans="1:4" ht="14.45" x14ac:dyDescent="0.3">
      <c r="A2939">
        <v>6947</v>
      </c>
      <c r="B2939" t="s">
        <v>8900</v>
      </c>
      <c r="C2939" t="s">
        <v>5043</v>
      </c>
      <c r="D2939" t="s">
        <v>8401</v>
      </c>
    </row>
    <row r="2940" spans="1:4" ht="14.45" x14ac:dyDescent="0.3">
      <c r="A2940">
        <v>7225</v>
      </c>
      <c r="B2940" t="s">
        <v>8900</v>
      </c>
      <c r="C2940" t="s">
        <v>5043</v>
      </c>
      <c r="D2940" t="s">
        <v>8401</v>
      </c>
    </row>
    <row r="2941" spans="1:4" ht="14.45" x14ac:dyDescent="0.3">
      <c r="A2941">
        <v>7518</v>
      </c>
      <c r="B2941" t="s">
        <v>8900</v>
      </c>
      <c r="C2941" t="s">
        <v>5043</v>
      </c>
      <c r="D2941" t="s">
        <v>8401</v>
      </c>
    </row>
    <row r="2942" spans="1:4" ht="14.45" x14ac:dyDescent="0.3">
      <c r="A2942">
        <v>7568</v>
      </c>
      <c r="B2942" t="s">
        <v>8900</v>
      </c>
      <c r="C2942" t="s">
        <v>5043</v>
      </c>
      <c r="D2942" t="s">
        <v>8401</v>
      </c>
    </row>
    <row r="2943" spans="1:4" ht="14.45" x14ac:dyDescent="0.3">
      <c r="A2943">
        <v>7678</v>
      </c>
      <c r="B2943" t="s">
        <v>8900</v>
      </c>
      <c r="C2943" t="s">
        <v>5043</v>
      </c>
      <c r="D2943" t="s">
        <v>8401</v>
      </c>
    </row>
    <row r="2944" spans="1:4" ht="14.45" x14ac:dyDescent="0.3">
      <c r="A2944">
        <v>7727</v>
      </c>
      <c r="B2944" t="s">
        <v>8900</v>
      </c>
      <c r="C2944" t="s">
        <v>5043</v>
      </c>
      <c r="D2944" t="s">
        <v>8401</v>
      </c>
    </row>
    <row r="2945" spans="1:4" ht="14.45" x14ac:dyDescent="0.3">
      <c r="A2945">
        <v>8179</v>
      </c>
      <c r="B2945" t="s">
        <v>8900</v>
      </c>
      <c r="C2945" t="s">
        <v>5043</v>
      </c>
      <c r="D2945" t="s">
        <v>8401</v>
      </c>
    </row>
    <row r="2946" spans="1:4" ht="14.45" x14ac:dyDescent="0.3">
      <c r="A2946">
        <v>8772</v>
      </c>
      <c r="B2946" t="s">
        <v>8900</v>
      </c>
      <c r="C2946" t="s">
        <v>5043</v>
      </c>
      <c r="D2946" t="s">
        <v>8401</v>
      </c>
    </row>
    <row r="2947" spans="1:4" ht="14.45" x14ac:dyDescent="0.3">
      <c r="A2947">
        <v>9471</v>
      </c>
      <c r="B2947" t="s">
        <v>8900</v>
      </c>
      <c r="C2947" t="s">
        <v>5043</v>
      </c>
      <c r="D2947" t="s">
        <v>8401</v>
      </c>
    </row>
    <row r="2948" spans="1:4" ht="14.45" x14ac:dyDescent="0.3">
      <c r="A2948">
        <v>10770</v>
      </c>
      <c r="B2948" t="s">
        <v>10615</v>
      </c>
      <c r="C2948" t="s">
        <v>5043</v>
      </c>
      <c r="D2948" t="s">
        <v>8401</v>
      </c>
    </row>
    <row r="2949" spans="1:4" ht="14.45" x14ac:dyDescent="0.3">
      <c r="A2949">
        <v>11377</v>
      </c>
      <c r="B2949" t="s">
        <v>10615</v>
      </c>
      <c r="C2949" t="s">
        <v>5043</v>
      </c>
      <c r="D2949" t="s">
        <v>8401</v>
      </c>
    </row>
    <row r="2950" spans="1:4" ht="14.45" x14ac:dyDescent="0.3">
      <c r="A2950">
        <v>6541</v>
      </c>
      <c r="B2950" t="s">
        <v>10615</v>
      </c>
      <c r="C2950" t="s">
        <v>5043</v>
      </c>
      <c r="D2950" t="s">
        <v>8401</v>
      </c>
    </row>
    <row r="2951" spans="1:4" ht="14.45" x14ac:dyDescent="0.3">
      <c r="A2951">
        <v>6930</v>
      </c>
      <c r="B2951" t="s">
        <v>10615</v>
      </c>
      <c r="C2951" t="s">
        <v>5043</v>
      </c>
      <c r="D2951" t="s">
        <v>8401</v>
      </c>
    </row>
    <row r="2952" spans="1:4" ht="14.45" x14ac:dyDescent="0.3">
      <c r="A2952">
        <v>7857</v>
      </c>
      <c r="B2952" t="s">
        <v>10615</v>
      </c>
      <c r="C2952" t="s">
        <v>5043</v>
      </c>
      <c r="D2952" t="s">
        <v>8401</v>
      </c>
    </row>
    <row r="2953" spans="1:4" ht="14.45" x14ac:dyDescent="0.3">
      <c r="A2953">
        <v>8357</v>
      </c>
      <c r="B2953" t="s">
        <v>10615</v>
      </c>
      <c r="C2953" t="s">
        <v>5043</v>
      </c>
      <c r="D2953" t="s">
        <v>8401</v>
      </c>
    </row>
    <row r="2954" spans="1:4" ht="14.45" x14ac:dyDescent="0.3">
      <c r="A2954">
        <v>10874</v>
      </c>
      <c r="B2954" t="s">
        <v>8901</v>
      </c>
      <c r="C2954" t="s">
        <v>5043</v>
      </c>
      <c r="D2954" t="s">
        <v>8401</v>
      </c>
    </row>
    <row r="2955" spans="1:4" ht="14.45" x14ac:dyDescent="0.3">
      <c r="A2955">
        <v>8665</v>
      </c>
      <c r="B2955" t="s">
        <v>8901</v>
      </c>
      <c r="C2955" t="s">
        <v>5043</v>
      </c>
      <c r="D2955" t="s">
        <v>8401</v>
      </c>
    </row>
    <row r="2956" spans="1:4" ht="14.45" x14ac:dyDescent="0.3">
      <c r="A2956">
        <v>9427</v>
      </c>
      <c r="B2956" t="s">
        <v>8901</v>
      </c>
      <c r="C2956" t="s">
        <v>5043</v>
      </c>
      <c r="D2956" t="s">
        <v>8401</v>
      </c>
    </row>
    <row r="2957" spans="1:4" ht="14.45" x14ac:dyDescent="0.3">
      <c r="A2957">
        <v>7818</v>
      </c>
      <c r="B2957" t="s">
        <v>8902</v>
      </c>
      <c r="C2957" t="s">
        <v>5043</v>
      </c>
      <c r="D2957" t="s">
        <v>8401</v>
      </c>
    </row>
    <row r="2958" spans="1:4" ht="14.45" x14ac:dyDescent="0.3">
      <c r="A2958">
        <v>8288</v>
      </c>
      <c r="B2958" t="s">
        <v>8903</v>
      </c>
      <c r="C2958" t="s">
        <v>5043</v>
      </c>
      <c r="D2958" t="s">
        <v>8401</v>
      </c>
    </row>
    <row r="2959" spans="1:4" ht="14.45" x14ac:dyDescent="0.3">
      <c r="A2959">
        <v>8606</v>
      </c>
      <c r="B2959" t="s">
        <v>8904</v>
      </c>
      <c r="C2959" t="s">
        <v>5043</v>
      </c>
      <c r="D2959" t="s">
        <v>8401</v>
      </c>
    </row>
    <row r="2960" spans="1:4" ht="14.45" x14ac:dyDescent="0.3">
      <c r="A2960">
        <v>10258</v>
      </c>
      <c r="B2960" t="s">
        <v>8905</v>
      </c>
      <c r="C2960" t="s">
        <v>5043</v>
      </c>
      <c r="D2960" t="s">
        <v>8401</v>
      </c>
    </row>
    <row r="2961" spans="1:4" ht="14.45" x14ac:dyDescent="0.3">
      <c r="A2961">
        <v>11507</v>
      </c>
      <c r="B2961" t="s">
        <v>8905</v>
      </c>
      <c r="C2961" t="s">
        <v>5043</v>
      </c>
      <c r="D2961" t="s">
        <v>8401</v>
      </c>
    </row>
    <row r="2962" spans="1:4" ht="14.45" x14ac:dyDescent="0.3">
      <c r="A2962">
        <v>6407</v>
      </c>
      <c r="B2962" t="s">
        <v>8905</v>
      </c>
      <c r="C2962" t="s">
        <v>5043</v>
      </c>
      <c r="D2962" t="s">
        <v>8401</v>
      </c>
    </row>
    <row r="2963" spans="1:4" ht="14.45" x14ac:dyDescent="0.3">
      <c r="A2963">
        <v>6917</v>
      </c>
      <c r="B2963" t="s">
        <v>8905</v>
      </c>
      <c r="C2963" t="s">
        <v>5043</v>
      </c>
      <c r="D2963" t="s">
        <v>8401</v>
      </c>
    </row>
    <row r="2964" spans="1:4" ht="14.45" x14ac:dyDescent="0.3">
      <c r="A2964">
        <v>8317</v>
      </c>
      <c r="B2964" t="s">
        <v>8905</v>
      </c>
      <c r="C2964" t="s">
        <v>5043</v>
      </c>
      <c r="D2964" t="s">
        <v>8401</v>
      </c>
    </row>
    <row r="2965" spans="1:4" ht="14.45" x14ac:dyDescent="0.3">
      <c r="A2965">
        <v>9168</v>
      </c>
      <c r="B2965" t="s">
        <v>8905</v>
      </c>
      <c r="C2965" t="s">
        <v>5043</v>
      </c>
      <c r="D2965" t="s">
        <v>8401</v>
      </c>
    </row>
    <row r="2966" spans="1:4" ht="14.45" x14ac:dyDescent="0.3">
      <c r="A2966">
        <v>9530</v>
      </c>
      <c r="B2966" t="s">
        <v>8905</v>
      </c>
      <c r="C2966" t="s">
        <v>5043</v>
      </c>
      <c r="D2966" t="s">
        <v>8401</v>
      </c>
    </row>
    <row r="2967" spans="1:4" ht="14.45" x14ac:dyDescent="0.3">
      <c r="A2967">
        <v>10175</v>
      </c>
      <c r="B2967" t="s">
        <v>10616</v>
      </c>
      <c r="C2967" t="s">
        <v>5043</v>
      </c>
      <c r="D2967" t="s">
        <v>8401</v>
      </c>
    </row>
    <row r="2968" spans="1:4" ht="14.45" x14ac:dyDescent="0.3">
      <c r="A2968">
        <v>6551</v>
      </c>
      <c r="B2968" t="s">
        <v>10616</v>
      </c>
      <c r="C2968" t="s">
        <v>5043</v>
      </c>
      <c r="D2968" t="s">
        <v>8401</v>
      </c>
    </row>
    <row r="2969" spans="1:4" ht="14.45" x14ac:dyDescent="0.3">
      <c r="A2969">
        <v>7595</v>
      </c>
      <c r="B2969" t="s">
        <v>10616</v>
      </c>
      <c r="C2969" t="s">
        <v>5043</v>
      </c>
      <c r="D2969" t="s">
        <v>8401</v>
      </c>
    </row>
    <row r="2970" spans="1:4" ht="14.45" x14ac:dyDescent="0.3">
      <c r="A2970">
        <v>8563</v>
      </c>
      <c r="B2970" t="s">
        <v>10616</v>
      </c>
      <c r="C2970" t="s">
        <v>5043</v>
      </c>
      <c r="D2970" t="s">
        <v>8401</v>
      </c>
    </row>
    <row r="2971" spans="1:4" ht="14.45" x14ac:dyDescent="0.3">
      <c r="A2971">
        <v>8568</v>
      </c>
      <c r="B2971" t="s">
        <v>10616</v>
      </c>
      <c r="C2971" t="s">
        <v>5043</v>
      </c>
      <c r="D2971" t="s">
        <v>8401</v>
      </c>
    </row>
    <row r="2972" spans="1:4" ht="14.45" x14ac:dyDescent="0.3">
      <c r="A2972">
        <v>8972</v>
      </c>
      <c r="B2972" t="s">
        <v>10616</v>
      </c>
      <c r="C2972" t="s">
        <v>5043</v>
      </c>
      <c r="D2972" t="s">
        <v>8401</v>
      </c>
    </row>
    <row r="2973" spans="1:4" ht="14.45" x14ac:dyDescent="0.3">
      <c r="A2973">
        <v>9572</v>
      </c>
      <c r="B2973" t="s">
        <v>10616</v>
      </c>
      <c r="C2973" t="s">
        <v>5043</v>
      </c>
      <c r="D2973" t="s">
        <v>8401</v>
      </c>
    </row>
    <row r="2974" spans="1:4" ht="14.45" x14ac:dyDescent="0.3">
      <c r="A2974">
        <v>9605</v>
      </c>
      <c r="B2974" t="s">
        <v>10616</v>
      </c>
      <c r="C2974" t="s">
        <v>5043</v>
      </c>
      <c r="D2974" t="s">
        <v>8401</v>
      </c>
    </row>
    <row r="2975" spans="1:4" ht="14.45" x14ac:dyDescent="0.3">
      <c r="A2975">
        <v>10110</v>
      </c>
      <c r="B2975" t="s">
        <v>8906</v>
      </c>
      <c r="C2975" t="s">
        <v>5043</v>
      </c>
      <c r="D2975" t="s">
        <v>8401</v>
      </c>
    </row>
    <row r="2976" spans="1:4" ht="14.45" x14ac:dyDescent="0.3">
      <c r="A2976">
        <v>10955</v>
      </c>
      <c r="B2976" t="s">
        <v>8906</v>
      </c>
      <c r="C2976" t="s">
        <v>5043</v>
      </c>
      <c r="D2976" t="s">
        <v>8401</v>
      </c>
    </row>
    <row r="2977" spans="1:4" ht="14.45" x14ac:dyDescent="0.3">
      <c r="A2977">
        <v>9723</v>
      </c>
      <c r="B2977" t="s">
        <v>8906</v>
      </c>
      <c r="C2977" t="s">
        <v>5043</v>
      </c>
      <c r="D2977" t="s">
        <v>8401</v>
      </c>
    </row>
    <row r="2978" spans="1:4" ht="14.45" x14ac:dyDescent="0.3">
      <c r="A2978">
        <v>7003</v>
      </c>
      <c r="B2978" t="s">
        <v>10617</v>
      </c>
      <c r="C2978" t="s">
        <v>5043</v>
      </c>
      <c r="D2978" t="s">
        <v>8401</v>
      </c>
    </row>
    <row r="2979" spans="1:4" ht="14.45" x14ac:dyDescent="0.3">
      <c r="A2979">
        <v>7544</v>
      </c>
      <c r="B2979" t="s">
        <v>10617</v>
      </c>
      <c r="C2979" t="s">
        <v>5043</v>
      </c>
      <c r="D2979" t="s">
        <v>8401</v>
      </c>
    </row>
    <row r="2980" spans="1:4" ht="14.45" x14ac:dyDescent="0.3">
      <c r="A2980">
        <v>9551</v>
      </c>
      <c r="B2980" t="s">
        <v>10617</v>
      </c>
      <c r="C2980" t="s">
        <v>5043</v>
      </c>
      <c r="D2980" t="s">
        <v>8401</v>
      </c>
    </row>
    <row r="2981" spans="1:4" ht="14.45" x14ac:dyDescent="0.3">
      <c r="A2981">
        <v>10268</v>
      </c>
      <c r="B2981" t="s">
        <v>10618</v>
      </c>
      <c r="C2981" t="s">
        <v>5043</v>
      </c>
      <c r="D2981" t="s">
        <v>8401</v>
      </c>
    </row>
    <row r="2982" spans="1:4" ht="14.45" x14ac:dyDescent="0.3">
      <c r="A2982">
        <v>11708</v>
      </c>
      <c r="B2982" t="s">
        <v>8907</v>
      </c>
      <c r="C2982" t="s">
        <v>5043</v>
      </c>
      <c r="D2982" t="s">
        <v>8401</v>
      </c>
    </row>
    <row r="2983" spans="1:4" ht="14.45" x14ac:dyDescent="0.3">
      <c r="A2983">
        <v>6697</v>
      </c>
      <c r="B2983" t="s">
        <v>8908</v>
      </c>
      <c r="C2983" t="s">
        <v>5043</v>
      </c>
      <c r="D2983" t="s">
        <v>8401</v>
      </c>
    </row>
    <row r="2984" spans="1:4" ht="14.45" x14ac:dyDescent="0.3">
      <c r="A2984">
        <v>7922</v>
      </c>
      <c r="B2984" t="s">
        <v>8909</v>
      </c>
      <c r="C2984" t="s">
        <v>5043</v>
      </c>
      <c r="D2984" t="s">
        <v>8401</v>
      </c>
    </row>
    <row r="2985" spans="1:4" ht="14.45" x14ac:dyDescent="0.3">
      <c r="A2985">
        <v>10342</v>
      </c>
      <c r="B2985" t="s">
        <v>8910</v>
      </c>
      <c r="C2985" t="s">
        <v>5043</v>
      </c>
      <c r="D2985" t="s">
        <v>8401</v>
      </c>
    </row>
    <row r="2986" spans="1:4" ht="14.45" x14ac:dyDescent="0.3">
      <c r="A2986">
        <v>10800</v>
      </c>
      <c r="B2986" t="s">
        <v>8911</v>
      </c>
      <c r="C2986" t="s">
        <v>5043</v>
      </c>
      <c r="D2986" t="s">
        <v>8401</v>
      </c>
    </row>
    <row r="2987" spans="1:4" ht="14.45" x14ac:dyDescent="0.3">
      <c r="A2987">
        <v>6536</v>
      </c>
      <c r="B2987" t="s">
        <v>8911</v>
      </c>
      <c r="C2987" t="s">
        <v>5043</v>
      </c>
      <c r="D2987" t="s">
        <v>8401</v>
      </c>
    </row>
    <row r="2988" spans="1:4" ht="14.45" x14ac:dyDescent="0.3">
      <c r="A2988">
        <v>7747</v>
      </c>
      <c r="B2988" t="s">
        <v>8911</v>
      </c>
      <c r="C2988" t="s">
        <v>5043</v>
      </c>
      <c r="D2988" t="s">
        <v>8401</v>
      </c>
    </row>
    <row r="2989" spans="1:4" ht="14.45" x14ac:dyDescent="0.3">
      <c r="A2989">
        <v>7813</v>
      </c>
      <c r="B2989" t="s">
        <v>8911</v>
      </c>
      <c r="C2989" t="s">
        <v>5043</v>
      </c>
      <c r="D2989" t="s">
        <v>8401</v>
      </c>
    </row>
    <row r="2990" spans="1:4" ht="14.45" x14ac:dyDescent="0.3">
      <c r="A2990">
        <v>11640</v>
      </c>
      <c r="B2990" t="s">
        <v>8912</v>
      </c>
      <c r="C2990" t="s">
        <v>5043</v>
      </c>
      <c r="D2990" t="s">
        <v>8401</v>
      </c>
    </row>
    <row r="2991" spans="1:4" ht="14.45" x14ac:dyDescent="0.3">
      <c r="A2991">
        <v>8366</v>
      </c>
      <c r="B2991" t="s">
        <v>8912</v>
      </c>
      <c r="C2991" t="s">
        <v>5043</v>
      </c>
      <c r="D2991" t="s">
        <v>8401</v>
      </c>
    </row>
    <row r="2992" spans="1:4" ht="14.45" x14ac:dyDescent="0.3">
      <c r="A2992">
        <v>10504</v>
      </c>
      <c r="B2992" t="s">
        <v>8913</v>
      </c>
      <c r="C2992" t="s">
        <v>5043</v>
      </c>
      <c r="D2992" t="s">
        <v>8401</v>
      </c>
    </row>
    <row r="2993" spans="1:4" ht="14.45" x14ac:dyDescent="0.3">
      <c r="A2993">
        <v>10959</v>
      </c>
      <c r="B2993" t="s">
        <v>8913</v>
      </c>
      <c r="C2993" t="s">
        <v>5043</v>
      </c>
      <c r="D2993" t="s">
        <v>8401</v>
      </c>
    </row>
    <row r="2994" spans="1:4" ht="14.45" x14ac:dyDescent="0.3">
      <c r="A2994">
        <v>10045</v>
      </c>
      <c r="B2994" t="s">
        <v>10619</v>
      </c>
      <c r="C2994" t="s">
        <v>5043</v>
      </c>
      <c r="D2994" t="s">
        <v>8401</v>
      </c>
    </row>
    <row r="2995" spans="1:4" ht="14.45" x14ac:dyDescent="0.3">
      <c r="A2995">
        <v>10782</v>
      </c>
      <c r="B2995" t="s">
        <v>10619</v>
      </c>
      <c r="C2995" t="s">
        <v>5043</v>
      </c>
      <c r="D2995" t="s">
        <v>8401</v>
      </c>
    </row>
    <row r="2996" spans="1:4" ht="14.45" x14ac:dyDescent="0.3">
      <c r="A2996">
        <v>10846</v>
      </c>
      <c r="B2996" t="s">
        <v>10619</v>
      </c>
      <c r="C2996" t="s">
        <v>5043</v>
      </c>
      <c r="D2996" t="s">
        <v>8401</v>
      </c>
    </row>
    <row r="2997" spans="1:4" ht="14.45" x14ac:dyDescent="0.3">
      <c r="A2997">
        <v>10893</v>
      </c>
      <c r="B2997" t="s">
        <v>10619</v>
      </c>
      <c r="C2997" t="s">
        <v>5043</v>
      </c>
      <c r="D2997" t="s">
        <v>8401</v>
      </c>
    </row>
    <row r="2998" spans="1:4" ht="14.45" x14ac:dyDescent="0.3">
      <c r="A2998">
        <v>10919</v>
      </c>
      <c r="B2998" t="s">
        <v>10619</v>
      </c>
      <c r="C2998" t="s">
        <v>5043</v>
      </c>
      <c r="D2998" t="s">
        <v>8401</v>
      </c>
    </row>
    <row r="2999" spans="1:4" ht="14.45" x14ac:dyDescent="0.3">
      <c r="A2999">
        <v>11183</v>
      </c>
      <c r="B2999" t="s">
        <v>10619</v>
      </c>
      <c r="C2999" t="s">
        <v>5043</v>
      </c>
      <c r="D2999" t="s">
        <v>8401</v>
      </c>
    </row>
    <row r="3000" spans="1:4" ht="14.45" x14ac:dyDescent="0.3">
      <c r="A3000">
        <v>11295</v>
      </c>
      <c r="B3000" t="s">
        <v>10619</v>
      </c>
      <c r="C3000" t="s">
        <v>5043</v>
      </c>
      <c r="D3000" t="s">
        <v>8401</v>
      </c>
    </row>
    <row r="3001" spans="1:4" ht="14.45" x14ac:dyDescent="0.3">
      <c r="A3001">
        <v>11406</v>
      </c>
      <c r="B3001" t="s">
        <v>10619</v>
      </c>
      <c r="C3001" t="s">
        <v>5043</v>
      </c>
      <c r="D3001" t="s">
        <v>8401</v>
      </c>
    </row>
    <row r="3002" spans="1:4" ht="14.45" x14ac:dyDescent="0.3">
      <c r="A3002">
        <v>11431</v>
      </c>
      <c r="B3002" t="s">
        <v>10619</v>
      </c>
      <c r="C3002" t="s">
        <v>5043</v>
      </c>
      <c r="D3002" t="s">
        <v>8401</v>
      </c>
    </row>
    <row r="3003" spans="1:4" ht="14.45" x14ac:dyDescent="0.3">
      <c r="A3003">
        <v>11539</v>
      </c>
      <c r="B3003" t="s">
        <v>10619</v>
      </c>
      <c r="C3003" t="s">
        <v>5043</v>
      </c>
      <c r="D3003" t="s">
        <v>8401</v>
      </c>
    </row>
    <row r="3004" spans="1:4" ht="14.45" x14ac:dyDescent="0.3">
      <c r="A3004">
        <v>11560</v>
      </c>
      <c r="B3004" t="s">
        <v>10619</v>
      </c>
      <c r="C3004" t="s">
        <v>5043</v>
      </c>
      <c r="D3004" t="s">
        <v>8401</v>
      </c>
    </row>
    <row r="3005" spans="1:4" ht="14.45" x14ac:dyDescent="0.3">
      <c r="A3005">
        <v>6627</v>
      </c>
      <c r="B3005" t="s">
        <v>10619</v>
      </c>
      <c r="C3005" t="s">
        <v>5043</v>
      </c>
      <c r="D3005" t="s">
        <v>8401</v>
      </c>
    </row>
    <row r="3006" spans="1:4" ht="14.45" x14ac:dyDescent="0.3">
      <c r="A3006">
        <v>6868</v>
      </c>
      <c r="B3006" t="s">
        <v>10619</v>
      </c>
      <c r="C3006" t="s">
        <v>5043</v>
      </c>
      <c r="D3006" t="s">
        <v>8401</v>
      </c>
    </row>
    <row r="3007" spans="1:4" ht="14.45" x14ac:dyDescent="0.3">
      <c r="A3007">
        <v>6969</v>
      </c>
      <c r="B3007" t="s">
        <v>10619</v>
      </c>
      <c r="C3007" t="s">
        <v>5043</v>
      </c>
      <c r="D3007" t="s">
        <v>8401</v>
      </c>
    </row>
    <row r="3008" spans="1:4" ht="14.45" x14ac:dyDescent="0.3">
      <c r="A3008">
        <v>7164</v>
      </c>
      <c r="B3008" t="s">
        <v>10619</v>
      </c>
      <c r="C3008" t="s">
        <v>5043</v>
      </c>
      <c r="D3008" t="s">
        <v>8401</v>
      </c>
    </row>
    <row r="3009" spans="1:4" ht="14.45" x14ac:dyDescent="0.3">
      <c r="A3009">
        <v>7215</v>
      </c>
      <c r="B3009" t="s">
        <v>10619</v>
      </c>
      <c r="C3009" t="s">
        <v>5043</v>
      </c>
      <c r="D3009" t="s">
        <v>8401</v>
      </c>
    </row>
    <row r="3010" spans="1:4" ht="14.45" x14ac:dyDescent="0.3">
      <c r="A3010">
        <v>7703</v>
      </c>
      <c r="B3010" t="s">
        <v>10619</v>
      </c>
      <c r="C3010" t="s">
        <v>5043</v>
      </c>
      <c r="D3010" t="s">
        <v>8401</v>
      </c>
    </row>
    <row r="3011" spans="1:4" ht="14.45" x14ac:dyDescent="0.3">
      <c r="A3011">
        <v>7844</v>
      </c>
      <c r="B3011" t="s">
        <v>10619</v>
      </c>
      <c r="C3011" t="s">
        <v>5043</v>
      </c>
      <c r="D3011" t="s">
        <v>8401</v>
      </c>
    </row>
    <row r="3012" spans="1:4" ht="14.45" x14ac:dyDescent="0.3">
      <c r="A3012">
        <v>8005</v>
      </c>
      <c r="B3012" t="s">
        <v>10619</v>
      </c>
      <c r="C3012" t="s">
        <v>5043</v>
      </c>
      <c r="D3012" t="s">
        <v>8401</v>
      </c>
    </row>
    <row r="3013" spans="1:4" ht="14.45" x14ac:dyDescent="0.3">
      <c r="A3013">
        <v>8468</v>
      </c>
      <c r="B3013" t="s">
        <v>10619</v>
      </c>
      <c r="C3013" t="s">
        <v>5043</v>
      </c>
      <c r="D3013" t="s">
        <v>8401</v>
      </c>
    </row>
    <row r="3014" spans="1:4" ht="14.45" x14ac:dyDescent="0.3">
      <c r="A3014">
        <v>8475</v>
      </c>
      <c r="B3014" t="s">
        <v>10619</v>
      </c>
      <c r="C3014" t="s">
        <v>5043</v>
      </c>
      <c r="D3014" t="s">
        <v>8401</v>
      </c>
    </row>
    <row r="3015" spans="1:4" ht="14.45" x14ac:dyDescent="0.3">
      <c r="A3015">
        <v>8536</v>
      </c>
      <c r="B3015" t="s">
        <v>10619</v>
      </c>
      <c r="C3015" t="s">
        <v>5043</v>
      </c>
      <c r="D3015" t="s">
        <v>8401</v>
      </c>
    </row>
    <row r="3016" spans="1:4" ht="14.45" x14ac:dyDescent="0.3">
      <c r="A3016">
        <v>8593</v>
      </c>
      <c r="B3016" t="s">
        <v>10619</v>
      </c>
      <c r="C3016" t="s">
        <v>5043</v>
      </c>
      <c r="D3016" t="s">
        <v>8401</v>
      </c>
    </row>
    <row r="3017" spans="1:4" ht="14.45" x14ac:dyDescent="0.3">
      <c r="A3017">
        <v>8955</v>
      </c>
      <c r="B3017" t="s">
        <v>10619</v>
      </c>
      <c r="C3017" t="s">
        <v>5043</v>
      </c>
      <c r="D3017" t="s">
        <v>8401</v>
      </c>
    </row>
    <row r="3018" spans="1:4" ht="14.45" x14ac:dyDescent="0.3">
      <c r="A3018">
        <v>9367</v>
      </c>
      <c r="B3018" t="s">
        <v>10619</v>
      </c>
      <c r="C3018" t="s">
        <v>5043</v>
      </c>
      <c r="D3018" t="s">
        <v>8401</v>
      </c>
    </row>
    <row r="3019" spans="1:4" ht="14.45" x14ac:dyDescent="0.3">
      <c r="A3019">
        <v>9404</v>
      </c>
      <c r="B3019" t="s">
        <v>10619</v>
      </c>
      <c r="C3019" t="s">
        <v>5043</v>
      </c>
      <c r="D3019" t="s">
        <v>8401</v>
      </c>
    </row>
    <row r="3020" spans="1:4" ht="14.45" x14ac:dyDescent="0.3">
      <c r="A3020">
        <v>9699</v>
      </c>
      <c r="B3020" t="s">
        <v>10619</v>
      </c>
      <c r="C3020" t="s">
        <v>5043</v>
      </c>
      <c r="D3020" t="s">
        <v>8401</v>
      </c>
    </row>
    <row r="3021" spans="1:4" ht="14.45" x14ac:dyDescent="0.3">
      <c r="A3021">
        <v>9823</v>
      </c>
      <c r="B3021" t="s">
        <v>10619</v>
      </c>
      <c r="C3021" t="s">
        <v>5043</v>
      </c>
      <c r="D3021" t="s">
        <v>8401</v>
      </c>
    </row>
    <row r="3022" spans="1:4" ht="14.45" x14ac:dyDescent="0.3">
      <c r="A3022">
        <v>9925</v>
      </c>
      <c r="B3022" t="s">
        <v>10619</v>
      </c>
      <c r="C3022" t="s">
        <v>5043</v>
      </c>
      <c r="D3022" t="s">
        <v>8401</v>
      </c>
    </row>
    <row r="3023" spans="1:4" ht="14.45" x14ac:dyDescent="0.3">
      <c r="A3023">
        <v>9976</v>
      </c>
      <c r="B3023" t="s">
        <v>10619</v>
      </c>
      <c r="C3023" t="s">
        <v>5043</v>
      </c>
      <c r="D3023" t="s">
        <v>8401</v>
      </c>
    </row>
    <row r="3024" spans="1:4" ht="14.45" x14ac:dyDescent="0.3">
      <c r="A3024">
        <v>10018</v>
      </c>
      <c r="B3024" t="s">
        <v>8914</v>
      </c>
      <c r="C3024" t="s">
        <v>5043</v>
      </c>
      <c r="D3024" t="s">
        <v>8401</v>
      </c>
    </row>
    <row r="3025" spans="1:4" ht="14.45" x14ac:dyDescent="0.3">
      <c r="A3025">
        <v>10066</v>
      </c>
      <c r="B3025" t="s">
        <v>8914</v>
      </c>
      <c r="C3025" t="s">
        <v>5043</v>
      </c>
      <c r="D3025" t="s">
        <v>8401</v>
      </c>
    </row>
    <row r="3026" spans="1:4" ht="14.45" x14ac:dyDescent="0.3">
      <c r="A3026">
        <v>10173</v>
      </c>
      <c r="B3026" t="s">
        <v>8914</v>
      </c>
      <c r="C3026" t="s">
        <v>5043</v>
      </c>
      <c r="D3026" t="s">
        <v>8401</v>
      </c>
    </row>
    <row r="3027" spans="1:4" ht="14.45" x14ac:dyDescent="0.3">
      <c r="A3027">
        <v>10214</v>
      </c>
      <c r="B3027" t="s">
        <v>8914</v>
      </c>
      <c r="C3027" t="s">
        <v>5043</v>
      </c>
      <c r="D3027" t="s">
        <v>8401</v>
      </c>
    </row>
    <row r="3028" spans="1:4" ht="14.45" x14ac:dyDescent="0.3">
      <c r="A3028">
        <v>10376</v>
      </c>
      <c r="B3028" t="s">
        <v>8914</v>
      </c>
      <c r="C3028" t="s">
        <v>5043</v>
      </c>
      <c r="D3028" t="s">
        <v>8401</v>
      </c>
    </row>
    <row r="3029" spans="1:4" ht="14.45" x14ac:dyDescent="0.3">
      <c r="A3029">
        <v>10591</v>
      </c>
      <c r="B3029" t="s">
        <v>8914</v>
      </c>
      <c r="C3029" t="s">
        <v>5043</v>
      </c>
      <c r="D3029" t="s">
        <v>8401</v>
      </c>
    </row>
    <row r="3030" spans="1:4" ht="14.45" x14ac:dyDescent="0.3">
      <c r="A3030">
        <v>11020</v>
      </c>
      <c r="B3030" t="s">
        <v>8914</v>
      </c>
      <c r="C3030" t="s">
        <v>5043</v>
      </c>
      <c r="D3030" t="s">
        <v>8401</v>
      </c>
    </row>
    <row r="3031" spans="1:4" ht="14.45" x14ac:dyDescent="0.3">
      <c r="A3031">
        <v>12060</v>
      </c>
      <c r="B3031" t="s">
        <v>8914</v>
      </c>
      <c r="C3031" t="s">
        <v>5043</v>
      </c>
      <c r="D3031" t="s">
        <v>8401</v>
      </c>
    </row>
    <row r="3032" spans="1:4" ht="14.45" x14ac:dyDescent="0.3">
      <c r="A3032">
        <v>12063</v>
      </c>
      <c r="B3032" t="s">
        <v>8914</v>
      </c>
      <c r="C3032" t="s">
        <v>5043</v>
      </c>
      <c r="D3032" t="s">
        <v>8401</v>
      </c>
    </row>
    <row r="3033" spans="1:4" ht="14.45" x14ac:dyDescent="0.3">
      <c r="A3033">
        <v>6416</v>
      </c>
      <c r="B3033" t="s">
        <v>8914</v>
      </c>
      <c r="C3033" t="s">
        <v>5043</v>
      </c>
      <c r="D3033" t="s">
        <v>8401</v>
      </c>
    </row>
    <row r="3034" spans="1:4" ht="14.45" x14ac:dyDescent="0.3">
      <c r="A3034">
        <v>6421</v>
      </c>
      <c r="B3034" t="s">
        <v>8914</v>
      </c>
      <c r="C3034" t="s">
        <v>5043</v>
      </c>
      <c r="D3034" t="s">
        <v>8401</v>
      </c>
    </row>
    <row r="3035" spans="1:4" ht="14.45" x14ac:dyDescent="0.3">
      <c r="A3035">
        <v>6424</v>
      </c>
      <c r="B3035" t="s">
        <v>8914</v>
      </c>
      <c r="C3035" t="s">
        <v>5043</v>
      </c>
      <c r="D3035" t="s">
        <v>8401</v>
      </c>
    </row>
    <row r="3036" spans="1:4" ht="14.45" x14ac:dyDescent="0.3">
      <c r="A3036">
        <v>6474</v>
      </c>
      <c r="B3036" t="s">
        <v>8914</v>
      </c>
      <c r="C3036" t="s">
        <v>5043</v>
      </c>
      <c r="D3036" t="s">
        <v>8401</v>
      </c>
    </row>
    <row r="3037" spans="1:4" ht="14.45" x14ac:dyDescent="0.3">
      <c r="A3037">
        <v>6501</v>
      </c>
      <c r="B3037" t="s">
        <v>8914</v>
      </c>
      <c r="C3037" t="s">
        <v>5043</v>
      </c>
      <c r="D3037" t="s">
        <v>8401</v>
      </c>
    </row>
    <row r="3038" spans="1:4" ht="14.45" x14ac:dyDescent="0.3">
      <c r="A3038">
        <v>6518</v>
      </c>
      <c r="B3038" t="s">
        <v>8914</v>
      </c>
      <c r="C3038" t="s">
        <v>5043</v>
      </c>
      <c r="D3038" t="s">
        <v>8401</v>
      </c>
    </row>
    <row r="3039" spans="1:4" ht="14.45" x14ac:dyDescent="0.3">
      <c r="A3039">
        <v>6593</v>
      </c>
      <c r="B3039" t="s">
        <v>8914</v>
      </c>
      <c r="C3039" t="s">
        <v>5043</v>
      </c>
      <c r="D3039" t="s">
        <v>8401</v>
      </c>
    </row>
    <row r="3040" spans="1:4" ht="14.45" x14ac:dyDescent="0.3">
      <c r="A3040">
        <v>7383</v>
      </c>
      <c r="B3040" t="s">
        <v>8914</v>
      </c>
      <c r="C3040" t="s">
        <v>5043</v>
      </c>
      <c r="D3040" t="s">
        <v>8401</v>
      </c>
    </row>
    <row r="3041" spans="1:4" ht="14.45" x14ac:dyDescent="0.3">
      <c r="A3041">
        <v>7431</v>
      </c>
      <c r="B3041" t="s">
        <v>8914</v>
      </c>
      <c r="C3041" t="s">
        <v>5043</v>
      </c>
      <c r="D3041" t="s">
        <v>8401</v>
      </c>
    </row>
    <row r="3042" spans="1:4" ht="14.45" x14ac:dyDescent="0.3">
      <c r="A3042">
        <v>8020</v>
      </c>
      <c r="B3042" t="s">
        <v>8914</v>
      </c>
      <c r="C3042" t="s">
        <v>5043</v>
      </c>
      <c r="D3042" t="s">
        <v>8401</v>
      </c>
    </row>
    <row r="3043" spans="1:4" ht="14.45" x14ac:dyDescent="0.3">
      <c r="A3043">
        <v>8148</v>
      </c>
      <c r="B3043" t="s">
        <v>8914</v>
      </c>
      <c r="C3043" t="s">
        <v>5043</v>
      </c>
      <c r="D3043" t="s">
        <v>8401</v>
      </c>
    </row>
    <row r="3044" spans="1:4" ht="14.45" x14ac:dyDescent="0.3">
      <c r="A3044">
        <v>8253</v>
      </c>
      <c r="B3044" t="s">
        <v>8914</v>
      </c>
      <c r="C3044" t="s">
        <v>5043</v>
      </c>
      <c r="D3044" t="s">
        <v>8401</v>
      </c>
    </row>
    <row r="3045" spans="1:4" ht="14.45" x14ac:dyDescent="0.3">
      <c r="A3045">
        <v>8625</v>
      </c>
      <c r="B3045" t="s">
        <v>8914</v>
      </c>
      <c r="C3045" t="s">
        <v>5043</v>
      </c>
      <c r="D3045" t="s">
        <v>8401</v>
      </c>
    </row>
    <row r="3046" spans="1:4" ht="14.45" x14ac:dyDescent="0.3">
      <c r="A3046">
        <v>8868</v>
      </c>
      <c r="B3046" t="s">
        <v>8914</v>
      </c>
      <c r="C3046" t="s">
        <v>5043</v>
      </c>
      <c r="D3046" t="s">
        <v>8401</v>
      </c>
    </row>
    <row r="3047" spans="1:4" ht="14.45" x14ac:dyDescent="0.3">
      <c r="A3047">
        <v>8910</v>
      </c>
      <c r="B3047" t="s">
        <v>8914</v>
      </c>
      <c r="C3047" t="s">
        <v>5043</v>
      </c>
      <c r="D3047" t="s">
        <v>8401</v>
      </c>
    </row>
    <row r="3048" spans="1:4" ht="14.45" x14ac:dyDescent="0.3">
      <c r="A3048">
        <v>9339</v>
      </c>
      <c r="B3048" t="s">
        <v>8914</v>
      </c>
      <c r="C3048" t="s">
        <v>5043</v>
      </c>
      <c r="D3048" t="s">
        <v>8401</v>
      </c>
    </row>
    <row r="3049" spans="1:4" ht="14.45" x14ac:dyDescent="0.3">
      <c r="A3049">
        <v>9359</v>
      </c>
      <c r="B3049" t="s">
        <v>8914</v>
      </c>
      <c r="C3049" t="s">
        <v>5043</v>
      </c>
      <c r="D3049" t="s">
        <v>8401</v>
      </c>
    </row>
    <row r="3050" spans="1:4" ht="14.45" x14ac:dyDescent="0.3">
      <c r="A3050">
        <v>9712</v>
      </c>
      <c r="B3050" t="s">
        <v>8914</v>
      </c>
      <c r="C3050" t="s">
        <v>5043</v>
      </c>
      <c r="D3050" t="s">
        <v>8401</v>
      </c>
    </row>
    <row r="3051" spans="1:4" ht="14.45" x14ac:dyDescent="0.3">
      <c r="A3051">
        <v>12061</v>
      </c>
      <c r="B3051" t="s">
        <v>8915</v>
      </c>
      <c r="C3051" t="s">
        <v>5043</v>
      </c>
      <c r="D3051" t="s">
        <v>8401</v>
      </c>
    </row>
    <row r="3052" spans="1:4" ht="14.45" x14ac:dyDescent="0.3">
      <c r="A3052">
        <v>12064</v>
      </c>
      <c r="B3052" t="s">
        <v>8915</v>
      </c>
      <c r="C3052" t="s">
        <v>5043</v>
      </c>
      <c r="D3052" t="s">
        <v>8401</v>
      </c>
    </row>
    <row r="3053" spans="1:4" ht="14.45" x14ac:dyDescent="0.3">
      <c r="A3053">
        <v>10420</v>
      </c>
      <c r="B3053" t="s">
        <v>8916</v>
      </c>
      <c r="C3053" t="s">
        <v>5043</v>
      </c>
      <c r="D3053" t="s">
        <v>8401</v>
      </c>
    </row>
    <row r="3054" spans="1:4" ht="14.45" x14ac:dyDescent="0.3">
      <c r="A3054">
        <v>10561</v>
      </c>
      <c r="B3054" t="s">
        <v>8916</v>
      </c>
      <c r="C3054" t="s">
        <v>5043</v>
      </c>
      <c r="D3054" t="s">
        <v>8401</v>
      </c>
    </row>
    <row r="3055" spans="1:4" ht="14.45" x14ac:dyDescent="0.3">
      <c r="A3055">
        <v>11054</v>
      </c>
      <c r="B3055" t="s">
        <v>8916</v>
      </c>
      <c r="C3055" t="s">
        <v>5043</v>
      </c>
      <c r="D3055" t="s">
        <v>8401</v>
      </c>
    </row>
    <row r="3056" spans="1:4" ht="14.45" x14ac:dyDescent="0.3">
      <c r="A3056">
        <v>11145</v>
      </c>
      <c r="B3056" t="s">
        <v>8916</v>
      </c>
      <c r="C3056" t="s">
        <v>5043</v>
      </c>
      <c r="D3056" t="s">
        <v>8401</v>
      </c>
    </row>
    <row r="3057" spans="1:4" ht="14.45" x14ac:dyDescent="0.3">
      <c r="A3057">
        <v>11320</v>
      </c>
      <c r="B3057" t="s">
        <v>8916</v>
      </c>
      <c r="C3057" t="s">
        <v>5043</v>
      </c>
      <c r="D3057" t="s">
        <v>8401</v>
      </c>
    </row>
    <row r="3058" spans="1:4" ht="14.45" x14ac:dyDescent="0.3">
      <c r="A3058">
        <v>11435</v>
      </c>
      <c r="B3058" t="s">
        <v>8916</v>
      </c>
      <c r="C3058" t="s">
        <v>5043</v>
      </c>
      <c r="D3058" t="s">
        <v>8401</v>
      </c>
    </row>
    <row r="3059" spans="1:4" ht="14.45" x14ac:dyDescent="0.3">
      <c r="A3059">
        <v>11470</v>
      </c>
      <c r="B3059" t="s">
        <v>8916</v>
      </c>
      <c r="C3059" t="s">
        <v>5043</v>
      </c>
      <c r="D3059" t="s">
        <v>8401</v>
      </c>
    </row>
    <row r="3060" spans="1:4" ht="14.45" x14ac:dyDescent="0.3">
      <c r="A3060">
        <v>6479</v>
      </c>
      <c r="B3060" t="s">
        <v>8916</v>
      </c>
      <c r="C3060" t="s">
        <v>5043</v>
      </c>
      <c r="D3060" t="s">
        <v>8401</v>
      </c>
    </row>
    <row r="3061" spans="1:4" ht="14.45" x14ac:dyDescent="0.3">
      <c r="A3061">
        <v>6631</v>
      </c>
      <c r="B3061" t="s">
        <v>8916</v>
      </c>
      <c r="C3061" t="s">
        <v>5043</v>
      </c>
      <c r="D3061" t="s">
        <v>8401</v>
      </c>
    </row>
    <row r="3062" spans="1:4" ht="14.45" x14ac:dyDescent="0.3">
      <c r="A3062">
        <v>7244</v>
      </c>
      <c r="B3062" t="s">
        <v>8916</v>
      </c>
      <c r="C3062" t="s">
        <v>5043</v>
      </c>
      <c r="D3062" t="s">
        <v>8401</v>
      </c>
    </row>
    <row r="3063" spans="1:4" ht="14.45" x14ac:dyDescent="0.3">
      <c r="A3063">
        <v>7363</v>
      </c>
      <c r="B3063" t="s">
        <v>8916</v>
      </c>
      <c r="C3063" t="s">
        <v>5043</v>
      </c>
      <c r="D3063" t="s">
        <v>8401</v>
      </c>
    </row>
    <row r="3064" spans="1:4" ht="14.45" x14ac:dyDescent="0.3">
      <c r="A3064">
        <v>7970</v>
      </c>
      <c r="B3064" t="s">
        <v>8916</v>
      </c>
      <c r="C3064" t="s">
        <v>5043</v>
      </c>
      <c r="D3064" t="s">
        <v>8401</v>
      </c>
    </row>
    <row r="3065" spans="1:4" ht="14.45" x14ac:dyDescent="0.3">
      <c r="A3065">
        <v>8849</v>
      </c>
      <c r="B3065" t="s">
        <v>8916</v>
      </c>
      <c r="C3065" t="s">
        <v>5043</v>
      </c>
      <c r="D3065" t="s">
        <v>8401</v>
      </c>
    </row>
    <row r="3066" spans="1:4" ht="14.45" x14ac:dyDescent="0.3">
      <c r="A3066">
        <v>9101</v>
      </c>
      <c r="B3066" t="s">
        <v>8916</v>
      </c>
      <c r="C3066" t="s">
        <v>5043</v>
      </c>
      <c r="D3066" t="s">
        <v>8401</v>
      </c>
    </row>
    <row r="3067" spans="1:4" ht="14.45" x14ac:dyDescent="0.3">
      <c r="A3067">
        <v>9254</v>
      </c>
      <c r="B3067" t="s">
        <v>8916</v>
      </c>
      <c r="C3067" t="s">
        <v>5043</v>
      </c>
      <c r="D3067" t="s">
        <v>8401</v>
      </c>
    </row>
    <row r="3068" spans="1:4" ht="14.45" x14ac:dyDescent="0.3">
      <c r="A3068">
        <v>9278</v>
      </c>
      <c r="B3068" t="s">
        <v>8916</v>
      </c>
      <c r="C3068" t="s">
        <v>5043</v>
      </c>
      <c r="D3068" t="s">
        <v>8401</v>
      </c>
    </row>
    <row r="3069" spans="1:4" ht="14.45" x14ac:dyDescent="0.3">
      <c r="A3069">
        <v>9968</v>
      </c>
      <c r="B3069" t="s">
        <v>8916</v>
      </c>
      <c r="C3069" t="s">
        <v>5043</v>
      </c>
      <c r="D3069" t="s">
        <v>8401</v>
      </c>
    </row>
    <row r="3070" spans="1:4" ht="14.45" x14ac:dyDescent="0.3">
      <c r="A3070">
        <v>6418</v>
      </c>
      <c r="B3070" t="s">
        <v>8917</v>
      </c>
      <c r="C3070" t="s">
        <v>5043</v>
      </c>
      <c r="D3070" t="s">
        <v>8401</v>
      </c>
    </row>
    <row r="3071" spans="1:4" ht="14.45" x14ac:dyDescent="0.3">
      <c r="A3071">
        <v>7864</v>
      </c>
      <c r="B3071" t="s">
        <v>8917</v>
      </c>
      <c r="C3071" t="s">
        <v>5043</v>
      </c>
      <c r="D3071" t="s">
        <v>8401</v>
      </c>
    </row>
    <row r="3072" spans="1:4" ht="14.45" x14ac:dyDescent="0.3">
      <c r="A3072">
        <v>9939</v>
      </c>
      <c r="B3072" t="s">
        <v>8917</v>
      </c>
      <c r="C3072" t="s">
        <v>5043</v>
      </c>
      <c r="D3072" t="s">
        <v>8401</v>
      </c>
    </row>
    <row r="3073" spans="1:4" ht="14.45" x14ac:dyDescent="0.3">
      <c r="A3073">
        <v>9666</v>
      </c>
      <c r="B3073" t="s">
        <v>8918</v>
      </c>
      <c r="C3073" t="s">
        <v>11570</v>
      </c>
      <c r="D3073" t="s">
        <v>11570</v>
      </c>
    </row>
    <row r="3074" spans="1:4" ht="14.45" x14ac:dyDescent="0.3">
      <c r="A3074">
        <v>6519</v>
      </c>
      <c r="B3074" t="s">
        <v>10620</v>
      </c>
      <c r="C3074" t="s">
        <v>5043</v>
      </c>
      <c r="D3074" t="s">
        <v>8401</v>
      </c>
    </row>
    <row r="3075" spans="1:4" ht="14.45" x14ac:dyDescent="0.3">
      <c r="A3075">
        <v>9386</v>
      </c>
      <c r="B3075" t="s">
        <v>10620</v>
      </c>
      <c r="C3075" t="s">
        <v>5043</v>
      </c>
      <c r="D3075" t="s">
        <v>8401</v>
      </c>
    </row>
    <row r="3076" spans="1:4" ht="14.45" x14ac:dyDescent="0.3">
      <c r="A3076">
        <v>10378</v>
      </c>
      <c r="B3076" t="s">
        <v>8919</v>
      </c>
      <c r="C3076" t="s">
        <v>5043</v>
      </c>
      <c r="D3076" t="s">
        <v>8401</v>
      </c>
    </row>
    <row r="3077" spans="1:4" ht="14.45" x14ac:dyDescent="0.3">
      <c r="A3077">
        <v>11203</v>
      </c>
      <c r="B3077" t="s">
        <v>8919</v>
      </c>
      <c r="C3077" t="s">
        <v>5043</v>
      </c>
      <c r="D3077" t="s">
        <v>8401</v>
      </c>
    </row>
    <row r="3078" spans="1:4" ht="14.45" x14ac:dyDescent="0.3">
      <c r="A3078">
        <v>11500</v>
      </c>
      <c r="B3078" t="s">
        <v>8919</v>
      </c>
      <c r="C3078" t="s">
        <v>5043</v>
      </c>
      <c r="D3078" t="s">
        <v>8401</v>
      </c>
    </row>
    <row r="3079" spans="1:4" ht="14.45" x14ac:dyDescent="0.3">
      <c r="A3079">
        <v>6968</v>
      </c>
      <c r="B3079" t="s">
        <v>8919</v>
      </c>
      <c r="C3079" t="s">
        <v>5043</v>
      </c>
      <c r="D3079" t="s">
        <v>8401</v>
      </c>
    </row>
    <row r="3080" spans="1:4" ht="14.45" x14ac:dyDescent="0.3">
      <c r="A3080">
        <v>7931</v>
      </c>
      <c r="B3080" t="s">
        <v>8919</v>
      </c>
      <c r="C3080" t="s">
        <v>5043</v>
      </c>
      <c r="D3080" t="s">
        <v>8401</v>
      </c>
    </row>
    <row r="3081" spans="1:4" ht="14.45" x14ac:dyDescent="0.3">
      <c r="A3081">
        <v>8579</v>
      </c>
      <c r="B3081" t="s">
        <v>8919</v>
      </c>
      <c r="C3081" t="s">
        <v>5043</v>
      </c>
      <c r="D3081" t="s">
        <v>8401</v>
      </c>
    </row>
    <row r="3082" spans="1:4" ht="14.45" x14ac:dyDescent="0.3">
      <c r="A3082">
        <v>9165</v>
      </c>
      <c r="B3082" t="s">
        <v>8919</v>
      </c>
      <c r="C3082" t="s">
        <v>5043</v>
      </c>
      <c r="D3082" t="s">
        <v>8401</v>
      </c>
    </row>
    <row r="3083" spans="1:4" ht="14.45" x14ac:dyDescent="0.3">
      <c r="A3083">
        <v>9481</v>
      </c>
      <c r="B3083" t="s">
        <v>8919</v>
      </c>
      <c r="C3083" t="s">
        <v>5043</v>
      </c>
      <c r="D3083" t="s">
        <v>8401</v>
      </c>
    </row>
    <row r="3084" spans="1:4" ht="14.45" x14ac:dyDescent="0.3">
      <c r="A3084">
        <v>8942</v>
      </c>
      <c r="B3084" t="s">
        <v>10621</v>
      </c>
      <c r="C3084" t="s">
        <v>5043</v>
      </c>
      <c r="D3084" t="s">
        <v>8401</v>
      </c>
    </row>
    <row r="3085" spans="1:4" ht="14.45" x14ac:dyDescent="0.3">
      <c r="A3085">
        <v>9618</v>
      </c>
      <c r="B3085" t="s">
        <v>10621</v>
      </c>
      <c r="C3085" t="s">
        <v>5043</v>
      </c>
      <c r="D3085" t="s">
        <v>8401</v>
      </c>
    </row>
    <row r="3086" spans="1:4" ht="14.45" x14ac:dyDescent="0.3">
      <c r="A3086">
        <v>9788</v>
      </c>
      <c r="B3086" t="s">
        <v>8920</v>
      </c>
      <c r="C3086" t="s">
        <v>5043</v>
      </c>
      <c r="D3086" t="s">
        <v>8401</v>
      </c>
    </row>
    <row r="3087" spans="1:4" ht="14.45" x14ac:dyDescent="0.3">
      <c r="A3087">
        <v>7360</v>
      </c>
      <c r="B3087" t="s">
        <v>8921</v>
      </c>
      <c r="C3087" t="s">
        <v>5043</v>
      </c>
      <c r="D3087" t="s">
        <v>8401</v>
      </c>
    </row>
    <row r="3088" spans="1:4" ht="14.45" x14ac:dyDescent="0.3">
      <c r="A3088">
        <v>8531</v>
      </c>
      <c r="B3088" t="s">
        <v>8921</v>
      </c>
      <c r="C3088" t="s">
        <v>5043</v>
      </c>
      <c r="D3088" t="s">
        <v>8401</v>
      </c>
    </row>
    <row r="3089" spans="1:4" ht="14.45" x14ac:dyDescent="0.3">
      <c r="A3089">
        <v>11439</v>
      </c>
      <c r="B3089" t="s">
        <v>8922</v>
      </c>
      <c r="C3089" t="s">
        <v>5043</v>
      </c>
      <c r="D3089" t="s">
        <v>8401</v>
      </c>
    </row>
    <row r="3090" spans="1:4" ht="14.45" x14ac:dyDescent="0.3">
      <c r="A3090">
        <v>6457</v>
      </c>
      <c r="B3090" t="s">
        <v>8922</v>
      </c>
      <c r="C3090" t="s">
        <v>5043</v>
      </c>
      <c r="D3090" t="s">
        <v>8401</v>
      </c>
    </row>
    <row r="3091" spans="1:4" ht="14.45" x14ac:dyDescent="0.3">
      <c r="A3091">
        <v>10223</v>
      </c>
      <c r="B3091" t="s">
        <v>8923</v>
      </c>
      <c r="C3091" t="s">
        <v>5043</v>
      </c>
      <c r="D3091" t="s">
        <v>8401</v>
      </c>
    </row>
    <row r="3092" spans="1:4" ht="14.45" x14ac:dyDescent="0.3">
      <c r="A3092">
        <v>11508</v>
      </c>
      <c r="B3092" t="s">
        <v>8923</v>
      </c>
      <c r="C3092" t="s">
        <v>5043</v>
      </c>
      <c r="D3092" t="s">
        <v>8401</v>
      </c>
    </row>
    <row r="3093" spans="1:4" ht="14.45" x14ac:dyDescent="0.3">
      <c r="A3093">
        <v>6991</v>
      </c>
      <c r="B3093" t="s">
        <v>8923</v>
      </c>
      <c r="C3093" t="s">
        <v>5043</v>
      </c>
      <c r="D3093" t="s">
        <v>8401</v>
      </c>
    </row>
    <row r="3094" spans="1:4" ht="14.45" x14ac:dyDescent="0.3">
      <c r="A3094">
        <v>7171</v>
      </c>
      <c r="B3094" t="s">
        <v>8923</v>
      </c>
      <c r="C3094" t="s">
        <v>5043</v>
      </c>
      <c r="D3094" t="s">
        <v>8401</v>
      </c>
    </row>
    <row r="3095" spans="1:4" ht="14.45" x14ac:dyDescent="0.3">
      <c r="A3095">
        <v>9590</v>
      </c>
      <c r="B3095" t="s">
        <v>8923</v>
      </c>
      <c r="C3095" t="s">
        <v>5043</v>
      </c>
      <c r="D3095" t="s">
        <v>8401</v>
      </c>
    </row>
    <row r="3096" spans="1:4" ht="14.45" x14ac:dyDescent="0.3">
      <c r="A3096">
        <v>10239</v>
      </c>
      <c r="B3096" t="s">
        <v>8924</v>
      </c>
      <c r="C3096" t="s">
        <v>5043</v>
      </c>
      <c r="D3096" t="s">
        <v>8401</v>
      </c>
    </row>
    <row r="3097" spans="1:4" ht="14.45" x14ac:dyDescent="0.3">
      <c r="A3097">
        <v>9871</v>
      </c>
      <c r="B3097" t="s">
        <v>8924</v>
      </c>
      <c r="C3097" t="s">
        <v>5043</v>
      </c>
      <c r="D3097" t="s">
        <v>8401</v>
      </c>
    </row>
    <row r="3098" spans="1:4" ht="14.45" x14ac:dyDescent="0.3">
      <c r="A3098">
        <v>11380</v>
      </c>
      <c r="B3098" t="s">
        <v>8925</v>
      </c>
      <c r="C3098" t="s">
        <v>5043</v>
      </c>
      <c r="D3098" t="s">
        <v>8401</v>
      </c>
    </row>
    <row r="3099" spans="1:4" ht="14.45" x14ac:dyDescent="0.3">
      <c r="A3099">
        <v>8465</v>
      </c>
      <c r="B3099" t="s">
        <v>10622</v>
      </c>
      <c r="C3099" t="s">
        <v>5043</v>
      </c>
      <c r="D3099" t="s">
        <v>8401</v>
      </c>
    </row>
    <row r="3100" spans="1:4" ht="14.45" x14ac:dyDescent="0.3">
      <c r="A3100">
        <v>9038</v>
      </c>
      <c r="B3100" t="s">
        <v>10622</v>
      </c>
      <c r="C3100" t="s">
        <v>5043</v>
      </c>
      <c r="D3100" t="s">
        <v>8401</v>
      </c>
    </row>
    <row r="3101" spans="1:4" ht="14.45" x14ac:dyDescent="0.3">
      <c r="A3101">
        <v>10163</v>
      </c>
      <c r="B3101" t="s">
        <v>10623</v>
      </c>
      <c r="C3101" t="s">
        <v>5043</v>
      </c>
      <c r="D3101" t="s">
        <v>8401</v>
      </c>
    </row>
    <row r="3102" spans="1:4" ht="14.45" x14ac:dyDescent="0.3">
      <c r="A3102">
        <v>7212</v>
      </c>
      <c r="B3102" t="s">
        <v>10624</v>
      </c>
      <c r="C3102" t="s">
        <v>5043</v>
      </c>
      <c r="D3102" t="s">
        <v>8401</v>
      </c>
    </row>
    <row r="3103" spans="1:4" ht="14.45" x14ac:dyDescent="0.3">
      <c r="A3103">
        <v>11228</v>
      </c>
      <c r="B3103" t="s">
        <v>8926</v>
      </c>
      <c r="C3103" t="s">
        <v>5043</v>
      </c>
      <c r="D3103" t="s">
        <v>8401</v>
      </c>
    </row>
    <row r="3104" spans="1:4" ht="14.45" x14ac:dyDescent="0.3">
      <c r="A3104">
        <v>11489</v>
      </c>
      <c r="B3104" t="s">
        <v>8926</v>
      </c>
      <c r="C3104" t="s">
        <v>5043</v>
      </c>
      <c r="D3104" t="s">
        <v>8401</v>
      </c>
    </row>
    <row r="3105" spans="1:4" ht="14.45" x14ac:dyDescent="0.3">
      <c r="A3105">
        <v>7894</v>
      </c>
      <c r="B3105" t="s">
        <v>8926</v>
      </c>
      <c r="C3105" t="s">
        <v>5043</v>
      </c>
      <c r="D3105" t="s">
        <v>8401</v>
      </c>
    </row>
    <row r="3106" spans="1:4" ht="14.45" x14ac:dyDescent="0.3">
      <c r="A3106">
        <v>9995</v>
      </c>
      <c r="B3106" t="s">
        <v>8926</v>
      </c>
      <c r="C3106" t="s">
        <v>5043</v>
      </c>
      <c r="D3106" t="s">
        <v>8401</v>
      </c>
    </row>
    <row r="3107" spans="1:4" ht="14.45" x14ac:dyDescent="0.3">
      <c r="A3107">
        <v>10017</v>
      </c>
      <c r="B3107" t="s">
        <v>8927</v>
      </c>
      <c r="C3107" t="s">
        <v>5043</v>
      </c>
      <c r="D3107" t="s">
        <v>8401</v>
      </c>
    </row>
    <row r="3108" spans="1:4" ht="14.45" x14ac:dyDescent="0.3">
      <c r="A3108">
        <v>10051</v>
      </c>
      <c r="B3108" t="s">
        <v>8927</v>
      </c>
      <c r="C3108" t="s">
        <v>5043</v>
      </c>
      <c r="D3108" t="s">
        <v>8401</v>
      </c>
    </row>
    <row r="3109" spans="1:4" ht="14.45" x14ac:dyDescent="0.3">
      <c r="A3109">
        <v>11158</v>
      </c>
      <c r="B3109" t="s">
        <v>8927</v>
      </c>
      <c r="C3109" t="s">
        <v>5043</v>
      </c>
      <c r="D3109" t="s">
        <v>8401</v>
      </c>
    </row>
    <row r="3110" spans="1:4" ht="14.45" x14ac:dyDescent="0.3">
      <c r="A3110">
        <v>7546</v>
      </c>
      <c r="B3110" t="s">
        <v>8927</v>
      </c>
      <c r="C3110" t="s">
        <v>5043</v>
      </c>
      <c r="D3110" t="s">
        <v>8401</v>
      </c>
    </row>
    <row r="3111" spans="1:4" ht="14.45" x14ac:dyDescent="0.3">
      <c r="A3111">
        <v>8889</v>
      </c>
      <c r="B3111" t="s">
        <v>8927</v>
      </c>
      <c r="C3111" t="s">
        <v>5043</v>
      </c>
      <c r="D3111" t="s">
        <v>8401</v>
      </c>
    </row>
    <row r="3112" spans="1:4" ht="14.45" x14ac:dyDescent="0.3">
      <c r="A3112">
        <v>10217</v>
      </c>
      <c r="B3112" t="s">
        <v>10625</v>
      </c>
      <c r="C3112" t="s">
        <v>5043</v>
      </c>
      <c r="D3112" t="s">
        <v>8401</v>
      </c>
    </row>
    <row r="3113" spans="1:4" ht="14.45" x14ac:dyDescent="0.3">
      <c r="A3113">
        <v>11700</v>
      </c>
      <c r="B3113" t="s">
        <v>10625</v>
      </c>
      <c r="C3113" t="s">
        <v>5043</v>
      </c>
      <c r="D3113" t="s">
        <v>8401</v>
      </c>
    </row>
    <row r="3114" spans="1:4" ht="14.45" x14ac:dyDescent="0.3">
      <c r="A3114">
        <v>8584</v>
      </c>
      <c r="B3114" t="s">
        <v>10625</v>
      </c>
      <c r="C3114" t="s">
        <v>5043</v>
      </c>
      <c r="D3114" t="s">
        <v>8401</v>
      </c>
    </row>
    <row r="3115" spans="1:4" ht="14.45" x14ac:dyDescent="0.3">
      <c r="A3115">
        <v>6540</v>
      </c>
      <c r="B3115" t="s">
        <v>8928</v>
      </c>
      <c r="C3115" t="s">
        <v>5043</v>
      </c>
      <c r="D3115" t="s">
        <v>8401</v>
      </c>
    </row>
    <row r="3116" spans="1:4" ht="14.45" x14ac:dyDescent="0.3">
      <c r="A3116">
        <v>7679</v>
      </c>
      <c r="B3116" t="s">
        <v>8928</v>
      </c>
      <c r="C3116" t="s">
        <v>5043</v>
      </c>
      <c r="D3116" t="s">
        <v>8401</v>
      </c>
    </row>
    <row r="3117" spans="1:4" ht="14.45" x14ac:dyDescent="0.3">
      <c r="A3117">
        <v>8082</v>
      </c>
      <c r="B3117" t="s">
        <v>8928</v>
      </c>
      <c r="C3117" t="s">
        <v>5043</v>
      </c>
      <c r="D3117" t="s">
        <v>8401</v>
      </c>
    </row>
    <row r="3118" spans="1:4" ht="14.45" x14ac:dyDescent="0.3">
      <c r="A3118">
        <v>9799</v>
      </c>
      <c r="B3118" t="s">
        <v>8928</v>
      </c>
      <c r="C3118" t="s">
        <v>5043</v>
      </c>
      <c r="D3118" t="s">
        <v>8401</v>
      </c>
    </row>
    <row r="3119" spans="1:4" ht="14.45" x14ac:dyDescent="0.3">
      <c r="A3119">
        <v>8522</v>
      </c>
      <c r="B3119" t="s">
        <v>8929</v>
      </c>
      <c r="C3119" t="s">
        <v>5043</v>
      </c>
      <c r="D3119" t="s">
        <v>8401</v>
      </c>
    </row>
    <row r="3120" spans="1:4" ht="14.45" x14ac:dyDescent="0.3">
      <c r="A3120">
        <v>9670</v>
      </c>
      <c r="B3120" t="s">
        <v>8929</v>
      </c>
      <c r="C3120" t="s">
        <v>5043</v>
      </c>
      <c r="D3120" t="s">
        <v>8401</v>
      </c>
    </row>
    <row r="3121" spans="1:4" ht="14.45" x14ac:dyDescent="0.3">
      <c r="A3121">
        <v>10304</v>
      </c>
      <c r="B3121" t="s">
        <v>8930</v>
      </c>
      <c r="C3121" t="s">
        <v>5043</v>
      </c>
      <c r="D3121" t="s">
        <v>8401</v>
      </c>
    </row>
    <row r="3122" spans="1:4" ht="14.45" x14ac:dyDescent="0.3">
      <c r="A3122">
        <v>11458</v>
      </c>
      <c r="B3122" t="s">
        <v>8931</v>
      </c>
      <c r="C3122" t="s">
        <v>5043</v>
      </c>
      <c r="D3122" t="s">
        <v>8401</v>
      </c>
    </row>
    <row r="3123" spans="1:4" ht="14.45" x14ac:dyDescent="0.3">
      <c r="A3123">
        <v>11593</v>
      </c>
      <c r="B3123" t="s">
        <v>8931</v>
      </c>
      <c r="C3123" t="s">
        <v>5043</v>
      </c>
      <c r="D3123" t="s">
        <v>8401</v>
      </c>
    </row>
    <row r="3124" spans="1:4" ht="14.45" x14ac:dyDescent="0.3">
      <c r="A3124">
        <v>8044</v>
      </c>
      <c r="B3124" t="s">
        <v>8931</v>
      </c>
      <c r="C3124" t="s">
        <v>5043</v>
      </c>
      <c r="D3124" t="s">
        <v>8401</v>
      </c>
    </row>
    <row r="3125" spans="1:4" ht="14.45" x14ac:dyDescent="0.3">
      <c r="A3125">
        <v>8418</v>
      </c>
      <c r="B3125" t="s">
        <v>8931</v>
      </c>
      <c r="C3125" t="s">
        <v>5043</v>
      </c>
      <c r="D3125" t="s">
        <v>8401</v>
      </c>
    </row>
    <row r="3126" spans="1:4" ht="14.45" x14ac:dyDescent="0.3">
      <c r="A3126">
        <v>9383</v>
      </c>
      <c r="B3126" t="s">
        <v>8931</v>
      </c>
      <c r="C3126" t="s">
        <v>5043</v>
      </c>
      <c r="D3126" t="s">
        <v>8401</v>
      </c>
    </row>
    <row r="3127" spans="1:4" ht="14.45" x14ac:dyDescent="0.3">
      <c r="A3127">
        <v>9761</v>
      </c>
      <c r="B3127" t="s">
        <v>8931</v>
      </c>
      <c r="C3127" t="s">
        <v>5043</v>
      </c>
      <c r="D3127" t="s">
        <v>8401</v>
      </c>
    </row>
    <row r="3128" spans="1:4" ht="14.45" x14ac:dyDescent="0.3">
      <c r="A3128">
        <v>9314</v>
      </c>
      <c r="B3128" t="s">
        <v>8932</v>
      </c>
      <c r="C3128" t="s">
        <v>5043</v>
      </c>
      <c r="D3128" t="s">
        <v>8401</v>
      </c>
    </row>
    <row r="3129" spans="1:4" ht="14.45" x14ac:dyDescent="0.3">
      <c r="A3129">
        <v>10550</v>
      </c>
      <c r="B3129" t="s">
        <v>8933</v>
      </c>
      <c r="C3129" t="s">
        <v>5043</v>
      </c>
      <c r="D3129" t="s">
        <v>8401</v>
      </c>
    </row>
    <row r="3130" spans="1:4" ht="14.45" x14ac:dyDescent="0.3">
      <c r="A3130">
        <v>11239</v>
      </c>
      <c r="B3130" t="s">
        <v>10626</v>
      </c>
      <c r="C3130" t="s">
        <v>5043</v>
      </c>
      <c r="D3130" t="s">
        <v>8401</v>
      </c>
    </row>
    <row r="3131" spans="1:4" ht="14.45" x14ac:dyDescent="0.3">
      <c r="A3131">
        <v>11357</v>
      </c>
      <c r="B3131" t="s">
        <v>10626</v>
      </c>
      <c r="C3131" t="s">
        <v>5043</v>
      </c>
      <c r="D3131" t="s">
        <v>8401</v>
      </c>
    </row>
    <row r="3132" spans="1:4" ht="14.45" x14ac:dyDescent="0.3">
      <c r="A3132">
        <v>6749</v>
      </c>
      <c r="B3132" t="s">
        <v>10626</v>
      </c>
      <c r="C3132" t="s">
        <v>5043</v>
      </c>
      <c r="D3132" t="s">
        <v>8401</v>
      </c>
    </row>
    <row r="3133" spans="1:4" ht="14.45" x14ac:dyDescent="0.3">
      <c r="A3133">
        <v>7128</v>
      </c>
      <c r="B3133" t="s">
        <v>10626</v>
      </c>
      <c r="C3133" t="s">
        <v>5043</v>
      </c>
      <c r="D3133" t="s">
        <v>8401</v>
      </c>
    </row>
    <row r="3134" spans="1:4" ht="14.45" x14ac:dyDescent="0.3">
      <c r="A3134">
        <v>8310</v>
      </c>
      <c r="B3134" t="s">
        <v>10626</v>
      </c>
      <c r="C3134" t="s">
        <v>5043</v>
      </c>
      <c r="D3134" t="s">
        <v>8401</v>
      </c>
    </row>
    <row r="3135" spans="1:4" ht="14.45" x14ac:dyDescent="0.3">
      <c r="A3135">
        <v>9174</v>
      </c>
      <c r="B3135" t="s">
        <v>10626</v>
      </c>
      <c r="C3135" t="s">
        <v>5043</v>
      </c>
      <c r="D3135" t="s">
        <v>8401</v>
      </c>
    </row>
    <row r="3136" spans="1:4" ht="14.45" x14ac:dyDescent="0.3">
      <c r="A3136">
        <v>10209</v>
      </c>
      <c r="B3136" t="s">
        <v>8934</v>
      </c>
      <c r="C3136" t="s">
        <v>5043</v>
      </c>
      <c r="D3136" t="s">
        <v>8401</v>
      </c>
    </row>
    <row r="3137" spans="1:4" ht="14.45" x14ac:dyDescent="0.3">
      <c r="A3137">
        <v>9983</v>
      </c>
      <c r="B3137" t="s">
        <v>8934</v>
      </c>
      <c r="C3137" t="s">
        <v>5043</v>
      </c>
      <c r="D3137" t="s">
        <v>8401</v>
      </c>
    </row>
    <row r="3138" spans="1:4" ht="14.45" x14ac:dyDescent="0.3">
      <c r="A3138">
        <v>10337</v>
      </c>
      <c r="B3138" t="s">
        <v>8935</v>
      </c>
      <c r="C3138" t="s">
        <v>5043</v>
      </c>
      <c r="D3138" t="s">
        <v>8401</v>
      </c>
    </row>
    <row r="3139" spans="1:4" ht="14.45" x14ac:dyDescent="0.3">
      <c r="A3139">
        <v>11268</v>
      </c>
      <c r="B3139" t="s">
        <v>8935</v>
      </c>
      <c r="C3139" t="s">
        <v>5043</v>
      </c>
      <c r="D3139" t="s">
        <v>8401</v>
      </c>
    </row>
    <row r="3140" spans="1:4" ht="14.45" x14ac:dyDescent="0.3">
      <c r="A3140">
        <v>9767</v>
      </c>
      <c r="B3140" t="s">
        <v>8935</v>
      </c>
      <c r="C3140" t="s">
        <v>5043</v>
      </c>
      <c r="D3140" t="s">
        <v>8401</v>
      </c>
    </row>
    <row r="3141" spans="1:4" ht="14.45" x14ac:dyDescent="0.3">
      <c r="A3141">
        <v>9881</v>
      </c>
      <c r="B3141" t="s">
        <v>8936</v>
      </c>
      <c r="C3141" t="s">
        <v>5043</v>
      </c>
      <c r="D3141" t="s">
        <v>8401</v>
      </c>
    </row>
    <row r="3142" spans="1:4" ht="14.45" x14ac:dyDescent="0.3">
      <c r="A3142">
        <v>7668</v>
      </c>
      <c r="B3142" t="s">
        <v>8937</v>
      </c>
      <c r="C3142" t="s">
        <v>5043</v>
      </c>
      <c r="D3142" t="s">
        <v>8401</v>
      </c>
    </row>
    <row r="3143" spans="1:4" ht="14.45" x14ac:dyDescent="0.3">
      <c r="A3143">
        <v>8019</v>
      </c>
      <c r="B3143" t="s">
        <v>8937</v>
      </c>
      <c r="C3143" t="s">
        <v>5043</v>
      </c>
      <c r="D3143" t="s">
        <v>8401</v>
      </c>
    </row>
    <row r="3144" spans="1:4" ht="14.45" x14ac:dyDescent="0.3">
      <c r="A3144">
        <v>7412</v>
      </c>
      <c r="B3144" t="s">
        <v>10627</v>
      </c>
      <c r="C3144" t="s">
        <v>5043</v>
      </c>
      <c r="D3144" t="s">
        <v>8401</v>
      </c>
    </row>
    <row r="3145" spans="1:4" ht="14.45" x14ac:dyDescent="0.3">
      <c r="A3145">
        <v>6818</v>
      </c>
      <c r="B3145" t="s">
        <v>8938</v>
      </c>
      <c r="C3145" t="s">
        <v>5043</v>
      </c>
      <c r="D3145" t="s">
        <v>8401</v>
      </c>
    </row>
    <row r="3146" spans="1:4" ht="14.45" x14ac:dyDescent="0.3">
      <c r="A3146">
        <v>7406</v>
      </c>
      <c r="B3146" t="s">
        <v>8938</v>
      </c>
      <c r="C3146" t="s">
        <v>5043</v>
      </c>
      <c r="D3146" t="s">
        <v>8401</v>
      </c>
    </row>
    <row r="3147" spans="1:4" ht="14.45" x14ac:dyDescent="0.3">
      <c r="A3147">
        <v>8705</v>
      </c>
      <c r="B3147" t="s">
        <v>8938</v>
      </c>
      <c r="C3147" t="s">
        <v>5043</v>
      </c>
      <c r="D3147" t="s">
        <v>8401</v>
      </c>
    </row>
    <row r="3148" spans="1:4" ht="14.45" x14ac:dyDescent="0.3">
      <c r="A3148">
        <v>10777</v>
      </c>
      <c r="B3148" t="s">
        <v>8939</v>
      </c>
      <c r="C3148" t="s">
        <v>5043</v>
      </c>
      <c r="D3148" t="s">
        <v>8401</v>
      </c>
    </row>
    <row r="3149" spans="1:4" ht="14.45" x14ac:dyDescent="0.3">
      <c r="A3149">
        <v>9124</v>
      </c>
      <c r="B3149" t="s">
        <v>8939</v>
      </c>
      <c r="C3149" t="s">
        <v>5043</v>
      </c>
      <c r="D3149" t="s">
        <v>8401</v>
      </c>
    </row>
    <row r="3150" spans="1:4" ht="14.45" x14ac:dyDescent="0.3">
      <c r="A3150">
        <v>8105</v>
      </c>
      <c r="B3150" t="s">
        <v>8940</v>
      </c>
      <c r="C3150" t="s">
        <v>5043</v>
      </c>
      <c r="D3150" t="s">
        <v>8401</v>
      </c>
    </row>
    <row r="3151" spans="1:4" ht="14.45" x14ac:dyDescent="0.3">
      <c r="A3151">
        <v>8266</v>
      </c>
      <c r="B3151" t="s">
        <v>8940</v>
      </c>
      <c r="C3151" t="s">
        <v>5043</v>
      </c>
      <c r="D3151" t="s">
        <v>8401</v>
      </c>
    </row>
    <row r="3152" spans="1:4" ht="14.45" x14ac:dyDescent="0.3">
      <c r="A3152">
        <v>9899</v>
      </c>
      <c r="B3152" t="s">
        <v>8940</v>
      </c>
      <c r="C3152" t="s">
        <v>5043</v>
      </c>
      <c r="D3152" t="s">
        <v>8401</v>
      </c>
    </row>
    <row r="3153" spans="1:4" ht="14.45" x14ac:dyDescent="0.3">
      <c r="A3153">
        <v>6915</v>
      </c>
      <c r="B3153" t="s">
        <v>10628</v>
      </c>
      <c r="C3153" t="s">
        <v>5043</v>
      </c>
      <c r="D3153" t="s">
        <v>8401</v>
      </c>
    </row>
    <row r="3154" spans="1:4" ht="14.45" x14ac:dyDescent="0.3">
      <c r="A3154">
        <v>8537</v>
      </c>
      <c r="B3154" t="s">
        <v>10628</v>
      </c>
      <c r="C3154" t="s">
        <v>5043</v>
      </c>
      <c r="D3154" t="s">
        <v>8401</v>
      </c>
    </row>
    <row r="3155" spans="1:4" ht="14.45" x14ac:dyDescent="0.3">
      <c r="A3155">
        <v>8714</v>
      </c>
      <c r="B3155" t="s">
        <v>10628</v>
      </c>
      <c r="C3155" t="s">
        <v>5043</v>
      </c>
      <c r="D3155" t="s">
        <v>8401</v>
      </c>
    </row>
    <row r="3156" spans="1:4" ht="14.45" x14ac:dyDescent="0.3">
      <c r="A3156">
        <v>10234</v>
      </c>
      <c r="B3156" t="s">
        <v>8941</v>
      </c>
      <c r="C3156" t="s">
        <v>5043</v>
      </c>
      <c r="D3156" t="s">
        <v>8401</v>
      </c>
    </row>
    <row r="3157" spans="1:4" ht="14.45" x14ac:dyDescent="0.3">
      <c r="A3157">
        <v>10262</v>
      </c>
      <c r="B3157" t="s">
        <v>8941</v>
      </c>
      <c r="C3157" t="s">
        <v>5043</v>
      </c>
      <c r="D3157" t="s">
        <v>8401</v>
      </c>
    </row>
    <row r="3158" spans="1:4" ht="14.45" x14ac:dyDescent="0.3">
      <c r="A3158">
        <v>10433</v>
      </c>
      <c r="B3158" t="s">
        <v>8941</v>
      </c>
      <c r="C3158" t="s">
        <v>5043</v>
      </c>
      <c r="D3158" t="s">
        <v>8401</v>
      </c>
    </row>
    <row r="3159" spans="1:4" ht="14.45" x14ac:dyDescent="0.3">
      <c r="A3159">
        <v>10701</v>
      </c>
      <c r="B3159" t="s">
        <v>8941</v>
      </c>
      <c r="C3159" t="s">
        <v>5043</v>
      </c>
      <c r="D3159" t="s">
        <v>8401</v>
      </c>
    </row>
    <row r="3160" spans="1:4" ht="14.45" x14ac:dyDescent="0.3">
      <c r="A3160">
        <v>10756</v>
      </c>
      <c r="B3160" t="s">
        <v>8941</v>
      </c>
      <c r="C3160" t="s">
        <v>5043</v>
      </c>
      <c r="D3160" t="s">
        <v>8401</v>
      </c>
    </row>
    <row r="3161" spans="1:4" ht="14.45" x14ac:dyDescent="0.3">
      <c r="A3161">
        <v>10840</v>
      </c>
      <c r="B3161" t="s">
        <v>8941</v>
      </c>
      <c r="C3161" t="s">
        <v>5043</v>
      </c>
      <c r="D3161" t="s">
        <v>8401</v>
      </c>
    </row>
    <row r="3162" spans="1:4" ht="14.45" x14ac:dyDescent="0.3">
      <c r="A3162">
        <v>10903</v>
      </c>
      <c r="B3162" t="s">
        <v>8941</v>
      </c>
      <c r="C3162" t="s">
        <v>5043</v>
      </c>
      <c r="D3162" t="s">
        <v>8401</v>
      </c>
    </row>
    <row r="3163" spans="1:4" ht="14.45" x14ac:dyDescent="0.3">
      <c r="A3163">
        <v>10947</v>
      </c>
      <c r="B3163" t="s">
        <v>8941</v>
      </c>
      <c r="C3163" t="s">
        <v>5043</v>
      </c>
      <c r="D3163" t="s">
        <v>8401</v>
      </c>
    </row>
    <row r="3164" spans="1:4" ht="14.45" x14ac:dyDescent="0.3">
      <c r="A3164">
        <v>11096</v>
      </c>
      <c r="B3164" t="s">
        <v>8941</v>
      </c>
      <c r="C3164" t="s">
        <v>5043</v>
      </c>
      <c r="D3164" t="s">
        <v>8401</v>
      </c>
    </row>
    <row r="3165" spans="1:4" ht="14.45" x14ac:dyDescent="0.3">
      <c r="A3165">
        <v>11129</v>
      </c>
      <c r="B3165" t="s">
        <v>8941</v>
      </c>
      <c r="C3165" t="s">
        <v>5043</v>
      </c>
      <c r="D3165" t="s">
        <v>8401</v>
      </c>
    </row>
    <row r="3166" spans="1:4" ht="14.45" x14ac:dyDescent="0.3">
      <c r="A3166">
        <v>11249</v>
      </c>
      <c r="B3166" t="s">
        <v>8941</v>
      </c>
      <c r="C3166" t="s">
        <v>5043</v>
      </c>
      <c r="D3166" t="s">
        <v>8401</v>
      </c>
    </row>
    <row r="3167" spans="1:4" ht="14.45" x14ac:dyDescent="0.3">
      <c r="A3167">
        <v>6408</v>
      </c>
      <c r="B3167" t="s">
        <v>8941</v>
      </c>
      <c r="C3167" t="s">
        <v>5043</v>
      </c>
      <c r="D3167" t="s">
        <v>8401</v>
      </c>
    </row>
    <row r="3168" spans="1:4" ht="14.45" x14ac:dyDescent="0.3">
      <c r="A3168">
        <v>6513</v>
      </c>
      <c r="B3168" t="s">
        <v>8941</v>
      </c>
      <c r="C3168" t="s">
        <v>5043</v>
      </c>
      <c r="D3168" t="s">
        <v>8401</v>
      </c>
    </row>
    <row r="3169" spans="1:4" ht="14.45" x14ac:dyDescent="0.3">
      <c r="A3169">
        <v>6671</v>
      </c>
      <c r="B3169" t="s">
        <v>8941</v>
      </c>
      <c r="C3169" t="s">
        <v>5043</v>
      </c>
      <c r="D3169" t="s">
        <v>8401</v>
      </c>
    </row>
    <row r="3170" spans="1:4" ht="14.45" x14ac:dyDescent="0.3">
      <c r="A3170">
        <v>7204</v>
      </c>
      <c r="B3170" t="s">
        <v>8941</v>
      </c>
      <c r="C3170" t="s">
        <v>5043</v>
      </c>
      <c r="D3170" t="s">
        <v>8401</v>
      </c>
    </row>
    <row r="3171" spans="1:4" ht="14.45" x14ac:dyDescent="0.3">
      <c r="A3171">
        <v>7320</v>
      </c>
      <c r="B3171" t="s">
        <v>8941</v>
      </c>
      <c r="C3171" t="s">
        <v>5043</v>
      </c>
      <c r="D3171" t="s">
        <v>8401</v>
      </c>
    </row>
    <row r="3172" spans="1:4" ht="14.45" x14ac:dyDescent="0.3">
      <c r="A3172">
        <v>7592</v>
      </c>
      <c r="B3172" t="s">
        <v>8941</v>
      </c>
      <c r="C3172" t="s">
        <v>5043</v>
      </c>
      <c r="D3172" t="s">
        <v>8401</v>
      </c>
    </row>
    <row r="3173" spans="1:4" ht="14.45" x14ac:dyDescent="0.3">
      <c r="A3173">
        <v>8534</v>
      </c>
      <c r="B3173" t="s">
        <v>8941</v>
      </c>
      <c r="C3173" t="s">
        <v>5043</v>
      </c>
      <c r="D3173" t="s">
        <v>8401</v>
      </c>
    </row>
    <row r="3174" spans="1:4" ht="14.45" x14ac:dyDescent="0.3">
      <c r="A3174">
        <v>8721</v>
      </c>
      <c r="B3174" t="s">
        <v>8941</v>
      </c>
      <c r="C3174" t="s">
        <v>5043</v>
      </c>
      <c r="D3174" t="s">
        <v>8401</v>
      </c>
    </row>
    <row r="3175" spans="1:4" ht="14.45" x14ac:dyDescent="0.3">
      <c r="A3175">
        <v>8767</v>
      </c>
      <c r="B3175" t="s">
        <v>8941</v>
      </c>
      <c r="C3175" t="s">
        <v>5043</v>
      </c>
      <c r="D3175" t="s">
        <v>8401</v>
      </c>
    </row>
    <row r="3176" spans="1:4" ht="14.45" x14ac:dyDescent="0.3">
      <c r="A3176">
        <v>8780</v>
      </c>
      <c r="B3176" t="s">
        <v>8941</v>
      </c>
      <c r="C3176" t="s">
        <v>5043</v>
      </c>
      <c r="D3176" t="s">
        <v>8401</v>
      </c>
    </row>
    <row r="3177" spans="1:4" ht="14.45" x14ac:dyDescent="0.3">
      <c r="A3177">
        <v>8956</v>
      </c>
      <c r="B3177" t="s">
        <v>8941</v>
      </c>
      <c r="C3177" t="s">
        <v>5043</v>
      </c>
      <c r="D3177" t="s">
        <v>8401</v>
      </c>
    </row>
    <row r="3178" spans="1:4" ht="14.45" x14ac:dyDescent="0.3">
      <c r="A3178">
        <v>8987</v>
      </c>
      <c r="B3178" t="s">
        <v>8941</v>
      </c>
      <c r="C3178" t="s">
        <v>5043</v>
      </c>
      <c r="D3178" t="s">
        <v>8401</v>
      </c>
    </row>
    <row r="3179" spans="1:4" ht="14.45" x14ac:dyDescent="0.3">
      <c r="A3179">
        <v>9193</v>
      </c>
      <c r="B3179" t="s">
        <v>8941</v>
      </c>
      <c r="C3179" t="s">
        <v>5043</v>
      </c>
      <c r="D3179" t="s">
        <v>8401</v>
      </c>
    </row>
    <row r="3180" spans="1:4" ht="14.45" x14ac:dyDescent="0.3">
      <c r="A3180">
        <v>9304</v>
      </c>
      <c r="B3180" t="s">
        <v>8941</v>
      </c>
      <c r="C3180" t="s">
        <v>5043</v>
      </c>
      <c r="D3180" t="s">
        <v>8401</v>
      </c>
    </row>
    <row r="3181" spans="1:4" ht="14.45" x14ac:dyDescent="0.3">
      <c r="A3181">
        <v>9460</v>
      </c>
      <c r="B3181" t="s">
        <v>8941</v>
      </c>
      <c r="C3181" t="s">
        <v>5043</v>
      </c>
      <c r="D3181" t="s">
        <v>8401</v>
      </c>
    </row>
    <row r="3182" spans="1:4" ht="14.45" x14ac:dyDescent="0.3">
      <c r="A3182">
        <v>9579</v>
      </c>
      <c r="B3182" t="s">
        <v>8941</v>
      </c>
      <c r="C3182" t="s">
        <v>5043</v>
      </c>
      <c r="D3182" t="s">
        <v>8401</v>
      </c>
    </row>
    <row r="3183" spans="1:4" ht="14.45" x14ac:dyDescent="0.3">
      <c r="A3183">
        <v>9669</v>
      </c>
      <c r="B3183" t="s">
        <v>8941</v>
      </c>
      <c r="C3183" t="s">
        <v>5043</v>
      </c>
      <c r="D3183" t="s">
        <v>8401</v>
      </c>
    </row>
    <row r="3184" spans="1:4" ht="14.45" x14ac:dyDescent="0.3">
      <c r="A3184">
        <v>9860</v>
      </c>
      <c r="B3184" t="s">
        <v>8941</v>
      </c>
      <c r="C3184" t="s">
        <v>5043</v>
      </c>
      <c r="D3184" t="s">
        <v>8401</v>
      </c>
    </row>
    <row r="3185" spans="1:4" ht="14.45" x14ac:dyDescent="0.3">
      <c r="A3185">
        <v>10001</v>
      </c>
      <c r="B3185" t="s">
        <v>8942</v>
      </c>
      <c r="C3185" t="s">
        <v>5043</v>
      </c>
      <c r="D3185" t="s">
        <v>8401</v>
      </c>
    </row>
    <row r="3186" spans="1:4" ht="14.45" x14ac:dyDescent="0.3">
      <c r="A3186">
        <v>7331</v>
      </c>
      <c r="B3186" t="s">
        <v>8942</v>
      </c>
      <c r="C3186" t="s">
        <v>5043</v>
      </c>
      <c r="D3186" t="s">
        <v>8401</v>
      </c>
    </row>
    <row r="3187" spans="1:4" ht="14.45" x14ac:dyDescent="0.3">
      <c r="A3187">
        <v>7898</v>
      </c>
      <c r="B3187" t="s">
        <v>8942</v>
      </c>
      <c r="C3187" t="s">
        <v>5043</v>
      </c>
      <c r="D3187" t="s">
        <v>8401</v>
      </c>
    </row>
    <row r="3188" spans="1:4" ht="14.45" x14ac:dyDescent="0.3">
      <c r="A3188">
        <v>8069</v>
      </c>
      <c r="B3188" t="s">
        <v>8942</v>
      </c>
      <c r="C3188" t="s">
        <v>5043</v>
      </c>
      <c r="D3188" t="s">
        <v>8401</v>
      </c>
    </row>
    <row r="3189" spans="1:4" ht="14.45" x14ac:dyDescent="0.3">
      <c r="A3189">
        <v>8848</v>
      </c>
      <c r="B3189" t="s">
        <v>8942</v>
      </c>
      <c r="C3189" t="s">
        <v>5043</v>
      </c>
      <c r="D3189" t="s">
        <v>8401</v>
      </c>
    </row>
    <row r="3190" spans="1:4" ht="14.45" x14ac:dyDescent="0.3">
      <c r="A3190">
        <v>10488</v>
      </c>
      <c r="B3190" t="s">
        <v>8943</v>
      </c>
      <c r="C3190" t="s">
        <v>5043</v>
      </c>
      <c r="D3190" t="s">
        <v>8401</v>
      </c>
    </row>
    <row r="3191" spans="1:4" ht="14.45" x14ac:dyDescent="0.3">
      <c r="A3191">
        <v>10514</v>
      </c>
      <c r="B3191" t="s">
        <v>8943</v>
      </c>
      <c r="C3191" t="s">
        <v>5043</v>
      </c>
      <c r="D3191" t="s">
        <v>8401</v>
      </c>
    </row>
    <row r="3192" spans="1:4" ht="14.45" x14ac:dyDescent="0.3">
      <c r="A3192">
        <v>6811</v>
      </c>
      <c r="B3192" t="s">
        <v>8943</v>
      </c>
      <c r="C3192" t="s">
        <v>5043</v>
      </c>
      <c r="D3192" t="s">
        <v>8401</v>
      </c>
    </row>
    <row r="3193" spans="1:4" ht="14.45" x14ac:dyDescent="0.3">
      <c r="A3193">
        <v>8073</v>
      </c>
      <c r="B3193" t="s">
        <v>8943</v>
      </c>
      <c r="C3193" t="s">
        <v>5043</v>
      </c>
      <c r="D3193" t="s">
        <v>8401</v>
      </c>
    </row>
    <row r="3194" spans="1:4" ht="14.45" x14ac:dyDescent="0.3">
      <c r="A3194">
        <v>8320</v>
      </c>
      <c r="B3194" t="s">
        <v>8943</v>
      </c>
      <c r="C3194" t="s">
        <v>5043</v>
      </c>
      <c r="D3194" t="s">
        <v>8401</v>
      </c>
    </row>
    <row r="3195" spans="1:4" ht="14.45" x14ac:dyDescent="0.3">
      <c r="A3195">
        <v>6824</v>
      </c>
      <c r="B3195" t="s">
        <v>10629</v>
      </c>
      <c r="C3195" t="s">
        <v>5043</v>
      </c>
      <c r="D3195" t="s">
        <v>8401</v>
      </c>
    </row>
    <row r="3196" spans="1:4" ht="14.45" x14ac:dyDescent="0.3">
      <c r="A3196">
        <v>10499</v>
      </c>
      <c r="B3196" t="s">
        <v>8944</v>
      </c>
      <c r="C3196" t="s">
        <v>5043</v>
      </c>
      <c r="D3196" t="s">
        <v>8401</v>
      </c>
    </row>
    <row r="3197" spans="1:4" ht="14.45" x14ac:dyDescent="0.3">
      <c r="A3197">
        <v>10899</v>
      </c>
      <c r="B3197" t="s">
        <v>8944</v>
      </c>
      <c r="C3197" t="s">
        <v>5043</v>
      </c>
      <c r="D3197" t="s">
        <v>8401</v>
      </c>
    </row>
    <row r="3198" spans="1:4" ht="14.45" x14ac:dyDescent="0.3">
      <c r="A3198">
        <v>10907</v>
      </c>
      <c r="B3198" t="s">
        <v>8944</v>
      </c>
      <c r="C3198" t="s">
        <v>5043</v>
      </c>
      <c r="D3198" t="s">
        <v>8401</v>
      </c>
    </row>
    <row r="3199" spans="1:4" ht="14.45" x14ac:dyDescent="0.3">
      <c r="A3199">
        <v>10933</v>
      </c>
      <c r="B3199" t="s">
        <v>8944</v>
      </c>
      <c r="C3199" t="s">
        <v>5043</v>
      </c>
      <c r="D3199" t="s">
        <v>8401</v>
      </c>
    </row>
    <row r="3200" spans="1:4" ht="14.45" x14ac:dyDescent="0.3">
      <c r="A3200">
        <v>11089</v>
      </c>
      <c r="B3200" t="s">
        <v>8944</v>
      </c>
      <c r="C3200" t="s">
        <v>5043</v>
      </c>
      <c r="D3200" t="s">
        <v>8401</v>
      </c>
    </row>
    <row r="3201" spans="1:4" ht="14.45" x14ac:dyDescent="0.3">
      <c r="A3201">
        <v>11289</v>
      </c>
      <c r="B3201" t="s">
        <v>8944</v>
      </c>
      <c r="C3201" t="s">
        <v>5043</v>
      </c>
      <c r="D3201" t="s">
        <v>8401</v>
      </c>
    </row>
    <row r="3202" spans="1:4" ht="14.45" x14ac:dyDescent="0.3">
      <c r="A3202">
        <v>11316</v>
      </c>
      <c r="B3202" t="s">
        <v>8944</v>
      </c>
      <c r="C3202" t="s">
        <v>5043</v>
      </c>
      <c r="D3202" t="s">
        <v>8401</v>
      </c>
    </row>
    <row r="3203" spans="1:4" ht="14.45" x14ac:dyDescent="0.3">
      <c r="A3203">
        <v>11647</v>
      </c>
      <c r="B3203" t="s">
        <v>8944</v>
      </c>
      <c r="C3203" t="s">
        <v>5043</v>
      </c>
      <c r="D3203" t="s">
        <v>8401</v>
      </c>
    </row>
    <row r="3204" spans="1:4" ht="14.45" x14ac:dyDescent="0.3">
      <c r="A3204">
        <v>6735</v>
      </c>
      <c r="B3204" t="s">
        <v>8944</v>
      </c>
      <c r="C3204" t="s">
        <v>5043</v>
      </c>
      <c r="D3204" t="s">
        <v>8401</v>
      </c>
    </row>
    <row r="3205" spans="1:4" ht="14.45" x14ac:dyDescent="0.3">
      <c r="A3205">
        <v>7001</v>
      </c>
      <c r="B3205" t="s">
        <v>8944</v>
      </c>
      <c r="C3205" t="s">
        <v>5043</v>
      </c>
      <c r="D3205" t="s">
        <v>8401</v>
      </c>
    </row>
    <row r="3206" spans="1:4" ht="14.45" x14ac:dyDescent="0.3">
      <c r="A3206">
        <v>7242</v>
      </c>
      <c r="B3206" t="s">
        <v>8944</v>
      </c>
      <c r="C3206" t="s">
        <v>5043</v>
      </c>
      <c r="D3206" t="s">
        <v>8401</v>
      </c>
    </row>
    <row r="3207" spans="1:4" ht="14.45" x14ac:dyDescent="0.3">
      <c r="A3207">
        <v>9227</v>
      </c>
      <c r="B3207" t="s">
        <v>8944</v>
      </c>
      <c r="C3207" t="s">
        <v>5043</v>
      </c>
      <c r="D3207" t="s">
        <v>8401</v>
      </c>
    </row>
    <row r="3208" spans="1:4" ht="14.45" x14ac:dyDescent="0.3">
      <c r="A3208">
        <v>9350</v>
      </c>
      <c r="B3208" t="s">
        <v>8944</v>
      </c>
      <c r="C3208" t="s">
        <v>5043</v>
      </c>
      <c r="D3208" t="s">
        <v>8401</v>
      </c>
    </row>
    <row r="3209" spans="1:4" ht="14.45" x14ac:dyDescent="0.3">
      <c r="A3209">
        <v>9747</v>
      </c>
      <c r="B3209" t="s">
        <v>8944</v>
      </c>
      <c r="C3209" t="s">
        <v>5043</v>
      </c>
      <c r="D3209" t="s">
        <v>8401</v>
      </c>
    </row>
    <row r="3210" spans="1:4" ht="14.45" x14ac:dyDescent="0.3">
      <c r="A3210">
        <v>9186</v>
      </c>
      <c r="B3210" t="s">
        <v>8945</v>
      </c>
      <c r="C3210" t="s">
        <v>5043</v>
      </c>
      <c r="D3210" t="s">
        <v>8401</v>
      </c>
    </row>
    <row r="3211" spans="1:4" ht="14.45" x14ac:dyDescent="0.3">
      <c r="A3211">
        <v>10038</v>
      </c>
      <c r="B3211" t="s">
        <v>8946</v>
      </c>
      <c r="C3211" t="s">
        <v>5043</v>
      </c>
      <c r="D3211" t="s">
        <v>8401</v>
      </c>
    </row>
    <row r="3212" spans="1:4" ht="14.45" x14ac:dyDescent="0.3">
      <c r="A3212">
        <v>10254</v>
      </c>
      <c r="B3212" t="s">
        <v>8946</v>
      </c>
      <c r="C3212" t="s">
        <v>5043</v>
      </c>
      <c r="D3212" t="s">
        <v>8401</v>
      </c>
    </row>
    <row r="3213" spans="1:4" ht="14.45" x14ac:dyDescent="0.3">
      <c r="A3213">
        <v>10340</v>
      </c>
      <c r="B3213" t="s">
        <v>8946</v>
      </c>
      <c r="C3213" t="s">
        <v>5043</v>
      </c>
      <c r="D3213" t="s">
        <v>8401</v>
      </c>
    </row>
    <row r="3214" spans="1:4" ht="14.45" x14ac:dyDescent="0.3">
      <c r="A3214">
        <v>10647</v>
      </c>
      <c r="B3214" t="s">
        <v>8946</v>
      </c>
      <c r="C3214" t="s">
        <v>5043</v>
      </c>
      <c r="D3214" t="s">
        <v>8401</v>
      </c>
    </row>
    <row r="3215" spans="1:4" ht="14.45" x14ac:dyDescent="0.3">
      <c r="A3215">
        <v>10940</v>
      </c>
      <c r="B3215" t="s">
        <v>8946</v>
      </c>
      <c r="C3215" t="s">
        <v>5043</v>
      </c>
      <c r="D3215" t="s">
        <v>8401</v>
      </c>
    </row>
    <row r="3216" spans="1:4" ht="14.45" x14ac:dyDescent="0.3">
      <c r="A3216">
        <v>6414</v>
      </c>
      <c r="B3216" t="s">
        <v>8946</v>
      </c>
      <c r="C3216" t="s">
        <v>5043</v>
      </c>
      <c r="D3216" t="s">
        <v>8401</v>
      </c>
    </row>
    <row r="3217" spans="1:4" ht="14.45" x14ac:dyDescent="0.3">
      <c r="A3217">
        <v>6493</v>
      </c>
      <c r="B3217" t="s">
        <v>8946</v>
      </c>
      <c r="C3217" t="s">
        <v>5043</v>
      </c>
      <c r="D3217" t="s">
        <v>8401</v>
      </c>
    </row>
    <row r="3218" spans="1:4" ht="14.45" x14ac:dyDescent="0.3">
      <c r="A3218">
        <v>6924</v>
      </c>
      <c r="B3218" t="s">
        <v>8946</v>
      </c>
      <c r="C3218" t="s">
        <v>5043</v>
      </c>
      <c r="D3218" t="s">
        <v>8401</v>
      </c>
    </row>
    <row r="3219" spans="1:4" ht="14.45" x14ac:dyDescent="0.3">
      <c r="A3219">
        <v>7039</v>
      </c>
      <c r="B3219" t="s">
        <v>8946</v>
      </c>
      <c r="C3219" t="s">
        <v>5043</v>
      </c>
      <c r="D3219" t="s">
        <v>8401</v>
      </c>
    </row>
    <row r="3220" spans="1:4" ht="14.45" x14ac:dyDescent="0.3">
      <c r="A3220">
        <v>7145</v>
      </c>
      <c r="B3220" t="s">
        <v>8946</v>
      </c>
      <c r="C3220" t="s">
        <v>5043</v>
      </c>
      <c r="D3220" t="s">
        <v>8401</v>
      </c>
    </row>
    <row r="3221" spans="1:4" ht="14.45" x14ac:dyDescent="0.3">
      <c r="A3221">
        <v>7702</v>
      </c>
      <c r="B3221" t="s">
        <v>8946</v>
      </c>
      <c r="C3221" t="s">
        <v>5043</v>
      </c>
      <c r="D3221" t="s">
        <v>8401</v>
      </c>
    </row>
    <row r="3222" spans="1:4" ht="14.45" x14ac:dyDescent="0.3">
      <c r="A3222">
        <v>7774</v>
      </c>
      <c r="B3222" t="s">
        <v>8946</v>
      </c>
      <c r="C3222" t="s">
        <v>5043</v>
      </c>
      <c r="D3222" t="s">
        <v>8401</v>
      </c>
    </row>
    <row r="3223" spans="1:4" ht="14.45" x14ac:dyDescent="0.3">
      <c r="A3223">
        <v>8218</v>
      </c>
      <c r="B3223" t="s">
        <v>8946</v>
      </c>
      <c r="C3223" t="s">
        <v>5043</v>
      </c>
      <c r="D3223" t="s">
        <v>8401</v>
      </c>
    </row>
    <row r="3224" spans="1:4" ht="14.45" x14ac:dyDescent="0.3">
      <c r="A3224">
        <v>8783</v>
      </c>
      <c r="B3224" t="s">
        <v>8946</v>
      </c>
      <c r="C3224" t="s">
        <v>5043</v>
      </c>
      <c r="D3224" t="s">
        <v>8401</v>
      </c>
    </row>
    <row r="3225" spans="1:4" ht="14.45" x14ac:dyDescent="0.3">
      <c r="A3225">
        <v>9110</v>
      </c>
      <c r="B3225" t="s">
        <v>8946</v>
      </c>
      <c r="C3225" t="s">
        <v>5043</v>
      </c>
      <c r="D3225" t="s">
        <v>8401</v>
      </c>
    </row>
    <row r="3226" spans="1:4" ht="14.45" x14ac:dyDescent="0.3">
      <c r="A3226">
        <v>9118</v>
      </c>
      <c r="B3226" t="s">
        <v>8946</v>
      </c>
      <c r="C3226" t="s">
        <v>5043</v>
      </c>
      <c r="D3226" t="s">
        <v>8401</v>
      </c>
    </row>
    <row r="3227" spans="1:4" ht="14.45" x14ac:dyDescent="0.3">
      <c r="A3227">
        <v>9564</v>
      </c>
      <c r="B3227" t="s">
        <v>8946</v>
      </c>
      <c r="C3227" t="s">
        <v>5043</v>
      </c>
      <c r="D3227" t="s">
        <v>8401</v>
      </c>
    </row>
    <row r="3228" spans="1:4" ht="14.45" x14ac:dyDescent="0.3">
      <c r="A3228">
        <v>9766</v>
      </c>
      <c r="B3228" t="s">
        <v>8946</v>
      </c>
      <c r="C3228" t="s">
        <v>5043</v>
      </c>
      <c r="D3228" t="s">
        <v>8401</v>
      </c>
    </row>
    <row r="3229" spans="1:4" ht="14.45" x14ac:dyDescent="0.3">
      <c r="A3229">
        <v>10264</v>
      </c>
      <c r="B3229" t="s">
        <v>8947</v>
      </c>
      <c r="C3229" t="s">
        <v>5043</v>
      </c>
      <c r="D3229" t="s">
        <v>8401</v>
      </c>
    </row>
    <row r="3230" spans="1:4" ht="14.45" x14ac:dyDescent="0.3">
      <c r="A3230">
        <v>10275</v>
      </c>
      <c r="B3230" t="s">
        <v>8947</v>
      </c>
      <c r="C3230" t="s">
        <v>5043</v>
      </c>
      <c r="D3230" t="s">
        <v>8401</v>
      </c>
    </row>
    <row r="3231" spans="1:4" ht="14.45" x14ac:dyDescent="0.3">
      <c r="A3231">
        <v>11094</v>
      </c>
      <c r="B3231" t="s">
        <v>8947</v>
      </c>
      <c r="C3231" t="s">
        <v>5043</v>
      </c>
      <c r="D3231" t="s">
        <v>8401</v>
      </c>
    </row>
    <row r="3232" spans="1:4" ht="14.45" x14ac:dyDescent="0.3">
      <c r="A3232">
        <v>7206</v>
      </c>
      <c r="B3232" t="s">
        <v>8947</v>
      </c>
      <c r="C3232" t="s">
        <v>5043</v>
      </c>
      <c r="D3232" t="s">
        <v>8401</v>
      </c>
    </row>
    <row r="3233" spans="1:4" ht="14.45" x14ac:dyDescent="0.3">
      <c r="A3233">
        <v>7638</v>
      </c>
      <c r="B3233" t="s">
        <v>8947</v>
      </c>
      <c r="C3233" t="s">
        <v>5043</v>
      </c>
      <c r="D3233" t="s">
        <v>8401</v>
      </c>
    </row>
    <row r="3234" spans="1:4" ht="14.45" x14ac:dyDescent="0.3">
      <c r="A3234">
        <v>8026</v>
      </c>
      <c r="B3234" t="s">
        <v>8947</v>
      </c>
      <c r="C3234" t="s">
        <v>5043</v>
      </c>
      <c r="D3234" t="s">
        <v>8401</v>
      </c>
    </row>
    <row r="3235" spans="1:4" ht="14.45" x14ac:dyDescent="0.3">
      <c r="A3235">
        <v>8473</v>
      </c>
      <c r="B3235" t="s">
        <v>8947</v>
      </c>
      <c r="C3235" t="s">
        <v>5043</v>
      </c>
      <c r="D3235" t="s">
        <v>8401</v>
      </c>
    </row>
    <row r="3236" spans="1:4" ht="14.45" x14ac:dyDescent="0.3">
      <c r="A3236">
        <v>8832</v>
      </c>
      <c r="B3236" t="s">
        <v>8947</v>
      </c>
      <c r="C3236" t="s">
        <v>5043</v>
      </c>
      <c r="D3236" t="s">
        <v>8401</v>
      </c>
    </row>
    <row r="3237" spans="1:4" ht="14.45" x14ac:dyDescent="0.3">
      <c r="A3237">
        <v>8844</v>
      </c>
      <c r="B3237" t="s">
        <v>8947</v>
      </c>
      <c r="C3237" t="s">
        <v>5043</v>
      </c>
      <c r="D3237" t="s">
        <v>8401</v>
      </c>
    </row>
    <row r="3238" spans="1:4" ht="14.45" x14ac:dyDescent="0.3">
      <c r="A3238">
        <v>8936</v>
      </c>
      <c r="B3238" t="s">
        <v>8947</v>
      </c>
      <c r="C3238" t="s">
        <v>5043</v>
      </c>
      <c r="D3238" t="s">
        <v>8401</v>
      </c>
    </row>
    <row r="3239" spans="1:4" ht="14.45" x14ac:dyDescent="0.3">
      <c r="A3239">
        <v>9348</v>
      </c>
      <c r="B3239" t="s">
        <v>8947</v>
      </c>
      <c r="C3239" t="s">
        <v>5043</v>
      </c>
      <c r="D3239" t="s">
        <v>8401</v>
      </c>
    </row>
    <row r="3240" spans="1:4" ht="14.45" x14ac:dyDescent="0.3">
      <c r="A3240">
        <v>9587</v>
      </c>
      <c r="B3240" t="s">
        <v>8947</v>
      </c>
      <c r="C3240" t="s">
        <v>5043</v>
      </c>
      <c r="D3240" t="s">
        <v>8401</v>
      </c>
    </row>
    <row r="3241" spans="1:4" ht="14.45" x14ac:dyDescent="0.3">
      <c r="A3241">
        <v>10867</v>
      </c>
      <c r="B3241" t="s">
        <v>10630</v>
      </c>
      <c r="C3241" t="s">
        <v>5043</v>
      </c>
      <c r="D3241" t="s">
        <v>8401</v>
      </c>
    </row>
    <row r="3242" spans="1:4" ht="14.45" x14ac:dyDescent="0.3">
      <c r="A3242">
        <v>6802</v>
      </c>
      <c r="B3242" t="s">
        <v>10630</v>
      </c>
      <c r="C3242" t="s">
        <v>5043</v>
      </c>
      <c r="D3242" t="s">
        <v>8401</v>
      </c>
    </row>
    <row r="3243" spans="1:4" ht="14.45" x14ac:dyDescent="0.3">
      <c r="A3243">
        <v>7084</v>
      </c>
      <c r="B3243" t="s">
        <v>10630</v>
      </c>
      <c r="C3243" t="s">
        <v>5043</v>
      </c>
      <c r="D3243" t="s">
        <v>8401</v>
      </c>
    </row>
    <row r="3244" spans="1:4" ht="14.45" x14ac:dyDescent="0.3">
      <c r="A3244">
        <v>7825</v>
      </c>
      <c r="B3244" t="s">
        <v>10630</v>
      </c>
      <c r="C3244" t="s">
        <v>5043</v>
      </c>
      <c r="D3244" t="s">
        <v>8401</v>
      </c>
    </row>
    <row r="3245" spans="1:4" ht="14.45" x14ac:dyDescent="0.3">
      <c r="A3245">
        <v>8021</v>
      </c>
      <c r="B3245" t="s">
        <v>10630</v>
      </c>
      <c r="C3245" t="s">
        <v>5043</v>
      </c>
      <c r="D3245" t="s">
        <v>8401</v>
      </c>
    </row>
    <row r="3246" spans="1:4" ht="14.45" x14ac:dyDescent="0.3">
      <c r="A3246">
        <v>8364</v>
      </c>
      <c r="B3246" t="s">
        <v>10630</v>
      </c>
      <c r="C3246" t="s">
        <v>5043</v>
      </c>
      <c r="D3246" t="s">
        <v>8401</v>
      </c>
    </row>
    <row r="3247" spans="1:4" ht="14.45" x14ac:dyDescent="0.3">
      <c r="A3247">
        <v>9255</v>
      </c>
      <c r="B3247" t="s">
        <v>10630</v>
      </c>
      <c r="C3247" t="s">
        <v>5043</v>
      </c>
      <c r="D3247" t="s">
        <v>8401</v>
      </c>
    </row>
    <row r="3248" spans="1:4" ht="14.45" x14ac:dyDescent="0.3">
      <c r="A3248">
        <v>9672</v>
      </c>
      <c r="B3248" t="s">
        <v>10630</v>
      </c>
      <c r="C3248" t="s">
        <v>5043</v>
      </c>
      <c r="D3248" t="s">
        <v>8401</v>
      </c>
    </row>
    <row r="3249" spans="1:4" ht="14.45" x14ac:dyDescent="0.3">
      <c r="A3249">
        <v>6904</v>
      </c>
      <c r="B3249" t="s">
        <v>10631</v>
      </c>
      <c r="C3249" t="s">
        <v>5043</v>
      </c>
      <c r="D3249" t="s">
        <v>8401</v>
      </c>
    </row>
    <row r="3250" spans="1:4" ht="14.45" x14ac:dyDescent="0.3">
      <c r="A3250">
        <v>11728</v>
      </c>
      <c r="B3250" t="s">
        <v>8948</v>
      </c>
      <c r="C3250" t="s">
        <v>5043</v>
      </c>
      <c r="D3250" t="s">
        <v>8401</v>
      </c>
    </row>
    <row r="3251" spans="1:4" ht="14.45" x14ac:dyDescent="0.3">
      <c r="A3251">
        <v>8043</v>
      </c>
      <c r="B3251" t="s">
        <v>8948</v>
      </c>
      <c r="C3251" t="s">
        <v>5043</v>
      </c>
      <c r="D3251" t="s">
        <v>8401</v>
      </c>
    </row>
    <row r="3252" spans="1:4" ht="14.45" x14ac:dyDescent="0.3">
      <c r="A3252">
        <v>11200</v>
      </c>
      <c r="B3252" t="s">
        <v>10632</v>
      </c>
      <c r="C3252" t="s">
        <v>5043</v>
      </c>
      <c r="D3252" t="s">
        <v>8401</v>
      </c>
    </row>
    <row r="3253" spans="1:4" ht="14.45" x14ac:dyDescent="0.3">
      <c r="A3253">
        <v>6618</v>
      </c>
      <c r="B3253" t="s">
        <v>10633</v>
      </c>
      <c r="C3253" t="s">
        <v>5043</v>
      </c>
      <c r="D3253" t="s">
        <v>8401</v>
      </c>
    </row>
    <row r="3254" spans="1:4" ht="14.45" x14ac:dyDescent="0.3">
      <c r="A3254">
        <v>11762</v>
      </c>
      <c r="B3254" t="s">
        <v>10634</v>
      </c>
      <c r="C3254" t="s">
        <v>5043</v>
      </c>
      <c r="D3254" t="s">
        <v>8401</v>
      </c>
    </row>
    <row r="3255" spans="1:4" ht="14.45" x14ac:dyDescent="0.3">
      <c r="A3255">
        <v>8258</v>
      </c>
      <c r="B3255" t="s">
        <v>10634</v>
      </c>
      <c r="C3255" t="s">
        <v>5043</v>
      </c>
      <c r="D3255" t="s">
        <v>8401</v>
      </c>
    </row>
    <row r="3256" spans="1:4" ht="14.45" x14ac:dyDescent="0.3">
      <c r="A3256">
        <v>11779</v>
      </c>
      <c r="B3256" t="s">
        <v>10635</v>
      </c>
      <c r="C3256" t="s">
        <v>5043</v>
      </c>
      <c r="D3256" t="s">
        <v>8401</v>
      </c>
    </row>
    <row r="3257" spans="1:4" ht="14.45" x14ac:dyDescent="0.3">
      <c r="A3257">
        <v>12152</v>
      </c>
      <c r="B3257" t="s">
        <v>11511</v>
      </c>
      <c r="C3257" t="s">
        <v>5043</v>
      </c>
      <c r="D3257" t="s">
        <v>8401</v>
      </c>
    </row>
    <row r="3258" spans="1:4" ht="14.45" x14ac:dyDescent="0.3">
      <c r="A3258">
        <v>12161</v>
      </c>
      <c r="B3258" t="s">
        <v>11511</v>
      </c>
      <c r="C3258" t="s">
        <v>5043</v>
      </c>
      <c r="D3258" t="s">
        <v>8401</v>
      </c>
    </row>
    <row r="3259" spans="1:4" ht="14.45" x14ac:dyDescent="0.3">
      <c r="A3259">
        <v>12167</v>
      </c>
      <c r="B3259" t="s">
        <v>11511</v>
      </c>
      <c r="C3259" t="s">
        <v>5043</v>
      </c>
      <c r="D3259" t="s">
        <v>8401</v>
      </c>
    </row>
    <row r="3260" spans="1:4" ht="14.45" x14ac:dyDescent="0.3">
      <c r="A3260">
        <v>11774</v>
      </c>
      <c r="B3260" t="s">
        <v>10636</v>
      </c>
      <c r="C3260" t="s">
        <v>5043</v>
      </c>
      <c r="D3260" t="s">
        <v>8401</v>
      </c>
    </row>
    <row r="3261" spans="1:4" ht="14.45" x14ac:dyDescent="0.3">
      <c r="A3261">
        <v>11776</v>
      </c>
      <c r="B3261" t="s">
        <v>10636</v>
      </c>
      <c r="C3261" t="s">
        <v>5043</v>
      </c>
      <c r="D3261" t="s">
        <v>8401</v>
      </c>
    </row>
    <row r="3262" spans="1:4" ht="14.45" x14ac:dyDescent="0.3">
      <c r="A3262">
        <v>11769</v>
      </c>
      <c r="B3262" t="s">
        <v>10637</v>
      </c>
      <c r="C3262" t="s">
        <v>5043</v>
      </c>
      <c r="D3262" t="s">
        <v>8401</v>
      </c>
    </row>
    <row r="3263" spans="1:4" ht="14.45" x14ac:dyDescent="0.3">
      <c r="A3263">
        <v>12163</v>
      </c>
      <c r="B3263" t="s">
        <v>10637</v>
      </c>
      <c r="C3263" t="s">
        <v>5043</v>
      </c>
      <c r="D3263" t="s">
        <v>8401</v>
      </c>
    </row>
    <row r="3264" spans="1:4" ht="14.45" x14ac:dyDescent="0.3">
      <c r="A3264">
        <v>12154</v>
      </c>
      <c r="B3264" t="s">
        <v>11512</v>
      </c>
      <c r="C3264" t="s">
        <v>5043</v>
      </c>
      <c r="D3264" t="s">
        <v>8401</v>
      </c>
    </row>
    <row r="3265" spans="1:4" ht="14.45" x14ac:dyDescent="0.3">
      <c r="A3265">
        <v>12158</v>
      </c>
      <c r="B3265" t="s">
        <v>11512</v>
      </c>
      <c r="C3265" t="s">
        <v>5043</v>
      </c>
      <c r="D3265" t="s">
        <v>8401</v>
      </c>
    </row>
    <row r="3266" spans="1:4" ht="14.45" x14ac:dyDescent="0.3">
      <c r="A3266">
        <v>11765</v>
      </c>
      <c r="B3266" t="s">
        <v>10638</v>
      </c>
      <c r="C3266" t="s">
        <v>5043</v>
      </c>
      <c r="D3266" t="s">
        <v>8401</v>
      </c>
    </row>
    <row r="3267" spans="1:4" ht="14.45" x14ac:dyDescent="0.3">
      <c r="A3267">
        <v>11766</v>
      </c>
      <c r="B3267" t="s">
        <v>10638</v>
      </c>
      <c r="C3267" t="s">
        <v>5043</v>
      </c>
      <c r="D3267" t="s">
        <v>8401</v>
      </c>
    </row>
    <row r="3268" spans="1:4" ht="14.45" x14ac:dyDescent="0.3">
      <c r="A3268">
        <v>11767</v>
      </c>
      <c r="B3268" t="s">
        <v>10638</v>
      </c>
      <c r="C3268" t="s">
        <v>5043</v>
      </c>
      <c r="D3268" t="s">
        <v>8401</v>
      </c>
    </row>
    <row r="3269" spans="1:4" ht="14.45" x14ac:dyDescent="0.3">
      <c r="A3269">
        <v>11772</v>
      </c>
      <c r="B3269" t="s">
        <v>10638</v>
      </c>
      <c r="C3269" t="s">
        <v>5043</v>
      </c>
      <c r="D3269" t="s">
        <v>8401</v>
      </c>
    </row>
    <row r="3270" spans="1:4" ht="14.45" x14ac:dyDescent="0.3">
      <c r="A3270">
        <v>11773</v>
      </c>
      <c r="B3270" t="s">
        <v>10638</v>
      </c>
      <c r="C3270" t="s">
        <v>5043</v>
      </c>
      <c r="D3270" t="s">
        <v>8401</v>
      </c>
    </row>
    <row r="3271" spans="1:4" ht="14.45" x14ac:dyDescent="0.3">
      <c r="A3271">
        <v>11777</v>
      </c>
      <c r="B3271" t="s">
        <v>10638</v>
      </c>
      <c r="C3271" t="s">
        <v>5043</v>
      </c>
      <c r="D3271" t="s">
        <v>8401</v>
      </c>
    </row>
    <row r="3272" spans="1:4" ht="14.45" x14ac:dyDescent="0.3">
      <c r="A3272">
        <v>12153</v>
      </c>
      <c r="B3272" t="s">
        <v>11513</v>
      </c>
      <c r="C3272" t="s">
        <v>5043</v>
      </c>
      <c r="D3272" t="s">
        <v>8401</v>
      </c>
    </row>
    <row r="3273" spans="1:4" ht="14.45" x14ac:dyDescent="0.3">
      <c r="A3273">
        <v>12157</v>
      </c>
      <c r="B3273" t="s">
        <v>11513</v>
      </c>
      <c r="C3273" t="s">
        <v>5043</v>
      </c>
      <c r="D3273" t="s">
        <v>8401</v>
      </c>
    </row>
    <row r="3274" spans="1:4" ht="14.45" x14ac:dyDescent="0.3">
      <c r="A3274">
        <v>12164</v>
      </c>
      <c r="B3274" t="s">
        <v>11513</v>
      </c>
      <c r="C3274" t="s">
        <v>5043</v>
      </c>
      <c r="D3274" t="s">
        <v>8401</v>
      </c>
    </row>
    <row r="3275" spans="1:4" ht="14.45" x14ac:dyDescent="0.3">
      <c r="A3275">
        <v>12165</v>
      </c>
      <c r="B3275" t="s">
        <v>11513</v>
      </c>
      <c r="C3275" t="s">
        <v>5043</v>
      </c>
      <c r="D3275" t="s">
        <v>8401</v>
      </c>
    </row>
    <row r="3276" spans="1:4" ht="14.45" x14ac:dyDescent="0.3">
      <c r="A3276">
        <v>10928</v>
      </c>
      <c r="B3276" t="s">
        <v>8949</v>
      </c>
      <c r="C3276" t="s">
        <v>5043</v>
      </c>
      <c r="D3276" t="s">
        <v>8401</v>
      </c>
    </row>
    <row r="3277" spans="1:4" ht="14.45" x14ac:dyDescent="0.3">
      <c r="A3277">
        <v>11390</v>
      </c>
      <c r="B3277" t="s">
        <v>8949</v>
      </c>
      <c r="C3277" t="s">
        <v>5043</v>
      </c>
      <c r="D3277" t="s">
        <v>8401</v>
      </c>
    </row>
    <row r="3278" spans="1:4" ht="14.45" x14ac:dyDescent="0.3">
      <c r="A3278">
        <v>11704</v>
      </c>
      <c r="B3278" t="s">
        <v>8949</v>
      </c>
      <c r="C3278" t="s">
        <v>5043</v>
      </c>
      <c r="D3278" t="s">
        <v>8401</v>
      </c>
    </row>
    <row r="3279" spans="1:4" ht="14.45" x14ac:dyDescent="0.3">
      <c r="A3279">
        <v>9102</v>
      </c>
      <c r="B3279" t="s">
        <v>8949</v>
      </c>
      <c r="C3279" t="s">
        <v>5043</v>
      </c>
      <c r="D3279" t="s">
        <v>8401</v>
      </c>
    </row>
    <row r="3280" spans="1:4" ht="14.45" x14ac:dyDescent="0.3">
      <c r="A3280">
        <v>9184</v>
      </c>
      <c r="B3280" t="s">
        <v>8949</v>
      </c>
      <c r="C3280" t="s">
        <v>5043</v>
      </c>
      <c r="D3280" t="s">
        <v>8401</v>
      </c>
    </row>
    <row r="3281" spans="1:4" ht="14.45" x14ac:dyDescent="0.3">
      <c r="A3281">
        <v>6412</v>
      </c>
      <c r="B3281" t="s">
        <v>8950</v>
      </c>
      <c r="C3281" t="s">
        <v>5043</v>
      </c>
      <c r="D3281" t="s">
        <v>8401</v>
      </c>
    </row>
    <row r="3282" spans="1:4" ht="14.45" x14ac:dyDescent="0.3">
      <c r="A3282">
        <v>6651</v>
      </c>
      <c r="B3282" t="s">
        <v>8950</v>
      </c>
      <c r="C3282" t="s">
        <v>5043</v>
      </c>
      <c r="D3282" t="s">
        <v>8401</v>
      </c>
    </row>
    <row r="3283" spans="1:4" ht="14.45" x14ac:dyDescent="0.3">
      <c r="A3283">
        <v>8157</v>
      </c>
      <c r="B3283" t="s">
        <v>8950</v>
      </c>
      <c r="C3283" t="s">
        <v>5043</v>
      </c>
      <c r="D3283" t="s">
        <v>8401</v>
      </c>
    </row>
    <row r="3284" spans="1:4" ht="14.45" x14ac:dyDescent="0.3">
      <c r="A3284">
        <v>9235</v>
      </c>
      <c r="B3284" t="s">
        <v>8950</v>
      </c>
      <c r="C3284" t="s">
        <v>5043</v>
      </c>
      <c r="D3284" t="s">
        <v>8401</v>
      </c>
    </row>
    <row r="3285" spans="1:4" ht="14.45" x14ac:dyDescent="0.3">
      <c r="A3285">
        <v>9422</v>
      </c>
      <c r="B3285" t="s">
        <v>8950</v>
      </c>
      <c r="C3285" t="s">
        <v>5043</v>
      </c>
      <c r="D3285" t="s">
        <v>8401</v>
      </c>
    </row>
    <row r="3286" spans="1:4" ht="14.45" x14ac:dyDescent="0.3">
      <c r="A3286">
        <v>9896</v>
      </c>
      <c r="B3286" t="s">
        <v>8950</v>
      </c>
      <c r="C3286" t="s">
        <v>5043</v>
      </c>
      <c r="D3286" t="s">
        <v>8401</v>
      </c>
    </row>
    <row r="3287" spans="1:4" ht="14.45" x14ac:dyDescent="0.3">
      <c r="A3287">
        <v>6527</v>
      </c>
      <c r="B3287" t="s">
        <v>10639</v>
      </c>
      <c r="C3287" t="s">
        <v>5043</v>
      </c>
      <c r="D3287" t="s">
        <v>8401</v>
      </c>
    </row>
    <row r="3288" spans="1:4" ht="14.45" x14ac:dyDescent="0.3">
      <c r="A3288">
        <v>8503</v>
      </c>
      <c r="B3288" t="s">
        <v>10639</v>
      </c>
      <c r="C3288" t="s">
        <v>5043</v>
      </c>
      <c r="D3288" t="s">
        <v>8401</v>
      </c>
    </row>
    <row r="3289" spans="1:4" ht="14.45" x14ac:dyDescent="0.3">
      <c r="A3289">
        <v>9555</v>
      </c>
      <c r="B3289" t="s">
        <v>10639</v>
      </c>
      <c r="C3289" t="s">
        <v>5043</v>
      </c>
      <c r="D3289" t="s">
        <v>8401</v>
      </c>
    </row>
    <row r="3290" spans="1:4" ht="14.45" x14ac:dyDescent="0.3">
      <c r="A3290">
        <v>11216</v>
      </c>
      <c r="B3290" t="s">
        <v>8951</v>
      </c>
      <c r="C3290" t="s">
        <v>5043</v>
      </c>
      <c r="D3290" t="s">
        <v>8401</v>
      </c>
    </row>
    <row r="3291" spans="1:4" ht="14.45" x14ac:dyDescent="0.3">
      <c r="A3291">
        <v>9692</v>
      </c>
      <c r="B3291" t="s">
        <v>8951</v>
      </c>
      <c r="C3291" t="s">
        <v>5043</v>
      </c>
      <c r="D3291" t="s">
        <v>8401</v>
      </c>
    </row>
    <row r="3292" spans="1:4" ht="14.45" x14ac:dyDescent="0.3">
      <c r="A3292">
        <v>8599</v>
      </c>
      <c r="B3292" t="s">
        <v>8952</v>
      </c>
      <c r="C3292" t="s">
        <v>5043</v>
      </c>
      <c r="D3292" t="s">
        <v>8401</v>
      </c>
    </row>
    <row r="3293" spans="1:4" ht="14.45" x14ac:dyDescent="0.3">
      <c r="A3293">
        <v>11073</v>
      </c>
      <c r="B3293" t="s">
        <v>10640</v>
      </c>
      <c r="C3293" t="s">
        <v>5043</v>
      </c>
      <c r="D3293" t="s">
        <v>8401</v>
      </c>
    </row>
    <row r="3294" spans="1:4" ht="14.45" x14ac:dyDescent="0.3">
      <c r="A3294">
        <v>6617</v>
      </c>
      <c r="B3294" t="s">
        <v>10640</v>
      </c>
      <c r="C3294" t="s">
        <v>5043</v>
      </c>
      <c r="D3294" t="s">
        <v>8401</v>
      </c>
    </row>
    <row r="3295" spans="1:4" ht="14.45" x14ac:dyDescent="0.3">
      <c r="A3295">
        <v>7200</v>
      </c>
      <c r="B3295" t="s">
        <v>10640</v>
      </c>
      <c r="C3295" t="s">
        <v>5043</v>
      </c>
      <c r="D3295" t="s">
        <v>8401</v>
      </c>
    </row>
    <row r="3296" spans="1:4" ht="14.45" x14ac:dyDescent="0.3">
      <c r="A3296">
        <v>7729</v>
      </c>
      <c r="B3296" t="s">
        <v>10640</v>
      </c>
      <c r="C3296" t="s">
        <v>5043</v>
      </c>
      <c r="D3296" t="s">
        <v>8401</v>
      </c>
    </row>
    <row r="3297" spans="1:4" ht="14.45" x14ac:dyDescent="0.3">
      <c r="A3297">
        <v>9665</v>
      </c>
      <c r="B3297" t="s">
        <v>10640</v>
      </c>
      <c r="C3297" t="s">
        <v>5043</v>
      </c>
      <c r="D3297" t="s">
        <v>8401</v>
      </c>
    </row>
    <row r="3298" spans="1:4" ht="14.45" x14ac:dyDescent="0.3">
      <c r="A3298">
        <v>6856</v>
      </c>
      <c r="B3298" t="s">
        <v>10641</v>
      </c>
      <c r="C3298" t="s">
        <v>5043</v>
      </c>
      <c r="D3298" t="s">
        <v>8401</v>
      </c>
    </row>
    <row r="3299" spans="1:4" ht="14.45" x14ac:dyDescent="0.3">
      <c r="A3299">
        <v>10594</v>
      </c>
      <c r="B3299" t="s">
        <v>10642</v>
      </c>
      <c r="C3299" t="s">
        <v>5043</v>
      </c>
      <c r="D3299" t="s">
        <v>8401</v>
      </c>
    </row>
    <row r="3300" spans="1:4" ht="14.45" x14ac:dyDescent="0.3">
      <c r="A3300">
        <v>8137</v>
      </c>
      <c r="B3300" t="s">
        <v>10642</v>
      </c>
      <c r="C3300" t="s">
        <v>5043</v>
      </c>
      <c r="D3300" t="s">
        <v>8401</v>
      </c>
    </row>
    <row r="3301" spans="1:4" ht="14.45" x14ac:dyDescent="0.3">
      <c r="A3301">
        <v>6797</v>
      </c>
      <c r="B3301" t="s">
        <v>10643</v>
      </c>
      <c r="C3301" t="s">
        <v>5043</v>
      </c>
      <c r="D3301" t="s">
        <v>8401</v>
      </c>
    </row>
    <row r="3302" spans="1:4" ht="14.45" x14ac:dyDescent="0.3">
      <c r="A3302">
        <v>10489</v>
      </c>
      <c r="B3302" t="s">
        <v>10644</v>
      </c>
      <c r="C3302" t="s">
        <v>5043</v>
      </c>
      <c r="D3302" t="s">
        <v>8401</v>
      </c>
    </row>
    <row r="3303" spans="1:4" ht="14.45" x14ac:dyDescent="0.3">
      <c r="A3303">
        <v>7921</v>
      </c>
      <c r="B3303" t="s">
        <v>10644</v>
      </c>
      <c r="C3303" t="s">
        <v>5043</v>
      </c>
      <c r="D3303" t="s">
        <v>8401</v>
      </c>
    </row>
    <row r="3304" spans="1:4" ht="14.45" x14ac:dyDescent="0.3">
      <c r="A3304">
        <v>8444</v>
      </c>
      <c r="B3304" t="s">
        <v>10644</v>
      </c>
      <c r="C3304" t="s">
        <v>5043</v>
      </c>
      <c r="D3304" t="s">
        <v>8401</v>
      </c>
    </row>
    <row r="3305" spans="1:4" ht="14.45" x14ac:dyDescent="0.3">
      <c r="A3305">
        <v>8694</v>
      </c>
      <c r="B3305" t="s">
        <v>10644</v>
      </c>
      <c r="C3305" t="s">
        <v>5043</v>
      </c>
      <c r="D3305" t="s">
        <v>8401</v>
      </c>
    </row>
    <row r="3306" spans="1:4" ht="14.45" x14ac:dyDescent="0.3">
      <c r="A3306">
        <v>8963</v>
      </c>
      <c r="B3306" t="s">
        <v>10644</v>
      </c>
      <c r="C3306" t="s">
        <v>5043</v>
      </c>
      <c r="D3306" t="s">
        <v>8401</v>
      </c>
    </row>
    <row r="3307" spans="1:4" ht="14.45" x14ac:dyDescent="0.3">
      <c r="A3307">
        <v>9730</v>
      </c>
      <c r="B3307" t="s">
        <v>10644</v>
      </c>
      <c r="C3307" t="s">
        <v>5043</v>
      </c>
      <c r="D3307" t="s">
        <v>8401</v>
      </c>
    </row>
    <row r="3308" spans="1:4" ht="14.45" x14ac:dyDescent="0.3">
      <c r="A3308">
        <v>11714</v>
      </c>
      <c r="B3308" t="s">
        <v>10645</v>
      </c>
      <c r="C3308" t="s">
        <v>5043</v>
      </c>
      <c r="D3308" t="s">
        <v>8401</v>
      </c>
    </row>
    <row r="3309" spans="1:4" ht="14.45" x14ac:dyDescent="0.3">
      <c r="A3309">
        <v>9486</v>
      </c>
      <c r="B3309" t="s">
        <v>10646</v>
      </c>
      <c r="C3309" t="s">
        <v>5043</v>
      </c>
      <c r="D3309" t="s">
        <v>8401</v>
      </c>
    </row>
    <row r="3310" spans="1:4" ht="14.45" x14ac:dyDescent="0.3">
      <c r="A3310">
        <v>11429</v>
      </c>
      <c r="B3310" t="s">
        <v>10647</v>
      </c>
      <c r="C3310" t="s">
        <v>5043</v>
      </c>
      <c r="D3310" t="s">
        <v>8401</v>
      </c>
    </row>
    <row r="3311" spans="1:4" ht="14.45" x14ac:dyDescent="0.3">
      <c r="A3311">
        <v>6814</v>
      </c>
      <c r="B3311" t="s">
        <v>8953</v>
      </c>
      <c r="C3311" t="s">
        <v>5043</v>
      </c>
      <c r="D3311" t="s">
        <v>8401</v>
      </c>
    </row>
    <row r="3312" spans="1:4" ht="14.45" x14ac:dyDescent="0.3">
      <c r="A3312">
        <v>8336</v>
      </c>
      <c r="B3312" t="s">
        <v>8954</v>
      </c>
      <c r="C3312" t="s">
        <v>5043</v>
      </c>
      <c r="D3312" t="s">
        <v>8401</v>
      </c>
    </row>
    <row r="3313" spans="1:4" ht="14.45" x14ac:dyDescent="0.3">
      <c r="A3313">
        <v>11038</v>
      </c>
      <c r="B3313" t="s">
        <v>8955</v>
      </c>
      <c r="C3313" t="s">
        <v>5043</v>
      </c>
      <c r="D3313" t="s">
        <v>8401</v>
      </c>
    </row>
    <row r="3314" spans="1:4" ht="14.45" x14ac:dyDescent="0.3">
      <c r="A3314">
        <v>7136</v>
      </c>
      <c r="B3314" t="s">
        <v>8955</v>
      </c>
      <c r="C3314" t="s">
        <v>5043</v>
      </c>
      <c r="D3314" t="s">
        <v>8401</v>
      </c>
    </row>
    <row r="3315" spans="1:4" ht="14.45" x14ac:dyDescent="0.3">
      <c r="A3315">
        <v>8613</v>
      </c>
      <c r="B3315" t="s">
        <v>8955</v>
      </c>
      <c r="C3315" t="s">
        <v>5043</v>
      </c>
      <c r="D3315" t="s">
        <v>8401</v>
      </c>
    </row>
    <row r="3316" spans="1:4" ht="14.45" x14ac:dyDescent="0.3">
      <c r="A3316">
        <v>9151</v>
      </c>
      <c r="B3316" t="s">
        <v>8955</v>
      </c>
      <c r="C3316" t="s">
        <v>5043</v>
      </c>
      <c r="D3316" t="s">
        <v>8401</v>
      </c>
    </row>
    <row r="3317" spans="1:4" ht="14.45" x14ac:dyDescent="0.3">
      <c r="A3317">
        <v>9830</v>
      </c>
      <c r="B3317" t="s">
        <v>8955</v>
      </c>
      <c r="C3317" t="s">
        <v>5043</v>
      </c>
      <c r="D3317" t="s">
        <v>8401</v>
      </c>
    </row>
    <row r="3318" spans="1:4" ht="14.45" x14ac:dyDescent="0.3">
      <c r="A3318">
        <v>8138</v>
      </c>
      <c r="B3318" t="s">
        <v>8956</v>
      </c>
      <c r="C3318" t="s">
        <v>5043</v>
      </c>
      <c r="D3318" t="s">
        <v>8401</v>
      </c>
    </row>
    <row r="3319" spans="1:4" ht="14.45" x14ac:dyDescent="0.3">
      <c r="A3319">
        <v>8994</v>
      </c>
      <c r="B3319" t="s">
        <v>8956</v>
      </c>
      <c r="C3319" t="s">
        <v>5043</v>
      </c>
      <c r="D3319" t="s">
        <v>8401</v>
      </c>
    </row>
    <row r="3320" spans="1:4" ht="14.45" x14ac:dyDescent="0.3">
      <c r="A3320">
        <v>9826</v>
      </c>
      <c r="B3320" t="s">
        <v>8957</v>
      </c>
      <c r="C3320" t="s">
        <v>5043</v>
      </c>
      <c r="D3320" t="s">
        <v>8401</v>
      </c>
    </row>
    <row r="3321" spans="1:4" ht="14.45" x14ac:dyDescent="0.3">
      <c r="A3321">
        <v>10637</v>
      </c>
      <c r="B3321" t="s">
        <v>10648</v>
      </c>
      <c r="C3321" t="s">
        <v>5043</v>
      </c>
      <c r="D3321" t="s">
        <v>8401</v>
      </c>
    </row>
    <row r="3322" spans="1:4" ht="14.45" x14ac:dyDescent="0.3">
      <c r="A3322">
        <v>11193</v>
      </c>
      <c r="B3322" t="s">
        <v>8958</v>
      </c>
      <c r="C3322" t="s">
        <v>5043</v>
      </c>
      <c r="D3322" t="s">
        <v>8401</v>
      </c>
    </row>
    <row r="3323" spans="1:4" ht="14.45" x14ac:dyDescent="0.3">
      <c r="A3323">
        <v>11703</v>
      </c>
      <c r="B3323" t="s">
        <v>8958</v>
      </c>
      <c r="C3323" t="s">
        <v>5043</v>
      </c>
      <c r="D3323" t="s">
        <v>8401</v>
      </c>
    </row>
    <row r="3324" spans="1:4" ht="14.45" x14ac:dyDescent="0.3">
      <c r="A3324">
        <v>8330</v>
      </c>
      <c r="B3324" t="s">
        <v>8958</v>
      </c>
      <c r="C3324" t="s">
        <v>5043</v>
      </c>
      <c r="D3324" t="s">
        <v>8401</v>
      </c>
    </row>
    <row r="3325" spans="1:4" ht="14.45" x14ac:dyDescent="0.3">
      <c r="A3325">
        <v>7905</v>
      </c>
      <c r="B3325" t="s">
        <v>8959</v>
      </c>
      <c r="C3325" t="s">
        <v>5043</v>
      </c>
      <c r="D3325" t="s">
        <v>8401</v>
      </c>
    </row>
    <row r="3326" spans="1:4" ht="14.45" x14ac:dyDescent="0.3">
      <c r="A3326">
        <v>9153</v>
      </c>
      <c r="B3326" t="s">
        <v>8959</v>
      </c>
      <c r="C3326" t="s">
        <v>5043</v>
      </c>
      <c r="D3326" t="s">
        <v>8401</v>
      </c>
    </row>
    <row r="3327" spans="1:4" ht="14.45" x14ac:dyDescent="0.3">
      <c r="A3327">
        <v>9365</v>
      </c>
      <c r="B3327" t="s">
        <v>8959</v>
      </c>
      <c r="C3327" t="s">
        <v>5043</v>
      </c>
      <c r="D3327" t="s">
        <v>8401</v>
      </c>
    </row>
    <row r="3328" spans="1:4" ht="14.45" x14ac:dyDescent="0.3">
      <c r="A3328">
        <v>10101</v>
      </c>
      <c r="B3328" t="s">
        <v>10649</v>
      </c>
      <c r="C3328" t="s">
        <v>5043</v>
      </c>
      <c r="D3328" t="s">
        <v>8401</v>
      </c>
    </row>
    <row r="3329" spans="1:4" ht="14.45" x14ac:dyDescent="0.3">
      <c r="A3329">
        <v>10382</v>
      </c>
      <c r="B3329" t="s">
        <v>10649</v>
      </c>
      <c r="C3329" t="s">
        <v>5043</v>
      </c>
      <c r="D3329" t="s">
        <v>8401</v>
      </c>
    </row>
    <row r="3330" spans="1:4" ht="14.45" x14ac:dyDescent="0.3">
      <c r="A3330">
        <v>6883</v>
      </c>
      <c r="B3330" t="s">
        <v>10649</v>
      </c>
      <c r="C3330" t="s">
        <v>5043</v>
      </c>
      <c r="D3330" t="s">
        <v>8401</v>
      </c>
    </row>
    <row r="3331" spans="1:4" ht="14.45" x14ac:dyDescent="0.3">
      <c r="A3331">
        <v>9069</v>
      </c>
      <c r="B3331" t="s">
        <v>10649</v>
      </c>
      <c r="C3331" t="s">
        <v>5043</v>
      </c>
      <c r="D3331" t="s">
        <v>8401</v>
      </c>
    </row>
    <row r="3332" spans="1:4" ht="14.45" x14ac:dyDescent="0.3">
      <c r="A3332">
        <v>9851</v>
      </c>
      <c r="B3332" t="s">
        <v>10649</v>
      </c>
      <c r="C3332" t="s">
        <v>5043</v>
      </c>
      <c r="D3332" t="s">
        <v>8401</v>
      </c>
    </row>
    <row r="3333" spans="1:4" ht="14.45" x14ac:dyDescent="0.3">
      <c r="A3333">
        <v>6931</v>
      </c>
      <c r="B3333" t="s">
        <v>10650</v>
      </c>
      <c r="C3333" t="s">
        <v>5043</v>
      </c>
      <c r="D3333" t="s">
        <v>8401</v>
      </c>
    </row>
    <row r="3334" spans="1:4" ht="14.45" x14ac:dyDescent="0.3">
      <c r="A3334">
        <v>8175</v>
      </c>
      <c r="B3334" t="s">
        <v>8960</v>
      </c>
      <c r="C3334" t="s">
        <v>5043</v>
      </c>
      <c r="D3334" t="s">
        <v>8401</v>
      </c>
    </row>
    <row r="3335" spans="1:4" ht="14.45" x14ac:dyDescent="0.3">
      <c r="A3335">
        <v>9707</v>
      </c>
      <c r="B3335" t="s">
        <v>8961</v>
      </c>
      <c r="C3335" t="s">
        <v>5043</v>
      </c>
      <c r="D3335" t="s">
        <v>8401</v>
      </c>
    </row>
    <row r="3336" spans="1:4" ht="14.45" x14ac:dyDescent="0.3">
      <c r="A3336">
        <v>10943</v>
      </c>
      <c r="B3336" t="s">
        <v>10651</v>
      </c>
      <c r="C3336" t="s">
        <v>5043</v>
      </c>
      <c r="D3336" t="s">
        <v>8401</v>
      </c>
    </row>
    <row r="3337" spans="1:4" ht="14.45" x14ac:dyDescent="0.3">
      <c r="A3337">
        <v>9289</v>
      </c>
      <c r="B3337" t="s">
        <v>8962</v>
      </c>
      <c r="C3337" t="s">
        <v>5043</v>
      </c>
      <c r="D3337" t="s">
        <v>8401</v>
      </c>
    </row>
    <row r="3338" spans="1:4" ht="14.45" x14ac:dyDescent="0.3">
      <c r="A3338">
        <v>10309</v>
      </c>
      <c r="B3338" t="s">
        <v>10652</v>
      </c>
      <c r="C3338" t="s">
        <v>5043</v>
      </c>
      <c r="D3338" t="s">
        <v>8401</v>
      </c>
    </row>
    <row r="3339" spans="1:4" ht="14.45" x14ac:dyDescent="0.3">
      <c r="A3339">
        <v>10323</v>
      </c>
      <c r="B3339" t="s">
        <v>10652</v>
      </c>
      <c r="C3339" t="s">
        <v>5043</v>
      </c>
      <c r="D3339" t="s">
        <v>8401</v>
      </c>
    </row>
    <row r="3340" spans="1:4" ht="14.45" x14ac:dyDescent="0.3">
      <c r="A3340">
        <v>10664</v>
      </c>
      <c r="B3340" t="s">
        <v>10652</v>
      </c>
      <c r="C3340" t="s">
        <v>5043</v>
      </c>
      <c r="D3340" t="s">
        <v>8401</v>
      </c>
    </row>
    <row r="3341" spans="1:4" ht="14.45" x14ac:dyDescent="0.3">
      <c r="A3341">
        <v>11255</v>
      </c>
      <c r="B3341" t="s">
        <v>10652</v>
      </c>
      <c r="C3341" t="s">
        <v>5043</v>
      </c>
      <c r="D3341" t="s">
        <v>8401</v>
      </c>
    </row>
    <row r="3342" spans="1:4" ht="14.45" x14ac:dyDescent="0.3">
      <c r="A3342">
        <v>6823</v>
      </c>
      <c r="B3342" t="s">
        <v>10652</v>
      </c>
      <c r="C3342" t="s">
        <v>5043</v>
      </c>
      <c r="D3342" t="s">
        <v>8401</v>
      </c>
    </row>
    <row r="3343" spans="1:4" ht="14.45" x14ac:dyDescent="0.3">
      <c r="A3343">
        <v>6932</v>
      </c>
      <c r="B3343" t="s">
        <v>10652</v>
      </c>
      <c r="C3343" t="s">
        <v>5043</v>
      </c>
      <c r="D3343" t="s">
        <v>8401</v>
      </c>
    </row>
    <row r="3344" spans="1:4" ht="14.45" x14ac:dyDescent="0.3">
      <c r="A3344">
        <v>6951</v>
      </c>
      <c r="B3344" t="s">
        <v>10652</v>
      </c>
      <c r="C3344" t="s">
        <v>5043</v>
      </c>
      <c r="D3344" t="s">
        <v>8401</v>
      </c>
    </row>
    <row r="3345" spans="1:4" ht="14.45" x14ac:dyDescent="0.3">
      <c r="A3345">
        <v>8045</v>
      </c>
      <c r="B3345" t="s">
        <v>10652</v>
      </c>
      <c r="C3345" t="s">
        <v>5043</v>
      </c>
      <c r="D3345" t="s">
        <v>8401</v>
      </c>
    </row>
    <row r="3346" spans="1:4" ht="14.45" x14ac:dyDescent="0.3">
      <c r="A3346">
        <v>8618</v>
      </c>
      <c r="B3346" t="s">
        <v>10652</v>
      </c>
      <c r="C3346" t="s">
        <v>5043</v>
      </c>
      <c r="D3346" t="s">
        <v>8401</v>
      </c>
    </row>
    <row r="3347" spans="1:4" ht="14.45" x14ac:dyDescent="0.3">
      <c r="A3347">
        <v>8664</v>
      </c>
      <c r="B3347" t="s">
        <v>10652</v>
      </c>
      <c r="C3347" t="s">
        <v>5043</v>
      </c>
      <c r="D3347" t="s">
        <v>8401</v>
      </c>
    </row>
    <row r="3348" spans="1:4" ht="14.45" x14ac:dyDescent="0.3">
      <c r="A3348">
        <v>8949</v>
      </c>
      <c r="B3348" t="s">
        <v>10652</v>
      </c>
      <c r="C3348" t="s">
        <v>5043</v>
      </c>
      <c r="D3348" t="s">
        <v>8401</v>
      </c>
    </row>
    <row r="3349" spans="1:4" ht="14.45" x14ac:dyDescent="0.3">
      <c r="A3349">
        <v>9062</v>
      </c>
      <c r="B3349" t="s">
        <v>10652</v>
      </c>
      <c r="C3349" t="s">
        <v>5043</v>
      </c>
      <c r="D3349" t="s">
        <v>8401</v>
      </c>
    </row>
    <row r="3350" spans="1:4" ht="14.45" x14ac:dyDescent="0.3">
      <c r="A3350">
        <v>9123</v>
      </c>
      <c r="B3350" t="s">
        <v>10652</v>
      </c>
      <c r="C3350" t="s">
        <v>5043</v>
      </c>
      <c r="D3350" t="s">
        <v>8401</v>
      </c>
    </row>
    <row r="3351" spans="1:4" ht="14.45" x14ac:dyDescent="0.3">
      <c r="A3351">
        <v>9612</v>
      </c>
      <c r="B3351" t="s">
        <v>10652</v>
      </c>
      <c r="C3351" t="s">
        <v>5043</v>
      </c>
      <c r="D3351" t="s">
        <v>8401</v>
      </c>
    </row>
    <row r="3352" spans="1:4" ht="14.45" x14ac:dyDescent="0.3">
      <c r="A3352">
        <v>10992</v>
      </c>
      <c r="B3352" t="s">
        <v>8963</v>
      </c>
      <c r="C3352" t="s">
        <v>5043</v>
      </c>
      <c r="D3352" t="s">
        <v>8401</v>
      </c>
    </row>
    <row r="3353" spans="1:4" ht="14.45" x14ac:dyDescent="0.3">
      <c r="A3353">
        <v>11477</v>
      </c>
      <c r="B3353" t="s">
        <v>8963</v>
      </c>
      <c r="C3353" t="s">
        <v>5043</v>
      </c>
      <c r="D3353" t="s">
        <v>8401</v>
      </c>
    </row>
    <row r="3354" spans="1:4" ht="14.45" x14ac:dyDescent="0.3">
      <c r="A3354">
        <v>8213</v>
      </c>
      <c r="B3354" t="s">
        <v>8963</v>
      </c>
      <c r="C3354" t="s">
        <v>5043</v>
      </c>
      <c r="D3354" t="s">
        <v>8401</v>
      </c>
    </row>
    <row r="3355" spans="1:4" ht="14.45" x14ac:dyDescent="0.3">
      <c r="A3355">
        <v>8736</v>
      </c>
      <c r="B3355" t="s">
        <v>8963</v>
      </c>
      <c r="C3355" t="s">
        <v>5043</v>
      </c>
      <c r="D3355" t="s">
        <v>8401</v>
      </c>
    </row>
    <row r="3356" spans="1:4" ht="14.45" x14ac:dyDescent="0.3">
      <c r="A3356">
        <v>11414</v>
      </c>
      <c r="B3356" t="s">
        <v>8964</v>
      </c>
      <c r="C3356" t="s">
        <v>5043</v>
      </c>
      <c r="D3356" t="s">
        <v>8401</v>
      </c>
    </row>
    <row r="3357" spans="1:4" ht="14.45" x14ac:dyDescent="0.3">
      <c r="A3357">
        <v>11536</v>
      </c>
      <c r="B3357" t="s">
        <v>8964</v>
      </c>
      <c r="C3357" t="s">
        <v>5043</v>
      </c>
      <c r="D3357" t="s">
        <v>8401</v>
      </c>
    </row>
    <row r="3358" spans="1:4" ht="14.45" x14ac:dyDescent="0.3">
      <c r="A3358">
        <v>6459</v>
      </c>
      <c r="B3358" t="s">
        <v>8964</v>
      </c>
      <c r="C3358" t="s">
        <v>5043</v>
      </c>
      <c r="D3358" t="s">
        <v>8401</v>
      </c>
    </row>
    <row r="3359" spans="1:4" ht="14.45" x14ac:dyDescent="0.3">
      <c r="A3359">
        <v>7100</v>
      </c>
      <c r="B3359" t="s">
        <v>8964</v>
      </c>
      <c r="C3359" t="s">
        <v>5043</v>
      </c>
      <c r="D3359" t="s">
        <v>8401</v>
      </c>
    </row>
    <row r="3360" spans="1:4" ht="14.45" x14ac:dyDescent="0.3">
      <c r="A3360">
        <v>10245</v>
      </c>
      <c r="B3360" t="s">
        <v>8965</v>
      </c>
      <c r="C3360" t="s">
        <v>5043</v>
      </c>
      <c r="D3360" t="s">
        <v>8401</v>
      </c>
    </row>
    <row r="3361" spans="1:4" ht="14.45" x14ac:dyDescent="0.3">
      <c r="A3361">
        <v>11405</v>
      </c>
      <c r="B3361" t="s">
        <v>8965</v>
      </c>
      <c r="C3361" t="s">
        <v>5043</v>
      </c>
      <c r="D3361" t="s">
        <v>8401</v>
      </c>
    </row>
    <row r="3362" spans="1:4" ht="14.45" x14ac:dyDescent="0.3">
      <c r="A3362">
        <v>11607</v>
      </c>
      <c r="B3362" t="s">
        <v>8965</v>
      </c>
      <c r="C3362" t="s">
        <v>5043</v>
      </c>
      <c r="D3362" t="s">
        <v>8401</v>
      </c>
    </row>
    <row r="3363" spans="1:4" ht="14.45" x14ac:dyDescent="0.3">
      <c r="A3363">
        <v>8932</v>
      </c>
      <c r="B3363" t="s">
        <v>8965</v>
      </c>
      <c r="C3363" t="s">
        <v>5043</v>
      </c>
      <c r="D3363" t="s">
        <v>8401</v>
      </c>
    </row>
    <row r="3364" spans="1:4" ht="14.45" x14ac:dyDescent="0.3">
      <c r="A3364">
        <v>9239</v>
      </c>
      <c r="B3364" t="s">
        <v>8965</v>
      </c>
      <c r="C3364" t="s">
        <v>5043</v>
      </c>
      <c r="D3364" t="s">
        <v>8401</v>
      </c>
    </row>
    <row r="3365" spans="1:4" ht="14.45" x14ac:dyDescent="0.3">
      <c r="A3365">
        <v>12397</v>
      </c>
      <c r="B3365" t="s">
        <v>11571</v>
      </c>
      <c r="C3365" t="s">
        <v>5043</v>
      </c>
      <c r="D3365" t="s">
        <v>8401</v>
      </c>
    </row>
    <row r="3366" spans="1:4" ht="14.45" x14ac:dyDescent="0.3">
      <c r="A3366">
        <v>12404</v>
      </c>
      <c r="B3366" t="s">
        <v>11572</v>
      </c>
      <c r="C3366" t="s">
        <v>5043</v>
      </c>
      <c r="D3366" t="s">
        <v>8401</v>
      </c>
    </row>
    <row r="3367" spans="1:4" ht="14.45" x14ac:dyDescent="0.3">
      <c r="A3367">
        <v>12665</v>
      </c>
      <c r="B3367" t="s">
        <v>11572</v>
      </c>
      <c r="C3367" t="s">
        <v>5043</v>
      </c>
      <c r="D3367" t="s">
        <v>8401</v>
      </c>
    </row>
    <row r="3368" spans="1:4" ht="14.45" x14ac:dyDescent="0.3">
      <c r="A3368">
        <v>7368</v>
      </c>
      <c r="B3368" t="s">
        <v>10653</v>
      </c>
      <c r="C3368" t="s">
        <v>5043</v>
      </c>
      <c r="D3368" t="s">
        <v>8401</v>
      </c>
    </row>
    <row r="3369" spans="1:4" ht="14.45" x14ac:dyDescent="0.3">
      <c r="A3369">
        <v>10875</v>
      </c>
      <c r="B3369" t="s">
        <v>8966</v>
      </c>
      <c r="C3369" t="s">
        <v>5043</v>
      </c>
      <c r="D3369" t="s">
        <v>8401</v>
      </c>
    </row>
    <row r="3370" spans="1:4" ht="14.45" x14ac:dyDescent="0.3">
      <c r="A3370">
        <v>8189</v>
      </c>
      <c r="B3370" t="s">
        <v>8966</v>
      </c>
      <c r="C3370" t="s">
        <v>5043</v>
      </c>
      <c r="D3370" t="s">
        <v>8401</v>
      </c>
    </row>
    <row r="3371" spans="1:4" ht="14.45" x14ac:dyDescent="0.3">
      <c r="A3371">
        <v>10501</v>
      </c>
      <c r="B3371" t="s">
        <v>8967</v>
      </c>
      <c r="C3371" t="s">
        <v>5043</v>
      </c>
      <c r="D3371" t="s">
        <v>8401</v>
      </c>
    </row>
    <row r="3372" spans="1:4" ht="14.45" x14ac:dyDescent="0.3">
      <c r="A3372">
        <v>11427</v>
      </c>
      <c r="B3372" t="s">
        <v>8968</v>
      </c>
      <c r="C3372" t="s">
        <v>5043</v>
      </c>
      <c r="D3372" t="s">
        <v>8401</v>
      </c>
    </row>
    <row r="3373" spans="1:4" ht="14.45" x14ac:dyDescent="0.3">
      <c r="A3373">
        <v>7219</v>
      </c>
      <c r="B3373" t="s">
        <v>8968</v>
      </c>
      <c r="C3373" t="s">
        <v>5043</v>
      </c>
      <c r="D3373" t="s">
        <v>8401</v>
      </c>
    </row>
    <row r="3374" spans="1:4" ht="14.45" x14ac:dyDescent="0.3">
      <c r="A3374">
        <v>8315</v>
      </c>
      <c r="B3374" t="s">
        <v>8968</v>
      </c>
      <c r="C3374" t="s">
        <v>5043</v>
      </c>
      <c r="D3374" t="s">
        <v>8401</v>
      </c>
    </row>
    <row r="3375" spans="1:4" ht="14.45" x14ac:dyDescent="0.3">
      <c r="A3375">
        <v>9680</v>
      </c>
      <c r="B3375" t="s">
        <v>8968</v>
      </c>
      <c r="C3375" t="s">
        <v>5043</v>
      </c>
      <c r="D3375" t="s">
        <v>8401</v>
      </c>
    </row>
    <row r="3376" spans="1:4" ht="14.45" x14ac:dyDescent="0.3">
      <c r="A3376">
        <v>9751</v>
      </c>
      <c r="B3376" t="s">
        <v>8969</v>
      </c>
      <c r="C3376" t="s">
        <v>5043</v>
      </c>
      <c r="D3376" t="s">
        <v>8401</v>
      </c>
    </row>
    <row r="3377" spans="1:4" ht="14.45" x14ac:dyDescent="0.3">
      <c r="A3377">
        <v>9597</v>
      </c>
      <c r="B3377" t="s">
        <v>8970</v>
      </c>
      <c r="C3377" t="s">
        <v>5043</v>
      </c>
      <c r="D3377" t="s">
        <v>8401</v>
      </c>
    </row>
    <row r="3378" spans="1:4" ht="14.45" x14ac:dyDescent="0.3">
      <c r="A3378">
        <v>10137</v>
      </c>
      <c r="B3378" t="s">
        <v>10654</v>
      </c>
      <c r="C3378" t="s">
        <v>5043</v>
      </c>
      <c r="D3378" t="s">
        <v>8401</v>
      </c>
    </row>
    <row r="3379" spans="1:4" ht="14.45" x14ac:dyDescent="0.3">
      <c r="A3379">
        <v>11627</v>
      </c>
      <c r="B3379" t="s">
        <v>10655</v>
      </c>
      <c r="C3379" t="s">
        <v>5043</v>
      </c>
      <c r="D3379" t="s">
        <v>8401</v>
      </c>
    </row>
    <row r="3380" spans="1:4" ht="14.45" x14ac:dyDescent="0.3">
      <c r="A3380">
        <v>7975</v>
      </c>
      <c r="B3380" t="s">
        <v>10655</v>
      </c>
      <c r="C3380" t="s">
        <v>5043</v>
      </c>
      <c r="D3380" t="s">
        <v>8401</v>
      </c>
    </row>
    <row r="3381" spans="1:4" ht="14.45" x14ac:dyDescent="0.3">
      <c r="A3381">
        <v>9975</v>
      </c>
      <c r="B3381" t="s">
        <v>10655</v>
      </c>
      <c r="C3381" t="s">
        <v>5043</v>
      </c>
      <c r="D3381" t="s">
        <v>8401</v>
      </c>
    </row>
    <row r="3382" spans="1:4" ht="14.45" x14ac:dyDescent="0.3">
      <c r="A3382">
        <v>11953</v>
      </c>
      <c r="B3382" t="s">
        <v>10656</v>
      </c>
      <c r="C3382" t="s">
        <v>5043</v>
      </c>
      <c r="D3382" t="s">
        <v>8401</v>
      </c>
    </row>
    <row r="3383" spans="1:4" ht="14.45" x14ac:dyDescent="0.3">
      <c r="A3383">
        <v>11956</v>
      </c>
      <c r="B3383" t="s">
        <v>10656</v>
      </c>
      <c r="C3383" t="s">
        <v>5043</v>
      </c>
      <c r="D3383" t="s">
        <v>8401</v>
      </c>
    </row>
    <row r="3384" spans="1:4" ht="14.45" x14ac:dyDescent="0.3">
      <c r="A3384">
        <v>11760</v>
      </c>
      <c r="B3384" t="s">
        <v>10657</v>
      </c>
      <c r="C3384" t="s">
        <v>5043</v>
      </c>
      <c r="D3384" t="s">
        <v>8401</v>
      </c>
    </row>
    <row r="3385" spans="1:4" ht="14.45" x14ac:dyDescent="0.3">
      <c r="A3385">
        <v>10898</v>
      </c>
      <c r="B3385" t="s">
        <v>8971</v>
      </c>
      <c r="C3385" t="s">
        <v>5043</v>
      </c>
      <c r="D3385" t="s">
        <v>8401</v>
      </c>
    </row>
    <row r="3386" spans="1:4" ht="14.45" x14ac:dyDescent="0.3">
      <c r="A3386">
        <v>10519</v>
      </c>
      <c r="B3386" t="s">
        <v>8972</v>
      </c>
      <c r="C3386" t="s">
        <v>5043</v>
      </c>
      <c r="D3386" t="s">
        <v>8401</v>
      </c>
    </row>
    <row r="3387" spans="1:4" ht="14.45" x14ac:dyDescent="0.3">
      <c r="A3387">
        <v>10836</v>
      </c>
      <c r="B3387" t="s">
        <v>8973</v>
      </c>
      <c r="C3387" t="s">
        <v>5043</v>
      </c>
      <c r="D3387" t="s">
        <v>8401</v>
      </c>
    </row>
    <row r="3388" spans="1:4" ht="14.45" x14ac:dyDescent="0.3">
      <c r="A3388">
        <v>8723</v>
      </c>
      <c r="B3388" t="s">
        <v>8973</v>
      </c>
      <c r="C3388" t="s">
        <v>5043</v>
      </c>
      <c r="D3388" t="s">
        <v>8401</v>
      </c>
    </row>
    <row r="3389" spans="1:4" ht="14.45" x14ac:dyDescent="0.3">
      <c r="A3389">
        <v>10039</v>
      </c>
      <c r="B3389" t="s">
        <v>10658</v>
      </c>
      <c r="C3389" t="s">
        <v>5043</v>
      </c>
      <c r="D3389" t="s">
        <v>8401</v>
      </c>
    </row>
    <row r="3390" spans="1:4" ht="14.45" x14ac:dyDescent="0.3">
      <c r="A3390">
        <v>10438</v>
      </c>
      <c r="B3390" t="s">
        <v>8974</v>
      </c>
      <c r="C3390" t="s">
        <v>5043</v>
      </c>
      <c r="D3390" t="s">
        <v>8401</v>
      </c>
    </row>
    <row r="3391" spans="1:4" ht="14.45" x14ac:dyDescent="0.3">
      <c r="A3391">
        <v>8070</v>
      </c>
      <c r="B3391" t="s">
        <v>8974</v>
      </c>
      <c r="C3391" t="s">
        <v>5043</v>
      </c>
      <c r="D3391" t="s">
        <v>8401</v>
      </c>
    </row>
    <row r="3392" spans="1:4" ht="14.45" x14ac:dyDescent="0.3">
      <c r="A3392">
        <v>8104</v>
      </c>
      <c r="B3392" t="s">
        <v>8975</v>
      </c>
      <c r="C3392" t="s">
        <v>5043</v>
      </c>
      <c r="D3392" t="s">
        <v>8401</v>
      </c>
    </row>
    <row r="3393" spans="1:4" ht="14.45" x14ac:dyDescent="0.3">
      <c r="A3393">
        <v>11339</v>
      </c>
      <c r="B3393" t="s">
        <v>10659</v>
      </c>
      <c r="C3393" t="s">
        <v>5043</v>
      </c>
      <c r="D3393" t="s">
        <v>8401</v>
      </c>
    </row>
    <row r="3394" spans="1:4" ht="14.45" x14ac:dyDescent="0.3">
      <c r="A3394">
        <v>11604</v>
      </c>
      <c r="B3394" t="s">
        <v>10659</v>
      </c>
      <c r="C3394" t="s">
        <v>5043</v>
      </c>
      <c r="D3394" t="s">
        <v>8401</v>
      </c>
    </row>
    <row r="3395" spans="1:4" ht="14.45" x14ac:dyDescent="0.3">
      <c r="A3395">
        <v>9803</v>
      </c>
      <c r="B3395" t="s">
        <v>10659</v>
      </c>
      <c r="C3395" t="s">
        <v>5043</v>
      </c>
      <c r="D3395" t="s">
        <v>8401</v>
      </c>
    </row>
    <row r="3396" spans="1:4" ht="14.45" x14ac:dyDescent="0.3">
      <c r="A3396">
        <v>9660</v>
      </c>
      <c r="B3396" t="s">
        <v>10660</v>
      </c>
      <c r="C3396" t="s">
        <v>5043</v>
      </c>
      <c r="D3396" t="s">
        <v>8401</v>
      </c>
    </row>
    <row r="3397" spans="1:4" ht="14.45" x14ac:dyDescent="0.3">
      <c r="A3397">
        <v>8112</v>
      </c>
      <c r="B3397" t="s">
        <v>8976</v>
      </c>
      <c r="C3397" t="s">
        <v>5043</v>
      </c>
      <c r="D3397" t="s">
        <v>8401</v>
      </c>
    </row>
    <row r="3398" spans="1:4" ht="14.45" x14ac:dyDescent="0.3">
      <c r="A3398">
        <v>8121</v>
      </c>
      <c r="B3398" t="s">
        <v>8977</v>
      </c>
      <c r="C3398" t="s">
        <v>5043</v>
      </c>
      <c r="D3398" t="s">
        <v>8401</v>
      </c>
    </row>
    <row r="3399" spans="1:4" ht="14.45" x14ac:dyDescent="0.3">
      <c r="A3399">
        <v>8225</v>
      </c>
      <c r="B3399" t="s">
        <v>8977</v>
      </c>
      <c r="C3399" t="s">
        <v>5043</v>
      </c>
      <c r="D3399" t="s">
        <v>8401</v>
      </c>
    </row>
    <row r="3400" spans="1:4" ht="14.45" x14ac:dyDescent="0.3">
      <c r="A3400">
        <v>9840</v>
      </c>
      <c r="B3400" t="s">
        <v>8977</v>
      </c>
      <c r="C3400" t="s">
        <v>5043</v>
      </c>
      <c r="D3400" t="s">
        <v>8401</v>
      </c>
    </row>
    <row r="3401" spans="1:4" ht="14.45" x14ac:dyDescent="0.3">
      <c r="A3401">
        <v>6470</v>
      </c>
      <c r="B3401" t="s">
        <v>8978</v>
      </c>
      <c r="C3401" t="s">
        <v>5043</v>
      </c>
      <c r="D3401" t="s">
        <v>8401</v>
      </c>
    </row>
    <row r="3402" spans="1:4" ht="14.45" x14ac:dyDescent="0.3">
      <c r="A3402">
        <v>8485</v>
      </c>
      <c r="B3402" t="s">
        <v>8979</v>
      </c>
      <c r="C3402" t="s">
        <v>5043</v>
      </c>
      <c r="D3402" t="s">
        <v>8401</v>
      </c>
    </row>
    <row r="3403" spans="1:4" ht="14.45" x14ac:dyDescent="0.3">
      <c r="A3403">
        <v>8966</v>
      </c>
      <c r="B3403" t="s">
        <v>8979</v>
      </c>
      <c r="C3403" t="s">
        <v>5043</v>
      </c>
      <c r="D3403" t="s">
        <v>8401</v>
      </c>
    </row>
    <row r="3404" spans="1:4" ht="14.45" x14ac:dyDescent="0.3">
      <c r="A3404">
        <v>9018</v>
      </c>
      <c r="B3404" t="s">
        <v>8979</v>
      </c>
      <c r="C3404" t="s">
        <v>5043</v>
      </c>
      <c r="D3404" t="s">
        <v>8401</v>
      </c>
    </row>
    <row r="3405" spans="1:4" ht="14.45" x14ac:dyDescent="0.3">
      <c r="A3405">
        <v>11548</v>
      </c>
      <c r="B3405" t="s">
        <v>8980</v>
      </c>
      <c r="C3405" t="s">
        <v>5043</v>
      </c>
      <c r="D3405" t="s">
        <v>8401</v>
      </c>
    </row>
    <row r="3406" spans="1:4" ht="14.45" x14ac:dyDescent="0.3">
      <c r="A3406">
        <v>8376</v>
      </c>
      <c r="B3406" t="s">
        <v>8980</v>
      </c>
      <c r="C3406" t="s">
        <v>5043</v>
      </c>
      <c r="D3406" t="s">
        <v>8401</v>
      </c>
    </row>
    <row r="3407" spans="1:4" ht="14.45" x14ac:dyDescent="0.3">
      <c r="A3407">
        <v>7862</v>
      </c>
      <c r="B3407" t="s">
        <v>10661</v>
      </c>
      <c r="C3407" t="s">
        <v>5043</v>
      </c>
      <c r="D3407" t="s">
        <v>8401</v>
      </c>
    </row>
    <row r="3408" spans="1:4" ht="14.45" x14ac:dyDescent="0.3">
      <c r="A3408">
        <v>9065</v>
      </c>
      <c r="B3408" t="s">
        <v>10661</v>
      </c>
      <c r="C3408" t="s">
        <v>5043</v>
      </c>
      <c r="D3408" t="s">
        <v>8401</v>
      </c>
    </row>
    <row r="3409" spans="1:4" ht="14.45" x14ac:dyDescent="0.3">
      <c r="A3409">
        <v>9681</v>
      </c>
      <c r="B3409" t="s">
        <v>10661</v>
      </c>
      <c r="C3409" t="s">
        <v>5043</v>
      </c>
      <c r="D3409" t="s">
        <v>8401</v>
      </c>
    </row>
    <row r="3410" spans="1:4" ht="14.45" x14ac:dyDescent="0.3">
      <c r="A3410">
        <v>10236</v>
      </c>
      <c r="B3410" t="s">
        <v>8981</v>
      </c>
      <c r="C3410" t="s">
        <v>5043</v>
      </c>
      <c r="D3410" t="s">
        <v>8401</v>
      </c>
    </row>
    <row r="3411" spans="1:4" ht="14.45" x14ac:dyDescent="0.3">
      <c r="A3411">
        <v>8508</v>
      </c>
      <c r="B3411" t="s">
        <v>8981</v>
      </c>
      <c r="C3411" t="s">
        <v>5043</v>
      </c>
      <c r="D3411" t="s">
        <v>8401</v>
      </c>
    </row>
    <row r="3412" spans="1:4" ht="14.45" x14ac:dyDescent="0.3">
      <c r="A3412">
        <v>11265</v>
      </c>
      <c r="B3412" t="s">
        <v>8982</v>
      </c>
      <c r="C3412" t="s">
        <v>5043</v>
      </c>
      <c r="D3412" t="s">
        <v>8401</v>
      </c>
    </row>
    <row r="3413" spans="1:4" ht="14.45" x14ac:dyDescent="0.3">
      <c r="A3413">
        <v>6758</v>
      </c>
      <c r="B3413" t="s">
        <v>8982</v>
      </c>
      <c r="C3413" t="s">
        <v>5043</v>
      </c>
      <c r="D3413" t="s">
        <v>8401</v>
      </c>
    </row>
    <row r="3414" spans="1:4" ht="14.45" x14ac:dyDescent="0.3">
      <c r="A3414">
        <v>8369</v>
      </c>
      <c r="B3414" t="s">
        <v>8982</v>
      </c>
      <c r="C3414" t="s">
        <v>5043</v>
      </c>
      <c r="D3414" t="s">
        <v>8401</v>
      </c>
    </row>
    <row r="3415" spans="1:4" ht="14.45" x14ac:dyDescent="0.3">
      <c r="A3415">
        <v>9931</v>
      </c>
      <c r="B3415" t="s">
        <v>8982</v>
      </c>
      <c r="C3415" t="s">
        <v>5043</v>
      </c>
      <c r="D3415" t="s">
        <v>8401</v>
      </c>
    </row>
    <row r="3416" spans="1:4" ht="14.45" x14ac:dyDescent="0.3">
      <c r="A3416">
        <v>11012</v>
      </c>
      <c r="B3416" t="s">
        <v>8983</v>
      </c>
      <c r="C3416" t="s">
        <v>5043</v>
      </c>
      <c r="D3416" t="s">
        <v>8401</v>
      </c>
    </row>
    <row r="3417" spans="1:4" ht="14.45" x14ac:dyDescent="0.3">
      <c r="A3417">
        <v>11524</v>
      </c>
      <c r="B3417" t="s">
        <v>8983</v>
      </c>
      <c r="C3417" t="s">
        <v>5043</v>
      </c>
      <c r="D3417" t="s">
        <v>8401</v>
      </c>
    </row>
    <row r="3418" spans="1:4" ht="14.45" x14ac:dyDescent="0.3">
      <c r="A3418">
        <v>7403</v>
      </c>
      <c r="B3418" t="s">
        <v>8983</v>
      </c>
      <c r="C3418" t="s">
        <v>5043</v>
      </c>
      <c r="D3418" t="s">
        <v>8401</v>
      </c>
    </row>
    <row r="3419" spans="1:4" ht="14.45" x14ac:dyDescent="0.3">
      <c r="A3419">
        <v>7780</v>
      </c>
      <c r="B3419" t="s">
        <v>8983</v>
      </c>
      <c r="C3419" t="s">
        <v>5043</v>
      </c>
      <c r="D3419" t="s">
        <v>8401</v>
      </c>
    </row>
    <row r="3420" spans="1:4" ht="14.45" x14ac:dyDescent="0.3">
      <c r="A3420">
        <v>8428</v>
      </c>
      <c r="B3420" t="s">
        <v>8983</v>
      </c>
      <c r="C3420" t="s">
        <v>5043</v>
      </c>
      <c r="D3420" t="s">
        <v>8401</v>
      </c>
    </row>
    <row r="3421" spans="1:4" ht="14.45" x14ac:dyDescent="0.3">
      <c r="A3421">
        <v>7989</v>
      </c>
      <c r="B3421" t="s">
        <v>10662</v>
      </c>
      <c r="C3421" t="s">
        <v>5043</v>
      </c>
      <c r="D3421" t="s">
        <v>8401</v>
      </c>
    </row>
    <row r="3422" spans="1:4" ht="14.45" x14ac:dyDescent="0.3">
      <c r="A3422">
        <v>8588</v>
      </c>
      <c r="B3422" t="s">
        <v>10662</v>
      </c>
      <c r="C3422" t="s">
        <v>5043</v>
      </c>
      <c r="D3422" t="s">
        <v>8401</v>
      </c>
    </row>
    <row r="3423" spans="1:4" ht="14.45" x14ac:dyDescent="0.3">
      <c r="A3423">
        <v>10271</v>
      </c>
      <c r="B3423" t="s">
        <v>8984</v>
      </c>
      <c r="C3423" t="s">
        <v>5043</v>
      </c>
      <c r="D3423" t="s">
        <v>8401</v>
      </c>
    </row>
    <row r="3424" spans="1:4" ht="14.45" x14ac:dyDescent="0.3">
      <c r="A3424">
        <v>10882</v>
      </c>
      <c r="B3424" t="s">
        <v>8984</v>
      </c>
      <c r="C3424" t="s">
        <v>5043</v>
      </c>
      <c r="D3424" t="s">
        <v>8401</v>
      </c>
    </row>
    <row r="3425" spans="1:4" ht="14.45" x14ac:dyDescent="0.3">
      <c r="A3425">
        <v>11259</v>
      </c>
      <c r="B3425" t="s">
        <v>8984</v>
      </c>
      <c r="C3425" t="s">
        <v>5043</v>
      </c>
      <c r="D3425" t="s">
        <v>8401</v>
      </c>
    </row>
    <row r="3426" spans="1:4" ht="14.45" x14ac:dyDescent="0.3">
      <c r="A3426">
        <v>7519</v>
      </c>
      <c r="B3426" t="s">
        <v>8984</v>
      </c>
      <c r="C3426" t="s">
        <v>5043</v>
      </c>
      <c r="D3426" t="s">
        <v>8401</v>
      </c>
    </row>
    <row r="3427" spans="1:4" ht="14.45" x14ac:dyDescent="0.3">
      <c r="A3427">
        <v>7609</v>
      </c>
      <c r="B3427" t="s">
        <v>8984</v>
      </c>
      <c r="C3427" t="s">
        <v>5043</v>
      </c>
      <c r="D3427" t="s">
        <v>8401</v>
      </c>
    </row>
    <row r="3428" spans="1:4" ht="14.45" x14ac:dyDescent="0.3">
      <c r="A3428">
        <v>10965</v>
      </c>
      <c r="B3428" t="s">
        <v>10663</v>
      </c>
      <c r="C3428" t="s">
        <v>5043</v>
      </c>
      <c r="D3428" t="s">
        <v>8401</v>
      </c>
    </row>
    <row r="3429" spans="1:4" ht="14.45" x14ac:dyDescent="0.3">
      <c r="A3429">
        <v>9949</v>
      </c>
      <c r="B3429" t="s">
        <v>10663</v>
      </c>
      <c r="C3429" t="s">
        <v>5043</v>
      </c>
      <c r="D3429" t="s">
        <v>8401</v>
      </c>
    </row>
    <row r="3430" spans="1:4" ht="14.45" x14ac:dyDescent="0.3">
      <c r="A3430">
        <v>10469</v>
      </c>
      <c r="B3430" t="s">
        <v>10664</v>
      </c>
      <c r="C3430" t="s">
        <v>5043</v>
      </c>
      <c r="D3430" t="s">
        <v>8401</v>
      </c>
    </row>
    <row r="3431" spans="1:4" ht="14.45" x14ac:dyDescent="0.3">
      <c r="A3431">
        <v>7232</v>
      </c>
      <c r="B3431" t="s">
        <v>10664</v>
      </c>
      <c r="C3431" t="s">
        <v>5043</v>
      </c>
      <c r="D3431" t="s">
        <v>8401</v>
      </c>
    </row>
    <row r="3432" spans="1:4" ht="14.45" x14ac:dyDescent="0.3">
      <c r="A3432">
        <v>10131</v>
      </c>
      <c r="B3432" t="s">
        <v>8985</v>
      </c>
      <c r="C3432" t="s">
        <v>5043</v>
      </c>
      <c r="D3432" t="s">
        <v>8401</v>
      </c>
    </row>
    <row r="3433" spans="1:4" ht="14.45" x14ac:dyDescent="0.3">
      <c r="A3433">
        <v>10629</v>
      </c>
      <c r="B3433" t="s">
        <v>8985</v>
      </c>
      <c r="C3433" t="s">
        <v>5043</v>
      </c>
      <c r="D3433" t="s">
        <v>8401</v>
      </c>
    </row>
    <row r="3434" spans="1:4" ht="14.45" x14ac:dyDescent="0.3">
      <c r="A3434">
        <v>10100</v>
      </c>
      <c r="B3434" t="s">
        <v>8986</v>
      </c>
      <c r="C3434" t="s">
        <v>5043</v>
      </c>
      <c r="D3434" t="s">
        <v>8401</v>
      </c>
    </row>
    <row r="3435" spans="1:4" ht="14.45" x14ac:dyDescent="0.3">
      <c r="A3435">
        <v>10516</v>
      </c>
      <c r="B3435" t="s">
        <v>8986</v>
      </c>
      <c r="C3435" t="s">
        <v>5043</v>
      </c>
      <c r="D3435" t="s">
        <v>8401</v>
      </c>
    </row>
    <row r="3436" spans="1:4" ht="14.45" x14ac:dyDescent="0.3">
      <c r="A3436">
        <v>7258</v>
      </c>
      <c r="B3436" t="s">
        <v>8986</v>
      </c>
      <c r="C3436" t="s">
        <v>5043</v>
      </c>
      <c r="D3436" t="s">
        <v>8401</v>
      </c>
    </row>
    <row r="3437" spans="1:4" ht="14.45" x14ac:dyDescent="0.3">
      <c r="A3437">
        <v>8374</v>
      </c>
      <c r="B3437" t="s">
        <v>8986</v>
      </c>
      <c r="C3437" t="s">
        <v>5043</v>
      </c>
      <c r="D3437" t="s">
        <v>8401</v>
      </c>
    </row>
    <row r="3438" spans="1:4" ht="14.45" x14ac:dyDescent="0.3">
      <c r="A3438">
        <v>11243</v>
      </c>
      <c r="B3438" t="s">
        <v>10665</v>
      </c>
      <c r="C3438" t="s">
        <v>5043</v>
      </c>
      <c r="D3438" t="s">
        <v>8401</v>
      </c>
    </row>
    <row r="3439" spans="1:4" ht="14.45" x14ac:dyDescent="0.3">
      <c r="A3439">
        <v>11279</v>
      </c>
      <c r="B3439" t="s">
        <v>10665</v>
      </c>
      <c r="C3439" t="s">
        <v>5043</v>
      </c>
      <c r="D3439" t="s">
        <v>8401</v>
      </c>
    </row>
    <row r="3440" spans="1:4" ht="14.45" x14ac:dyDescent="0.3">
      <c r="A3440">
        <v>11394</v>
      </c>
      <c r="B3440" t="s">
        <v>10665</v>
      </c>
      <c r="C3440" t="s">
        <v>5043</v>
      </c>
      <c r="D3440" t="s">
        <v>8401</v>
      </c>
    </row>
    <row r="3441" spans="1:4" ht="14.45" x14ac:dyDescent="0.3">
      <c r="A3441">
        <v>6981</v>
      </c>
      <c r="B3441" t="s">
        <v>10665</v>
      </c>
      <c r="C3441" t="s">
        <v>5043</v>
      </c>
      <c r="D3441" t="s">
        <v>8401</v>
      </c>
    </row>
    <row r="3442" spans="1:4" ht="14.45" x14ac:dyDescent="0.3">
      <c r="A3442">
        <v>8098</v>
      </c>
      <c r="B3442" t="s">
        <v>10665</v>
      </c>
      <c r="C3442" t="s">
        <v>5043</v>
      </c>
      <c r="D3442" t="s">
        <v>8401</v>
      </c>
    </row>
    <row r="3443" spans="1:4" ht="14.45" x14ac:dyDescent="0.3">
      <c r="A3443">
        <v>8630</v>
      </c>
      <c r="B3443" t="s">
        <v>10665</v>
      </c>
      <c r="C3443" t="s">
        <v>5043</v>
      </c>
      <c r="D3443" t="s">
        <v>8401</v>
      </c>
    </row>
    <row r="3444" spans="1:4" ht="14.45" x14ac:dyDescent="0.3">
      <c r="A3444">
        <v>8917</v>
      </c>
      <c r="B3444" t="s">
        <v>10665</v>
      </c>
      <c r="C3444" t="s">
        <v>5043</v>
      </c>
      <c r="D3444" t="s">
        <v>8401</v>
      </c>
    </row>
    <row r="3445" spans="1:4" ht="14.45" x14ac:dyDescent="0.3">
      <c r="A3445">
        <v>9295</v>
      </c>
      <c r="B3445" t="s">
        <v>10665</v>
      </c>
      <c r="C3445" t="s">
        <v>5043</v>
      </c>
      <c r="D3445" t="s">
        <v>8401</v>
      </c>
    </row>
    <row r="3446" spans="1:4" ht="14.45" x14ac:dyDescent="0.3">
      <c r="A3446">
        <v>7428</v>
      </c>
      <c r="B3446" t="s">
        <v>8987</v>
      </c>
      <c r="C3446" t="s">
        <v>5043</v>
      </c>
      <c r="D3446" t="s">
        <v>8401</v>
      </c>
    </row>
    <row r="3447" spans="1:4" ht="14.45" x14ac:dyDescent="0.3">
      <c r="A3447">
        <v>7982</v>
      </c>
      <c r="B3447" t="s">
        <v>8987</v>
      </c>
      <c r="C3447" t="s">
        <v>5043</v>
      </c>
      <c r="D3447" t="s">
        <v>8401</v>
      </c>
    </row>
    <row r="3448" spans="1:4" ht="14.45" x14ac:dyDescent="0.3">
      <c r="A3448">
        <v>8828</v>
      </c>
      <c r="B3448" t="s">
        <v>8987</v>
      </c>
      <c r="C3448" t="s">
        <v>5043</v>
      </c>
      <c r="D3448" t="s">
        <v>8401</v>
      </c>
    </row>
    <row r="3449" spans="1:4" ht="14.45" x14ac:dyDescent="0.3">
      <c r="A3449">
        <v>9274</v>
      </c>
      <c r="B3449" t="s">
        <v>8987</v>
      </c>
      <c r="C3449" t="s">
        <v>5043</v>
      </c>
      <c r="D3449" t="s">
        <v>8401</v>
      </c>
    </row>
    <row r="3450" spans="1:4" ht="14.45" x14ac:dyDescent="0.3">
      <c r="A3450">
        <v>9686</v>
      </c>
      <c r="B3450" t="s">
        <v>8987</v>
      </c>
      <c r="C3450" t="s">
        <v>5043</v>
      </c>
      <c r="D3450" t="s">
        <v>8401</v>
      </c>
    </row>
    <row r="3451" spans="1:4" ht="14.45" x14ac:dyDescent="0.3">
      <c r="A3451">
        <v>10146</v>
      </c>
      <c r="B3451" t="s">
        <v>8988</v>
      </c>
      <c r="C3451" t="s">
        <v>5043</v>
      </c>
      <c r="D3451" t="s">
        <v>8401</v>
      </c>
    </row>
    <row r="3452" spans="1:4" ht="14.45" x14ac:dyDescent="0.3">
      <c r="A3452">
        <v>10432</v>
      </c>
      <c r="B3452" t="s">
        <v>8988</v>
      </c>
      <c r="C3452" t="s">
        <v>5043</v>
      </c>
      <c r="D3452" t="s">
        <v>8401</v>
      </c>
    </row>
    <row r="3453" spans="1:4" ht="14.45" x14ac:dyDescent="0.3">
      <c r="A3453">
        <v>10961</v>
      </c>
      <c r="B3453" t="s">
        <v>8989</v>
      </c>
      <c r="C3453" t="s">
        <v>5043</v>
      </c>
      <c r="D3453" t="s">
        <v>8401</v>
      </c>
    </row>
    <row r="3454" spans="1:4" ht="14.45" x14ac:dyDescent="0.3">
      <c r="A3454">
        <v>6411</v>
      </c>
      <c r="B3454" t="s">
        <v>8989</v>
      </c>
      <c r="C3454" t="s">
        <v>5043</v>
      </c>
      <c r="D3454" t="s">
        <v>8401</v>
      </c>
    </row>
    <row r="3455" spans="1:4" ht="14.45" x14ac:dyDescent="0.3">
      <c r="A3455">
        <v>6526</v>
      </c>
      <c r="B3455" t="s">
        <v>8989</v>
      </c>
      <c r="C3455" t="s">
        <v>5043</v>
      </c>
      <c r="D3455" t="s">
        <v>8401</v>
      </c>
    </row>
    <row r="3456" spans="1:4" ht="14.45" x14ac:dyDescent="0.3">
      <c r="A3456">
        <v>6543</v>
      </c>
      <c r="B3456" t="s">
        <v>8989</v>
      </c>
      <c r="C3456" t="s">
        <v>5043</v>
      </c>
      <c r="D3456" t="s">
        <v>8401</v>
      </c>
    </row>
    <row r="3457" spans="1:4" ht="14.45" x14ac:dyDescent="0.3">
      <c r="A3457">
        <v>6952</v>
      </c>
      <c r="B3457" t="s">
        <v>8989</v>
      </c>
      <c r="C3457" t="s">
        <v>5043</v>
      </c>
      <c r="D3457" t="s">
        <v>8401</v>
      </c>
    </row>
    <row r="3458" spans="1:4" ht="14.45" x14ac:dyDescent="0.3">
      <c r="A3458">
        <v>6999</v>
      </c>
      <c r="B3458" t="s">
        <v>8989</v>
      </c>
      <c r="C3458" t="s">
        <v>5043</v>
      </c>
      <c r="D3458" t="s">
        <v>8401</v>
      </c>
    </row>
    <row r="3459" spans="1:4" ht="14.45" x14ac:dyDescent="0.3">
      <c r="A3459">
        <v>7275</v>
      </c>
      <c r="B3459" t="s">
        <v>8989</v>
      </c>
      <c r="C3459" t="s">
        <v>5043</v>
      </c>
      <c r="D3459" t="s">
        <v>8401</v>
      </c>
    </row>
    <row r="3460" spans="1:4" ht="14.45" x14ac:dyDescent="0.3">
      <c r="A3460">
        <v>7357</v>
      </c>
      <c r="B3460" t="s">
        <v>8989</v>
      </c>
      <c r="C3460" t="s">
        <v>5043</v>
      </c>
      <c r="D3460" t="s">
        <v>8401</v>
      </c>
    </row>
    <row r="3461" spans="1:4" ht="14.45" x14ac:dyDescent="0.3">
      <c r="A3461">
        <v>7810</v>
      </c>
      <c r="B3461" t="s">
        <v>8989</v>
      </c>
      <c r="C3461" t="s">
        <v>5043</v>
      </c>
      <c r="D3461" t="s">
        <v>8401</v>
      </c>
    </row>
    <row r="3462" spans="1:4" ht="14.45" x14ac:dyDescent="0.3">
      <c r="A3462">
        <v>7865</v>
      </c>
      <c r="B3462" t="s">
        <v>8989</v>
      </c>
      <c r="C3462" t="s">
        <v>5043</v>
      </c>
      <c r="D3462" t="s">
        <v>8401</v>
      </c>
    </row>
    <row r="3463" spans="1:4" ht="14.45" x14ac:dyDescent="0.3">
      <c r="A3463">
        <v>8615</v>
      </c>
      <c r="B3463" t="s">
        <v>8989</v>
      </c>
      <c r="C3463" t="s">
        <v>5043</v>
      </c>
      <c r="D3463" t="s">
        <v>8401</v>
      </c>
    </row>
    <row r="3464" spans="1:4" ht="14.45" x14ac:dyDescent="0.3">
      <c r="A3464">
        <v>8753</v>
      </c>
      <c r="B3464" t="s">
        <v>8989</v>
      </c>
      <c r="C3464" t="s">
        <v>5043</v>
      </c>
      <c r="D3464" t="s">
        <v>8401</v>
      </c>
    </row>
    <row r="3465" spans="1:4" ht="14.45" x14ac:dyDescent="0.3">
      <c r="A3465">
        <v>8934</v>
      </c>
      <c r="B3465" t="s">
        <v>8989</v>
      </c>
      <c r="C3465" t="s">
        <v>5043</v>
      </c>
      <c r="D3465" t="s">
        <v>8401</v>
      </c>
    </row>
    <row r="3466" spans="1:4" ht="14.45" x14ac:dyDescent="0.3">
      <c r="A3466">
        <v>9026</v>
      </c>
      <c r="B3466" t="s">
        <v>8989</v>
      </c>
      <c r="C3466" t="s">
        <v>5043</v>
      </c>
      <c r="D3466" t="s">
        <v>8401</v>
      </c>
    </row>
    <row r="3467" spans="1:4" ht="14.45" x14ac:dyDescent="0.3">
      <c r="A3467">
        <v>9783</v>
      </c>
      <c r="B3467" t="s">
        <v>8989</v>
      </c>
      <c r="C3467" t="s">
        <v>5043</v>
      </c>
      <c r="D3467" t="s">
        <v>8401</v>
      </c>
    </row>
    <row r="3468" spans="1:4" ht="14.45" x14ac:dyDescent="0.3">
      <c r="A3468">
        <v>6899</v>
      </c>
      <c r="B3468" t="s">
        <v>8990</v>
      </c>
      <c r="C3468" t="s">
        <v>5043</v>
      </c>
      <c r="D3468" t="s">
        <v>8401</v>
      </c>
    </row>
    <row r="3469" spans="1:4" ht="14.45" x14ac:dyDescent="0.3">
      <c r="A3469">
        <v>7471</v>
      </c>
      <c r="B3469" t="s">
        <v>8990</v>
      </c>
      <c r="C3469" t="s">
        <v>5043</v>
      </c>
      <c r="D3469" t="s">
        <v>8401</v>
      </c>
    </row>
    <row r="3470" spans="1:4" ht="14.45" x14ac:dyDescent="0.3">
      <c r="A3470">
        <v>6793</v>
      </c>
      <c r="B3470" t="s">
        <v>10666</v>
      </c>
      <c r="C3470" t="s">
        <v>5043</v>
      </c>
      <c r="D3470" t="s">
        <v>8401</v>
      </c>
    </row>
    <row r="3471" spans="1:4" ht="14.45" x14ac:dyDescent="0.3">
      <c r="A3471">
        <v>9563</v>
      </c>
      <c r="B3471" t="s">
        <v>10667</v>
      </c>
      <c r="C3471" t="s">
        <v>5043</v>
      </c>
      <c r="D3471" t="s">
        <v>8401</v>
      </c>
    </row>
    <row r="3472" spans="1:4" ht="14.45" x14ac:dyDescent="0.3">
      <c r="A3472">
        <v>10630</v>
      </c>
      <c r="B3472" t="s">
        <v>10668</v>
      </c>
      <c r="C3472" t="s">
        <v>5043</v>
      </c>
      <c r="D3472" t="s">
        <v>8401</v>
      </c>
    </row>
    <row r="3473" spans="1:4" ht="14.45" x14ac:dyDescent="0.3">
      <c r="A3473">
        <v>10133</v>
      </c>
      <c r="B3473" t="s">
        <v>8991</v>
      </c>
      <c r="C3473" t="s">
        <v>5043</v>
      </c>
      <c r="D3473" t="s">
        <v>8401</v>
      </c>
    </row>
    <row r="3474" spans="1:4" ht="14.45" x14ac:dyDescent="0.3">
      <c r="A3474">
        <v>11128</v>
      </c>
      <c r="B3474" t="s">
        <v>8991</v>
      </c>
      <c r="C3474" t="s">
        <v>5043</v>
      </c>
      <c r="D3474" t="s">
        <v>8401</v>
      </c>
    </row>
    <row r="3475" spans="1:4" ht="14.45" x14ac:dyDescent="0.3">
      <c r="A3475">
        <v>11180</v>
      </c>
      <c r="B3475" t="s">
        <v>8991</v>
      </c>
      <c r="C3475" t="s">
        <v>5043</v>
      </c>
      <c r="D3475" t="s">
        <v>8401</v>
      </c>
    </row>
    <row r="3476" spans="1:4" ht="14.45" x14ac:dyDescent="0.3">
      <c r="A3476">
        <v>11346</v>
      </c>
      <c r="B3476" t="s">
        <v>8991</v>
      </c>
      <c r="C3476" t="s">
        <v>5043</v>
      </c>
      <c r="D3476" t="s">
        <v>8401</v>
      </c>
    </row>
    <row r="3477" spans="1:4" ht="14.45" x14ac:dyDescent="0.3">
      <c r="A3477">
        <v>11493</v>
      </c>
      <c r="B3477" t="s">
        <v>8991</v>
      </c>
      <c r="C3477" t="s">
        <v>5043</v>
      </c>
      <c r="D3477" t="s">
        <v>8401</v>
      </c>
    </row>
    <row r="3478" spans="1:4" ht="14.45" x14ac:dyDescent="0.3">
      <c r="A3478">
        <v>11662</v>
      </c>
      <c r="B3478" t="s">
        <v>8991</v>
      </c>
      <c r="C3478" t="s">
        <v>5043</v>
      </c>
      <c r="D3478" t="s">
        <v>8401</v>
      </c>
    </row>
    <row r="3479" spans="1:4" ht="14.45" x14ac:dyDescent="0.3">
      <c r="A3479">
        <v>7347</v>
      </c>
      <c r="B3479" t="s">
        <v>8991</v>
      </c>
      <c r="C3479" t="s">
        <v>5043</v>
      </c>
      <c r="D3479" t="s">
        <v>8401</v>
      </c>
    </row>
    <row r="3480" spans="1:4" ht="14.45" x14ac:dyDescent="0.3">
      <c r="A3480">
        <v>7792</v>
      </c>
      <c r="B3480" t="s">
        <v>8991</v>
      </c>
      <c r="C3480" t="s">
        <v>5043</v>
      </c>
      <c r="D3480" t="s">
        <v>8401</v>
      </c>
    </row>
    <row r="3481" spans="1:4" ht="14.45" x14ac:dyDescent="0.3">
      <c r="A3481">
        <v>7996</v>
      </c>
      <c r="B3481" t="s">
        <v>8991</v>
      </c>
      <c r="C3481" t="s">
        <v>5043</v>
      </c>
      <c r="D3481" t="s">
        <v>8401</v>
      </c>
    </row>
    <row r="3482" spans="1:4" ht="14.45" x14ac:dyDescent="0.3">
      <c r="A3482">
        <v>8156</v>
      </c>
      <c r="B3482" t="s">
        <v>8991</v>
      </c>
      <c r="C3482" t="s">
        <v>5043</v>
      </c>
      <c r="D3482" t="s">
        <v>8401</v>
      </c>
    </row>
    <row r="3483" spans="1:4" ht="14.45" x14ac:dyDescent="0.3">
      <c r="A3483">
        <v>8303</v>
      </c>
      <c r="B3483" t="s">
        <v>8991</v>
      </c>
      <c r="C3483" t="s">
        <v>5043</v>
      </c>
      <c r="D3483" t="s">
        <v>8401</v>
      </c>
    </row>
    <row r="3484" spans="1:4" ht="14.45" x14ac:dyDescent="0.3">
      <c r="A3484">
        <v>9083</v>
      </c>
      <c r="B3484" t="s">
        <v>8991</v>
      </c>
      <c r="C3484" t="s">
        <v>5043</v>
      </c>
      <c r="D3484" t="s">
        <v>8401</v>
      </c>
    </row>
    <row r="3485" spans="1:4" ht="14.45" x14ac:dyDescent="0.3">
      <c r="A3485">
        <v>9900</v>
      </c>
      <c r="B3485" t="s">
        <v>8991</v>
      </c>
      <c r="C3485" t="s">
        <v>5043</v>
      </c>
      <c r="D3485" t="s">
        <v>8401</v>
      </c>
    </row>
    <row r="3486" spans="1:4" ht="14.45" x14ac:dyDescent="0.3">
      <c r="A3486">
        <v>10230</v>
      </c>
      <c r="B3486" t="s">
        <v>8992</v>
      </c>
      <c r="C3486" t="s">
        <v>5043</v>
      </c>
      <c r="D3486" t="s">
        <v>8401</v>
      </c>
    </row>
    <row r="3487" spans="1:4" ht="14.45" x14ac:dyDescent="0.3">
      <c r="A3487">
        <v>10276</v>
      </c>
      <c r="B3487" t="s">
        <v>8992</v>
      </c>
      <c r="C3487" t="s">
        <v>5043</v>
      </c>
      <c r="D3487" t="s">
        <v>8401</v>
      </c>
    </row>
    <row r="3488" spans="1:4" ht="14.45" x14ac:dyDescent="0.3">
      <c r="A3488">
        <v>10332</v>
      </c>
      <c r="B3488" t="s">
        <v>8992</v>
      </c>
      <c r="C3488" t="s">
        <v>5043</v>
      </c>
      <c r="D3488" t="s">
        <v>8401</v>
      </c>
    </row>
    <row r="3489" spans="1:4" ht="14.45" x14ac:dyDescent="0.3">
      <c r="A3489">
        <v>11699</v>
      </c>
      <c r="B3489" t="s">
        <v>8992</v>
      </c>
      <c r="C3489" t="s">
        <v>5043</v>
      </c>
      <c r="D3489" t="s">
        <v>8401</v>
      </c>
    </row>
    <row r="3490" spans="1:4" ht="14.45" x14ac:dyDescent="0.3">
      <c r="A3490">
        <v>6565</v>
      </c>
      <c r="B3490" t="s">
        <v>8992</v>
      </c>
      <c r="C3490" t="s">
        <v>5043</v>
      </c>
      <c r="D3490" t="s">
        <v>8401</v>
      </c>
    </row>
    <row r="3491" spans="1:4" ht="14.45" x14ac:dyDescent="0.3">
      <c r="A3491">
        <v>6601</v>
      </c>
      <c r="B3491" t="s">
        <v>8992</v>
      </c>
      <c r="C3491" t="s">
        <v>5043</v>
      </c>
      <c r="D3491" t="s">
        <v>8401</v>
      </c>
    </row>
    <row r="3492" spans="1:4" ht="14.45" x14ac:dyDescent="0.3">
      <c r="A3492">
        <v>6806</v>
      </c>
      <c r="B3492" t="s">
        <v>8992</v>
      </c>
      <c r="C3492" t="s">
        <v>5043</v>
      </c>
      <c r="D3492" t="s">
        <v>8401</v>
      </c>
    </row>
    <row r="3493" spans="1:4" ht="14.45" x14ac:dyDescent="0.3">
      <c r="A3493">
        <v>6810</v>
      </c>
      <c r="B3493" t="s">
        <v>8992</v>
      </c>
      <c r="C3493" t="s">
        <v>5043</v>
      </c>
      <c r="D3493" t="s">
        <v>8401</v>
      </c>
    </row>
    <row r="3494" spans="1:4" ht="14.45" x14ac:dyDescent="0.3">
      <c r="A3494">
        <v>6894</v>
      </c>
      <c r="B3494" t="s">
        <v>8992</v>
      </c>
      <c r="C3494" t="s">
        <v>5043</v>
      </c>
      <c r="D3494" t="s">
        <v>8401</v>
      </c>
    </row>
    <row r="3495" spans="1:4" ht="14.45" x14ac:dyDescent="0.3">
      <c r="A3495">
        <v>6937</v>
      </c>
      <c r="B3495" t="s">
        <v>8992</v>
      </c>
      <c r="C3495" t="s">
        <v>5043</v>
      </c>
      <c r="D3495" t="s">
        <v>8401</v>
      </c>
    </row>
    <row r="3496" spans="1:4" ht="14.45" x14ac:dyDescent="0.3">
      <c r="A3496">
        <v>7705</v>
      </c>
      <c r="B3496" t="s">
        <v>8992</v>
      </c>
      <c r="C3496" t="s">
        <v>5043</v>
      </c>
      <c r="D3496" t="s">
        <v>8401</v>
      </c>
    </row>
    <row r="3497" spans="1:4" ht="14.45" x14ac:dyDescent="0.3">
      <c r="A3497">
        <v>7723</v>
      </c>
      <c r="B3497" t="s">
        <v>8992</v>
      </c>
      <c r="C3497" t="s">
        <v>5043</v>
      </c>
      <c r="D3497" t="s">
        <v>8401</v>
      </c>
    </row>
    <row r="3498" spans="1:4" ht="14.45" x14ac:dyDescent="0.3">
      <c r="A3498">
        <v>7854</v>
      </c>
      <c r="B3498" t="s">
        <v>8992</v>
      </c>
      <c r="C3498" t="s">
        <v>5043</v>
      </c>
      <c r="D3498" t="s">
        <v>8401</v>
      </c>
    </row>
    <row r="3499" spans="1:4" ht="14.45" x14ac:dyDescent="0.3">
      <c r="A3499">
        <v>8323</v>
      </c>
      <c r="B3499" t="s">
        <v>8992</v>
      </c>
      <c r="C3499" t="s">
        <v>5043</v>
      </c>
      <c r="D3499" t="s">
        <v>8401</v>
      </c>
    </row>
    <row r="3500" spans="1:4" ht="14.45" x14ac:dyDescent="0.3">
      <c r="A3500">
        <v>8325</v>
      </c>
      <c r="B3500" t="s">
        <v>8992</v>
      </c>
      <c r="C3500" t="s">
        <v>5043</v>
      </c>
      <c r="D3500" t="s">
        <v>8401</v>
      </c>
    </row>
    <row r="3501" spans="1:4" ht="14.45" x14ac:dyDescent="0.3">
      <c r="A3501">
        <v>10909</v>
      </c>
      <c r="B3501" t="s">
        <v>10669</v>
      </c>
      <c r="C3501" t="s">
        <v>5043</v>
      </c>
      <c r="D3501" t="s">
        <v>8401</v>
      </c>
    </row>
    <row r="3502" spans="1:4" ht="14.45" x14ac:dyDescent="0.3">
      <c r="A3502">
        <v>9549</v>
      </c>
      <c r="B3502" t="s">
        <v>10669</v>
      </c>
      <c r="C3502" t="s">
        <v>5043</v>
      </c>
      <c r="D3502" t="s">
        <v>8401</v>
      </c>
    </row>
    <row r="3503" spans="1:4" ht="14.45" x14ac:dyDescent="0.3">
      <c r="A3503">
        <v>11512</v>
      </c>
      <c r="B3503" t="s">
        <v>8993</v>
      </c>
      <c r="C3503" t="s">
        <v>5043</v>
      </c>
      <c r="D3503" t="s">
        <v>8401</v>
      </c>
    </row>
    <row r="3504" spans="1:4" ht="14.45" x14ac:dyDescent="0.3">
      <c r="A3504">
        <v>8411</v>
      </c>
      <c r="B3504" t="s">
        <v>8993</v>
      </c>
      <c r="C3504" t="s">
        <v>5043</v>
      </c>
      <c r="D3504" t="s">
        <v>8401</v>
      </c>
    </row>
    <row r="3505" spans="1:4" ht="14.45" x14ac:dyDescent="0.3">
      <c r="A3505">
        <v>10527</v>
      </c>
      <c r="B3505" t="s">
        <v>8994</v>
      </c>
      <c r="C3505" t="s">
        <v>5043</v>
      </c>
      <c r="D3505" t="s">
        <v>8401</v>
      </c>
    </row>
    <row r="3506" spans="1:4" ht="14.45" x14ac:dyDescent="0.3">
      <c r="A3506">
        <v>11533</v>
      </c>
      <c r="B3506" t="s">
        <v>8994</v>
      </c>
      <c r="C3506" t="s">
        <v>5043</v>
      </c>
      <c r="D3506" t="s">
        <v>8401</v>
      </c>
    </row>
    <row r="3507" spans="1:4" ht="14.45" x14ac:dyDescent="0.3">
      <c r="A3507">
        <v>7045</v>
      </c>
      <c r="B3507" t="s">
        <v>8994</v>
      </c>
      <c r="C3507" t="s">
        <v>5043</v>
      </c>
      <c r="D3507" t="s">
        <v>8401</v>
      </c>
    </row>
    <row r="3508" spans="1:4" ht="14.45" x14ac:dyDescent="0.3">
      <c r="A3508">
        <v>10322</v>
      </c>
      <c r="B3508" t="s">
        <v>8995</v>
      </c>
      <c r="C3508" t="s">
        <v>5043</v>
      </c>
      <c r="D3508" t="s">
        <v>8401</v>
      </c>
    </row>
    <row r="3509" spans="1:4" ht="14.45" x14ac:dyDescent="0.3">
      <c r="A3509">
        <v>10774</v>
      </c>
      <c r="B3509" t="s">
        <v>8995</v>
      </c>
      <c r="C3509" t="s">
        <v>5043</v>
      </c>
      <c r="D3509" t="s">
        <v>8401</v>
      </c>
    </row>
    <row r="3510" spans="1:4" ht="14.45" x14ac:dyDescent="0.3">
      <c r="A3510">
        <v>11246</v>
      </c>
      <c r="B3510" t="s">
        <v>8995</v>
      </c>
      <c r="C3510" t="s">
        <v>5043</v>
      </c>
      <c r="D3510" t="s">
        <v>8401</v>
      </c>
    </row>
    <row r="3511" spans="1:4" ht="14.45" x14ac:dyDescent="0.3">
      <c r="A3511">
        <v>7147</v>
      </c>
      <c r="B3511" t="s">
        <v>8995</v>
      </c>
      <c r="C3511" t="s">
        <v>5043</v>
      </c>
      <c r="D3511" t="s">
        <v>8401</v>
      </c>
    </row>
    <row r="3512" spans="1:4" ht="14.45" x14ac:dyDescent="0.3">
      <c r="A3512">
        <v>7532</v>
      </c>
      <c r="B3512" t="s">
        <v>8995</v>
      </c>
      <c r="C3512" t="s">
        <v>5043</v>
      </c>
      <c r="D3512" t="s">
        <v>8401</v>
      </c>
    </row>
    <row r="3513" spans="1:4" ht="14.45" x14ac:dyDescent="0.3">
      <c r="A3513">
        <v>9985</v>
      </c>
      <c r="B3513" t="s">
        <v>8995</v>
      </c>
      <c r="C3513" t="s">
        <v>5043</v>
      </c>
      <c r="D3513" t="s">
        <v>8401</v>
      </c>
    </row>
    <row r="3514" spans="1:4" ht="14.45" x14ac:dyDescent="0.3">
      <c r="A3514">
        <v>6669</v>
      </c>
      <c r="B3514" t="s">
        <v>10670</v>
      </c>
      <c r="C3514" t="s">
        <v>5043</v>
      </c>
      <c r="D3514" t="s">
        <v>8401</v>
      </c>
    </row>
    <row r="3515" spans="1:4" ht="14.45" x14ac:dyDescent="0.3">
      <c r="A3515">
        <v>8299</v>
      </c>
      <c r="B3515" t="s">
        <v>10670</v>
      </c>
      <c r="C3515" t="s">
        <v>5043</v>
      </c>
      <c r="D3515" t="s">
        <v>8401</v>
      </c>
    </row>
    <row r="3516" spans="1:4" ht="14.45" x14ac:dyDescent="0.3">
      <c r="A3516">
        <v>10213</v>
      </c>
      <c r="B3516" t="s">
        <v>8996</v>
      </c>
      <c r="C3516" t="s">
        <v>5043</v>
      </c>
      <c r="D3516" t="s">
        <v>8401</v>
      </c>
    </row>
    <row r="3517" spans="1:4" ht="14.45" x14ac:dyDescent="0.3">
      <c r="A3517">
        <v>11341</v>
      </c>
      <c r="B3517" t="s">
        <v>8996</v>
      </c>
      <c r="C3517" t="s">
        <v>5043</v>
      </c>
      <c r="D3517" t="s">
        <v>8401</v>
      </c>
    </row>
    <row r="3518" spans="1:4" ht="14.45" x14ac:dyDescent="0.3">
      <c r="A3518">
        <v>6461</v>
      </c>
      <c r="B3518" t="s">
        <v>8996</v>
      </c>
      <c r="C3518" t="s">
        <v>5043</v>
      </c>
      <c r="D3518" t="s">
        <v>8401</v>
      </c>
    </row>
    <row r="3519" spans="1:4" ht="14.45" x14ac:dyDescent="0.3">
      <c r="A3519">
        <v>7847</v>
      </c>
      <c r="B3519" t="s">
        <v>8996</v>
      </c>
      <c r="C3519" t="s">
        <v>5043</v>
      </c>
      <c r="D3519" t="s">
        <v>8401</v>
      </c>
    </row>
    <row r="3520" spans="1:4" ht="14.45" x14ac:dyDescent="0.3">
      <c r="A3520">
        <v>8158</v>
      </c>
      <c r="B3520" t="s">
        <v>8996</v>
      </c>
      <c r="C3520" t="s">
        <v>5043</v>
      </c>
      <c r="D3520" t="s">
        <v>8401</v>
      </c>
    </row>
    <row r="3521" spans="1:4" ht="14.45" x14ac:dyDescent="0.3">
      <c r="A3521">
        <v>10614</v>
      </c>
      <c r="B3521" t="s">
        <v>8997</v>
      </c>
      <c r="C3521" t="s">
        <v>5043</v>
      </c>
      <c r="D3521" t="s">
        <v>8401</v>
      </c>
    </row>
    <row r="3522" spans="1:4" ht="14.45" x14ac:dyDescent="0.3">
      <c r="A3522">
        <v>10638</v>
      </c>
      <c r="B3522" t="s">
        <v>8997</v>
      </c>
      <c r="C3522" t="s">
        <v>5043</v>
      </c>
      <c r="D3522" t="s">
        <v>8401</v>
      </c>
    </row>
    <row r="3523" spans="1:4" ht="14.45" x14ac:dyDescent="0.3">
      <c r="A3523">
        <v>10677</v>
      </c>
      <c r="B3523" t="s">
        <v>8997</v>
      </c>
      <c r="C3523" t="s">
        <v>5043</v>
      </c>
      <c r="D3523" t="s">
        <v>8401</v>
      </c>
    </row>
    <row r="3524" spans="1:4" ht="14.45" x14ac:dyDescent="0.3">
      <c r="A3524">
        <v>10680</v>
      </c>
      <c r="B3524" t="s">
        <v>8997</v>
      </c>
      <c r="C3524" t="s">
        <v>5043</v>
      </c>
      <c r="D3524" t="s">
        <v>8401</v>
      </c>
    </row>
    <row r="3525" spans="1:4" ht="14.45" x14ac:dyDescent="0.3">
      <c r="A3525">
        <v>10691</v>
      </c>
      <c r="B3525" t="s">
        <v>8997</v>
      </c>
      <c r="C3525" t="s">
        <v>5043</v>
      </c>
      <c r="D3525" t="s">
        <v>8401</v>
      </c>
    </row>
    <row r="3526" spans="1:4" ht="14.45" x14ac:dyDescent="0.3">
      <c r="A3526">
        <v>10776</v>
      </c>
      <c r="B3526" t="s">
        <v>8997</v>
      </c>
      <c r="C3526" t="s">
        <v>5043</v>
      </c>
      <c r="D3526" t="s">
        <v>8401</v>
      </c>
    </row>
    <row r="3527" spans="1:4" ht="14.45" x14ac:dyDescent="0.3">
      <c r="A3527">
        <v>10963</v>
      </c>
      <c r="B3527" t="s">
        <v>8997</v>
      </c>
      <c r="C3527" t="s">
        <v>5043</v>
      </c>
      <c r="D3527" t="s">
        <v>8401</v>
      </c>
    </row>
    <row r="3528" spans="1:4" ht="14.45" x14ac:dyDescent="0.3">
      <c r="A3528">
        <v>10982</v>
      </c>
      <c r="B3528" t="s">
        <v>8997</v>
      </c>
      <c r="C3528" t="s">
        <v>5043</v>
      </c>
      <c r="D3528" t="s">
        <v>8401</v>
      </c>
    </row>
    <row r="3529" spans="1:4" ht="14.45" x14ac:dyDescent="0.3">
      <c r="A3529">
        <v>11046</v>
      </c>
      <c r="B3529" t="s">
        <v>8997</v>
      </c>
      <c r="C3529" t="s">
        <v>5043</v>
      </c>
      <c r="D3529" t="s">
        <v>8401</v>
      </c>
    </row>
    <row r="3530" spans="1:4" ht="14.45" x14ac:dyDescent="0.3">
      <c r="A3530">
        <v>11292</v>
      </c>
      <c r="B3530" t="s">
        <v>8997</v>
      </c>
      <c r="C3530" t="s">
        <v>5043</v>
      </c>
      <c r="D3530" t="s">
        <v>8401</v>
      </c>
    </row>
    <row r="3531" spans="1:4" ht="14.45" x14ac:dyDescent="0.3">
      <c r="A3531">
        <v>11362</v>
      </c>
      <c r="B3531" t="s">
        <v>8997</v>
      </c>
      <c r="C3531" t="s">
        <v>5043</v>
      </c>
      <c r="D3531" t="s">
        <v>8401</v>
      </c>
    </row>
    <row r="3532" spans="1:4" ht="14.45" x14ac:dyDescent="0.3">
      <c r="A3532">
        <v>11404</v>
      </c>
      <c r="B3532" t="s">
        <v>8997</v>
      </c>
      <c r="C3532" t="s">
        <v>5043</v>
      </c>
      <c r="D3532" t="s">
        <v>8401</v>
      </c>
    </row>
    <row r="3533" spans="1:4" ht="14.45" x14ac:dyDescent="0.3">
      <c r="A3533">
        <v>11440</v>
      </c>
      <c r="B3533" t="s">
        <v>8997</v>
      </c>
      <c r="C3533" t="s">
        <v>5043</v>
      </c>
      <c r="D3533" t="s">
        <v>8401</v>
      </c>
    </row>
    <row r="3534" spans="1:4" ht="14.45" x14ac:dyDescent="0.3">
      <c r="A3534">
        <v>11471</v>
      </c>
      <c r="B3534" t="s">
        <v>8997</v>
      </c>
      <c r="C3534" t="s">
        <v>5043</v>
      </c>
      <c r="D3534" t="s">
        <v>8401</v>
      </c>
    </row>
    <row r="3535" spans="1:4" ht="14.45" x14ac:dyDescent="0.3">
      <c r="A3535">
        <v>11527</v>
      </c>
      <c r="B3535" t="s">
        <v>8997</v>
      </c>
      <c r="C3535" t="s">
        <v>5043</v>
      </c>
      <c r="D3535" t="s">
        <v>8401</v>
      </c>
    </row>
    <row r="3536" spans="1:4" ht="14.45" x14ac:dyDescent="0.3">
      <c r="A3536">
        <v>11602</v>
      </c>
      <c r="B3536" t="s">
        <v>8997</v>
      </c>
      <c r="C3536" t="s">
        <v>5043</v>
      </c>
      <c r="D3536" t="s">
        <v>8401</v>
      </c>
    </row>
    <row r="3537" spans="1:4" ht="14.45" x14ac:dyDescent="0.3">
      <c r="A3537">
        <v>11638</v>
      </c>
      <c r="B3537" t="s">
        <v>8997</v>
      </c>
      <c r="C3537" t="s">
        <v>5043</v>
      </c>
      <c r="D3537" t="s">
        <v>8401</v>
      </c>
    </row>
    <row r="3538" spans="1:4" ht="14.45" x14ac:dyDescent="0.3">
      <c r="A3538">
        <v>6403</v>
      </c>
      <c r="B3538" t="s">
        <v>8997</v>
      </c>
      <c r="C3538" t="s">
        <v>5043</v>
      </c>
      <c r="D3538" t="s">
        <v>8401</v>
      </c>
    </row>
    <row r="3539" spans="1:4" ht="14.45" x14ac:dyDescent="0.3">
      <c r="A3539">
        <v>6570</v>
      </c>
      <c r="B3539" t="s">
        <v>8997</v>
      </c>
      <c r="C3539" t="s">
        <v>5043</v>
      </c>
      <c r="D3539" t="s">
        <v>8401</v>
      </c>
    </row>
    <row r="3540" spans="1:4" ht="14.45" x14ac:dyDescent="0.3">
      <c r="A3540">
        <v>6685</v>
      </c>
      <c r="B3540" t="s">
        <v>8997</v>
      </c>
      <c r="C3540" t="s">
        <v>5043</v>
      </c>
      <c r="D3540" t="s">
        <v>8401</v>
      </c>
    </row>
    <row r="3541" spans="1:4" ht="14.45" x14ac:dyDescent="0.3">
      <c r="A3541">
        <v>6779</v>
      </c>
      <c r="B3541" t="s">
        <v>8997</v>
      </c>
      <c r="C3541" t="s">
        <v>5043</v>
      </c>
      <c r="D3541" t="s">
        <v>8401</v>
      </c>
    </row>
    <row r="3542" spans="1:4" ht="14.45" x14ac:dyDescent="0.3">
      <c r="A3542">
        <v>6943</v>
      </c>
      <c r="B3542" t="s">
        <v>8997</v>
      </c>
      <c r="C3542" t="s">
        <v>5043</v>
      </c>
      <c r="D3542" t="s">
        <v>8401</v>
      </c>
    </row>
    <row r="3543" spans="1:4" ht="14.45" x14ac:dyDescent="0.3">
      <c r="A3543">
        <v>6965</v>
      </c>
      <c r="B3543" t="s">
        <v>8997</v>
      </c>
      <c r="C3543" t="s">
        <v>5043</v>
      </c>
      <c r="D3543" t="s">
        <v>8401</v>
      </c>
    </row>
    <row r="3544" spans="1:4" ht="14.45" x14ac:dyDescent="0.3">
      <c r="A3544">
        <v>7041</v>
      </c>
      <c r="B3544" t="s">
        <v>8997</v>
      </c>
      <c r="C3544" t="s">
        <v>5043</v>
      </c>
      <c r="D3544" t="s">
        <v>8401</v>
      </c>
    </row>
    <row r="3545" spans="1:4" ht="14.45" x14ac:dyDescent="0.3">
      <c r="A3545">
        <v>7048</v>
      </c>
      <c r="B3545" t="s">
        <v>8997</v>
      </c>
      <c r="C3545" t="s">
        <v>5043</v>
      </c>
      <c r="D3545" t="s">
        <v>8401</v>
      </c>
    </row>
    <row r="3546" spans="1:4" ht="14.45" x14ac:dyDescent="0.3">
      <c r="A3546">
        <v>7217</v>
      </c>
      <c r="B3546" t="s">
        <v>8997</v>
      </c>
      <c r="C3546" t="s">
        <v>5043</v>
      </c>
      <c r="D3546" t="s">
        <v>8401</v>
      </c>
    </row>
    <row r="3547" spans="1:4" ht="14.45" x14ac:dyDescent="0.3">
      <c r="A3547">
        <v>7367</v>
      </c>
      <c r="B3547" t="s">
        <v>8997</v>
      </c>
      <c r="C3547" t="s">
        <v>5043</v>
      </c>
      <c r="D3547" t="s">
        <v>8401</v>
      </c>
    </row>
    <row r="3548" spans="1:4" ht="14.45" x14ac:dyDescent="0.3">
      <c r="A3548">
        <v>7395</v>
      </c>
      <c r="B3548" t="s">
        <v>8997</v>
      </c>
      <c r="C3548" t="s">
        <v>5043</v>
      </c>
      <c r="D3548" t="s">
        <v>8401</v>
      </c>
    </row>
    <row r="3549" spans="1:4" ht="14.45" x14ac:dyDescent="0.3">
      <c r="A3549">
        <v>7514</v>
      </c>
      <c r="B3549" t="s">
        <v>8997</v>
      </c>
      <c r="C3549" t="s">
        <v>5043</v>
      </c>
      <c r="D3549" t="s">
        <v>8401</v>
      </c>
    </row>
    <row r="3550" spans="1:4" ht="14.45" x14ac:dyDescent="0.3">
      <c r="A3550">
        <v>7644</v>
      </c>
      <c r="B3550" t="s">
        <v>8997</v>
      </c>
      <c r="C3550" t="s">
        <v>5043</v>
      </c>
      <c r="D3550" t="s">
        <v>8401</v>
      </c>
    </row>
    <row r="3551" spans="1:4" ht="14.45" x14ac:dyDescent="0.3">
      <c r="A3551">
        <v>7760</v>
      </c>
      <c r="B3551" t="s">
        <v>8997</v>
      </c>
      <c r="C3551" t="s">
        <v>5043</v>
      </c>
      <c r="D3551" t="s">
        <v>8401</v>
      </c>
    </row>
    <row r="3552" spans="1:4" ht="14.45" x14ac:dyDescent="0.3">
      <c r="A3552">
        <v>7967</v>
      </c>
      <c r="B3552" t="s">
        <v>8997</v>
      </c>
      <c r="C3552" t="s">
        <v>5043</v>
      </c>
      <c r="D3552" t="s">
        <v>8401</v>
      </c>
    </row>
    <row r="3553" spans="1:4" ht="14.45" x14ac:dyDescent="0.3">
      <c r="A3553">
        <v>8110</v>
      </c>
      <c r="B3553" t="s">
        <v>8997</v>
      </c>
      <c r="C3553" t="s">
        <v>5043</v>
      </c>
      <c r="D3553" t="s">
        <v>8401</v>
      </c>
    </row>
    <row r="3554" spans="1:4" ht="14.45" x14ac:dyDescent="0.3">
      <c r="A3554">
        <v>8681</v>
      </c>
      <c r="B3554" t="s">
        <v>8997</v>
      </c>
      <c r="C3554" t="s">
        <v>5043</v>
      </c>
      <c r="D3554" t="s">
        <v>8401</v>
      </c>
    </row>
    <row r="3555" spans="1:4" ht="14.45" x14ac:dyDescent="0.3">
      <c r="A3555">
        <v>8689</v>
      </c>
      <c r="B3555" t="s">
        <v>8997</v>
      </c>
      <c r="C3555" t="s">
        <v>5043</v>
      </c>
      <c r="D3555" t="s">
        <v>8401</v>
      </c>
    </row>
    <row r="3556" spans="1:4" ht="14.45" x14ac:dyDescent="0.3">
      <c r="A3556">
        <v>8765</v>
      </c>
      <c r="B3556" t="s">
        <v>8997</v>
      </c>
      <c r="C3556" t="s">
        <v>5043</v>
      </c>
      <c r="D3556" t="s">
        <v>8401</v>
      </c>
    </row>
    <row r="3557" spans="1:4" ht="14.45" x14ac:dyDescent="0.3">
      <c r="A3557">
        <v>8852</v>
      </c>
      <c r="B3557" t="s">
        <v>8997</v>
      </c>
      <c r="C3557" t="s">
        <v>5043</v>
      </c>
      <c r="D3557" t="s">
        <v>8401</v>
      </c>
    </row>
    <row r="3558" spans="1:4" ht="14.45" x14ac:dyDescent="0.3">
      <c r="A3558">
        <v>8970</v>
      </c>
      <c r="B3558" t="s">
        <v>8997</v>
      </c>
      <c r="C3558" t="s">
        <v>5043</v>
      </c>
      <c r="D3558" t="s">
        <v>8401</v>
      </c>
    </row>
    <row r="3559" spans="1:4" ht="14.45" x14ac:dyDescent="0.3">
      <c r="A3559">
        <v>8981</v>
      </c>
      <c r="B3559" t="s">
        <v>8997</v>
      </c>
      <c r="C3559" t="s">
        <v>5043</v>
      </c>
      <c r="D3559" t="s">
        <v>8401</v>
      </c>
    </row>
    <row r="3560" spans="1:4" ht="14.45" x14ac:dyDescent="0.3">
      <c r="A3560">
        <v>9240</v>
      </c>
      <c r="B3560" t="s">
        <v>8997</v>
      </c>
      <c r="C3560" t="s">
        <v>5043</v>
      </c>
      <c r="D3560" t="s">
        <v>8401</v>
      </c>
    </row>
    <row r="3561" spans="1:4" ht="14.45" x14ac:dyDescent="0.3">
      <c r="A3561">
        <v>9932</v>
      </c>
      <c r="B3561" t="s">
        <v>8997</v>
      </c>
      <c r="C3561" t="s">
        <v>5043</v>
      </c>
      <c r="D3561" t="s">
        <v>8401</v>
      </c>
    </row>
    <row r="3562" spans="1:4" ht="14.45" x14ac:dyDescent="0.3">
      <c r="A3562">
        <v>11097</v>
      </c>
      <c r="B3562" t="s">
        <v>8998</v>
      </c>
      <c r="C3562" t="s">
        <v>5043</v>
      </c>
      <c r="D3562" t="s">
        <v>8401</v>
      </c>
    </row>
    <row r="3563" spans="1:4" ht="14.45" x14ac:dyDescent="0.3">
      <c r="A3563">
        <v>7524</v>
      </c>
      <c r="B3563" t="s">
        <v>8998</v>
      </c>
      <c r="C3563" t="s">
        <v>5043</v>
      </c>
      <c r="D3563" t="s">
        <v>8401</v>
      </c>
    </row>
    <row r="3564" spans="1:4" ht="14.45" x14ac:dyDescent="0.3">
      <c r="A3564">
        <v>7823</v>
      </c>
      <c r="B3564" t="s">
        <v>8998</v>
      </c>
      <c r="C3564" t="s">
        <v>5043</v>
      </c>
      <c r="D3564" t="s">
        <v>8401</v>
      </c>
    </row>
    <row r="3565" spans="1:4" ht="14.45" x14ac:dyDescent="0.3">
      <c r="A3565">
        <v>10558</v>
      </c>
      <c r="B3565" t="s">
        <v>8999</v>
      </c>
      <c r="C3565" t="s">
        <v>5043</v>
      </c>
      <c r="D3565" t="s">
        <v>8401</v>
      </c>
    </row>
    <row r="3566" spans="1:4" ht="14.45" x14ac:dyDescent="0.3">
      <c r="A3566">
        <v>8117</v>
      </c>
      <c r="B3566" t="s">
        <v>8999</v>
      </c>
      <c r="C3566" t="s">
        <v>5043</v>
      </c>
      <c r="D3566" t="s">
        <v>8401</v>
      </c>
    </row>
    <row r="3567" spans="1:4" ht="14.45" x14ac:dyDescent="0.3">
      <c r="A3567">
        <v>8830</v>
      </c>
      <c r="B3567" t="s">
        <v>8999</v>
      </c>
      <c r="C3567" t="s">
        <v>5043</v>
      </c>
      <c r="D3567" t="s">
        <v>8401</v>
      </c>
    </row>
    <row r="3568" spans="1:4" ht="14.45" x14ac:dyDescent="0.3">
      <c r="A3568">
        <v>9965</v>
      </c>
      <c r="B3568" t="s">
        <v>8999</v>
      </c>
      <c r="C3568" t="s">
        <v>5043</v>
      </c>
      <c r="D3568" t="s">
        <v>8401</v>
      </c>
    </row>
    <row r="3569" spans="1:4" ht="14.45" x14ac:dyDescent="0.3">
      <c r="A3569">
        <v>10740</v>
      </c>
      <c r="B3569" t="s">
        <v>10671</v>
      </c>
      <c r="C3569" t="s">
        <v>5043</v>
      </c>
      <c r="D3569" t="s">
        <v>8401</v>
      </c>
    </row>
    <row r="3570" spans="1:4" ht="14.45" x14ac:dyDescent="0.3">
      <c r="A3570">
        <v>11568</v>
      </c>
      <c r="B3570" t="s">
        <v>10671</v>
      </c>
      <c r="C3570" t="s">
        <v>5043</v>
      </c>
      <c r="D3570" t="s">
        <v>8401</v>
      </c>
    </row>
    <row r="3571" spans="1:4" ht="14.45" x14ac:dyDescent="0.3">
      <c r="A3571">
        <v>6622</v>
      </c>
      <c r="B3571" t="s">
        <v>10671</v>
      </c>
      <c r="C3571" t="s">
        <v>5043</v>
      </c>
      <c r="D3571" t="s">
        <v>8401</v>
      </c>
    </row>
    <row r="3572" spans="1:4" ht="14.45" x14ac:dyDescent="0.3">
      <c r="A3572">
        <v>6978</v>
      </c>
      <c r="B3572" t="s">
        <v>10671</v>
      </c>
      <c r="C3572" t="s">
        <v>5043</v>
      </c>
      <c r="D3572" t="s">
        <v>8401</v>
      </c>
    </row>
    <row r="3573" spans="1:4" ht="14.45" x14ac:dyDescent="0.3">
      <c r="A3573">
        <v>8434</v>
      </c>
      <c r="B3573" t="s">
        <v>10671</v>
      </c>
      <c r="C3573" t="s">
        <v>5043</v>
      </c>
      <c r="D3573" t="s">
        <v>8401</v>
      </c>
    </row>
    <row r="3574" spans="1:4" ht="14.45" x14ac:dyDescent="0.3">
      <c r="A3574">
        <v>9311</v>
      </c>
      <c r="B3574" t="s">
        <v>10671</v>
      </c>
      <c r="C3574" t="s">
        <v>5043</v>
      </c>
      <c r="D3574" t="s">
        <v>8401</v>
      </c>
    </row>
    <row r="3575" spans="1:4" ht="14.45" x14ac:dyDescent="0.3">
      <c r="A3575">
        <v>10326</v>
      </c>
      <c r="B3575" t="s">
        <v>9000</v>
      </c>
      <c r="C3575" t="s">
        <v>5043</v>
      </c>
      <c r="D3575" t="s">
        <v>8401</v>
      </c>
    </row>
    <row r="3576" spans="1:4" ht="14.45" x14ac:dyDescent="0.3">
      <c r="A3576">
        <v>9570</v>
      </c>
      <c r="B3576" t="s">
        <v>9000</v>
      </c>
      <c r="C3576" t="s">
        <v>5043</v>
      </c>
      <c r="D3576" t="s">
        <v>8401</v>
      </c>
    </row>
    <row r="3577" spans="1:4" ht="14.45" x14ac:dyDescent="0.3">
      <c r="A3577">
        <v>10310</v>
      </c>
      <c r="B3577" t="s">
        <v>10672</v>
      </c>
      <c r="C3577" t="s">
        <v>5043</v>
      </c>
      <c r="D3577" t="s">
        <v>8401</v>
      </c>
    </row>
    <row r="3578" spans="1:4" ht="14.45" x14ac:dyDescent="0.3">
      <c r="A3578">
        <v>11195</v>
      </c>
      <c r="B3578" t="s">
        <v>9001</v>
      </c>
      <c r="C3578" t="s">
        <v>5043</v>
      </c>
      <c r="D3578" t="s">
        <v>8401</v>
      </c>
    </row>
    <row r="3579" spans="1:4" ht="14.45" x14ac:dyDescent="0.3">
      <c r="A3579">
        <v>8660</v>
      </c>
      <c r="B3579" t="s">
        <v>9001</v>
      </c>
      <c r="C3579" t="s">
        <v>5043</v>
      </c>
      <c r="D3579" t="s">
        <v>8401</v>
      </c>
    </row>
    <row r="3580" spans="1:4" ht="14.45" x14ac:dyDescent="0.3">
      <c r="A3580">
        <v>10765</v>
      </c>
      <c r="B3580" t="s">
        <v>9002</v>
      </c>
      <c r="C3580" t="s">
        <v>5043</v>
      </c>
      <c r="D3580" t="s">
        <v>8401</v>
      </c>
    </row>
    <row r="3581" spans="1:4" ht="14.45" x14ac:dyDescent="0.3">
      <c r="A3581">
        <v>11077</v>
      </c>
      <c r="B3581" t="s">
        <v>9002</v>
      </c>
      <c r="C3581" t="s">
        <v>5043</v>
      </c>
      <c r="D3581" t="s">
        <v>8401</v>
      </c>
    </row>
    <row r="3582" spans="1:4" ht="14.45" x14ac:dyDescent="0.3">
      <c r="A3582">
        <v>8140</v>
      </c>
      <c r="B3582" t="s">
        <v>9002</v>
      </c>
      <c r="C3582" t="s">
        <v>5043</v>
      </c>
      <c r="D3582" t="s">
        <v>8401</v>
      </c>
    </row>
    <row r="3583" spans="1:4" ht="14.45" x14ac:dyDescent="0.3">
      <c r="A3583">
        <v>8487</v>
      </c>
      <c r="B3583" t="s">
        <v>9002</v>
      </c>
      <c r="C3583" t="s">
        <v>5043</v>
      </c>
      <c r="D3583" t="s">
        <v>8401</v>
      </c>
    </row>
    <row r="3584" spans="1:4" ht="14.45" x14ac:dyDescent="0.3">
      <c r="A3584">
        <v>8855</v>
      </c>
      <c r="B3584" t="s">
        <v>9002</v>
      </c>
      <c r="C3584" t="s">
        <v>5043</v>
      </c>
      <c r="D3584" t="s">
        <v>8401</v>
      </c>
    </row>
    <row r="3585" spans="1:4" ht="14.45" x14ac:dyDescent="0.3">
      <c r="A3585">
        <v>9201</v>
      </c>
      <c r="B3585" t="s">
        <v>9002</v>
      </c>
      <c r="C3585" t="s">
        <v>5043</v>
      </c>
      <c r="D3585" t="s">
        <v>8401</v>
      </c>
    </row>
    <row r="3586" spans="1:4" ht="14.45" x14ac:dyDescent="0.3">
      <c r="A3586">
        <v>8078</v>
      </c>
      <c r="B3586" t="s">
        <v>10673</v>
      </c>
      <c r="C3586" t="s">
        <v>5043</v>
      </c>
      <c r="D3586" t="s">
        <v>8401</v>
      </c>
    </row>
    <row r="3587" spans="1:4" ht="14.45" x14ac:dyDescent="0.3">
      <c r="A3587">
        <v>10130</v>
      </c>
      <c r="B3587" t="s">
        <v>9003</v>
      </c>
      <c r="C3587" t="s">
        <v>5043</v>
      </c>
      <c r="D3587" t="s">
        <v>8401</v>
      </c>
    </row>
    <row r="3588" spans="1:4" ht="14.45" x14ac:dyDescent="0.3">
      <c r="A3588">
        <v>10220</v>
      </c>
      <c r="B3588" t="s">
        <v>9003</v>
      </c>
      <c r="C3588" t="s">
        <v>5043</v>
      </c>
      <c r="D3588" t="s">
        <v>8401</v>
      </c>
    </row>
    <row r="3589" spans="1:4" ht="14.45" x14ac:dyDescent="0.3">
      <c r="A3589">
        <v>10267</v>
      </c>
      <c r="B3589" t="s">
        <v>9003</v>
      </c>
      <c r="C3589" t="s">
        <v>5043</v>
      </c>
      <c r="D3589" t="s">
        <v>8401</v>
      </c>
    </row>
    <row r="3590" spans="1:4" ht="14.45" x14ac:dyDescent="0.3">
      <c r="A3590">
        <v>10442</v>
      </c>
      <c r="B3590" t="s">
        <v>9003</v>
      </c>
      <c r="C3590" t="s">
        <v>5043</v>
      </c>
      <c r="D3590" t="s">
        <v>8401</v>
      </c>
    </row>
    <row r="3591" spans="1:4" ht="14.45" x14ac:dyDescent="0.3">
      <c r="A3591">
        <v>10554</v>
      </c>
      <c r="B3591" t="s">
        <v>9003</v>
      </c>
      <c r="C3591" t="s">
        <v>5043</v>
      </c>
      <c r="D3591" t="s">
        <v>8401</v>
      </c>
    </row>
    <row r="3592" spans="1:4" ht="14.45" x14ac:dyDescent="0.3">
      <c r="A3592">
        <v>10567</v>
      </c>
      <c r="B3592" t="s">
        <v>9003</v>
      </c>
      <c r="C3592" t="s">
        <v>5043</v>
      </c>
      <c r="D3592" t="s">
        <v>8401</v>
      </c>
    </row>
    <row r="3593" spans="1:4" ht="14.45" x14ac:dyDescent="0.3">
      <c r="A3593">
        <v>10606</v>
      </c>
      <c r="B3593" t="s">
        <v>9003</v>
      </c>
      <c r="C3593" t="s">
        <v>5043</v>
      </c>
      <c r="D3593" t="s">
        <v>8401</v>
      </c>
    </row>
    <row r="3594" spans="1:4" ht="14.45" x14ac:dyDescent="0.3">
      <c r="A3594">
        <v>10676</v>
      </c>
      <c r="B3594" t="s">
        <v>9003</v>
      </c>
      <c r="C3594" t="s">
        <v>5043</v>
      </c>
      <c r="D3594" t="s">
        <v>8401</v>
      </c>
    </row>
    <row r="3595" spans="1:4" ht="14.45" x14ac:dyDescent="0.3">
      <c r="A3595">
        <v>10761</v>
      </c>
      <c r="B3595" t="s">
        <v>9003</v>
      </c>
      <c r="C3595" t="s">
        <v>5043</v>
      </c>
      <c r="D3595" t="s">
        <v>8401</v>
      </c>
    </row>
    <row r="3596" spans="1:4" ht="14.45" x14ac:dyDescent="0.3">
      <c r="A3596">
        <v>10825</v>
      </c>
      <c r="B3596" t="s">
        <v>9003</v>
      </c>
      <c r="C3596" t="s">
        <v>5043</v>
      </c>
      <c r="D3596" t="s">
        <v>8401</v>
      </c>
    </row>
    <row r="3597" spans="1:4" ht="14.45" x14ac:dyDescent="0.3">
      <c r="A3597">
        <v>10847</v>
      </c>
      <c r="B3597" t="s">
        <v>9003</v>
      </c>
      <c r="C3597" t="s">
        <v>5043</v>
      </c>
      <c r="D3597" t="s">
        <v>8401</v>
      </c>
    </row>
    <row r="3598" spans="1:4" ht="14.45" x14ac:dyDescent="0.3">
      <c r="A3598">
        <v>11092</v>
      </c>
      <c r="B3598" t="s">
        <v>9003</v>
      </c>
      <c r="C3598" t="s">
        <v>5043</v>
      </c>
      <c r="D3598" t="s">
        <v>8401</v>
      </c>
    </row>
    <row r="3599" spans="1:4" ht="14.45" x14ac:dyDescent="0.3">
      <c r="A3599">
        <v>11155</v>
      </c>
      <c r="B3599" t="s">
        <v>9003</v>
      </c>
      <c r="C3599" t="s">
        <v>5043</v>
      </c>
      <c r="D3599" t="s">
        <v>8401</v>
      </c>
    </row>
    <row r="3600" spans="1:4" ht="14.45" x14ac:dyDescent="0.3">
      <c r="A3600">
        <v>11280</v>
      </c>
      <c r="B3600" t="s">
        <v>9003</v>
      </c>
      <c r="C3600" t="s">
        <v>5043</v>
      </c>
      <c r="D3600" t="s">
        <v>8401</v>
      </c>
    </row>
    <row r="3601" spans="1:4" ht="14.45" x14ac:dyDescent="0.3">
      <c r="A3601">
        <v>11526</v>
      </c>
      <c r="B3601" t="s">
        <v>9003</v>
      </c>
      <c r="C3601" t="s">
        <v>5043</v>
      </c>
      <c r="D3601" t="s">
        <v>8401</v>
      </c>
    </row>
    <row r="3602" spans="1:4" ht="14.45" x14ac:dyDescent="0.3">
      <c r="A3602">
        <v>11585</v>
      </c>
      <c r="B3602" t="s">
        <v>9003</v>
      </c>
      <c r="C3602" t="s">
        <v>5043</v>
      </c>
      <c r="D3602" t="s">
        <v>8401</v>
      </c>
    </row>
    <row r="3603" spans="1:4" ht="14.45" x14ac:dyDescent="0.3">
      <c r="A3603">
        <v>11677</v>
      </c>
      <c r="B3603" t="s">
        <v>9003</v>
      </c>
      <c r="C3603" t="s">
        <v>5043</v>
      </c>
      <c r="D3603" t="s">
        <v>8401</v>
      </c>
    </row>
    <row r="3604" spans="1:4" ht="14.45" x14ac:dyDescent="0.3">
      <c r="A3604">
        <v>11681</v>
      </c>
      <c r="B3604" t="s">
        <v>9003</v>
      </c>
      <c r="C3604" t="s">
        <v>5043</v>
      </c>
      <c r="D3604" t="s">
        <v>8401</v>
      </c>
    </row>
    <row r="3605" spans="1:4" ht="14.45" x14ac:dyDescent="0.3">
      <c r="A3605">
        <v>6677</v>
      </c>
      <c r="B3605" t="s">
        <v>9003</v>
      </c>
      <c r="C3605" t="s">
        <v>5043</v>
      </c>
      <c r="D3605" t="s">
        <v>8401</v>
      </c>
    </row>
    <row r="3606" spans="1:4" ht="14.45" x14ac:dyDescent="0.3">
      <c r="A3606">
        <v>6786</v>
      </c>
      <c r="B3606" t="s">
        <v>9003</v>
      </c>
      <c r="C3606" t="s">
        <v>5043</v>
      </c>
      <c r="D3606" t="s">
        <v>8401</v>
      </c>
    </row>
    <row r="3607" spans="1:4" ht="14.45" x14ac:dyDescent="0.3">
      <c r="A3607">
        <v>6829</v>
      </c>
      <c r="B3607" t="s">
        <v>9003</v>
      </c>
      <c r="C3607" t="s">
        <v>5043</v>
      </c>
      <c r="D3607" t="s">
        <v>8401</v>
      </c>
    </row>
    <row r="3608" spans="1:4" ht="14.45" x14ac:dyDescent="0.3">
      <c r="A3608">
        <v>6874</v>
      </c>
      <c r="B3608" t="s">
        <v>9003</v>
      </c>
      <c r="C3608" t="s">
        <v>5043</v>
      </c>
      <c r="D3608" t="s">
        <v>8401</v>
      </c>
    </row>
    <row r="3609" spans="1:4" ht="14.45" x14ac:dyDescent="0.3">
      <c r="A3609">
        <v>7008</v>
      </c>
      <c r="B3609" t="s">
        <v>9003</v>
      </c>
      <c r="C3609" t="s">
        <v>5043</v>
      </c>
      <c r="D3609" t="s">
        <v>8401</v>
      </c>
    </row>
    <row r="3610" spans="1:4" ht="14.45" x14ac:dyDescent="0.3">
      <c r="A3610">
        <v>7348</v>
      </c>
      <c r="B3610" t="s">
        <v>9003</v>
      </c>
      <c r="C3610" t="s">
        <v>5043</v>
      </c>
      <c r="D3610" t="s">
        <v>8401</v>
      </c>
    </row>
    <row r="3611" spans="1:4" ht="14.45" x14ac:dyDescent="0.3">
      <c r="A3611">
        <v>7440</v>
      </c>
      <c r="B3611" t="s">
        <v>9003</v>
      </c>
      <c r="C3611" t="s">
        <v>5043</v>
      </c>
      <c r="D3611" t="s">
        <v>8401</v>
      </c>
    </row>
    <row r="3612" spans="1:4" ht="14.45" x14ac:dyDescent="0.3">
      <c r="A3612">
        <v>7452</v>
      </c>
      <c r="B3612" t="s">
        <v>9003</v>
      </c>
      <c r="C3612" t="s">
        <v>5043</v>
      </c>
      <c r="D3612" t="s">
        <v>8401</v>
      </c>
    </row>
    <row r="3613" spans="1:4" ht="14.45" x14ac:dyDescent="0.3">
      <c r="A3613">
        <v>7659</v>
      </c>
      <c r="B3613" t="s">
        <v>9003</v>
      </c>
      <c r="C3613" t="s">
        <v>5043</v>
      </c>
      <c r="D3613" t="s">
        <v>8401</v>
      </c>
    </row>
    <row r="3614" spans="1:4" ht="14.45" x14ac:dyDescent="0.3">
      <c r="A3614">
        <v>7765</v>
      </c>
      <c r="B3614" t="s">
        <v>9003</v>
      </c>
      <c r="C3614" t="s">
        <v>5043</v>
      </c>
      <c r="D3614" t="s">
        <v>8401</v>
      </c>
    </row>
    <row r="3615" spans="1:4" ht="14.45" x14ac:dyDescent="0.3">
      <c r="A3615">
        <v>7772</v>
      </c>
      <c r="B3615" t="s">
        <v>9003</v>
      </c>
      <c r="C3615" t="s">
        <v>5043</v>
      </c>
      <c r="D3615" t="s">
        <v>8401</v>
      </c>
    </row>
    <row r="3616" spans="1:4" ht="14.45" x14ac:dyDescent="0.3">
      <c r="A3616">
        <v>7836</v>
      </c>
      <c r="B3616" t="s">
        <v>9003</v>
      </c>
      <c r="C3616" t="s">
        <v>5043</v>
      </c>
      <c r="D3616" t="s">
        <v>8401</v>
      </c>
    </row>
    <row r="3617" spans="1:4" ht="14.45" x14ac:dyDescent="0.3">
      <c r="A3617">
        <v>7995</v>
      </c>
      <c r="B3617" t="s">
        <v>9003</v>
      </c>
      <c r="C3617" t="s">
        <v>5043</v>
      </c>
      <c r="D3617" t="s">
        <v>8401</v>
      </c>
    </row>
    <row r="3618" spans="1:4" ht="14.45" x14ac:dyDescent="0.3">
      <c r="A3618">
        <v>8050</v>
      </c>
      <c r="B3618" t="s">
        <v>9003</v>
      </c>
      <c r="C3618" t="s">
        <v>5043</v>
      </c>
      <c r="D3618" t="s">
        <v>8401</v>
      </c>
    </row>
    <row r="3619" spans="1:4" ht="14.45" x14ac:dyDescent="0.3">
      <c r="A3619">
        <v>8100</v>
      </c>
      <c r="B3619" t="s">
        <v>9003</v>
      </c>
      <c r="C3619" t="s">
        <v>5043</v>
      </c>
      <c r="D3619" t="s">
        <v>8401</v>
      </c>
    </row>
    <row r="3620" spans="1:4" ht="14.45" x14ac:dyDescent="0.3">
      <c r="A3620">
        <v>8180</v>
      </c>
      <c r="B3620" t="s">
        <v>9003</v>
      </c>
      <c r="C3620" t="s">
        <v>5043</v>
      </c>
      <c r="D3620" t="s">
        <v>8401</v>
      </c>
    </row>
    <row r="3621" spans="1:4" ht="14.45" x14ac:dyDescent="0.3">
      <c r="A3621">
        <v>8406</v>
      </c>
      <c r="B3621" t="s">
        <v>9003</v>
      </c>
      <c r="C3621" t="s">
        <v>5043</v>
      </c>
      <c r="D3621" t="s">
        <v>8401</v>
      </c>
    </row>
    <row r="3622" spans="1:4" ht="14.45" x14ac:dyDescent="0.3">
      <c r="A3622">
        <v>8433</v>
      </c>
      <c r="B3622" t="s">
        <v>9003</v>
      </c>
      <c r="C3622" t="s">
        <v>5043</v>
      </c>
      <c r="D3622" t="s">
        <v>8401</v>
      </c>
    </row>
    <row r="3623" spans="1:4" ht="14.45" x14ac:dyDescent="0.3">
      <c r="A3623">
        <v>8467</v>
      </c>
      <c r="B3623" t="s">
        <v>9003</v>
      </c>
      <c r="C3623" t="s">
        <v>5043</v>
      </c>
      <c r="D3623" t="s">
        <v>8401</v>
      </c>
    </row>
    <row r="3624" spans="1:4" ht="14.45" x14ac:dyDescent="0.3">
      <c r="A3624">
        <v>8629</v>
      </c>
      <c r="B3624" t="s">
        <v>9003</v>
      </c>
      <c r="C3624" t="s">
        <v>5043</v>
      </c>
      <c r="D3624" t="s">
        <v>8401</v>
      </c>
    </row>
    <row r="3625" spans="1:4" ht="14.45" x14ac:dyDescent="0.3">
      <c r="A3625">
        <v>8640</v>
      </c>
      <c r="B3625" t="s">
        <v>9003</v>
      </c>
      <c r="C3625" t="s">
        <v>5043</v>
      </c>
      <c r="D3625" t="s">
        <v>8401</v>
      </c>
    </row>
    <row r="3626" spans="1:4" ht="14.45" x14ac:dyDescent="0.3">
      <c r="A3626">
        <v>8812</v>
      </c>
      <c r="B3626" t="s">
        <v>9003</v>
      </c>
      <c r="C3626" t="s">
        <v>5043</v>
      </c>
      <c r="D3626" t="s">
        <v>8401</v>
      </c>
    </row>
    <row r="3627" spans="1:4" ht="14.45" x14ac:dyDescent="0.3">
      <c r="A3627">
        <v>8818</v>
      </c>
      <c r="B3627" t="s">
        <v>9003</v>
      </c>
      <c r="C3627" t="s">
        <v>5043</v>
      </c>
      <c r="D3627" t="s">
        <v>8401</v>
      </c>
    </row>
    <row r="3628" spans="1:4" ht="14.45" x14ac:dyDescent="0.3">
      <c r="A3628">
        <v>8885</v>
      </c>
      <c r="B3628" t="s">
        <v>9003</v>
      </c>
      <c r="C3628" t="s">
        <v>5043</v>
      </c>
      <c r="D3628" t="s">
        <v>8401</v>
      </c>
    </row>
    <row r="3629" spans="1:4" ht="14.45" x14ac:dyDescent="0.3">
      <c r="A3629">
        <v>9005</v>
      </c>
      <c r="B3629" t="s">
        <v>9003</v>
      </c>
      <c r="C3629" t="s">
        <v>5043</v>
      </c>
      <c r="D3629" t="s">
        <v>8401</v>
      </c>
    </row>
    <row r="3630" spans="1:4" ht="14.45" x14ac:dyDescent="0.3">
      <c r="A3630">
        <v>9060</v>
      </c>
      <c r="B3630" t="s">
        <v>9003</v>
      </c>
      <c r="C3630" t="s">
        <v>5043</v>
      </c>
      <c r="D3630" t="s">
        <v>8401</v>
      </c>
    </row>
    <row r="3631" spans="1:4" ht="14.45" x14ac:dyDescent="0.3">
      <c r="A3631">
        <v>9262</v>
      </c>
      <c r="B3631" t="s">
        <v>9003</v>
      </c>
      <c r="C3631" t="s">
        <v>5043</v>
      </c>
      <c r="D3631" t="s">
        <v>8401</v>
      </c>
    </row>
    <row r="3632" spans="1:4" ht="14.45" x14ac:dyDescent="0.3">
      <c r="A3632">
        <v>9476</v>
      </c>
      <c r="B3632" t="s">
        <v>9003</v>
      </c>
      <c r="C3632" t="s">
        <v>5043</v>
      </c>
      <c r="D3632" t="s">
        <v>8401</v>
      </c>
    </row>
    <row r="3633" spans="1:4" ht="14.45" x14ac:dyDescent="0.3">
      <c r="A3633">
        <v>9480</v>
      </c>
      <c r="B3633" t="s">
        <v>9003</v>
      </c>
      <c r="C3633" t="s">
        <v>5043</v>
      </c>
      <c r="D3633" t="s">
        <v>8401</v>
      </c>
    </row>
    <row r="3634" spans="1:4" ht="14.45" x14ac:dyDescent="0.3">
      <c r="A3634">
        <v>9842</v>
      </c>
      <c r="B3634" t="s">
        <v>9003</v>
      </c>
      <c r="C3634" t="s">
        <v>5043</v>
      </c>
      <c r="D3634" t="s">
        <v>8401</v>
      </c>
    </row>
    <row r="3635" spans="1:4" ht="14.45" x14ac:dyDescent="0.3">
      <c r="A3635">
        <v>9942</v>
      </c>
      <c r="B3635" t="s">
        <v>9003</v>
      </c>
      <c r="C3635" t="s">
        <v>5043</v>
      </c>
      <c r="D3635" t="s">
        <v>8401</v>
      </c>
    </row>
    <row r="3636" spans="1:4" ht="14.45" x14ac:dyDescent="0.3">
      <c r="A3636">
        <v>10103</v>
      </c>
      <c r="B3636" t="s">
        <v>10674</v>
      </c>
      <c r="C3636" t="s">
        <v>5043</v>
      </c>
      <c r="D3636" t="s">
        <v>8401</v>
      </c>
    </row>
    <row r="3637" spans="1:4" ht="14.45" x14ac:dyDescent="0.3">
      <c r="A3637">
        <v>6606</v>
      </c>
      <c r="B3637" t="s">
        <v>10674</v>
      </c>
      <c r="C3637" t="s">
        <v>5043</v>
      </c>
      <c r="D3637" t="s">
        <v>8401</v>
      </c>
    </row>
    <row r="3638" spans="1:4" ht="14.45" x14ac:dyDescent="0.3">
      <c r="A3638">
        <v>6925</v>
      </c>
      <c r="B3638" t="s">
        <v>10674</v>
      </c>
      <c r="C3638" t="s">
        <v>5043</v>
      </c>
      <c r="D3638" t="s">
        <v>8401</v>
      </c>
    </row>
    <row r="3639" spans="1:4" ht="14.45" x14ac:dyDescent="0.3">
      <c r="A3639">
        <v>8187</v>
      </c>
      <c r="B3639" t="s">
        <v>10674</v>
      </c>
      <c r="C3639" t="s">
        <v>5043</v>
      </c>
      <c r="D3639" t="s">
        <v>8401</v>
      </c>
    </row>
    <row r="3640" spans="1:4" ht="14.45" x14ac:dyDescent="0.3">
      <c r="A3640">
        <v>8397</v>
      </c>
      <c r="B3640" t="s">
        <v>10674</v>
      </c>
      <c r="C3640" t="s">
        <v>5043</v>
      </c>
      <c r="D3640" t="s">
        <v>8401</v>
      </c>
    </row>
    <row r="3641" spans="1:4" ht="14.45" x14ac:dyDescent="0.3">
      <c r="A3641">
        <v>11079</v>
      </c>
      <c r="B3641" t="s">
        <v>9004</v>
      </c>
      <c r="C3641" t="s">
        <v>5043</v>
      </c>
      <c r="D3641" t="s">
        <v>8401</v>
      </c>
    </row>
    <row r="3642" spans="1:4" ht="14.45" x14ac:dyDescent="0.3">
      <c r="A3642">
        <v>12663</v>
      </c>
      <c r="B3642" t="s">
        <v>9004</v>
      </c>
      <c r="C3642" t="s">
        <v>5043</v>
      </c>
      <c r="D3642" t="s">
        <v>8401</v>
      </c>
    </row>
    <row r="3643" spans="1:4" ht="14.45" x14ac:dyDescent="0.3">
      <c r="A3643">
        <v>6438</v>
      </c>
      <c r="B3643" t="s">
        <v>9004</v>
      </c>
      <c r="C3643" t="s">
        <v>5043</v>
      </c>
      <c r="D3643" t="s">
        <v>8401</v>
      </c>
    </row>
    <row r="3644" spans="1:4" ht="14.45" x14ac:dyDescent="0.3">
      <c r="A3644">
        <v>7685</v>
      </c>
      <c r="B3644" t="s">
        <v>9004</v>
      </c>
      <c r="C3644" t="s">
        <v>5043</v>
      </c>
      <c r="D3644" t="s">
        <v>8401</v>
      </c>
    </row>
    <row r="3645" spans="1:4" ht="14.45" x14ac:dyDescent="0.3">
      <c r="A3645">
        <v>8181</v>
      </c>
      <c r="B3645" t="s">
        <v>9004</v>
      </c>
      <c r="C3645" t="s">
        <v>5043</v>
      </c>
      <c r="D3645" t="s">
        <v>8401</v>
      </c>
    </row>
    <row r="3646" spans="1:4" ht="14.45" x14ac:dyDescent="0.3">
      <c r="A3646">
        <v>8328</v>
      </c>
      <c r="B3646" t="s">
        <v>9004</v>
      </c>
      <c r="C3646" t="s">
        <v>5043</v>
      </c>
      <c r="D3646" t="s">
        <v>8401</v>
      </c>
    </row>
    <row r="3647" spans="1:4" ht="14.45" x14ac:dyDescent="0.3">
      <c r="A3647">
        <v>8763</v>
      </c>
      <c r="B3647" t="s">
        <v>9004</v>
      </c>
      <c r="C3647" t="s">
        <v>5043</v>
      </c>
      <c r="D3647" t="s">
        <v>8401</v>
      </c>
    </row>
    <row r="3648" spans="1:4" ht="14.45" x14ac:dyDescent="0.3">
      <c r="A3648">
        <v>8897</v>
      </c>
      <c r="B3648" t="s">
        <v>9004</v>
      </c>
      <c r="C3648" t="s">
        <v>5043</v>
      </c>
      <c r="D3648" t="s">
        <v>8401</v>
      </c>
    </row>
    <row r="3649" spans="1:4" ht="14.45" x14ac:dyDescent="0.3">
      <c r="A3649">
        <v>10277</v>
      </c>
      <c r="B3649" t="s">
        <v>10675</v>
      </c>
      <c r="C3649" t="s">
        <v>5043</v>
      </c>
      <c r="D3649" t="s">
        <v>8401</v>
      </c>
    </row>
    <row r="3650" spans="1:4" ht="14.45" x14ac:dyDescent="0.3">
      <c r="A3650">
        <v>7911</v>
      </c>
      <c r="B3650" t="s">
        <v>10675</v>
      </c>
      <c r="C3650" t="s">
        <v>5043</v>
      </c>
      <c r="D3650" t="s">
        <v>8401</v>
      </c>
    </row>
    <row r="3651" spans="1:4" ht="14.45" x14ac:dyDescent="0.3">
      <c r="A3651">
        <v>8096</v>
      </c>
      <c r="B3651" t="s">
        <v>10675</v>
      </c>
      <c r="C3651" t="s">
        <v>5043</v>
      </c>
      <c r="D3651" t="s">
        <v>8401</v>
      </c>
    </row>
    <row r="3652" spans="1:4" ht="14.45" x14ac:dyDescent="0.3">
      <c r="A3652">
        <v>12263</v>
      </c>
      <c r="B3652" t="s">
        <v>11514</v>
      </c>
      <c r="C3652" t="s">
        <v>5043</v>
      </c>
      <c r="D3652" t="s">
        <v>8401</v>
      </c>
    </row>
    <row r="3653" spans="1:4" ht="14.45" x14ac:dyDescent="0.3">
      <c r="A3653">
        <v>12278</v>
      </c>
      <c r="B3653" t="s">
        <v>11515</v>
      </c>
      <c r="C3653" t="s">
        <v>5043</v>
      </c>
      <c r="D3653" t="s">
        <v>8401</v>
      </c>
    </row>
    <row r="3654" spans="1:4" ht="14.45" x14ac:dyDescent="0.3">
      <c r="A3654">
        <v>12293</v>
      </c>
      <c r="B3654" t="s">
        <v>11515</v>
      </c>
      <c r="C3654" t="s">
        <v>5043</v>
      </c>
      <c r="D3654" t="s">
        <v>8401</v>
      </c>
    </row>
    <row r="3655" spans="1:4" ht="14.45" x14ac:dyDescent="0.3">
      <c r="A3655">
        <v>12331</v>
      </c>
      <c r="B3655" t="s">
        <v>11515</v>
      </c>
      <c r="C3655" t="s">
        <v>5043</v>
      </c>
      <c r="D3655" t="s">
        <v>8401</v>
      </c>
    </row>
    <row r="3656" spans="1:4" ht="14.45" x14ac:dyDescent="0.3">
      <c r="A3656">
        <v>12273</v>
      </c>
      <c r="B3656" t="s">
        <v>11516</v>
      </c>
      <c r="C3656" t="s">
        <v>5043</v>
      </c>
      <c r="D3656" t="s">
        <v>8401</v>
      </c>
    </row>
    <row r="3657" spans="1:4" ht="14.45" x14ac:dyDescent="0.3">
      <c r="A3657">
        <v>12305</v>
      </c>
      <c r="B3657" t="s">
        <v>11516</v>
      </c>
      <c r="C3657" t="s">
        <v>5043</v>
      </c>
      <c r="D3657" t="s">
        <v>8401</v>
      </c>
    </row>
    <row r="3658" spans="1:4" ht="14.45" x14ac:dyDescent="0.3">
      <c r="A3658">
        <v>10138</v>
      </c>
      <c r="B3658" t="s">
        <v>10676</v>
      </c>
      <c r="C3658" t="s">
        <v>5043</v>
      </c>
      <c r="D3658" t="s">
        <v>8401</v>
      </c>
    </row>
    <row r="3659" spans="1:4" ht="14.45" x14ac:dyDescent="0.3">
      <c r="A3659">
        <v>8902</v>
      </c>
      <c r="B3659" t="s">
        <v>10676</v>
      </c>
      <c r="C3659" t="s">
        <v>5043</v>
      </c>
      <c r="D3659" t="s">
        <v>8401</v>
      </c>
    </row>
    <row r="3660" spans="1:4" ht="14.45" x14ac:dyDescent="0.3">
      <c r="A3660">
        <v>7035</v>
      </c>
      <c r="B3660" t="s">
        <v>9005</v>
      </c>
      <c r="C3660" t="s">
        <v>5043</v>
      </c>
      <c r="D3660" t="s">
        <v>8401</v>
      </c>
    </row>
    <row r="3661" spans="1:4" ht="14.45" x14ac:dyDescent="0.3">
      <c r="A3661">
        <v>8609</v>
      </c>
      <c r="B3661" t="s">
        <v>9006</v>
      </c>
      <c r="C3661" t="s">
        <v>5043</v>
      </c>
      <c r="D3661" t="s">
        <v>8401</v>
      </c>
    </row>
    <row r="3662" spans="1:4" ht="14.45" x14ac:dyDescent="0.3">
      <c r="A3662">
        <v>11188</v>
      </c>
      <c r="B3662" t="s">
        <v>9007</v>
      </c>
      <c r="C3662" t="s">
        <v>5043</v>
      </c>
      <c r="D3662" t="s">
        <v>8401</v>
      </c>
    </row>
    <row r="3663" spans="1:4" ht="14.45" x14ac:dyDescent="0.3">
      <c r="A3663">
        <v>9966</v>
      </c>
      <c r="B3663" t="s">
        <v>9007</v>
      </c>
      <c r="C3663" t="s">
        <v>5043</v>
      </c>
      <c r="D3663" t="s">
        <v>8401</v>
      </c>
    </row>
    <row r="3664" spans="1:4" ht="14.45" x14ac:dyDescent="0.3">
      <c r="A3664">
        <v>10572</v>
      </c>
      <c r="B3664" t="s">
        <v>9008</v>
      </c>
      <c r="C3664" t="s">
        <v>5043</v>
      </c>
      <c r="D3664" t="s">
        <v>8401</v>
      </c>
    </row>
    <row r="3665" spans="1:4" ht="14.45" x14ac:dyDescent="0.3">
      <c r="A3665">
        <v>7386</v>
      </c>
      <c r="B3665" t="s">
        <v>9008</v>
      </c>
      <c r="C3665" t="s">
        <v>5043</v>
      </c>
      <c r="D3665" t="s">
        <v>8401</v>
      </c>
    </row>
    <row r="3666" spans="1:4" ht="14.45" x14ac:dyDescent="0.3">
      <c r="A3666">
        <v>8750</v>
      </c>
      <c r="B3666" t="s">
        <v>9008</v>
      </c>
      <c r="C3666" t="s">
        <v>5043</v>
      </c>
      <c r="D3666" t="s">
        <v>8401</v>
      </c>
    </row>
    <row r="3667" spans="1:4" ht="14.45" x14ac:dyDescent="0.3">
      <c r="A3667">
        <v>9659</v>
      </c>
      <c r="B3667" t="s">
        <v>9008</v>
      </c>
      <c r="C3667" t="s">
        <v>5043</v>
      </c>
      <c r="D3667" t="s">
        <v>8401</v>
      </c>
    </row>
    <row r="3668" spans="1:4" ht="14.45" x14ac:dyDescent="0.3">
      <c r="A3668">
        <v>6830</v>
      </c>
      <c r="B3668" t="s">
        <v>9009</v>
      </c>
      <c r="C3668" t="s">
        <v>5043</v>
      </c>
      <c r="D3668" t="s">
        <v>8401</v>
      </c>
    </row>
    <row r="3669" spans="1:4" ht="14.45" x14ac:dyDescent="0.3">
      <c r="A3669">
        <v>8707</v>
      </c>
      <c r="B3669" t="s">
        <v>10677</v>
      </c>
      <c r="C3669" t="s">
        <v>5043</v>
      </c>
      <c r="D3669" t="s">
        <v>8401</v>
      </c>
    </row>
    <row r="3670" spans="1:4" ht="14.45" x14ac:dyDescent="0.3">
      <c r="A3670">
        <v>10734</v>
      </c>
      <c r="B3670" t="s">
        <v>10678</v>
      </c>
      <c r="C3670" t="s">
        <v>5043</v>
      </c>
      <c r="D3670" t="s">
        <v>8401</v>
      </c>
    </row>
    <row r="3671" spans="1:4" ht="14.45" x14ac:dyDescent="0.3">
      <c r="A3671">
        <v>7887</v>
      </c>
      <c r="B3671" t="s">
        <v>10678</v>
      </c>
      <c r="C3671" t="s">
        <v>5043</v>
      </c>
      <c r="D3671" t="s">
        <v>8401</v>
      </c>
    </row>
    <row r="3672" spans="1:4" ht="14.45" x14ac:dyDescent="0.3">
      <c r="A3672">
        <v>8907</v>
      </c>
      <c r="B3672" t="s">
        <v>10678</v>
      </c>
      <c r="C3672" t="s">
        <v>5043</v>
      </c>
      <c r="D3672" t="s">
        <v>8401</v>
      </c>
    </row>
    <row r="3673" spans="1:4" ht="14.45" x14ac:dyDescent="0.3">
      <c r="A3673">
        <v>11137</v>
      </c>
      <c r="B3673" t="s">
        <v>9010</v>
      </c>
      <c r="C3673" t="s">
        <v>5043</v>
      </c>
      <c r="D3673" t="s">
        <v>8401</v>
      </c>
    </row>
    <row r="3674" spans="1:4" ht="14.45" x14ac:dyDescent="0.3">
      <c r="A3674">
        <v>8006</v>
      </c>
      <c r="B3674" t="s">
        <v>9010</v>
      </c>
      <c r="C3674" t="s">
        <v>5043</v>
      </c>
      <c r="D3674" t="s">
        <v>8401</v>
      </c>
    </row>
    <row r="3675" spans="1:4" ht="14.45" x14ac:dyDescent="0.3">
      <c r="A3675">
        <v>8515</v>
      </c>
      <c r="B3675" t="s">
        <v>9010</v>
      </c>
      <c r="C3675" t="s">
        <v>5043</v>
      </c>
      <c r="D3675" t="s">
        <v>8401</v>
      </c>
    </row>
    <row r="3676" spans="1:4" ht="14.45" x14ac:dyDescent="0.3">
      <c r="A3676">
        <v>8915</v>
      </c>
      <c r="B3676" t="s">
        <v>9010</v>
      </c>
      <c r="C3676" t="s">
        <v>5043</v>
      </c>
      <c r="D3676" t="s">
        <v>8401</v>
      </c>
    </row>
    <row r="3677" spans="1:4" ht="14.45" x14ac:dyDescent="0.3">
      <c r="A3677">
        <v>10452</v>
      </c>
      <c r="B3677" t="s">
        <v>10679</v>
      </c>
      <c r="C3677" t="s">
        <v>5043</v>
      </c>
      <c r="D3677" t="s">
        <v>8401</v>
      </c>
    </row>
    <row r="3678" spans="1:4" ht="14.45" x14ac:dyDescent="0.3">
      <c r="A3678">
        <v>7095</v>
      </c>
      <c r="B3678" t="s">
        <v>10679</v>
      </c>
      <c r="C3678" t="s">
        <v>5043</v>
      </c>
      <c r="D3678" t="s">
        <v>8401</v>
      </c>
    </row>
    <row r="3679" spans="1:4" ht="14.45" x14ac:dyDescent="0.3">
      <c r="A3679">
        <v>7964</v>
      </c>
      <c r="B3679" t="s">
        <v>10679</v>
      </c>
      <c r="C3679" t="s">
        <v>5043</v>
      </c>
      <c r="D3679" t="s">
        <v>8401</v>
      </c>
    </row>
    <row r="3680" spans="1:4" ht="14.45" x14ac:dyDescent="0.3">
      <c r="A3680">
        <v>7340</v>
      </c>
      <c r="B3680" t="s">
        <v>10680</v>
      </c>
      <c r="C3680" t="s">
        <v>5043</v>
      </c>
      <c r="D3680" t="s">
        <v>8401</v>
      </c>
    </row>
    <row r="3681" spans="1:4" ht="14.45" x14ac:dyDescent="0.3">
      <c r="A3681">
        <v>7076</v>
      </c>
      <c r="B3681" t="s">
        <v>10681</v>
      </c>
      <c r="C3681" t="s">
        <v>5043</v>
      </c>
      <c r="D3681" t="s">
        <v>8401</v>
      </c>
    </row>
    <row r="3682" spans="1:4" ht="14.45" x14ac:dyDescent="0.3">
      <c r="A3682">
        <v>10475</v>
      </c>
      <c r="B3682" t="s">
        <v>9011</v>
      </c>
      <c r="C3682" t="s">
        <v>5043</v>
      </c>
      <c r="D3682" t="s">
        <v>8401</v>
      </c>
    </row>
    <row r="3683" spans="1:4" ht="14.45" x14ac:dyDescent="0.3">
      <c r="A3683">
        <v>9774</v>
      </c>
      <c r="B3683" t="s">
        <v>9011</v>
      </c>
      <c r="C3683" t="s">
        <v>5043</v>
      </c>
      <c r="D3683" t="s">
        <v>8401</v>
      </c>
    </row>
    <row r="3684" spans="1:4" ht="14.45" x14ac:dyDescent="0.3">
      <c r="A3684">
        <v>11413</v>
      </c>
      <c r="B3684" t="s">
        <v>10682</v>
      </c>
      <c r="C3684" t="s">
        <v>5043</v>
      </c>
      <c r="D3684" t="s">
        <v>8401</v>
      </c>
    </row>
    <row r="3685" spans="1:4" ht="14.45" x14ac:dyDescent="0.3">
      <c r="A3685">
        <v>11501</v>
      </c>
      <c r="B3685" t="s">
        <v>10682</v>
      </c>
      <c r="C3685" t="s">
        <v>5043</v>
      </c>
      <c r="D3685" t="s">
        <v>8401</v>
      </c>
    </row>
    <row r="3686" spans="1:4" ht="14.45" x14ac:dyDescent="0.3">
      <c r="A3686">
        <v>9554</v>
      </c>
      <c r="B3686" t="s">
        <v>10682</v>
      </c>
      <c r="C3686" t="s">
        <v>5043</v>
      </c>
      <c r="D3686" t="s">
        <v>8401</v>
      </c>
    </row>
    <row r="3687" spans="1:4" ht="14.45" x14ac:dyDescent="0.3">
      <c r="A3687">
        <v>9839</v>
      </c>
      <c r="B3687" t="s">
        <v>10682</v>
      </c>
      <c r="C3687" t="s">
        <v>5043</v>
      </c>
      <c r="D3687" t="s">
        <v>8401</v>
      </c>
    </row>
    <row r="3688" spans="1:4" ht="14.45" x14ac:dyDescent="0.3">
      <c r="A3688">
        <v>10826</v>
      </c>
      <c r="B3688" t="s">
        <v>9012</v>
      </c>
      <c r="C3688" t="s">
        <v>5043</v>
      </c>
      <c r="D3688" t="s">
        <v>8401</v>
      </c>
    </row>
    <row r="3689" spans="1:4" ht="14.45" x14ac:dyDescent="0.3">
      <c r="A3689">
        <v>6768</v>
      </c>
      <c r="B3689" t="s">
        <v>9012</v>
      </c>
      <c r="C3689" t="s">
        <v>5043</v>
      </c>
      <c r="D3689" t="s">
        <v>8401</v>
      </c>
    </row>
    <row r="3690" spans="1:4" ht="14.45" x14ac:dyDescent="0.3">
      <c r="A3690">
        <v>7107</v>
      </c>
      <c r="B3690" t="s">
        <v>10683</v>
      </c>
      <c r="C3690" t="s">
        <v>5043</v>
      </c>
      <c r="D3690" t="s">
        <v>8401</v>
      </c>
    </row>
    <row r="3691" spans="1:4" ht="14.45" x14ac:dyDescent="0.3">
      <c r="A3691">
        <v>10595</v>
      </c>
      <c r="B3691" t="s">
        <v>10684</v>
      </c>
      <c r="C3691" t="s">
        <v>5043</v>
      </c>
      <c r="D3691" t="s">
        <v>8401</v>
      </c>
    </row>
    <row r="3692" spans="1:4" ht="14.45" x14ac:dyDescent="0.3">
      <c r="A3692">
        <v>10613</v>
      </c>
      <c r="B3692" t="s">
        <v>10684</v>
      </c>
      <c r="C3692" t="s">
        <v>5043</v>
      </c>
      <c r="D3692" t="s">
        <v>8401</v>
      </c>
    </row>
    <row r="3693" spans="1:4" ht="14.45" x14ac:dyDescent="0.3">
      <c r="A3693">
        <v>11383</v>
      </c>
      <c r="B3693" t="s">
        <v>10684</v>
      </c>
      <c r="C3693" t="s">
        <v>5043</v>
      </c>
      <c r="D3693" t="s">
        <v>8401</v>
      </c>
    </row>
    <row r="3694" spans="1:4" ht="14.45" x14ac:dyDescent="0.3">
      <c r="A3694">
        <v>7106</v>
      </c>
      <c r="B3694" t="s">
        <v>10684</v>
      </c>
      <c r="C3694" t="s">
        <v>5043</v>
      </c>
      <c r="D3694" t="s">
        <v>8401</v>
      </c>
    </row>
    <row r="3695" spans="1:4" ht="14.45" x14ac:dyDescent="0.3">
      <c r="A3695">
        <v>7311</v>
      </c>
      <c r="B3695" t="s">
        <v>10684</v>
      </c>
      <c r="C3695" t="s">
        <v>5043</v>
      </c>
      <c r="D3695" t="s">
        <v>8401</v>
      </c>
    </row>
    <row r="3696" spans="1:4" ht="14.45" x14ac:dyDescent="0.3">
      <c r="A3696">
        <v>8373</v>
      </c>
      <c r="B3696" t="s">
        <v>10684</v>
      </c>
      <c r="C3696" t="s">
        <v>5043</v>
      </c>
      <c r="D3696" t="s">
        <v>8401</v>
      </c>
    </row>
    <row r="3697" spans="1:4" ht="14.45" x14ac:dyDescent="0.3">
      <c r="A3697">
        <v>8716</v>
      </c>
      <c r="B3697" t="s">
        <v>10684</v>
      </c>
      <c r="C3697" t="s">
        <v>5043</v>
      </c>
      <c r="D3697" t="s">
        <v>8401</v>
      </c>
    </row>
    <row r="3698" spans="1:4" ht="14.45" x14ac:dyDescent="0.3">
      <c r="A3698">
        <v>9122</v>
      </c>
      <c r="B3698" t="s">
        <v>10684</v>
      </c>
      <c r="C3698" t="s">
        <v>5043</v>
      </c>
      <c r="D3698" t="s">
        <v>8401</v>
      </c>
    </row>
    <row r="3699" spans="1:4" ht="14.45" x14ac:dyDescent="0.3">
      <c r="A3699">
        <v>9810</v>
      </c>
      <c r="B3699" t="s">
        <v>10684</v>
      </c>
      <c r="C3699" t="s">
        <v>5043</v>
      </c>
      <c r="D3699" t="s">
        <v>8401</v>
      </c>
    </row>
    <row r="3700" spans="1:4" ht="14.45" x14ac:dyDescent="0.3">
      <c r="A3700">
        <v>7817</v>
      </c>
      <c r="B3700" t="s">
        <v>10685</v>
      </c>
      <c r="C3700" t="s">
        <v>5043</v>
      </c>
      <c r="D3700" t="s">
        <v>8401</v>
      </c>
    </row>
    <row r="3701" spans="1:4" ht="14.45" x14ac:dyDescent="0.3">
      <c r="A3701">
        <v>10377</v>
      </c>
      <c r="B3701" t="s">
        <v>10686</v>
      </c>
      <c r="C3701" t="s">
        <v>5043</v>
      </c>
      <c r="D3701" t="s">
        <v>8401</v>
      </c>
    </row>
    <row r="3702" spans="1:4" ht="14.45" x14ac:dyDescent="0.3">
      <c r="A3702">
        <v>7345</v>
      </c>
      <c r="B3702" t="s">
        <v>10687</v>
      </c>
      <c r="C3702" t="s">
        <v>5043</v>
      </c>
      <c r="D3702" t="s">
        <v>8401</v>
      </c>
    </row>
    <row r="3703" spans="1:4" ht="14.45" x14ac:dyDescent="0.3">
      <c r="A3703">
        <v>9775</v>
      </c>
      <c r="B3703" t="s">
        <v>10687</v>
      </c>
      <c r="C3703" t="s">
        <v>5043</v>
      </c>
      <c r="D3703" t="s">
        <v>8401</v>
      </c>
    </row>
    <row r="3704" spans="1:4" ht="14.45" x14ac:dyDescent="0.3">
      <c r="A3704">
        <v>10517</v>
      </c>
      <c r="B3704" t="s">
        <v>10688</v>
      </c>
      <c r="C3704" t="s">
        <v>5043</v>
      </c>
      <c r="D3704" t="s">
        <v>8401</v>
      </c>
    </row>
    <row r="3705" spans="1:4" ht="14.45" x14ac:dyDescent="0.3">
      <c r="A3705">
        <v>11352</v>
      </c>
      <c r="B3705" t="s">
        <v>10689</v>
      </c>
      <c r="C3705" t="s">
        <v>5043</v>
      </c>
      <c r="D3705" t="s">
        <v>8401</v>
      </c>
    </row>
    <row r="3706" spans="1:4" ht="14.45" x14ac:dyDescent="0.3">
      <c r="A3706">
        <v>7324</v>
      </c>
      <c r="B3706" t="s">
        <v>10689</v>
      </c>
      <c r="C3706" t="s">
        <v>5043</v>
      </c>
      <c r="D3706" t="s">
        <v>8401</v>
      </c>
    </row>
    <row r="3707" spans="1:4" ht="14.45" x14ac:dyDescent="0.3">
      <c r="A3707">
        <v>8015</v>
      </c>
      <c r="B3707" t="s">
        <v>10689</v>
      </c>
      <c r="C3707" t="s">
        <v>5043</v>
      </c>
      <c r="D3707" t="s">
        <v>8401</v>
      </c>
    </row>
    <row r="3708" spans="1:4" ht="14.45" x14ac:dyDescent="0.3">
      <c r="A3708">
        <v>8797</v>
      </c>
      <c r="B3708" t="s">
        <v>10690</v>
      </c>
      <c r="C3708" t="s">
        <v>5043</v>
      </c>
      <c r="D3708" t="s">
        <v>8401</v>
      </c>
    </row>
    <row r="3709" spans="1:4" ht="14.45" x14ac:dyDescent="0.3">
      <c r="A3709">
        <v>6507</v>
      </c>
      <c r="B3709" t="s">
        <v>10691</v>
      </c>
      <c r="C3709" t="s">
        <v>5043</v>
      </c>
      <c r="D3709" t="s">
        <v>8401</v>
      </c>
    </row>
    <row r="3710" spans="1:4" ht="14.45" x14ac:dyDescent="0.3">
      <c r="A3710">
        <v>7831</v>
      </c>
      <c r="B3710" t="s">
        <v>10691</v>
      </c>
      <c r="C3710" t="s">
        <v>5043</v>
      </c>
      <c r="D3710" t="s">
        <v>8401</v>
      </c>
    </row>
    <row r="3711" spans="1:4" ht="14.45" x14ac:dyDescent="0.3">
      <c r="A3711">
        <v>8414</v>
      </c>
      <c r="B3711" t="s">
        <v>10691</v>
      </c>
      <c r="C3711" t="s">
        <v>5043</v>
      </c>
      <c r="D3711" t="s">
        <v>8401</v>
      </c>
    </row>
    <row r="3712" spans="1:4" ht="14.45" x14ac:dyDescent="0.3">
      <c r="A3712">
        <v>11198</v>
      </c>
      <c r="B3712" t="s">
        <v>10692</v>
      </c>
      <c r="C3712" t="s">
        <v>5043</v>
      </c>
      <c r="D3712" t="s">
        <v>8401</v>
      </c>
    </row>
    <row r="3713" spans="1:4" ht="14.45" x14ac:dyDescent="0.3">
      <c r="A3713">
        <v>10199</v>
      </c>
      <c r="B3713" t="s">
        <v>10693</v>
      </c>
      <c r="C3713" t="s">
        <v>5043</v>
      </c>
      <c r="D3713" t="s">
        <v>8401</v>
      </c>
    </row>
    <row r="3714" spans="1:4" ht="14.45" x14ac:dyDescent="0.3">
      <c r="A3714">
        <v>10455</v>
      </c>
      <c r="B3714" t="s">
        <v>10693</v>
      </c>
      <c r="C3714" t="s">
        <v>5043</v>
      </c>
      <c r="D3714" t="s">
        <v>8401</v>
      </c>
    </row>
    <row r="3715" spans="1:4" ht="14.45" x14ac:dyDescent="0.3">
      <c r="A3715">
        <v>10511</v>
      </c>
      <c r="B3715" t="s">
        <v>10693</v>
      </c>
      <c r="C3715" t="s">
        <v>5043</v>
      </c>
      <c r="D3715" t="s">
        <v>8401</v>
      </c>
    </row>
    <row r="3716" spans="1:4" ht="14.45" x14ac:dyDescent="0.3">
      <c r="A3716">
        <v>10890</v>
      </c>
      <c r="B3716" t="s">
        <v>10693</v>
      </c>
      <c r="C3716" t="s">
        <v>5043</v>
      </c>
      <c r="D3716" t="s">
        <v>8401</v>
      </c>
    </row>
    <row r="3717" spans="1:4" ht="14.45" x14ac:dyDescent="0.3">
      <c r="A3717">
        <v>7694</v>
      </c>
      <c r="B3717" t="s">
        <v>10693</v>
      </c>
      <c r="C3717" t="s">
        <v>5043</v>
      </c>
      <c r="D3717" t="s">
        <v>8401</v>
      </c>
    </row>
    <row r="3718" spans="1:4" ht="14.45" x14ac:dyDescent="0.3">
      <c r="A3718">
        <v>7771</v>
      </c>
      <c r="B3718" t="s">
        <v>10693</v>
      </c>
      <c r="C3718" t="s">
        <v>5043</v>
      </c>
      <c r="D3718" t="s">
        <v>8401</v>
      </c>
    </row>
    <row r="3719" spans="1:4" ht="14.45" x14ac:dyDescent="0.3">
      <c r="A3719">
        <v>7135</v>
      </c>
      <c r="B3719" t="s">
        <v>10694</v>
      </c>
      <c r="C3719" t="s">
        <v>5043</v>
      </c>
      <c r="D3719" t="s">
        <v>8401</v>
      </c>
    </row>
    <row r="3720" spans="1:4" ht="14.45" x14ac:dyDescent="0.3">
      <c r="A3720">
        <v>7379</v>
      </c>
      <c r="B3720" t="s">
        <v>10695</v>
      </c>
      <c r="C3720" t="s">
        <v>5043</v>
      </c>
      <c r="D3720" t="s">
        <v>8401</v>
      </c>
    </row>
    <row r="3721" spans="1:4" ht="14.45" x14ac:dyDescent="0.3">
      <c r="A3721">
        <v>9828</v>
      </c>
      <c r="B3721" t="s">
        <v>10696</v>
      </c>
      <c r="C3721" t="s">
        <v>5043</v>
      </c>
      <c r="D3721" t="s">
        <v>8401</v>
      </c>
    </row>
    <row r="3722" spans="1:4" ht="14.45" x14ac:dyDescent="0.3">
      <c r="A3722">
        <v>10435</v>
      </c>
      <c r="B3722" t="s">
        <v>10697</v>
      </c>
      <c r="C3722" t="s">
        <v>5043</v>
      </c>
      <c r="D3722" t="s">
        <v>8401</v>
      </c>
    </row>
    <row r="3723" spans="1:4" ht="14.45" x14ac:dyDescent="0.3">
      <c r="A3723">
        <v>11707</v>
      </c>
      <c r="B3723" t="s">
        <v>10697</v>
      </c>
      <c r="C3723" t="s">
        <v>5043</v>
      </c>
      <c r="D3723" t="s">
        <v>8401</v>
      </c>
    </row>
    <row r="3724" spans="1:4" ht="14.45" x14ac:dyDescent="0.3">
      <c r="A3724">
        <v>6805</v>
      </c>
      <c r="B3724" t="s">
        <v>10697</v>
      </c>
      <c r="C3724" t="s">
        <v>5043</v>
      </c>
      <c r="D3724" t="s">
        <v>8401</v>
      </c>
    </row>
    <row r="3725" spans="1:4" ht="14.45" x14ac:dyDescent="0.3">
      <c r="A3725">
        <v>8203</v>
      </c>
      <c r="B3725" t="s">
        <v>10697</v>
      </c>
      <c r="C3725" t="s">
        <v>5043</v>
      </c>
      <c r="D3725" t="s">
        <v>8401</v>
      </c>
    </row>
    <row r="3726" spans="1:4" ht="14.45" x14ac:dyDescent="0.3">
      <c r="A3726">
        <v>9244</v>
      </c>
      <c r="B3726" t="s">
        <v>10697</v>
      </c>
      <c r="C3726" t="s">
        <v>5043</v>
      </c>
      <c r="D3726" t="s">
        <v>8401</v>
      </c>
    </row>
    <row r="3727" spans="1:4" ht="14.45" x14ac:dyDescent="0.3">
      <c r="A3727">
        <v>9742</v>
      </c>
      <c r="B3727" t="s">
        <v>10697</v>
      </c>
      <c r="C3727" t="s">
        <v>5043</v>
      </c>
      <c r="D3727" t="s">
        <v>8401</v>
      </c>
    </row>
    <row r="3728" spans="1:4" ht="14.45" x14ac:dyDescent="0.3">
      <c r="A3728">
        <v>11690</v>
      </c>
      <c r="B3728" t="s">
        <v>9013</v>
      </c>
      <c r="C3728" t="s">
        <v>5043</v>
      </c>
      <c r="D3728" t="s">
        <v>8401</v>
      </c>
    </row>
    <row r="3729" spans="1:4" ht="14.45" x14ac:dyDescent="0.3">
      <c r="A3729">
        <v>10114</v>
      </c>
      <c r="B3729" t="s">
        <v>9014</v>
      </c>
      <c r="C3729" t="s">
        <v>5043</v>
      </c>
      <c r="D3729" t="s">
        <v>8401</v>
      </c>
    </row>
    <row r="3730" spans="1:4" ht="14.45" x14ac:dyDescent="0.3">
      <c r="A3730">
        <v>11007</v>
      </c>
      <c r="B3730" t="s">
        <v>9014</v>
      </c>
      <c r="C3730" t="s">
        <v>5043</v>
      </c>
      <c r="D3730" t="s">
        <v>8401</v>
      </c>
    </row>
    <row r="3731" spans="1:4" ht="14.45" x14ac:dyDescent="0.3">
      <c r="A3731">
        <v>11134</v>
      </c>
      <c r="B3731" t="s">
        <v>9014</v>
      </c>
      <c r="C3731" t="s">
        <v>5043</v>
      </c>
      <c r="D3731" t="s">
        <v>8401</v>
      </c>
    </row>
    <row r="3732" spans="1:4" ht="14.45" x14ac:dyDescent="0.3">
      <c r="A3732">
        <v>11486</v>
      </c>
      <c r="B3732" t="s">
        <v>9014</v>
      </c>
      <c r="C3732" t="s">
        <v>5043</v>
      </c>
      <c r="D3732" t="s">
        <v>8401</v>
      </c>
    </row>
    <row r="3733" spans="1:4" ht="14.45" x14ac:dyDescent="0.3">
      <c r="A3733">
        <v>11490</v>
      </c>
      <c r="B3733" t="s">
        <v>9014</v>
      </c>
      <c r="C3733" t="s">
        <v>5043</v>
      </c>
      <c r="D3733" t="s">
        <v>8401</v>
      </c>
    </row>
    <row r="3734" spans="1:4" ht="14.45" x14ac:dyDescent="0.3">
      <c r="A3734">
        <v>11731</v>
      </c>
      <c r="B3734" t="s">
        <v>9014</v>
      </c>
      <c r="C3734" t="s">
        <v>5043</v>
      </c>
      <c r="D3734" t="s">
        <v>8401</v>
      </c>
    </row>
    <row r="3735" spans="1:4" ht="14.45" x14ac:dyDescent="0.3">
      <c r="A3735">
        <v>6791</v>
      </c>
      <c r="B3735" t="s">
        <v>9014</v>
      </c>
      <c r="C3735" t="s">
        <v>5043</v>
      </c>
      <c r="D3735" t="s">
        <v>8401</v>
      </c>
    </row>
    <row r="3736" spans="1:4" ht="14.45" x14ac:dyDescent="0.3">
      <c r="A3736">
        <v>6950</v>
      </c>
      <c r="B3736" t="s">
        <v>9014</v>
      </c>
      <c r="C3736" t="s">
        <v>5043</v>
      </c>
      <c r="D3736" t="s">
        <v>8401</v>
      </c>
    </row>
    <row r="3737" spans="1:4" ht="14.45" x14ac:dyDescent="0.3">
      <c r="A3737">
        <v>7129</v>
      </c>
      <c r="B3737" t="s">
        <v>9014</v>
      </c>
      <c r="C3737" t="s">
        <v>5043</v>
      </c>
      <c r="D3737" t="s">
        <v>8401</v>
      </c>
    </row>
    <row r="3738" spans="1:4" ht="14.45" x14ac:dyDescent="0.3">
      <c r="A3738">
        <v>7770</v>
      </c>
      <c r="B3738" t="s">
        <v>9014</v>
      </c>
      <c r="C3738" t="s">
        <v>5043</v>
      </c>
      <c r="D3738" t="s">
        <v>8401</v>
      </c>
    </row>
    <row r="3739" spans="1:4" ht="14.45" x14ac:dyDescent="0.3">
      <c r="A3739">
        <v>8547</v>
      </c>
      <c r="B3739" t="s">
        <v>9014</v>
      </c>
      <c r="C3739" t="s">
        <v>5043</v>
      </c>
      <c r="D3739" t="s">
        <v>8401</v>
      </c>
    </row>
    <row r="3740" spans="1:4" ht="14.45" x14ac:dyDescent="0.3">
      <c r="A3740">
        <v>9209</v>
      </c>
      <c r="B3740" t="s">
        <v>9014</v>
      </c>
      <c r="C3740" t="s">
        <v>5043</v>
      </c>
      <c r="D3740" t="s">
        <v>8401</v>
      </c>
    </row>
    <row r="3741" spans="1:4" ht="14.45" x14ac:dyDescent="0.3">
      <c r="A3741">
        <v>9375</v>
      </c>
      <c r="B3741" t="s">
        <v>9014</v>
      </c>
      <c r="C3741" t="s">
        <v>5043</v>
      </c>
      <c r="D3741" t="s">
        <v>8401</v>
      </c>
    </row>
    <row r="3742" spans="1:4" ht="14.45" x14ac:dyDescent="0.3">
      <c r="A3742">
        <v>9861</v>
      </c>
      <c r="B3742" t="s">
        <v>9014</v>
      </c>
      <c r="C3742" t="s">
        <v>5043</v>
      </c>
      <c r="D3742" t="s">
        <v>8401</v>
      </c>
    </row>
    <row r="3743" spans="1:4" ht="14.45" x14ac:dyDescent="0.3">
      <c r="A3743">
        <v>7131</v>
      </c>
      <c r="B3743" t="s">
        <v>10698</v>
      </c>
      <c r="C3743" t="s">
        <v>5043</v>
      </c>
      <c r="D3743" t="s">
        <v>8401</v>
      </c>
    </row>
    <row r="3744" spans="1:4" ht="14.45" x14ac:dyDescent="0.3">
      <c r="A3744">
        <v>7162</v>
      </c>
      <c r="B3744" t="s">
        <v>9015</v>
      </c>
      <c r="C3744" t="s">
        <v>5043</v>
      </c>
      <c r="D3744" t="s">
        <v>8401</v>
      </c>
    </row>
    <row r="3745" spans="1:4" ht="14.45" x14ac:dyDescent="0.3">
      <c r="A3745">
        <v>7274</v>
      </c>
      <c r="B3745" t="s">
        <v>9015</v>
      </c>
      <c r="C3745" t="s">
        <v>5043</v>
      </c>
      <c r="D3745" t="s">
        <v>8401</v>
      </c>
    </row>
    <row r="3746" spans="1:4" ht="14.45" x14ac:dyDescent="0.3">
      <c r="A3746">
        <v>10403</v>
      </c>
      <c r="B3746" t="s">
        <v>9016</v>
      </c>
      <c r="C3746" t="s">
        <v>5043</v>
      </c>
      <c r="D3746" t="s">
        <v>8401</v>
      </c>
    </row>
    <row r="3747" spans="1:4" ht="14.45" x14ac:dyDescent="0.3">
      <c r="A3747">
        <v>10552</v>
      </c>
      <c r="B3747" t="s">
        <v>9016</v>
      </c>
      <c r="C3747" t="s">
        <v>5043</v>
      </c>
      <c r="D3747" t="s">
        <v>8401</v>
      </c>
    </row>
    <row r="3748" spans="1:4" ht="14.45" x14ac:dyDescent="0.3">
      <c r="A3748">
        <v>11626</v>
      </c>
      <c r="B3748" t="s">
        <v>9016</v>
      </c>
      <c r="C3748" t="s">
        <v>5043</v>
      </c>
      <c r="D3748" t="s">
        <v>8401</v>
      </c>
    </row>
    <row r="3749" spans="1:4" ht="14.45" x14ac:dyDescent="0.3">
      <c r="A3749">
        <v>11657</v>
      </c>
      <c r="B3749" t="s">
        <v>9016</v>
      </c>
      <c r="C3749" t="s">
        <v>5043</v>
      </c>
      <c r="D3749" t="s">
        <v>8401</v>
      </c>
    </row>
    <row r="3750" spans="1:4" ht="14.45" x14ac:dyDescent="0.3">
      <c r="A3750">
        <v>6647</v>
      </c>
      <c r="B3750" t="s">
        <v>9016</v>
      </c>
      <c r="C3750" t="s">
        <v>5043</v>
      </c>
      <c r="D3750" t="s">
        <v>8401</v>
      </c>
    </row>
    <row r="3751" spans="1:4" ht="14.45" x14ac:dyDescent="0.3">
      <c r="A3751">
        <v>7315</v>
      </c>
      <c r="B3751" t="s">
        <v>9016</v>
      </c>
      <c r="C3751" t="s">
        <v>5043</v>
      </c>
      <c r="D3751" t="s">
        <v>8401</v>
      </c>
    </row>
    <row r="3752" spans="1:4" ht="14.45" x14ac:dyDescent="0.3">
      <c r="A3752">
        <v>7707</v>
      </c>
      <c r="B3752" t="s">
        <v>9016</v>
      </c>
      <c r="C3752" t="s">
        <v>5043</v>
      </c>
      <c r="D3752" t="s">
        <v>8401</v>
      </c>
    </row>
    <row r="3753" spans="1:4" ht="14.45" x14ac:dyDescent="0.3">
      <c r="A3753">
        <v>7761</v>
      </c>
      <c r="B3753" t="s">
        <v>9016</v>
      </c>
      <c r="C3753" t="s">
        <v>5043</v>
      </c>
      <c r="D3753" t="s">
        <v>8401</v>
      </c>
    </row>
    <row r="3754" spans="1:4" ht="14.45" x14ac:dyDescent="0.3">
      <c r="A3754">
        <v>7788</v>
      </c>
      <c r="B3754" t="s">
        <v>9016</v>
      </c>
      <c r="C3754" t="s">
        <v>5043</v>
      </c>
      <c r="D3754" t="s">
        <v>8401</v>
      </c>
    </row>
    <row r="3755" spans="1:4" ht="14.45" x14ac:dyDescent="0.3">
      <c r="A3755">
        <v>8109</v>
      </c>
      <c r="B3755" t="s">
        <v>9016</v>
      </c>
      <c r="C3755" t="s">
        <v>5043</v>
      </c>
      <c r="D3755" t="s">
        <v>8401</v>
      </c>
    </row>
    <row r="3756" spans="1:4" ht="14.45" x14ac:dyDescent="0.3">
      <c r="A3756">
        <v>8390</v>
      </c>
      <c r="B3756" t="s">
        <v>9016</v>
      </c>
      <c r="C3756" t="s">
        <v>5043</v>
      </c>
      <c r="D3756" t="s">
        <v>8401</v>
      </c>
    </row>
    <row r="3757" spans="1:4" ht="14.45" x14ac:dyDescent="0.3">
      <c r="A3757">
        <v>8825</v>
      </c>
      <c r="B3757" t="s">
        <v>9016</v>
      </c>
      <c r="C3757" t="s">
        <v>5043</v>
      </c>
      <c r="D3757" t="s">
        <v>8401</v>
      </c>
    </row>
    <row r="3758" spans="1:4" ht="14.45" x14ac:dyDescent="0.3">
      <c r="A3758">
        <v>9089</v>
      </c>
      <c r="B3758" t="s">
        <v>9016</v>
      </c>
      <c r="C3758" t="s">
        <v>5043</v>
      </c>
      <c r="D3758" t="s">
        <v>8401</v>
      </c>
    </row>
    <row r="3759" spans="1:4" ht="14.45" x14ac:dyDescent="0.3">
      <c r="A3759">
        <v>9382</v>
      </c>
      <c r="B3759" t="s">
        <v>9016</v>
      </c>
      <c r="C3759" t="s">
        <v>5043</v>
      </c>
      <c r="D3759" t="s">
        <v>8401</v>
      </c>
    </row>
    <row r="3760" spans="1:4" ht="14.45" x14ac:dyDescent="0.3">
      <c r="A3760">
        <v>9996</v>
      </c>
      <c r="B3760" t="s">
        <v>9016</v>
      </c>
      <c r="C3760" t="s">
        <v>5043</v>
      </c>
      <c r="D3760" t="s">
        <v>8401</v>
      </c>
    </row>
    <row r="3761" spans="1:4" ht="14.45" x14ac:dyDescent="0.3">
      <c r="A3761">
        <v>10356</v>
      </c>
      <c r="B3761" t="s">
        <v>9017</v>
      </c>
      <c r="C3761" t="s">
        <v>5043</v>
      </c>
      <c r="D3761" t="s">
        <v>8401</v>
      </c>
    </row>
    <row r="3762" spans="1:4" ht="14.45" x14ac:dyDescent="0.3">
      <c r="A3762">
        <v>10361</v>
      </c>
      <c r="B3762" t="s">
        <v>9017</v>
      </c>
      <c r="C3762" t="s">
        <v>5043</v>
      </c>
      <c r="D3762" t="s">
        <v>8401</v>
      </c>
    </row>
    <row r="3763" spans="1:4" ht="14.45" x14ac:dyDescent="0.3">
      <c r="A3763">
        <v>10952</v>
      </c>
      <c r="B3763" t="s">
        <v>9017</v>
      </c>
      <c r="C3763" t="s">
        <v>5043</v>
      </c>
      <c r="D3763" t="s">
        <v>8401</v>
      </c>
    </row>
    <row r="3764" spans="1:4" ht="14.45" x14ac:dyDescent="0.3">
      <c r="A3764">
        <v>11461</v>
      </c>
      <c r="B3764" t="s">
        <v>9017</v>
      </c>
      <c r="C3764" t="s">
        <v>5043</v>
      </c>
      <c r="D3764" t="s">
        <v>8401</v>
      </c>
    </row>
    <row r="3765" spans="1:4" ht="14.45" x14ac:dyDescent="0.3">
      <c r="A3765">
        <v>6673</v>
      </c>
      <c r="B3765" t="s">
        <v>9017</v>
      </c>
      <c r="C3765" t="s">
        <v>5043</v>
      </c>
      <c r="D3765" t="s">
        <v>8401</v>
      </c>
    </row>
    <row r="3766" spans="1:4" ht="14.45" x14ac:dyDescent="0.3">
      <c r="A3766">
        <v>6708</v>
      </c>
      <c r="B3766" t="s">
        <v>9017</v>
      </c>
      <c r="C3766" t="s">
        <v>5043</v>
      </c>
      <c r="D3766" t="s">
        <v>8401</v>
      </c>
    </row>
    <row r="3767" spans="1:4" ht="14.45" x14ac:dyDescent="0.3">
      <c r="A3767">
        <v>6745</v>
      </c>
      <c r="B3767" t="s">
        <v>9017</v>
      </c>
      <c r="C3767" t="s">
        <v>5043</v>
      </c>
      <c r="D3767" t="s">
        <v>8401</v>
      </c>
    </row>
    <row r="3768" spans="1:4" ht="14.45" x14ac:dyDescent="0.3">
      <c r="A3768">
        <v>6772</v>
      </c>
      <c r="B3768" t="s">
        <v>9017</v>
      </c>
      <c r="C3768" t="s">
        <v>5043</v>
      </c>
      <c r="D3768" t="s">
        <v>8401</v>
      </c>
    </row>
    <row r="3769" spans="1:4" ht="14.45" x14ac:dyDescent="0.3">
      <c r="A3769">
        <v>6891</v>
      </c>
      <c r="B3769" t="s">
        <v>9017</v>
      </c>
      <c r="C3769" t="s">
        <v>5043</v>
      </c>
      <c r="D3769" t="s">
        <v>8401</v>
      </c>
    </row>
    <row r="3770" spans="1:4" ht="14.45" x14ac:dyDescent="0.3">
      <c r="A3770">
        <v>7499</v>
      </c>
      <c r="B3770" t="s">
        <v>9017</v>
      </c>
      <c r="C3770" t="s">
        <v>5043</v>
      </c>
      <c r="D3770" t="s">
        <v>8401</v>
      </c>
    </row>
    <row r="3771" spans="1:4" ht="14.45" x14ac:dyDescent="0.3">
      <c r="A3771">
        <v>8246</v>
      </c>
      <c r="B3771" t="s">
        <v>9017</v>
      </c>
      <c r="C3771" t="s">
        <v>5043</v>
      </c>
      <c r="D3771" t="s">
        <v>8401</v>
      </c>
    </row>
    <row r="3772" spans="1:4" ht="14.45" x14ac:dyDescent="0.3">
      <c r="A3772">
        <v>8499</v>
      </c>
      <c r="B3772" t="s">
        <v>9017</v>
      </c>
      <c r="C3772" t="s">
        <v>5043</v>
      </c>
      <c r="D3772" t="s">
        <v>8401</v>
      </c>
    </row>
    <row r="3773" spans="1:4" ht="14.45" x14ac:dyDescent="0.3">
      <c r="A3773">
        <v>9044</v>
      </c>
      <c r="B3773" t="s">
        <v>9017</v>
      </c>
      <c r="C3773" t="s">
        <v>5043</v>
      </c>
      <c r="D3773" t="s">
        <v>8401</v>
      </c>
    </row>
    <row r="3774" spans="1:4" ht="14.45" x14ac:dyDescent="0.3">
      <c r="A3774">
        <v>9129</v>
      </c>
      <c r="B3774" t="s">
        <v>9017</v>
      </c>
      <c r="C3774" t="s">
        <v>5043</v>
      </c>
      <c r="D3774" t="s">
        <v>8401</v>
      </c>
    </row>
    <row r="3775" spans="1:4" ht="14.45" x14ac:dyDescent="0.3">
      <c r="A3775">
        <v>9218</v>
      </c>
      <c r="B3775" t="s">
        <v>9017</v>
      </c>
      <c r="C3775" t="s">
        <v>5043</v>
      </c>
      <c r="D3775" t="s">
        <v>8401</v>
      </c>
    </row>
    <row r="3776" spans="1:4" ht="14.45" x14ac:dyDescent="0.3">
      <c r="A3776">
        <v>9256</v>
      </c>
      <c r="B3776" t="s">
        <v>9017</v>
      </c>
      <c r="C3776" t="s">
        <v>5043</v>
      </c>
      <c r="D3776" t="s">
        <v>8401</v>
      </c>
    </row>
    <row r="3777" spans="1:4" ht="14.45" x14ac:dyDescent="0.3">
      <c r="A3777">
        <v>9631</v>
      </c>
      <c r="B3777" t="s">
        <v>9017</v>
      </c>
      <c r="C3777" t="s">
        <v>5043</v>
      </c>
      <c r="D3777" t="s">
        <v>8401</v>
      </c>
    </row>
    <row r="3778" spans="1:4" ht="14.45" x14ac:dyDescent="0.3">
      <c r="A3778">
        <v>6831</v>
      </c>
      <c r="B3778" t="s">
        <v>9018</v>
      </c>
      <c r="C3778" t="s">
        <v>5043</v>
      </c>
      <c r="D3778" t="s">
        <v>8401</v>
      </c>
    </row>
    <row r="3779" spans="1:4" ht="14.45" x14ac:dyDescent="0.3">
      <c r="A3779">
        <v>8999</v>
      </c>
      <c r="B3779" t="s">
        <v>9018</v>
      </c>
      <c r="C3779" t="s">
        <v>5043</v>
      </c>
      <c r="D3779" t="s">
        <v>8401</v>
      </c>
    </row>
    <row r="3780" spans="1:4" ht="14.45" x14ac:dyDescent="0.3">
      <c r="A3780">
        <v>10648</v>
      </c>
      <c r="B3780" t="s">
        <v>9019</v>
      </c>
      <c r="C3780" t="s">
        <v>5043</v>
      </c>
      <c r="D3780" t="s">
        <v>8401</v>
      </c>
    </row>
    <row r="3781" spans="1:4" ht="14.45" x14ac:dyDescent="0.3">
      <c r="A3781">
        <v>7796</v>
      </c>
      <c r="B3781" t="s">
        <v>9019</v>
      </c>
      <c r="C3781" t="s">
        <v>5043</v>
      </c>
      <c r="D3781" t="s">
        <v>8401</v>
      </c>
    </row>
    <row r="3782" spans="1:4" ht="14.45" x14ac:dyDescent="0.3">
      <c r="A3782">
        <v>8863</v>
      </c>
      <c r="B3782" t="s">
        <v>9020</v>
      </c>
      <c r="C3782" t="s">
        <v>5043</v>
      </c>
      <c r="D3782" t="s">
        <v>8401</v>
      </c>
    </row>
    <row r="3783" spans="1:4" ht="14.45" x14ac:dyDescent="0.3">
      <c r="A3783">
        <v>9070</v>
      </c>
      <c r="B3783" t="s">
        <v>9020</v>
      </c>
      <c r="C3783" t="s">
        <v>5043</v>
      </c>
      <c r="D3783" t="s">
        <v>8401</v>
      </c>
    </row>
    <row r="3784" spans="1:4" ht="14.45" x14ac:dyDescent="0.3">
      <c r="A3784">
        <v>10570</v>
      </c>
      <c r="B3784" t="s">
        <v>9021</v>
      </c>
      <c r="C3784" t="s">
        <v>5043</v>
      </c>
      <c r="D3784" t="s">
        <v>8401</v>
      </c>
    </row>
    <row r="3785" spans="1:4" ht="14.45" x14ac:dyDescent="0.3">
      <c r="A3785">
        <v>7253</v>
      </c>
      <c r="B3785" t="s">
        <v>9022</v>
      </c>
      <c r="C3785" t="s">
        <v>5043</v>
      </c>
      <c r="D3785" t="s">
        <v>8401</v>
      </c>
    </row>
    <row r="3786" spans="1:4" ht="14.45" x14ac:dyDescent="0.3">
      <c r="A3786">
        <v>9148</v>
      </c>
      <c r="B3786" t="s">
        <v>10699</v>
      </c>
      <c r="C3786" t="s">
        <v>5043</v>
      </c>
      <c r="D3786" t="s">
        <v>8401</v>
      </c>
    </row>
    <row r="3787" spans="1:4" ht="14.45" x14ac:dyDescent="0.3">
      <c r="A3787">
        <v>8459</v>
      </c>
      <c r="B3787" t="s">
        <v>10700</v>
      </c>
      <c r="C3787" t="s">
        <v>5043</v>
      </c>
      <c r="D3787" t="s">
        <v>8401</v>
      </c>
    </row>
    <row r="3788" spans="1:4" ht="14.45" x14ac:dyDescent="0.3">
      <c r="A3788">
        <v>7860</v>
      </c>
      <c r="B3788" t="s">
        <v>10701</v>
      </c>
      <c r="C3788" t="s">
        <v>5043</v>
      </c>
      <c r="D3788" t="s">
        <v>8401</v>
      </c>
    </row>
    <row r="3789" spans="1:4" ht="14.45" x14ac:dyDescent="0.3">
      <c r="A3789">
        <v>10129</v>
      </c>
      <c r="B3789" t="s">
        <v>9023</v>
      </c>
      <c r="C3789" t="s">
        <v>5043</v>
      </c>
      <c r="D3789" t="s">
        <v>8401</v>
      </c>
    </row>
    <row r="3790" spans="1:4" ht="14.45" x14ac:dyDescent="0.3">
      <c r="A3790">
        <v>11436</v>
      </c>
      <c r="B3790" t="s">
        <v>9023</v>
      </c>
      <c r="C3790" t="s">
        <v>5043</v>
      </c>
      <c r="D3790" t="s">
        <v>8401</v>
      </c>
    </row>
    <row r="3791" spans="1:4" ht="14.45" x14ac:dyDescent="0.3">
      <c r="A3791">
        <v>11521</v>
      </c>
      <c r="B3791" t="s">
        <v>9023</v>
      </c>
      <c r="C3791" t="s">
        <v>5043</v>
      </c>
      <c r="D3791" t="s">
        <v>8401</v>
      </c>
    </row>
    <row r="3792" spans="1:4" ht="14.45" x14ac:dyDescent="0.3">
      <c r="A3792">
        <v>6582</v>
      </c>
      <c r="B3792" t="s">
        <v>9023</v>
      </c>
      <c r="C3792" t="s">
        <v>5043</v>
      </c>
      <c r="D3792" t="s">
        <v>8401</v>
      </c>
    </row>
    <row r="3793" spans="1:4" ht="14.45" x14ac:dyDescent="0.3">
      <c r="A3793">
        <v>6901</v>
      </c>
      <c r="B3793" t="s">
        <v>9023</v>
      </c>
      <c r="C3793" t="s">
        <v>5043</v>
      </c>
      <c r="D3793" t="s">
        <v>8401</v>
      </c>
    </row>
    <row r="3794" spans="1:4" ht="14.45" x14ac:dyDescent="0.3">
      <c r="A3794">
        <v>8576</v>
      </c>
      <c r="B3794" t="s">
        <v>9023</v>
      </c>
      <c r="C3794" t="s">
        <v>5043</v>
      </c>
      <c r="D3794" t="s">
        <v>8401</v>
      </c>
    </row>
    <row r="3795" spans="1:4" ht="14.45" x14ac:dyDescent="0.3">
      <c r="A3795">
        <v>8637</v>
      </c>
      <c r="B3795" t="s">
        <v>9023</v>
      </c>
      <c r="C3795" t="s">
        <v>5043</v>
      </c>
      <c r="D3795" t="s">
        <v>8401</v>
      </c>
    </row>
    <row r="3796" spans="1:4" ht="14.45" x14ac:dyDescent="0.3">
      <c r="A3796">
        <v>8787</v>
      </c>
      <c r="B3796" t="s">
        <v>9023</v>
      </c>
      <c r="C3796" t="s">
        <v>5043</v>
      </c>
      <c r="D3796" t="s">
        <v>8401</v>
      </c>
    </row>
    <row r="3797" spans="1:4" ht="14.45" x14ac:dyDescent="0.3">
      <c r="A3797">
        <v>9379</v>
      </c>
      <c r="B3797" t="s">
        <v>9023</v>
      </c>
      <c r="C3797" t="s">
        <v>5043</v>
      </c>
      <c r="D3797" t="s">
        <v>8401</v>
      </c>
    </row>
    <row r="3798" spans="1:4" ht="14.45" x14ac:dyDescent="0.3">
      <c r="A3798">
        <v>10255</v>
      </c>
      <c r="B3798" t="s">
        <v>10702</v>
      </c>
      <c r="C3798" t="s">
        <v>5043</v>
      </c>
      <c r="D3798" t="s">
        <v>8401</v>
      </c>
    </row>
    <row r="3799" spans="1:4" ht="14.45" x14ac:dyDescent="0.3">
      <c r="A3799">
        <v>11071</v>
      </c>
      <c r="B3799" t="s">
        <v>10702</v>
      </c>
      <c r="C3799" t="s">
        <v>5043</v>
      </c>
      <c r="D3799" t="s">
        <v>8401</v>
      </c>
    </row>
    <row r="3800" spans="1:4" ht="14.45" x14ac:dyDescent="0.3">
      <c r="A3800">
        <v>11727</v>
      </c>
      <c r="B3800" t="s">
        <v>9024</v>
      </c>
      <c r="C3800" t="s">
        <v>5043</v>
      </c>
      <c r="D3800" t="s">
        <v>8401</v>
      </c>
    </row>
    <row r="3801" spans="1:4" ht="14.45" x14ac:dyDescent="0.3">
      <c r="A3801">
        <v>10412</v>
      </c>
      <c r="B3801" t="s">
        <v>10703</v>
      </c>
      <c r="C3801" t="s">
        <v>5043</v>
      </c>
      <c r="D3801" t="s">
        <v>8401</v>
      </c>
    </row>
    <row r="3802" spans="1:4" ht="14.45" x14ac:dyDescent="0.3">
      <c r="A3802">
        <v>10712</v>
      </c>
      <c r="B3802" t="s">
        <v>10703</v>
      </c>
      <c r="C3802" t="s">
        <v>5043</v>
      </c>
      <c r="D3802" t="s">
        <v>8401</v>
      </c>
    </row>
    <row r="3803" spans="1:4" ht="14.45" x14ac:dyDescent="0.3">
      <c r="A3803">
        <v>8212</v>
      </c>
      <c r="B3803" t="s">
        <v>10703</v>
      </c>
      <c r="C3803" t="s">
        <v>5043</v>
      </c>
      <c r="D3803" t="s">
        <v>8401</v>
      </c>
    </row>
    <row r="3804" spans="1:4" ht="14.45" x14ac:dyDescent="0.3">
      <c r="A3804">
        <v>6684</v>
      </c>
      <c r="B3804" t="s">
        <v>10704</v>
      </c>
      <c r="C3804" t="s">
        <v>5043</v>
      </c>
      <c r="D3804" t="s">
        <v>8401</v>
      </c>
    </row>
    <row r="3805" spans="1:4" ht="14.45" x14ac:dyDescent="0.3">
      <c r="A3805">
        <v>7635</v>
      </c>
      <c r="B3805" t="s">
        <v>10705</v>
      </c>
      <c r="C3805" t="s">
        <v>5043</v>
      </c>
      <c r="D3805" t="s">
        <v>8401</v>
      </c>
    </row>
    <row r="3806" spans="1:4" ht="14.45" x14ac:dyDescent="0.3">
      <c r="A3806">
        <v>6982</v>
      </c>
      <c r="B3806" t="s">
        <v>10706</v>
      </c>
      <c r="C3806" t="s">
        <v>5043</v>
      </c>
      <c r="D3806" t="s">
        <v>8401</v>
      </c>
    </row>
    <row r="3807" spans="1:4" ht="14.45" x14ac:dyDescent="0.3">
      <c r="A3807">
        <v>10889</v>
      </c>
      <c r="B3807" t="s">
        <v>10707</v>
      </c>
      <c r="C3807" t="s">
        <v>5043</v>
      </c>
      <c r="D3807" t="s">
        <v>8401</v>
      </c>
    </row>
    <row r="3808" spans="1:4" ht="14.45" x14ac:dyDescent="0.3">
      <c r="A3808">
        <v>9652</v>
      </c>
      <c r="B3808" t="s">
        <v>10708</v>
      </c>
      <c r="C3808" t="s">
        <v>5043</v>
      </c>
      <c r="D3808" t="s">
        <v>8401</v>
      </c>
    </row>
    <row r="3809" spans="1:4" ht="14.45" x14ac:dyDescent="0.3">
      <c r="A3809">
        <v>11325</v>
      </c>
      <c r="B3809" t="s">
        <v>9025</v>
      </c>
      <c r="C3809" t="s">
        <v>5043</v>
      </c>
      <c r="D3809" t="s">
        <v>8401</v>
      </c>
    </row>
    <row r="3810" spans="1:4" ht="14.45" x14ac:dyDescent="0.3">
      <c r="A3810">
        <v>7902</v>
      </c>
      <c r="B3810" t="s">
        <v>10709</v>
      </c>
      <c r="C3810" t="s">
        <v>5043</v>
      </c>
      <c r="D3810" t="s">
        <v>8401</v>
      </c>
    </row>
    <row r="3811" spans="1:4" ht="14.45" x14ac:dyDescent="0.3">
      <c r="A3811">
        <v>10019</v>
      </c>
      <c r="B3811" t="s">
        <v>10710</v>
      </c>
      <c r="C3811" t="s">
        <v>5043</v>
      </c>
      <c r="D3811" t="s">
        <v>8401</v>
      </c>
    </row>
    <row r="3812" spans="1:4" ht="14.45" x14ac:dyDescent="0.3">
      <c r="A3812">
        <v>6568</v>
      </c>
      <c r="B3812" t="s">
        <v>10710</v>
      </c>
      <c r="C3812" t="s">
        <v>5043</v>
      </c>
      <c r="D3812" t="s">
        <v>8401</v>
      </c>
    </row>
    <row r="3813" spans="1:4" ht="14.45" x14ac:dyDescent="0.3">
      <c r="A3813">
        <v>8799</v>
      </c>
      <c r="B3813" t="s">
        <v>10711</v>
      </c>
      <c r="C3813" t="s">
        <v>5043</v>
      </c>
      <c r="D3813" t="s">
        <v>8401</v>
      </c>
    </row>
    <row r="3814" spans="1:4" ht="14.45" x14ac:dyDescent="0.3">
      <c r="A3814">
        <v>9316</v>
      </c>
      <c r="B3814" t="s">
        <v>10712</v>
      </c>
      <c r="C3814" t="s">
        <v>5043</v>
      </c>
      <c r="D3814" t="s">
        <v>8401</v>
      </c>
    </row>
    <row r="3815" spans="1:4" ht="14.45" x14ac:dyDescent="0.3">
      <c r="A3815">
        <v>8777</v>
      </c>
      <c r="B3815" t="s">
        <v>9026</v>
      </c>
      <c r="C3815" t="s">
        <v>5043</v>
      </c>
      <c r="D3815" t="s">
        <v>8401</v>
      </c>
    </row>
    <row r="3816" spans="1:4" ht="14.45" x14ac:dyDescent="0.3">
      <c r="A3816">
        <v>9758</v>
      </c>
      <c r="B3816" t="s">
        <v>9027</v>
      </c>
      <c r="C3816" t="s">
        <v>5043</v>
      </c>
      <c r="D3816" t="s">
        <v>8401</v>
      </c>
    </row>
    <row r="3817" spans="1:4" ht="14.45" x14ac:dyDescent="0.3">
      <c r="A3817">
        <v>8183</v>
      </c>
      <c r="B3817" t="s">
        <v>10713</v>
      </c>
      <c r="C3817" t="s">
        <v>5043</v>
      </c>
      <c r="D3817" t="s">
        <v>8401</v>
      </c>
    </row>
    <row r="3818" spans="1:4" ht="14.45" x14ac:dyDescent="0.3">
      <c r="A3818">
        <v>11058</v>
      </c>
      <c r="B3818" t="s">
        <v>10714</v>
      </c>
      <c r="C3818" t="s">
        <v>5043</v>
      </c>
      <c r="D3818" t="s">
        <v>8401</v>
      </c>
    </row>
    <row r="3819" spans="1:4" ht="14.45" x14ac:dyDescent="0.3">
      <c r="A3819">
        <v>9696</v>
      </c>
      <c r="B3819" t="s">
        <v>10714</v>
      </c>
      <c r="C3819" t="s">
        <v>5043</v>
      </c>
      <c r="D3819" t="s">
        <v>8401</v>
      </c>
    </row>
    <row r="3820" spans="1:4" ht="14.45" x14ac:dyDescent="0.3">
      <c r="A3820">
        <v>6922</v>
      </c>
      <c r="B3820" t="s">
        <v>9028</v>
      </c>
      <c r="C3820" t="s">
        <v>5043</v>
      </c>
      <c r="D3820" t="s">
        <v>8401</v>
      </c>
    </row>
    <row r="3821" spans="1:4" ht="14.45" x14ac:dyDescent="0.3">
      <c r="A3821">
        <v>8811</v>
      </c>
      <c r="B3821" t="s">
        <v>10715</v>
      </c>
      <c r="C3821" t="s">
        <v>5043</v>
      </c>
      <c r="D3821" t="s">
        <v>8401</v>
      </c>
    </row>
    <row r="3822" spans="1:4" ht="14.45" x14ac:dyDescent="0.3">
      <c r="A3822">
        <v>10624</v>
      </c>
      <c r="B3822" t="s">
        <v>10716</v>
      </c>
      <c r="C3822" t="s">
        <v>5043</v>
      </c>
      <c r="D3822" t="s">
        <v>8401</v>
      </c>
    </row>
    <row r="3823" spans="1:4" ht="14.45" x14ac:dyDescent="0.3">
      <c r="A3823">
        <v>11345</v>
      </c>
      <c r="B3823" t="s">
        <v>10716</v>
      </c>
      <c r="C3823" t="s">
        <v>5043</v>
      </c>
      <c r="D3823" t="s">
        <v>8401</v>
      </c>
    </row>
    <row r="3824" spans="1:4" ht="14.45" x14ac:dyDescent="0.3">
      <c r="A3824">
        <v>6862</v>
      </c>
      <c r="B3824" t="s">
        <v>10716</v>
      </c>
      <c r="C3824" t="s">
        <v>5043</v>
      </c>
      <c r="D3824" t="s">
        <v>8401</v>
      </c>
    </row>
    <row r="3825" spans="1:4" ht="14.45" x14ac:dyDescent="0.3">
      <c r="A3825">
        <v>7744</v>
      </c>
      <c r="B3825" t="s">
        <v>10716</v>
      </c>
      <c r="C3825" t="s">
        <v>5043</v>
      </c>
      <c r="D3825" t="s">
        <v>8401</v>
      </c>
    </row>
    <row r="3826" spans="1:4" ht="14.45" x14ac:dyDescent="0.3">
      <c r="A3826">
        <v>10538</v>
      </c>
      <c r="B3826" t="s">
        <v>10717</v>
      </c>
      <c r="C3826" t="s">
        <v>5043</v>
      </c>
      <c r="D3826" t="s">
        <v>8401</v>
      </c>
    </row>
    <row r="3827" spans="1:4" ht="14.45" x14ac:dyDescent="0.3">
      <c r="A3827">
        <v>11391</v>
      </c>
      <c r="B3827" t="s">
        <v>10717</v>
      </c>
      <c r="C3827" t="s">
        <v>5043</v>
      </c>
      <c r="D3827" t="s">
        <v>8401</v>
      </c>
    </row>
    <row r="3828" spans="1:4" ht="14.45" x14ac:dyDescent="0.3">
      <c r="A3828">
        <v>11718</v>
      </c>
      <c r="B3828" t="s">
        <v>10717</v>
      </c>
      <c r="C3828" t="s">
        <v>5043</v>
      </c>
      <c r="D3828" t="s">
        <v>8401</v>
      </c>
    </row>
    <row r="3829" spans="1:4" ht="14.45" x14ac:dyDescent="0.3">
      <c r="A3829">
        <v>8426</v>
      </c>
      <c r="B3829" t="s">
        <v>10717</v>
      </c>
      <c r="C3829" t="s">
        <v>5043</v>
      </c>
      <c r="D3829" t="s">
        <v>8401</v>
      </c>
    </row>
    <row r="3830" spans="1:4" ht="14.45" x14ac:dyDescent="0.3">
      <c r="A3830">
        <v>10512</v>
      </c>
      <c r="B3830" t="s">
        <v>10718</v>
      </c>
      <c r="C3830" t="s">
        <v>5043</v>
      </c>
      <c r="D3830" t="s">
        <v>8401</v>
      </c>
    </row>
    <row r="3831" spans="1:4" ht="14.45" x14ac:dyDescent="0.3">
      <c r="A3831">
        <v>11381</v>
      </c>
      <c r="B3831" t="s">
        <v>10718</v>
      </c>
      <c r="C3831" t="s">
        <v>5043</v>
      </c>
      <c r="D3831" t="s">
        <v>8401</v>
      </c>
    </row>
    <row r="3832" spans="1:4" ht="14.45" x14ac:dyDescent="0.3">
      <c r="A3832">
        <v>11408</v>
      </c>
      <c r="B3832" t="s">
        <v>10718</v>
      </c>
      <c r="C3832" t="s">
        <v>5043</v>
      </c>
      <c r="D3832" t="s">
        <v>8401</v>
      </c>
    </row>
    <row r="3833" spans="1:4" ht="14.45" x14ac:dyDescent="0.3">
      <c r="A3833">
        <v>6557</v>
      </c>
      <c r="B3833" t="s">
        <v>10718</v>
      </c>
      <c r="C3833" t="s">
        <v>5043</v>
      </c>
      <c r="D3833" t="s">
        <v>8401</v>
      </c>
    </row>
    <row r="3834" spans="1:4" ht="14.45" x14ac:dyDescent="0.3">
      <c r="A3834">
        <v>6595</v>
      </c>
      <c r="B3834" t="s">
        <v>10718</v>
      </c>
      <c r="C3834" t="s">
        <v>5043</v>
      </c>
      <c r="D3834" t="s">
        <v>8401</v>
      </c>
    </row>
    <row r="3835" spans="1:4" ht="14.45" x14ac:dyDescent="0.3">
      <c r="A3835">
        <v>6970</v>
      </c>
      <c r="B3835" t="s">
        <v>10718</v>
      </c>
      <c r="C3835" t="s">
        <v>5043</v>
      </c>
      <c r="D3835" t="s">
        <v>8401</v>
      </c>
    </row>
    <row r="3836" spans="1:4" ht="14.45" x14ac:dyDescent="0.3">
      <c r="A3836">
        <v>7396</v>
      </c>
      <c r="B3836" t="s">
        <v>10718</v>
      </c>
      <c r="C3836" t="s">
        <v>5043</v>
      </c>
      <c r="D3836" t="s">
        <v>8401</v>
      </c>
    </row>
    <row r="3837" spans="1:4" ht="14.45" x14ac:dyDescent="0.3">
      <c r="A3837">
        <v>7627</v>
      </c>
      <c r="B3837" t="s">
        <v>10718</v>
      </c>
      <c r="C3837" t="s">
        <v>5043</v>
      </c>
      <c r="D3837" t="s">
        <v>8401</v>
      </c>
    </row>
    <row r="3838" spans="1:4" ht="14.45" x14ac:dyDescent="0.3">
      <c r="A3838">
        <v>7912</v>
      </c>
      <c r="B3838" t="s">
        <v>10718</v>
      </c>
      <c r="C3838" t="s">
        <v>5043</v>
      </c>
      <c r="D3838" t="s">
        <v>8401</v>
      </c>
    </row>
    <row r="3839" spans="1:4" ht="14.45" x14ac:dyDescent="0.3">
      <c r="A3839">
        <v>7957</v>
      </c>
      <c r="B3839" t="s">
        <v>10718</v>
      </c>
      <c r="C3839" t="s">
        <v>5043</v>
      </c>
      <c r="D3839" t="s">
        <v>8401</v>
      </c>
    </row>
    <row r="3840" spans="1:4" ht="14.45" x14ac:dyDescent="0.3">
      <c r="A3840">
        <v>7966</v>
      </c>
      <c r="B3840" t="s">
        <v>10718</v>
      </c>
      <c r="C3840" t="s">
        <v>5043</v>
      </c>
      <c r="D3840" t="s">
        <v>8401</v>
      </c>
    </row>
    <row r="3841" spans="1:4" ht="14.45" x14ac:dyDescent="0.3">
      <c r="A3841">
        <v>7979</v>
      </c>
      <c r="B3841" t="s">
        <v>10718</v>
      </c>
      <c r="C3841" t="s">
        <v>5043</v>
      </c>
      <c r="D3841" t="s">
        <v>8401</v>
      </c>
    </row>
    <row r="3842" spans="1:4" ht="14.45" x14ac:dyDescent="0.3">
      <c r="A3842">
        <v>8007</v>
      </c>
      <c r="B3842" t="s">
        <v>10718</v>
      </c>
      <c r="C3842" t="s">
        <v>5043</v>
      </c>
      <c r="D3842" t="s">
        <v>8401</v>
      </c>
    </row>
    <row r="3843" spans="1:4" ht="14.45" x14ac:dyDescent="0.3">
      <c r="A3843">
        <v>8048</v>
      </c>
      <c r="B3843" t="s">
        <v>10718</v>
      </c>
      <c r="C3843" t="s">
        <v>5043</v>
      </c>
      <c r="D3843" t="s">
        <v>8401</v>
      </c>
    </row>
    <row r="3844" spans="1:4" ht="14.45" x14ac:dyDescent="0.3">
      <c r="A3844">
        <v>8345</v>
      </c>
      <c r="B3844" t="s">
        <v>10718</v>
      </c>
      <c r="C3844" t="s">
        <v>5043</v>
      </c>
      <c r="D3844" t="s">
        <v>8401</v>
      </c>
    </row>
    <row r="3845" spans="1:4" ht="14.45" x14ac:dyDescent="0.3">
      <c r="A3845">
        <v>8807</v>
      </c>
      <c r="B3845" t="s">
        <v>10718</v>
      </c>
      <c r="C3845" t="s">
        <v>5043</v>
      </c>
      <c r="D3845" t="s">
        <v>8401</v>
      </c>
    </row>
    <row r="3846" spans="1:4" ht="14.45" x14ac:dyDescent="0.3">
      <c r="A3846">
        <v>9088</v>
      </c>
      <c r="B3846" t="s">
        <v>10718</v>
      </c>
      <c r="C3846" t="s">
        <v>5043</v>
      </c>
      <c r="D3846" t="s">
        <v>8401</v>
      </c>
    </row>
    <row r="3847" spans="1:4" ht="14.45" x14ac:dyDescent="0.3">
      <c r="A3847">
        <v>10154</v>
      </c>
      <c r="B3847" t="s">
        <v>9029</v>
      </c>
      <c r="C3847" t="s">
        <v>5043</v>
      </c>
      <c r="D3847" t="s">
        <v>8401</v>
      </c>
    </row>
    <row r="3848" spans="1:4" ht="14.45" x14ac:dyDescent="0.3">
      <c r="A3848">
        <v>8380</v>
      </c>
      <c r="B3848" t="s">
        <v>9029</v>
      </c>
      <c r="C3848" t="s">
        <v>5043</v>
      </c>
      <c r="D3848" t="s">
        <v>8401</v>
      </c>
    </row>
    <row r="3849" spans="1:4" ht="14.45" x14ac:dyDescent="0.3">
      <c r="A3849">
        <v>9392</v>
      </c>
      <c r="B3849" t="s">
        <v>9029</v>
      </c>
      <c r="C3849" t="s">
        <v>5043</v>
      </c>
      <c r="D3849" t="s">
        <v>8401</v>
      </c>
    </row>
    <row r="3850" spans="1:4" ht="14.45" x14ac:dyDescent="0.3">
      <c r="A3850">
        <v>9528</v>
      </c>
      <c r="B3850" t="s">
        <v>10719</v>
      </c>
      <c r="C3850" t="s">
        <v>5043</v>
      </c>
      <c r="D3850" t="s">
        <v>8401</v>
      </c>
    </row>
    <row r="3851" spans="1:4" ht="14.45" x14ac:dyDescent="0.3">
      <c r="A3851">
        <v>9635</v>
      </c>
      <c r="B3851" t="s">
        <v>10720</v>
      </c>
      <c r="C3851" t="s">
        <v>5043</v>
      </c>
      <c r="D3851" t="s">
        <v>8401</v>
      </c>
    </row>
    <row r="3852" spans="1:4" ht="14.45" x14ac:dyDescent="0.3">
      <c r="A3852">
        <v>7834</v>
      </c>
      <c r="B3852" t="s">
        <v>10721</v>
      </c>
      <c r="C3852" t="s">
        <v>5043</v>
      </c>
      <c r="D3852" t="s">
        <v>8401</v>
      </c>
    </row>
    <row r="3853" spans="1:4" ht="14.45" x14ac:dyDescent="0.3">
      <c r="A3853">
        <v>10476</v>
      </c>
      <c r="B3853" t="s">
        <v>9030</v>
      </c>
      <c r="C3853" t="s">
        <v>5043</v>
      </c>
      <c r="D3853" t="s">
        <v>8401</v>
      </c>
    </row>
    <row r="3854" spans="1:4" ht="14.45" x14ac:dyDescent="0.3">
      <c r="A3854">
        <v>8642</v>
      </c>
      <c r="B3854" t="s">
        <v>9030</v>
      </c>
      <c r="C3854" t="s">
        <v>5043</v>
      </c>
      <c r="D3854" t="s">
        <v>8401</v>
      </c>
    </row>
    <row r="3855" spans="1:4" ht="14.45" x14ac:dyDescent="0.3">
      <c r="A3855">
        <v>8841</v>
      </c>
      <c r="B3855" t="s">
        <v>10722</v>
      </c>
      <c r="C3855" t="s">
        <v>5043</v>
      </c>
      <c r="D3855" t="s">
        <v>8401</v>
      </c>
    </row>
    <row r="3856" spans="1:4" ht="14.45" x14ac:dyDescent="0.3">
      <c r="A3856">
        <v>7243</v>
      </c>
      <c r="B3856" t="s">
        <v>10723</v>
      </c>
      <c r="C3856" t="s">
        <v>5043</v>
      </c>
      <c r="D3856" t="s">
        <v>8401</v>
      </c>
    </row>
    <row r="3857" spans="1:4" ht="14.45" x14ac:dyDescent="0.3">
      <c r="A3857">
        <v>8781</v>
      </c>
      <c r="B3857" t="s">
        <v>10723</v>
      </c>
      <c r="C3857" t="s">
        <v>5043</v>
      </c>
      <c r="D3857" t="s">
        <v>8401</v>
      </c>
    </row>
    <row r="3858" spans="1:4" ht="14.45" x14ac:dyDescent="0.3">
      <c r="A3858">
        <v>9092</v>
      </c>
      <c r="B3858" t="s">
        <v>10723</v>
      </c>
      <c r="C3858" t="s">
        <v>5043</v>
      </c>
      <c r="D3858" t="s">
        <v>8401</v>
      </c>
    </row>
    <row r="3859" spans="1:4" ht="14.45" x14ac:dyDescent="0.3">
      <c r="A3859">
        <v>9475</v>
      </c>
      <c r="B3859" t="s">
        <v>10723</v>
      </c>
      <c r="C3859" t="s">
        <v>5043</v>
      </c>
      <c r="D3859" t="s">
        <v>8401</v>
      </c>
    </row>
    <row r="3860" spans="1:4" ht="14.45" x14ac:dyDescent="0.3">
      <c r="A3860">
        <v>11288</v>
      </c>
      <c r="B3860" t="s">
        <v>10724</v>
      </c>
      <c r="C3860" t="s">
        <v>5043</v>
      </c>
      <c r="D3860" t="s">
        <v>8401</v>
      </c>
    </row>
    <row r="3861" spans="1:4" ht="14.45" x14ac:dyDescent="0.3">
      <c r="A3861">
        <v>8881</v>
      </c>
      <c r="B3861" t="s">
        <v>10725</v>
      </c>
      <c r="C3861" t="s">
        <v>5043</v>
      </c>
      <c r="D3861" t="s">
        <v>8401</v>
      </c>
    </row>
    <row r="3862" spans="1:4" ht="14.45" x14ac:dyDescent="0.3">
      <c r="A3862">
        <v>8497</v>
      </c>
      <c r="B3862" t="s">
        <v>10726</v>
      </c>
      <c r="C3862" t="s">
        <v>5043</v>
      </c>
      <c r="D3862" t="s">
        <v>8401</v>
      </c>
    </row>
    <row r="3863" spans="1:4" ht="14.45" x14ac:dyDescent="0.3">
      <c r="A3863">
        <v>10350</v>
      </c>
      <c r="B3863" t="s">
        <v>10727</v>
      </c>
      <c r="C3863" t="s">
        <v>5043</v>
      </c>
      <c r="D3863" t="s">
        <v>8401</v>
      </c>
    </row>
    <row r="3864" spans="1:4" ht="14.45" x14ac:dyDescent="0.3">
      <c r="A3864">
        <v>10026</v>
      </c>
      <c r="B3864" t="s">
        <v>10728</v>
      </c>
      <c r="C3864" t="s">
        <v>5043</v>
      </c>
      <c r="D3864" t="s">
        <v>8401</v>
      </c>
    </row>
    <row r="3865" spans="1:4" ht="14.45" x14ac:dyDescent="0.3">
      <c r="A3865">
        <v>10189</v>
      </c>
      <c r="B3865" t="s">
        <v>9031</v>
      </c>
      <c r="C3865" t="s">
        <v>5043</v>
      </c>
      <c r="D3865" t="s">
        <v>8401</v>
      </c>
    </row>
    <row r="3866" spans="1:4" ht="14.45" x14ac:dyDescent="0.3">
      <c r="A3866">
        <v>11016</v>
      </c>
      <c r="B3866" t="s">
        <v>9031</v>
      </c>
      <c r="C3866" t="s">
        <v>5043</v>
      </c>
      <c r="D3866" t="s">
        <v>8401</v>
      </c>
    </row>
    <row r="3867" spans="1:4" ht="14.45" x14ac:dyDescent="0.3">
      <c r="A3867">
        <v>11241</v>
      </c>
      <c r="B3867" t="s">
        <v>9031</v>
      </c>
      <c r="C3867" t="s">
        <v>5043</v>
      </c>
      <c r="D3867" t="s">
        <v>8401</v>
      </c>
    </row>
    <row r="3868" spans="1:4" ht="14.45" x14ac:dyDescent="0.3">
      <c r="A3868">
        <v>9466</v>
      </c>
      <c r="B3868" t="s">
        <v>10729</v>
      </c>
      <c r="C3868" t="s">
        <v>5043</v>
      </c>
      <c r="D3868" t="s">
        <v>8401</v>
      </c>
    </row>
    <row r="3869" spans="1:4" ht="14.45" x14ac:dyDescent="0.3">
      <c r="A3869">
        <v>7892</v>
      </c>
      <c r="B3869" t="s">
        <v>10730</v>
      </c>
      <c r="C3869" t="s">
        <v>5043</v>
      </c>
      <c r="D3869" t="s">
        <v>8401</v>
      </c>
    </row>
    <row r="3870" spans="1:4" ht="14.45" x14ac:dyDescent="0.3">
      <c r="A3870">
        <v>7901</v>
      </c>
      <c r="B3870" t="s">
        <v>10731</v>
      </c>
      <c r="C3870" t="s">
        <v>5043</v>
      </c>
      <c r="D3870" t="s">
        <v>8401</v>
      </c>
    </row>
    <row r="3871" spans="1:4" ht="14.45" x14ac:dyDescent="0.3">
      <c r="A3871">
        <v>9435</v>
      </c>
      <c r="B3871" t="s">
        <v>10731</v>
      </c>
      <c r="C3871" t="s">
        <v>5043</v>
      </c>
      <c r="D3871" t="s">
        <v>8401</v>
      </c>
    </row>
    <row r="3872" spans="1:4" ht="14.45" x14ac:dyDescent="0.3">
      <c r="A3872">
        <v>6620</v>
      </c>
      <c r="B3872" t="s">
        <v>10732</v>
      </c>
      <c r="C3872" t="s">
        <v>5043</v>
      </c>
      <c r="D3872" t="s">
        <v>8401</v>
      </c>
    </row>
    <row r="3873" spans="1:4" ht="14.45" x14ac:dyDescent="0.3">
      <c r="A3873">
        <v>8108</v>
      </c>
      <c r="B3873" t="s">
        <v>10732</v>
      </c>
      <c r="C3873" t="s">
        <v>5043</v>
      </c>
      <c r="D3873" t="s">
        <v>8401</v>
      </c>
    </row>
    <row r="3874" spans="1:4" ht="14.45" x14ac:dyDescent="0.3">
      <c r="A3874">
        <v>8943</v>
      </c>
      <c r="B3874" t="s">
        <v>10732</v>
      </c>
      <c r="C3874" t="s">
        <v>5043</v>
      </c>
      <c r="D3874" t="s">
        <v>8401</v>
      </c>
    </row>
    <row r="3875" spans="1:4" ht="14.45" x14ac:dyDescent="0.3">
      <c r="A3875">
        <v>9991</v>
      </c>
      <c r="B3875" t="s">
        <v>10732</v>
      </c>
      <c r="C3875" t="s">
        <v>5043</v>
      </c>
      <c r="D3875" t="s">
        <v>8401</v>
      </c>
    </row>
    <row r="3876" spans="1:4" ht="14.45" x14ac:dyDescent="0.3">
      <c r="A3876">
        <v>7202</v>
      </c>
      <c r="B3876" t="s">
        <v>10733</v>
      </c>
      <c r="C3876" t="s">
        <v>5043</v>
      </c>
      <c r="D3876" t="s">
        <v>8401</v>
      </c>
    </row>
    <row r="3877" spans="1:4" ht="14.45" x14ac:dyDescent="0.3">
      <c r="A3877">
        <v>10228</v>
      </c>
      <c r="B3877" t="s">
        <v>10734</v>
      </c>
      <c r="C3877" t="s">
        <v>5043</v>
      </c>
      <c r="D3877" t="s">
        <v>8401</v>
      </c>
    </row>
    <row r="3878" spans="1:4" ht="14.45" x14ac:dyDescent="0.3">
      <c r="A3878">
        <v>10074</v>
      </c>
      <c r="B3878" t="s">
        <v>10735</v>
      </c>
      <c r="C3878" t="s">
        <v>5043</v>
      </c>
      <c r="D3878" t="s">
        <v>8401</v>
      </c>
    </row>
    <row r="3879" spans="1:4" ht="14.45" x14ac:dyDescent="0.3">
      <c r="A3879">
        <v>10679</v>
      </c>
      <c r="B3879" t="s">
        <v>10735</v>
      </c>
      <c r="C3879" t="s">
        <v>5043</v>
      </c>
      <c r="D3879" t="s">
        <v>8401</v>
      </c>
    </row>
    <row r="3880" spans="1:4" ht="14.45" x14ac:dyDescent="0.3">
      <c r="A3880">
        <v>8265</v>
      </c>
      <c r="B3880" t="s">
        <v>10735</v>
      </c>
      <c r="C3880" t="s">
        <v>5043</v>
      </c>
      <c r="D3880" t="s">
        <v>8401</v>
      </c>
    </row>
    <row r="3881" spans="1:4" ht="14.45" x14ac:dyDescent="0.3">
      <c r="A3881">
        <v>9920</v>
      </c>
      <c r="B3881" t="s">
        <v>10736</v>
      </c>
      <c r="C3881" t="s">
        <v>5043</v>
      </c>
      <c r="D3881" t="s">
        <v>8401</v>
      </c>
    </row>
    <row r="3882" spans="1:4" ht="14.45" x14ac:dyDescent="0.3">
      <c r="A3882">
        <v>10607</v>
      </c>
      <c r="B3882" t="s">
        <v>10737</v>
      </c>
      <c r="C3882" t="s">
        <v>5043</v>
      </c>
      <c r="D3882" t="s">
        <v>8401</v>
      </c>
    </row>
    <row r="3883" spans="1:4" ht="14.45" x14ac:dyDescent="0.3">
      <c r="A3883">
        <v>10568</v>
      </c>
      <c r="B3883" t="s">
        <v>10738</v>
      </c>
      <c r="C3883" t="s">
        <v>5043</v>
      </c>
      <c r="D3883" t="s">
        <v>8401</v>
      </c>
    </row>
    <row r="3884" spans="1:4" ht="14.45" x14ac:dyDescent="0.3">
      <c r="A3884">
        <v>10665</v>
      </c>
      <c r="B3884" t="s">
        <v>10738</v>
      </c>
      <c r="C3884" t="s">
        <v>5043</v>
      </c>
      <c r="D3884" t="s">
        <v>8401</v>
      </c>
    </row>
    <row r="3885" spans="1:4" ht="14.45" x14ac:dyDescent="0.3">
      <c r="A3885">
        <v>8578</v>
      </c>
      <c r="B3885" t="s">
        <v>10738</v>
      </c>
      <c r="C3885" t="s">
        <v>5043</v>
      </c>
      <c r="D3885" t="s">
        <v>8401</v>
      </c>
    </row>
    <row r="3886" spans="1:4" ht="14.45" x14ac:dyDescent="0.3">
      <c r="A3886">
        <v>9267</v>
      </c>
      <c r="B3886" t="s">
        <v>10738</v>
      </c>
      <c r="C3886" t="s">
        <v>5043</v>
      </c>
      <c r="D3886" t="s">
        <v>8401</v>
      </c>
    </row>
    <row r="3887" spans="1:4" ht="14.45" x14ac:dyDescent="0.3">
      <c r="A3887">
        <v>10081</v>
      </c>
      <c r="B3887" t="s">
        <v>10739</v>
      </c>
      <c r="C3887" t="s">
        <v>5043</v>
      </c>
      <c r="D3887" t="s">
        <v>8401</v>
      </c>
    </row>
    <row r="3888" spans="1:4" ht="14.45" x14ac:dyDescent="0.3">
      <c r="A3888">
        <v>7433</v>
      </c>
      <c r="B3888" t="s">
        <v>10739</v>
      </c>
      <c r="C3888" t="s">
        <v>5043</v>
      </c>
      <c r="D3888" t="s">
        <v>8401</v>
      </c>
    </row>
    <row r="3889" spans="1:4" ht="14.45" x14ac:dyDescent="0.3">
      <c r="A3889">
        <v>8814</v>
      </c>
      <c r="B3889" t="s">
        <v>10739</v>
      </c>
      <c r="C3889" t="s">
        <v>5043</v>
      </c>
      <c r="D3889" t="s">
        <v>8401</v>
      </c>
    </row>
    <row r="3890" spans="1:4" ht="14.45" x14ac:dyDescent="0.3">
      <c r="A3890">
        <v>9559</v>
      </c>
      <c r="B3890" t="s">
        <v>10739</v>
      </c>
      <c r="C3890" t="s">
        <v>5043</v>
      </c>
      <c r="D3890" t="s">
        <v>8401</v>
      </c>
    </row>
    <row r="3891" spans="1:4" ht="14.45" x14ac:dyDescent="0.3">
      <c r="A3891">
        <v>6984</v>
      </c>
      <c r="B3891" t="s">
        <v>10740</v>
      </c>
      <c r="C3891" t="s">
        <v>5043</v>
      </c>
      <c r="D3891" t="s">
        <v>8401</v>
      </c>
    </row>
    <row r="3892" spans="1:4" ht="14.45" x14ac:dyDescent="0.3">
      <c r="A3892">
        <v>7150</v>
      </c>
      <c r="B3892" t="s">
        <v>10740</v>
      </c>
      <c r="C3892" t="s">
        <v>5043</v>
      </c>
      <c r="D3892" t="s">
        <v>8401</v>
      </c>
    </row>
    <row r="3893" spans="1:4" ht="14.45" x14ac:dyDescent="0.3">
      <c r="A3893">
        <v>8363</v>
      </c>
      <c r="B3893" t="s">
        <v>10740</v>
      </c>
      <c r="C3893" t="s">
        <v>5043</v>
      </c>
      <c r="D3893" t="s">
        <v>8401</v>
      </c>
    </row>
    <row r="3894" spans="1:4" ht="14.45" x14ac:dyDescent="0.3">
      <c r="A3894">
        <v>8759</v>
      </c>
      <c r="B3894" t="s">
        <v>10740</v>
      </c>
      <c r="C3894" t="s">
        <v>5043</v>
      </c>
      <c r="D3894" t="s">
        <v>8401</v>
      </c>
    </row>
    <row r="3895" spans="1:4" ht="14.45" x14ac:dyDescent="0.3">
      <c r="A3895">
        <v>9132</v>
      </c>
      <c r="B3895" t="s">
        <v>10740</v>
      </c>
      <c r="C3895" t="s">
        <v>5043</v>
      </c>
      <c r="D3895" t="s">
        <v>8401</v>
      </c>
    </row>
    <row r="3896" spans="1:4" ht="14.45" x14ac:dyDescent="0.3">
      <c r="A3896">
        <v>9388</v>
      </c>
      <c r="B3896" t="s">
        <v>10741</v>
      </c>
      <c r="C3896" t="s">
        <v>5043</v>
      </c>
      <c r="D3896" t="s">
        <v>8401</v>
      </c>
    </row>
    <row r="3897" spans="1:4" ht="14.45" x14ac:dyDescent="0.3">
      <c r="A3897">
        <v>10365</v>
      </c>
      <c r="B3897" t="s">
        <v>10742</v>
      </c>
      <c r="C3897" t="s">
        <v>5043</v>
      </c>
      <c r="D3897" t="s">
        <v>8401</v>
      </c>
    </row>
    <row r="3898" spans="1:4" ht="14.45" x14ac:dyDescent="0.3">
      <c r="A3898">
        <v>6808</v>
      </c>
      <c r="B3898" t="s">
        <v>10742</v>
      </c>
      <c r="C3898" t="s">
        <v>5043</v>
      </c>
      <c r="D3898" t="s">
        <v>8401</v>
      </c>
    </row>
    <row r="3899" spans="1:4" ht="14.45" x14ac:dyDescent="0.3">
      <c r="A3899">
        <v>9548</v>
      </c>
      <c r="B3899" t="s">
        <v>10743</v>
      </c>
      <c r="C3899" t="s">
        <v>5043</v>
      </c>
      <c r="D3899" t="s">
        <v>8401</v>
      </c>
    </row>
    <row r="3900" spans="1:4" ht="14.45" x14ac:dyDescent="0.3">
      <c r="A3900">
        <v>11552</v>
      </c>
      <c r="B3900" t="s">
        <v>10744</v>
      </c>
      <c r="C3900" t="s">
        <v>5043</v>
      </c>
      <c r="D3900" t="s">
        <v>8401</v>
      </c>
    </row>
    <row r="3901" spans="1:4" ht="14.45" x14ac:dyDescent="0.3">
      <c r="A3901">
        <v>7445</v>
      </c>
      <c r="B3901" t="s">
        <v>10744</v>
      </c>
      <c r="C3901" t="s">
        <v>5043</v>
      </c>
      <c r="D3901" t="s">
        <v>8401</v>
      </c>
    </row>
    <row r="3902" spans="1:4" ht="14.45" x14ac:dyDescent="0.3">
      <c r="A3902">
        <v>9409</v>
      </c>
      <c r="B3902" t="s">
        <v>10744</v>
      </c>
      <c r="C3902" t="s">
        <v>5043</v>
      </c>
      <c r="D3902" t="s">
        <v>8401</v>
      </c>
    </row>
    <row r="3903" spans="1:4" ht="14.45" x14ac:dyDescent="0.3">
      <c r="A3903">
        <v>11639</v>
      </c>
      <c r="B3903" t="s">
        <v>10745</v>
      </c>
      <c r="C3903" t="s">
        <v>5043</v>
      </c>
      <c r="D3903" t="s">
        <v>8401</v>
      </c>
    </row>
    <row r="3904" spans="1:4" ht="14.45" x14ac:dyDescent="0.3">
      <c r="A3904">
        <v>7072</v>
      </c>
      <c r="B3904" t="s">
        <v>10745</v>
      </c>
      <c r="C3904" t="s">
        <v>5043</v>
      </c>
      <c r="D3904" t="s">
        <v>8401</v>
      </c>
    </row>
    <row r="3905" spans="1:4" ht="14.45" x14ac:dyDescent="0.3">
      <c r="A3905">
        <v>8215</v>
      </c>
      <c r="B3905" t="s">
        <v>10746</v>
      </c>
      <c r="C3905" t="s">
        <v>5043</v>
      </c>
      <c r="D3905" t="s">
        <v>8401</v>
      </c>
    </row>
    <row r="3906" spans="1:4" ht="14.45" x14ac:dyDescent="0.3">
      <c r="A3906">
        <v>9300</v>
      </c>
      <c r="B3906" t="s">
        <v>10747</v>
      </c>
      <c r="C3906" t="s">
        <v>5043</v>
      </c>
      <c r="D3906" t="s">
        <v>8401</v>
      </c>
    </row>
    <row r="3907" spans="1:4" ht="14.45" x14ac:dyDescent="0.3">
      <c r="A3907">
        <v>10187</v>
      </c>
      <c r="B3907" t="s">
        <v>10748</v>
      </c>
      <c r="C3907" t="s">
        <v>5043</v>
      </c>
      <c r="D3907" t="s">
        <v>8401</v>
      </c>
    </row>
    <row r="3908" spans="1:4" ht="14.45" x14ac:dyDescent="0.3">
      <c r="A3908">
        <v>10925</v>
      </c>
      <c r="B3908" t="s">
        <v>10748</v>
      </c>
      <c r="C3908" t="s">
        <v>5043</v>
      </c>
      <c r="D3908" t="s">
        <v>8401</v>
      </c>
    </row>
    <row r="3909" spans="1:4" ht="14.45" x14ac:dyDescent="0.3">
      <c r="A3909">
        <v>8267</v>
      </c>
      <c r="B3909" t="s">
        <v>10748</v>
      </c>
      <c r="C3909" t="s">
        <v>5043</v>
      </c>
      <c r="D3909" t="s">
        <v>8401</v>
      </c>
    </row>
    <row r="3910" spans="1:4" ht="14.45" x14ac:dyDescent="0.3">
      <c r="A3910">
        <v>10651</v>
      </c>
      <c r="B3910" t="s">
        <v>10749</v>
      </c>
      <c r="C3910" t="s">
        <v>5043</v>
      </c>
      <c r="D3910" t="s">
        <v>8401</v>
      </c>
    </row>
    <row r="3911" spans="1:4" ht="14.45" x14ac:dyDescent="0.3">
      <c r="A3911">
        <v>11587</v>
      </c>
      <c r="B3911" t="s">
        <v>10749</v>
      </c>
      <c r="C3911" t="s">
        <v>5043</v>
      </c>
      <c r="D3911" t="s">
        <v>8401</v>
      </c>
    </row>
    <row r="3912" spans="1:4" ht="14.45" x14ac:dyDescent="0.3">
      <c r="A3912">
        <v>11643</v>
      </c>
      <c r="B3912" t="s">
        <v>10749</v>
      </c>
      <c r="C3912" t="s">
        <v>5043</v>
      </c>
      <c r="D3912" t="s">
        <v>8401</v>
      </c>
    </row>
    <row r="3913" spans="1:4" ht="14.45" x14ac:dyDescent="0.3">
      <c r="A3913">
        <v>8017</v>
      </c>
      <c r="B3913" t="s">
        <v>10749</v>
      </c>
      <c r="C3913" t="s">
        <v>5043</v>
      </c>
      <c r="D3913" t="s">
        <v>8401</v>
      </c>
    </row>
    <row r="3914" spans="1:4" ht="14.45" x14ac:dyDescent="0.3">
      <c r="A3914">
        <v>9467</v>
      </c>
      <c r="B3914" t="s">
        <v>10749</v>
      </c>
      <c r="C3914" t="s">
        <v>5043</v>
      </c>
      <c r="D3914" t="s">
        <v>8401</v>
      </c>
    </row>
    <row r="3915" spans="1:4" ht="14.45" x14ac:dyDescent="0.3">
      <c r="A3915">
        <v>9536</v>
      </c>
      <c r="B3915" t="s">
        <v>10749</v>
      </c>
      <c r="C3915" t="s">
        <v>5043</v>
      </c>
      <c r="D3915" t="s">
        <v>8401</v>
      </c>
    </row>
    <row r="3916" spans="1:4" ht="14.45" x14ac:dyDescent="0.3">
      <c r="A3916"/>
      <c r="B3916"/>
      <c r="C3916"/>
      <c r="D3916"/>
    </row>
    <row r="3917" spans="1:4" ht="14.45" x14ac:dyDescent="0.3">
      <c r="A3917"/>
      <c r="B3917"/>
      <c r="C3917"/>
      <c r="D3917"/>
    </row>
    <row r="3918" spans="1:4" ht="14.45" x14ac:dyDescent="0.3">
      <c r="A3918"/>
      <c r="B3918"/>
      <c r="C3918"/>
      <c r="D3918"/>
    </row>
    <row r="3919" spans="1:4" ht="14.45" x14ac:dyDescent="0.3">
      <c r="A3919"/>
      <c r="B3919"/>
      <c r="C3919"/>
      <c r="D3919"/>
    </row>
    <row r="3920" spans="1:4" ht="14.45" x14ac:dyDescent="0.3">
      <c r="A3920"/>
      <c r="B3920"/>
      <c r="C3920"/>
      <c r="D3920"/>
    </row>
    <row r="3921" spans="1:4" ht="14.45" x14ac:dyDescent="0.3">
      <c r="A3921"/>
      <c r="B3921"/>
      <c r="C3921"/>
      <c r="D3921"/>
    </row>
    <row r="3922" spans="1:4" ht="14.45" x14ac:dyDescent="0.3">
      <c r="A3922"/>
      <c r="B3922"/>
      <c r="C3922"/>
      <c r="D3922"/>
    </row>
    <row r="3923" spans="1:4" ht="14.45" x14ac:dyDescent="0.3">
      <c r="A3923"/>
      <c r="B3923"/>
      <c r="C3923"/>
      <c r="D3923"/>
    </row>
    <row r="3924" spans="1:4" ht="14.45" x14ac:dyDescent="0.3">
      <c r="A3924"/>
      <c r="B3924"/>
      <c r="C3924"/>
      <c r="D3924"/>
    </row>
    <row r="3925" spans="1:4" ht="14.45" x14ac:dyDescent="0.3">
      <c r="A3925"/>
      <c r="B3925"/>
      <c r="C3925"/>
      <c r="D3925"/>
    </row>
    <row r="3926" spans="1:4" ht="14.45" x14ac:dyDescent="0.3">
      <c r="A3926"/>
      <c r="B3926"/>
      <c r="C3926"/>
      <c r="D3926"/>
    </row>
    <row r="3927" spans="1:4" ht="14.45" x14ac:dyDescent="0.3">
      <c r="A3927"/>
      <c r="B3927"/>
      <c r="C3927"/>
      <c r="D3927"/>
    </row>
    <row r="3928" spans="1:4" ht="14.45" x14ac:dyDescent="0.3">
      <c r="A3928"/>
      <c r="B3928"/>
      <c r="C3928"/>
      <c r="D3928"/>
    </row>
    <row r="3929" spans="1:4" ht="14.45" x14ac:dyDescent="0.3">
      <c r="A3929"/>
      <c r="B3929"/>
      <c r="C3929"/>
      <c r="D3929"/>
    </row>
    <row r="3930" spans="1:4" ht="14.45" x14ac:dyDescent="0.3">
      <c r="A3930"/>
      <c r="B3930"/>
      <c r="C3930"/>
      <c r="D3930"/>
    </row>
    <row r="3931" spans="1:4" ht="14.45" x14ac:dyDescent="0.3">
      <c r="A3931"/>
      <c r="B3931"/>
      <c r="C3931"/>
      <c r="D3931"/>
    </row>
    <row r="3932" spans="1:4" ht="14.45" x14ac:dyDescent="0.3">
      <c r="A3932"/>
      <c r="B3932"/>
      <c r="C3932"/>
      <c r="D3932"/>
    </row>
    <row r="3933" spans="1:4" ht="14.45" x14ac:dyDescent="0.3">
      <c r="A3933"/>
      <c r="B3933"/>
      <c r="C3933"/>
      <c r="D3933"/>
    </row>
    <row r="3934" spans="1:4" ht="14.45" x14ac:dyDescent="0.3">
      <c r="A3934"/>
      <c r="B3934"/>
      <c r="C3934"/>
      <c r="D3934"/>
    </row>
    <row r="3935" spans="1:4" ht="14.45" x14ac:dyDescent="0.3">
      <c r="A3935"/>
      <c r="B3935"/>
      <c r="C3935"/>
      <c r="D3935"/>
    </row>
    <row r="3936" spans="1:4" ht="14.45" x14ac:dyDescent="0.3">
      <c r="A3936"/>
      <c r="B3936"/>
      <c r="C3936"/>
      <c r="D3936"/>
    </row>
    <row r="3937" spans="1:4" ht="14.45" x14ac:dyDescent="0.3">
      <c r="A3937"/>
      <c r="B3937"/>
      <c r="C3937"/>
      <c r="D3937"/>
    </row>
    <row r="3938" spans="1:4" ht="14.45" x14ac:dyDescent="0.3">
      <c r="A3938"/>
      <c r="B3938"/>
      <c r="C3938"/>
      <c r="D3938"/>
    </row>
    <row r="3939" spans="1:4" ht="14.45" x14ac:dyDescent="0.3">
      <c r="A3939"/>
      <c r="B3939"/>
      <c r="C3939"/>
      <c r="D3939"/>
    </row>
    <row r="3940" spans="1:4" ht="14.45" x14ac:dyDescent="0.3">
      <c r="A3940"/>
      <c r="B3940"/>
      <c r="C3940"/>
      <c r="D3940"/>
    </row>
    <row r="3941" spans="1:4" ht="14.45" x14ac:dyDescent="0.3">
      <c r="A3941"/>
      <c r="B3941"/>
      <c r="C3941"/>
      <c r="D3941"/>
    </row>
    <row r="3942" spans="1:4" ht="14.45" x14ac:dyDescent="0.3">
      <c r="A3942"/>
      <c r="B3942"/>
      <c r="C3942"/>
      <c r="D3942"/>
    </row>
    <row r="3943" spans="1:4" ht="14.45" x14ac:dyDescent="0.3">
      <c r="A3943"/>
      <c r="B3943"/>
      <c r="C3943"/>
      <c r="D3943"/>
    </row>
    <row r="3944" spans="1:4" ht="14.45" x14ac:dyDescent="0.3">
      <c r="A3944"/>
      <c r="B3944"/>
      <c r="C3944"/>
      <c r="D3944"/>
    </row>
    <row r="3945" spans="1:4" ht="14.45" x14ac:dyDescent="0.3">
      <c r="A3945"/>
      <c r="B3945"/>
      <c r="C3945"/>
      <c r="D3945"/>
    </row>
    <row r="3946" spans="1:4" ht="14.45" x14ac:dyDescent="0.3">
      <c r="A3946"/>
      <c r="B3946"/>
      <c r="C3946"/>
      <c r="D3946"/>
    </row>
    <row r="3947" spans="1:4" ht="14.45" x14ac:dyDescent="0.3">
      <c r="A3947"/>
      <c r="B3947"/>
      <c r="C3947"/>
      <c r="D3947"/>
    </row>
    <row r="3948" spans="1:4" ht="14.45" x14ac:dyDescent="0.3">
      <c r="A3948"/>
      <c r="B3948"/>
      <c r="C3948"/>
      <c r="D3948"/>
    </row>
    <row r="3949" spans="1:4" ht="14.45" x14ac:dyDescent="0.3">
      <c r="A3949"/>
      <c r="B3949"/>
      <c r="C3949"/>
      <c r="D3949"/>
    </row>
    <row r="3950" spans="1:4" ht="14.45" x14ac:dyDescent="0.3">
      <c r="A3950"/>
      <c r="B3950"/>
      <c r="C3950"/>
      <c r="D3950"/>
    </row>
    <row r="3951" spans="1:4" ht="14.45" x14ac:dyDescent="0.3">
      <c r="A3951"/>
      <c r="B3951"/>
      <c r="C3951"/>
      <c r="D3951"/>
    </row>
    <row r="3952" spans="1:4" ht="14.45" x14ac:dyDescent="0.3">
      <c r="A3952"/>
      <c r="B3952"/>
      <c r="C3952"/>
      <c r="D3952"/>
    </row>
    <row r="3953" spans="1:4" ht="14.45" x14ac:dyDescent="0.3">
      <c r="A3953"/>
      <c r="B3953"/>
      <c r="C3953"/>
      <c r="D3953"/>
    </row>
    <row r="3954" spans="1:4" ht="14.45" x14ac:dyDescent="0.3">
      <c r="A3954"/>
      <c r="B3954"/>
      <c r="C3954"/>
      <c r="D3954"/>
    </row>
    <row r="3955" spans="1:4" ht="14.45" x14ac:dyDescent="0.3">
      <c r="A3955"/>
      <c r="B3955"/>
      <c r="C3955"/>
      <c r="D3955"/>
    </row>
    <row r="3956" spans="1:4" ht="14.45" x14ac:dyDescent="0.3">
      <c r="A3956"/>
      <c r="B3956"/>
      <c r="C3956"/>
      <c r="D3956"/>
    </row>
    <row r="3957" spans="1:4" ht="14.45" x14ac:dyDescent="0.3">
      <c r="A3957"/>
      <c r="B3957"/>
      <c r="C3957"/>
      <c r="D3957"/>
    </row>
    <row r="3958" spans="1:4" ht="14.45" x14ac:dyDescent="0.3">
      <c r="A3958"/>
      <c r="B3958"/>
      <c r="C3958"/>
      <c r="D3958"/>
    </row>
    <row r="3959" spans="1:4" ht="14.45" x14ac:dyDescent="0.3">
      <c r="A3959"/>
      <c r="B3959"/>
      <c r="C3959"/>
      <c r="D3959"/>
    </row>
    <row r="3960" spans="1:4" ht="14.45" x14ac:dyDescent="0.3">
      <c r="A3960"/>
      <c r="B3960"/>
      <c r="C3960"/>
      <c r="D3960"/>
    </row>
    <row r="3961" spans="1:4" ht="14.45" x14ac:dyDescent="0.3">
      <c r="A3961"/>
      <c r="B3961"/>
      <c r="C3961"/>
      <c r="D3961"/>
    </row>
    <row r="3962" spans="1:4" ht="14.45" x14ac:dyDescent="0.3">
      <c r="A3962"/>
      <c r="B3962"/>
      <c r="C3962"/>
      <c r="D3962"/>
    </row>
    <row r="3963" spans="1:4" ht="14.45" x14ac:dyDescent="0.3">
      <c r="A3963"/>
      <c r="B3963"/>
      <c r="C3963"/>
      <c r="D3963"/>
    </row>
    <row r="3964" spans="1:4" ht="14.45" x14ac:dyDescent="0.3">
      <c r="A3964"/>
      <c r="B3964"/>
      <c r="C3964"/>
      <c r="D3964"/>
    </row>
    <row r="3965" spans="1:4" ht="14.45" x14ac:dyDescent="0.3">
      <c r="A3965"/>
      <c r="B3965"/>
      <c r="C3965"/>
      <c r="D3965"/>
    </row>
    <row r="3966" spans="1:4" ht="14.45" x14ac:dyDescent="0.3">
      <c r="A3966"/>
      <c r="B3966"/>
      <c r="C3966"/>
      <c r="D3966"/>
    </row>
    <row r="3967" spans="1:4" ht="14.45" x14ac:dyDescent="0.3">
      <c r="A3967"/>
      <c r="B3967"/>
      <c r="C3967"/>
      <c r="D3967"/>
    </row>
    <row r="3968" spans="1:4" ht="14.45" x14ac:dyDescent="0.3">
      <c r="A3968"/>
      <c r="B3968"/>
      <c r="C3968"/>
      <c r="D3968"/>
    </row>
    <row r="3969" spans="1:4" ht="14.45" x14ac:dyDescent="0.3">
      <c r="A3969"/>
      <c r="B3969"/>
      <c r="C3969"/>
      <c r="D3969"/>
    </row>
    <row r="3970" spans="1:4" ht="14.45" x14ac:dyDescent="0.3">
      <c r="A3970"/>
      <c r="B3970"/>
      <c r="C3970"/>
      <c r="D3970"/>
    </row>
    <row r="3971" spans="1:4" ht="14.45" x14ac:dyDescent="0.3">
      <c r="A3971"/>
      <c r="B3971"/>
      <c r="C3971"/>
      <c r="D3971"/>
    </row>
    <row r="3972" spans="1:4" ht="14.45" x14ac:dyDescent="0.3">
      <c r="A3972"/>
      <c r="B3972"/>
      <c r="C3972"/>
      <c r="D3972"/>
    </row>
    <row r="3973" spans="1:4" ht="14.45" x14ac:dyDescent="0.3">
      <c r="A3973"/>
      <c r="B3973"/>
      <c r="C3973"/>
      <c r="D3973"/>
    </row>
    <row r="3974" spans="1:4" ht="14.45" x14ac:dyDescent="0.3">
      <c r="A3974"/>
      <c r="B3974"/>
      <c r="C3974"/>
      <c r="D3974"/>
    </row>
    <row r="3975" spans="1:4" ht="14.45" x14ac:dyDescent="0.3">
      <c r="A3975"/>
      <c r="B3975"/>
      <c r="C3975"/>
      <c r="D3975"/>
    </row>
    <row r="3976" spans="1:4" ht="14.45" x14ac:dyDescent="0.3">
      <c r="A3976"/>
      <c r="B3976"/>
      <c r="C3976"/>
      <c r="D3976"/>
    </row>
    <row r="3977" spans="1:4" ht="14.45" x14ac:dyDescent="0.3">
      <c r="A3977"/>
      <c r="B3977"/>
      <c r="C3977"/>
      <c r="D3977"/>
    </row>
    <row r="3978" spans="1:4" ht="14.45" x14ac:dyDescent="0.3">
      <c r="A3978"/>
      <c r="B3978"/>
      <c r="C3978"/>
      <c r="D3978"/>
    </row>
    <row r="3979" spans="1:4" ht="14.45" x14ac:dyDescent="0.3">
      <c r="A3979"/>
      <c r="B3979"/>
      <c r="C3979"/>
      <c r="D3979"/>
    </row>
    <row r="3980" spans="1:4" ht="14.45" x14ac:dyDescent="0.3">
      <c r="A3980"/>
      <c r="B3980"/>
      <c r="C3980"/>
      <c r="D3980"/>
    </row>
    <row r="3981" spans="1:4" ht="14.45" x14ac:dyDescent="0.3">
      <c r="A3981"/>
      <c r="B3981"/>
      <c r="C3981"/>
      <c r="D3981"/>
    </row>
    <row r="3982" spans="1:4" ht="14.45" x14ac:dyDescent="0.3">
      <c r="A3982"/>
      <c r="B3982"/>
      <c r="C3982"/>
      <c r="D3982"/>
    </row>
    <row r="3983" spans="1:4" ht="14.45" x14ac:dyDescent="0.3">
      <c r="A3983"/>
      <c r="B3983"/>
      <c r="C3983"/>
      <c r="D3983"/>
    </row>
    <row r="3984" spans="1:4" ht="14.45" x14ac:dyDescent="0.3">
      <c r="A3984"/>
      <c r="B3984"/>
      <c r="C3984"/>
      <c r="D3984"/>
    </row>
    <row r="3985" spans="1:4" ht="14.45" x14ac:dyDescent="0.3">
      <c r="A3985"/>
      <c r="B3985"/>
      <c r="C3985"/>
      <c r="D3985"/>
    </row>
    <row r="3986" spans="1:4" ht="14.45" x14ac:dyDescent="0.3">
      <c r="A3986"/>
      <c r="B3986"/>
      <c r="C3986"/>
      <c r="D3986"/>
    </row>
    <row r="3987" spans="1:4" ht="14.45" x14ac:dyDescent="0.3">
      <c r="A3987"/>
      <c r="B3987"/>
      <c r="C3987"/>
      <c r="D3987"/>
    </row>
    <row r="3988" spans="1:4" ht="14.45" x14ac:dyDescent="0.3">
      <c r="A3988"/>
      <c r="B3988"/>
      <c r="C3988"/>
      <c r="D3988"/>
    </row>
    <row r="3989" spans="1:4" ht="14.45" x14ac:dyDescent="0.3">
      <c r="A3989"/>
      <c r="B3989"/>
      <c r="C3989"/>
      <c r="D3989"/>
    </row>
    <row r="3990" spans="1:4" ht="14.45" x14ac:dyDescent="0.3">
      <c r="A3990"/>
      <c r="B3990"/>
      <c r="C3990"/>
      <c r="D3990"/>
    </row>
    <row r="3991" spans="1:4" ht="14.45" x14ac:dyDescent="0.3">
      <c r="A3991"/>
      <c r="B3991"/>
      <c r="C3991"/>
      <c r="D3991"/>
    </row>
    <row r="3992" spans="1:4" ht="14.45" x14ac:dyDescent="0.3">
      <c r="A3992"/>
      <c r="B3992"/>
      <c r="C3992"/>
      <c r="D3992"/>
    </row>
    <row r="3993" spans="1:4" ht="14.45" x14ac:dyDescent="0.3">
      <c r="A3993"/>
      <c r="B3993"/>
      <c r="C3993"/>
      <c r="D3993"/>
    </row>
    <row r="3994" spans="1:4" ht="14.45" x14ac:dyDescent="0.3">
      <c r="A3994"/>
      <c r="B3994"/>
      <c r="C3994"/>
      <c r="D3994"/>
    </row>
    <row r="3995" spans="1:4" ht="14.45" x14ac:dyDescent="0.3">
      <c r="A3995"/>
      <c r="B3995"/>
      <c r="C3995"/>
      <c r="D3995"/>
    </row>
    <row r="3996" spans="1:4" ht="14.45" x14ac:dyDescent="0.3">
      <c r="A3996"/>
      <c r="B3996"/>
      <c r="C3996"/>
      <c r="D3996"/>
    </row>
    <row r="3997" spans="1:4" ht="14.45" x14ac:dyDescent="0.3">
      <c r="A3997"/>
      <c r="B3997"/>
      <c r="C3997"/>
      <c r="D3997"/>
    </row>
    <row r="3998" spans="1:4" ht="14.45" x14ac:dyDescent="0.3">
      <c r="A3998"/>
      <c r="B3998"/>
      <c r="C3998"/>
      <c r="D3998"/>
    </row>
    <row r="3999" spans="1:4" ht="14.45" x14ac:dyDescent="0.3">
      <c r="A3999"/>
      <c r="B3999"/>
      <c r="C3999"/>
      <c r="D3999"/>
    </row>
    <row r="4000" spans="1:4" ht="14.45" x14ac:dyDescent="0.3">
      <c r="A4000"/>
      <c r="B4000"/>
      <c r="C4000"/>
      <c r="D4000"/>
    </row>
    <row r="4001" spans="1:4" ht="14.45" x14ac:dyDescent="0.3">
      <c r="A4001"/>
      <c r="B4001"/>
      <c r="C4001"/>
      <c r="D4001"/>
    </row>
    <row r="4002" spans="1:4" ht="14.45" x14ac:dyDescent="0.3">
      <c r="A4002"/>
      <c r="B4002"/>
      <c r="C4002"/>
      <c r="D4002"/>
    </row>
    <row r="4003" spans="1:4" ht="14.45" x14ac:dyDescent="0.3">
      <c r="A4003"/>
      <c r="B4003"/>
      <c r="C4003"/>
      <c r="D4003"/>
    </row>
    <row r="4004" spans="1:4" ht="14.45" x14ac:dyDescent="0.3">
      <c r="A4004"/>
      <c r="B4004"/>
      <c r="C4004"/>
      <c r="D4004"/>
    </row>
    <row r="4005" spans="1:4" ht="14.45" x14ac:dyDescent="0.3">
      <c r="A4005"/>
      <c r="B4005"/>
      <c r="C4005"/>
      <c r="D4005"/>
    </row>
    <row r="4006" spans="1:4" ht="14.45" x14ac:dyDescent="0.3">
      <c r="A4006"/>
      <c r="B4006"/>
      <c r="C4006"/>
      <c r="D4006"/>
    </row>
    <row r="4007" spans="1:4" ht="14.45" x14ac:dyDescent="0.3">
      <c r="A4007"/>
      <c r="B4007"/>
      <c r="C4007"/>
      <c r="D4007"/>
    </row>
    <row r="4008" spans="1:4" ht="14.45" x14ac:dyDescent="0.3">
      <c r="A4008"/>
      <c r="B4008"/>
      <c r="C4008"/>
      <c r="D4008"/>
    </row>
    <row r="4009" spans="1:4" ht="14.45" x14ac:dyDescent="0.3">
      <c r="A4009"/>
      <c r="B4009"/>
      <c r="C4009"/>
      <c r="D4009"/>
    </row>
    <row r="4010" spans="1:4" ht="14.45" x14ac:dyDescent="0.3">
      <c r="A4010"/>
      <c r="B4010"/>
      <c r="C4010"/>
      <c r="D4010"/>
    </row>
    <row r="4011" spans="1:4" ht="14.45" x14ac:dyDescent="0.3">
      <c r="A4011"/>
      <c r="B4011"/>
      <c r="C4011"/>
      <c r="D4011"/>
    </row>
    <row r="4012" spans="1:4" ht="14.45" x14ac:dyDescent="0.3">
      <c r="A4012"/>
      <c r="B4012"/>
      <c r="C4012"/>
      <c r="D4012"/>
    </row>
    <row r="4013" spans="1:4" ht="14.45" x14ac:dyDescent="0.3">
      <c r="A4013"/>
      <c r="B4013"/>
      <c r="C4013"/>
      <c r="D4013"/>
    </row>
    <row r="4014" spans="1:4" ht="14.45" x14ac:dyDescent="0.3">
      <c r="A4014"/>
      <c r="B4014"/>
      <c r="C4014"/>
      <c r="D4014"/>
    </row>
    <row r="4015" spans="1:4" ht="14.45" x14ac:dyDescent="0.3">
      <c r="A4015"/>
      <c r="B4015"/>
      <c r="C4015"/>
      <c r="D4015"/>
    </row>
    <row r="4016" spans="1:4" ht="14.45" x14ac:dyDescent="0.3">
      <c r="A4016"/>
      <c r="B4016"/>
      <c r="C4016"/>
      <c r="D4016"/>
    </row>
    <row r="4017" spans="1:4" ht="14.45" x14ac:dyDescent="0.3">
      <c r="A4017"/>
      <c r="B4017"/>
      <c r="C4017"/>
      <c r="D4017"/>
    </row>
    <row r="4018" spans="1:4" ht="14.45" x14ac:dyDescent="0.3">
      <c r="A4018"/>
      <c r="B4018"/>
      <c r="C4018"/>
      <c r="D4018"/>
    </row>
    <row r="4019" spans="1:4" ht="14.45" x14ac:dyDescent="0.3">
      <c r="A4019"/>
      <c r="B4019"/>
      <c r="C4019"/>
      <c r="D4019"/>
    </row>
    <row r="4020" spans="1:4" ht="14.45" x14ac:dyDescent="0.3">
      <c r="A4020"/>
      <c r="B4020"/>
      <c r="C4020"/>
      <c r="D4020"/>
    </row>
    <row r="4021" spans="1:4" ht="14.45" x14ac:dyDescent="0.3">
      <c r="A4021"/>
      <c r="B4021"/>
      <c r="C4021"/>
      <c r="D4021"/>
    </row>
    <row r="4022" spans="1:4" ht="14.45" x14ac:dyDescent="0.3">
      <c r="A4022"/>
      <c r="B4022"/>
      <c r="C4022"/>
      <c r="D4022"/>
    </row>
    <row r="4023" spans="1:4" ht="14.45" x14ac:dyDescent="0.3">
      <c r="A4023"/>
      <c r="B4023"/>
      <c r="C4023"/>
      <c r="D4023"/>
    </row>
    <row r="4024" spans="1:4" ht="14.45" x14ac:dyDescent="0.3">
      <c r="A4024"/>
      <c r="B4024"/>
      <c r="C4024"/>
      <c r="D4024"/>
    </row>
    <row r="4025" spans="1:4" ht="14.45" x14ac:dyDescent="0.3">
      <c r="A4025"/>
      <c r="B4025"/>
      <c r="C4025"/>
      <c r="D4025"/>
    </row>
    <row r="4026" spans="1:4" ht="14.45" x14ac:dyDescent="0.3">
      <c r="A4026"/>
      <c r="B4026"/>
      <c r="C4026"/>
      <c r="D4026"/>
    </row>
    <row r="4027" spans="1:4" ht="14.45" x14ac:dyDescent="0.3">
      <c r="A4027"/>
      <c r="B4027"/>
      <c r="C4027"/>
      <c r="D4027"/>
    </row>
    <row r="4028" spans="1:4" ht="14.45" x14ac:dyDescent="0.3">
      <c r="A4028"/>
      <c r="B4028"/>
      <c r="C4028"/>
      <c r="D4028"/>
    </row>
    <row r="4029" spans="1:4" ht="14.45" x14ac:dyDescent="0.3">
      <c r="A4029"/>
      <c r="B4029"/>
      <c r="C4029"/>
      <c r="D4029"/>
    </row>
    <row r="4030" spans="1:4" ht="14.45" x14ac:dyDescent="0.3">
      <c r="A4030"/>
      <c r="B4030"/>
      <c r="C4030"/>
      <c r="D4030"/>
    </row>
    <row r="4031" spans="1:4" ht="14.45" x14ac:dyDescent="0.3">
      <c r="A4031"/>
      <c r="B4031"/>
      <c r="C4031"/>
      <c r="D4031"/>
    </row>
    <row r="4032" spans="1:4" ht="14.45" x14ac:dyDescent="0.3">
      <c r="A4032"/>
      <c r="B4032"/>
      <c r="C4032"/>
      <c r="D4032"/>
    </row>
    <row r="4033" spans="1:4" ht="14.45" x14ac:dyDescent="0.3">
      <c r="A4033"/>
      <c r="B4033"/>
      <c r="C4033"/>
      <c r="D4033"/>
    </row>
    <row r="4034" spans="1:4" ht="14.45" x14ac:dyDescent="0.3">
      <c r="A4034"/>
      <c r="B4034"/>
      <c r="C4034"/>
      <c r="D4034"/>
    </row>
    <row r="4035" spans="1:4" ht="14.45" x14ac:dyDescent="0.3">
      <c r="A4035"/>
      <c r="B4035"/>
      <c r="C4035"/>
      <c r="D4035"/>
    </row>
    <row r="4036" spans="1:4" ht="14.45" x14ac:dyDescent="0.3">
      <c r="A4036"/>
      <c r="B4036"/>
      <c r="C4036"/>
      <c r="D4036"/>
    </row>
    <row r="4037" spans="1:4" ht="14.45" x14ac:dyDescent="0.3">
      <c r="A4037"/>
      <c r="B4037"/>
      <c r="C4037"/>
      <c r="D4037"/>
    </row>
    <row r="4038" spans="1:4" ht="14.45" x14ac:dyDescent="0.3">
      <c r="A4038"/>
      <c r="B4038"/>
      <c r="C4038"/>
      <c r="D4038"/>
    </row>
    <row r="4039" spans="1:4" ht="14.45" x14ac:dyDescent="0.3">
      <c r="A4039"/>
      <c r="B4039"/>
      <c r="C4039"/>
      <c r="D4039"/>
    </row>
    <row r="4040" spans="1:4" ht="14.45" x14ac:dyDescent="0.3">
      <c r="A4040"/>
      <c r="B4040"/>
      <c r="C4040"/>
      <c r="D4040"/>
    </row>
    <row r="4041" spans="1:4" ht="14.45" x14ac:dyDescent="0.3">
      <c r="A4041"/>
      <c r="B4041"/>
      <c r="C4041"/>
      <c r="D4041"/>
    </row>
    <row r="4042" spans="1:4" ht="14.45" x14ac:dyDescent="0.3">
      <c r="A4042"/>
      <c r="B4042"/>
      <c r="C4042"/>
      <c r="D4042"/>
    </row>
    <row r="4043" spans="1:4" ht="14.45" x14ac:dyDescent="0.3">
      <c r="A4043"/>
      <c r="B4043"/>
      <c r="C4043"/>
      <c r="D4043"/>
    </row>
    <row r="4044" spans="1:4" ht="14.45" x14ac:dyDescent="0.3">
      <c r="A4044"/>
      <c r="B4044"/>
      <c r="C4044"/>
      <c r="D4044"/>
    </row>
    <row r="4045" spans="1:4" ht="14.45" x14ac:dyDescent="0.3">
      <c r="A4045"/>
      <c r="B4045"/>
      <c r="C4045"/>
      <c r="D4045"/>
    </row>
    <row r="4046" spans="1:4" ht="14.45" x14ac:dyDescent="0.3">
      <c r="A4046"/>
      <c r="B4046"/>
      <c r="C4046"/>
      <c r="D4046"/>
    </row>
    <row r="4047" spans="1:4" ht="14.45" x14ac:dyDescent="0.3">
      <c r="A4047"/>
      <c r="B4047"/>
      <c r="C4047"/>
      <c r="D4047"/>
    </row>
    <row r="4048" spans="1:4" ht="14.45" x14ac:dyDescent="0.3">
      <c r="A4048"/>
      <c r="B4048"/>
      <c r="C4048"/>
      <c r="D4048"/>
    </row>
    <row r="4049" spans="1:4" ht="14.45" x14ac:dyDescent="0.3">
      <c r="A4049"/>
      <c r="B4049"/>
      <c r="C4049"/>
      <c r="D4049"/>
    </row>
    <row r="4050" spans="1:4" ht="14.45" x14ac:dyDescent="0.3">
      <c r="A4050"/>
      <c r="B4050"/>
      <c r="C4050"/>
      <c r="D4050"/>
    </row>
    <row r="4051" spans="1:4" ht="14.45" x14ac:dyDescent="0.3">
      <c r="A4051"/>
      <c r="B4051"/>
      <c r="C4051"/>
      <c r="D4051"/>
    </row>
    <row r="4052" spans="1:4" ht="14.45" x14ac:dyDescent="0.3">
      <c r="A4052"/>
      <c r="B4052"/>
      <c r="C4052"/>
      <c r="D4052"/>
    </row>
    <row r="4053" spans="1:4" ht="14.45" x14ac:dyDescent="0.3">
      <c r="A4053"/>
      <c r="B4053"/>
      <c r="C4053"/>
      <c r="D4053"/>
    </row>
    <row r="4054" spans="1:4" ht="14.45" x14ac:dyDescent="0.3">
      <c r="A4054"/>
      <c r="B4054"/>
      <c r="C4054"/>
      <c r="D4054"/>
    </row>
    <row r="4055" spans="1:4" ht="14.45" x14ac:dyDescent="0.3">
      <c r="A4055"/>
      <c r="B4055"/>
      <c r="C4055"/>
      <c r="D4055"/>
    </row>
    <row r="4056" spans="1:4" ht="14.45" x14ac:dyDescent="0.3">
      <c r="A4056"/>
      <c r="B4056"/>
      <c r="C4056"/>
      <c r="D4056"/>
    </row>
    <row r="4057" spans="1:4" ht="14.45" x14ac:dyDescent="0.3">
      <c r="A4057"/>
      <c r="B4057"/>
      <c r="C4057"/>
      <c r="D4057"/>
    </row>
    <row r="4058" spans="1:4" ht="14.45" x14ac:dyDescent="0.3">
      <c r="A4058"/>
      <c r="B4058"/>
      <c r="C4058"/>
      <c r="D4058"/>
    </row>
    <row r="4059" spans="1:4" ht="14.45" x14ac:dyDescent="0.3">
      <c r="A4059"/>
      <c r="B4059"/>
      <c r="C4059"/>
      <c r="D4059"/>
    </row>
    <row r="4060" spans="1:4" ht="14.45" x14ac:dyDescent="0.3">
      <c r="A4060"/>
      <c r="B4060"/>
      <c r="C4060"/>
      <c r="D4060"/>
    </row>
    <row r="4061" spans="1:4" ht="14.45" x14ac:dyDescent="0.3">
      <c r="A4061"/>
      <c r="B4061"/>
      <c r="C4061"/>
      <c r="D4061"/>
    </row>
    <row r="4062" spans="1:4" ht="14.45" x14ac:dyDescent="0.3">
      <c r="A4062"/>
      <c r="B4062"/>
      <c r="C4062"/>
      <c r="D4062"/>
    </row>
    <row r="4063" spans="1:4" ht="14.45" x14ac:dyDescent="0.3">
      <c r="A4063"/>
      <c r="B4063"/>
      <c r="C4063"/>
      <c r="D4063"/>
    </row>
    <row r="4064" spans="1:4" ht="14.45" x14ac:dyDescent="0.3">
      <c r="A4064"/>
      <c r="B4064"/>
      <c r="C4064"/>
      <c r="D4064"/>
    </row>
    <row r="4065" spans="1:4" ht="14.45" x14ac:dyDescent="0.3">
      <c r="A4065"/>
      <c r="B4065"/>
      <c r="C4065"/>
      <c r="D4065"/>
    </row>
    <row r="4066" spans="1:4" ht="14.45" x14ac:dyDescent="0.3">
      <c r="A4066"/>
      <c r="B4066"/>
      <c r="C4066"/>
      <c r="D4066"/>
    </row>
    <row r="4067" spans="1:4" ht="14.45" x14ac:dyDescent="0.3">
      <c r="A4067"/>
      <c r="B4067"/>
      <c r="C4067"/>
      <c r="D4067"/>
    </row>
    <row r="4068" spans="1:4" ht="14.45" x14ac:dyDescent="0.3">
      <c r="A4068"/>
      <c r="B4068"/>
      <c r="C4068"/>
      <c r="D4068"/>
    </row>
    <row r="4069" spans="1:4" ht="14.45" x14ac:dyDescent="0.3">
      <c r="A4069"/>
      <c r="B4069"/>
      <c r="C4069"/>
      <c r="D4069"/>
    </row>
    <row r="4070" spans="1:4" ht="14.45" x14ac:dyDescent="0.3">
      <c r="A4070"/>
      <c r="B4070"/>
      <c r="C4070"/>
      <c r="D4070"/>
    </row>
    <row r="4071" spans="1:4" ht="14.45" x14ac:dyDescent="0.3">
      <c r="A4071"/>
      <c r="B4071"/>
      <c r="C4071"/>
      <c r="D4071"/>
    </row>
    <row r="4072" spans="1:4" ht="14.45" x14ac:dyDescent="0.3">
      <c r="A4072"/>
      <c r="B4072"/>
      <c r="C4072"/>
      <c r="D4072"/>
    </row>
    <row r="4073" spans="1:4" ht="14.45" x14ac:dyDescent="0.3">
      <c r="A4073"/>
      <c r="B4073"/>
      <c r="C4073"/>
      <c r="D4073"/>
    </row>
    <row r="4074" spans="1:4" ht="14.45" x14ac:dyDescent="0.3">
      <c r="A4074"/>
      <c r="B4074"/>
      <c r="C4074"/>
      <c r="D4074"/>
    </row>
    <row r="4075" spans="1:4" ht="14.45" x14ac:dyDescent="0.3">
      <c r="A4075"/>
      <c r="B4075"/>
      <c r="C4075"/>
      <c r="D4075"/>
    </row>
    <row r="4076" spans="1:4" ht="14.45" x14ac:dyDescent="0.3">
      <c r="A4076"/>
      <c r="B4076"/>
      <c r="C4076"/>
      <c r="D4076"/>
    </row>
    <row r="4077" spans="1:4" ht="14.45" x14ac:dyDescent="0.3">
      <c r="A4077"/>
      <c r="B4077"/>
      <c r="C4077"/>
      <c r="D4077"/>
    </row>
    <row r="4078" spans="1:4" ht="14.45" x14ac:dyDescent="0.3">
      <c r="A4078"/>
      <c r="B4078"/>
      <c r="C4078"/>
      <c r="D4078"/>
    </row>
    <row r="4079" spans="1:4" ht="14.45" x14ac:dyDescent="0.3">
      <c r="A4079"/>
      <c r="B4079"/>
      <c r="C4079"/>
      <c r="D4079"/>
    </row>
    <row r="4080" spans="1:4" ht="14.45" x14ac:dyDescent="0.3">
      <c r="A4080"/>
      <c r="B4080"/>
      <c r="C4080"/>
      <c r="D4080"/>
    </row>
    <row r="4081" spans="1:4" ht="14.45" x14ac:dyDescent="0.3">
      <c r="A4081"/>
      <c r="B4081"/>
      <c r="C4081"/>
      <c r="D4081"/>
    </row>
    <row r="4082" spans="1:4" ht="14.45" x14ac:dyDescent="0.3">
      <c r="A4082"/>
      <c r="B4082"/>
      <c r="C4082"/>
      <c r="D4082"/>
    </row>
    <row r="4083" spans="1:4" ht="14.45" x14ac:dyDescent="0.3">
      <c r="A4083"/>
      <c r="B4083"/>
      <c r="C4083"/>
      <c r="D4083"/>
    </row>
    <row r="4084" spans="1:4" ht="14.45" x14ac:dyDescent="0.3">
      <c r="A4084"/>
      <c r="B4084"/>
      <c r="C4084"/>
      <c r="D4084"/>
    </row>
    <row r="4085" spans="1:4" ht="14.45" x14ac:dyDescent="0.3">
      <c r="A4085"/>
      <c r="B4085"/>
      <c r="C4085"/>
      <c r="D4085"/>
    </row>
    <row r="4086" spans="1:4" ht="14.45" x14ac:dyDescent="0.3">
      <c r="A4086"/>
      <c r="B4086"/>
      <c r="C4086"/>
      <c r="D4086"/>
    </row>
    <row r="4087" spans="1:4" ht="14.45" x14ac:dyDescent="0.3">
      <c r="A4087"/>
      <c r="B4087"/>
      <c r="C4087"/>
      <c r="D4087"/>
    </row>
    <row r="4088" spans="1:4" ht="14.45" x14ac:dyDescent="0.3">
      <c r="A4088"/>
      <c r="B4088"/>
      <c r="C4088"/>
      <c r="D4088"/>
    </row>
    <row r="4089" spans="1:4" ht="14.45" x14ac:dyDescent="0.3">
      <c r="A4089"/>
      <c r="B4089"/>
      <c r="C4089"/>
      <c r="D4089"/>
    </row>
    <row r="4090" spans="1:4" ht="14.45" x14ac:dyDescent="0.3">
      <c r="A4090"/>
      <c r="B4090"/>
      <c r="C4090"/>
      <c r="D4090"/>
    </row>
    <row r="4091" spans="1:4" ht="14.45" x14ac:dyDescent="0.3">
      <c r="A4091"/>
      <c r="B4091"/>
      <c r="C4091"/>
      <c r="D4091"/>
    </row>
    <row r="4092" spans="1:4" ht="14.45" x14ac:dyDescent="0.3">
      <c r="A4092"/>
      <c r="B4092"/>
      <c r="C4092"/>
      <c r="D4092"/>
    </row>
    <row r="4093" spans="1:4" ht="14.45" x14ac:dyDescent="0.3">
      <c r="A4093"/>
      <c r="B4093"/>
      <c r="C4093"/>
      <c r="D4093"/>
    </row>
    <row r="4094" spans="1:4" ht="14.45" x14ac:dyDescent="0.3">
      <c r="A4094"/>
      <c r="B4094"/>
      <c r="C4094"/>
      <c r="D4094"/>
    </row>
    <row r="4095" spans="1:4" ht="14.45" x14ac:dyDescent="0.3">
      <c r="A4095"/>
      <c r="B4095"/>
      <c r="C4095"/>
      <c r="D4095"/>
    </row>
    <row r="4096" spans="1:4" ht="14.45" x14ac:dyDescent="0.3">
      <c r="A4096"/>
      <c r="B4096"/>
      <c r="C4096"/>
      <c r="D4096"/>
    </row>
    <row r="4097" spans="1:4" ht="14.45" x14ac:dyDescent="0.3">
      <c r="A4097"/>
      <c r="B4097"/>
      <c r="C4097"/>
      <c r="D4097"/>
    </row>
    <row r="4098" spans="1:4" ht="14.45" x14ac:dyDescent="0.3">
      <c r="A4098"/>
      <c r="B4098"/>
      <c r="C4098"/>
      <c r="D4098"/>
    </row>
    <row r="4099" spans="1:4" ht="14.45" x14ac:dyDescent="0.3">
      <c r="A4099"/>
      <c r="B4099"/>
      <c r="C4099"/>
      <c r="D4099"/>
    </row>
    <row r="4100" spans="1:4" ht="14.45" x14ac:dyDescent="0.3">
      <c r="A4100"/>
      <c r="B4100"/>
      <c r="C4100"/>
      <c r="D4100"/>
    </row>
    <row r="4101" spans="1:4" ht="14.45" x14ac:dyDescent="0.3">
      <c r="A4101"/>
      <c r="B4101"/>
      <c r="C4101"/>
      <c r="D4101"/>
    </row>
    <row r="4102" spans="1:4" ht="14.45" x14ac:dyDescent="0.3">
      <c r="A4102"/>
      <c r="B4102"/>
      <c r="C4102"/>
      <c r="D4102"/>
    </row>
    <row r="4103" spans="1:4" ht="14.45" x14ac:dyDescent="0.3">
      <c r="A4103"/>
      <c r="B4103"/>
      <c r="C4103"/>
      <c r="D4103"/>
    </row>
    <row r="4104" spans="1:4" ht="14.45" x14ac:dyDescent="0.3">
      <c r="A4104"/>
      <c r="B4104"/>
      <c r="C4104"/>
      <c r="D4104"/>
    </row>
    <row r="4105" spans="1:4" ht="14.45" x14ac:dyDescent="0.3">
      <c r="A4105"/>
      <c r="B4105"/>
      <c r="C4105"/>
      <c r="D4105"/>
    </row>
    <row r="4106" spans="1:4" ht="14.45" x14ac:dyDescent="0.3">
      <c r="A4106"/>
      <c r="B4106"/>
      <c r="C4106"/>
      <c r="D4106"/>
    </row>
    <row r="4107" spans="1:4" ht="14.45" x14ac:dyDescent="0.3">
      <c r="A4107"/>
      <c r="B4107"/>
      <c r="C4107"/>
      <c r="D4107"/>
    </row>
    <row r="4108" spans="1:4" ht="14.45" x14ac:dyDescent="0.3">
      <c r="A4108"/>
      <c r="B4108"/>
      <c r="C4108"/>
      <c r="D4108"/>
    </row>
    <row r="4109" spans="1:4" ht="14.45" x14ac:dyDescent="0.3">
      <c r="A4109"/>
      <c r="B4109"/>
      <c r="C4109"/>
      <c r="D4109"/>
    </row>
    <row r="4110" spans="1:4" ht="14.45" x14ac:dyDescent="0.3">
      <c r="A4110"/>
      <c r="B4110"/>
      <c r="C4110"/>
      <c r="D4110"/>
    </row>
    <row r="4111" spans="1:4" ht="14.45" x14ac:dyDescent="0.3">
      <c r="A4111"/>
      <c r="B4111"/>
      <c r="C4111"/>
      <c r="D4111"/>
    </row>
    <row r="4112" spans="1:4" ht="14.45" x14ac:dyDescent="0.3">
      <c r="A4112"/>
      <c r="B4112"/>
      <c r="C4112"/>
      <c r="D4112"/>
    </row>
    <row r="4113" spans="1:4" ht="14.45" x14ac:dyDescent="0.3">
      <c r="A4113"/>
      <c r="B4113"/>
      <c r="C4113"/>
      <c r="D4113"/>
    </row>
    <row r="4114" spans="1:4" ht="14.45" x14ac:dyDescent="0.3">
      <c r="A4114"/>
      <c r="B4114"/>
      <c r="C4114"/>
      <c r="D4114"/>
    </row>
    <row r="4115" spans="1:4" ht="14.45" x14ac:dyDescent="0.3">
      <c r="A4115"/>
      <c r="B4115"/>
      <c r="C4115"/>
      <c r="D4115"/>
    </row>
    <row r="4116" spans="1:4" ht="14.45" x14ac:dyDescent="0.3">
      <c r="A4116"/>
      <c r="B4116"/>
      <c r="C4116"/>
      <c r="D4116"/>
    </row>
    <row r="4117" spans="1:4" ht="14.45" x14ac:dyDescent="0.3">
      <c r="A4117"/>
      <c r="B4117"/>
      <c r="C4117"/>
      <c r="D4117"/>
    </row>
    <row r="4118" spans="1:4" ht="14.45" x14ac:dyDescent="0.3">
      <c r="A4118"/>
      <c r="B4118"/>
      <c r="C4118"/>
      <c r="D4118"/>
    </row>
    <row r="4119" spans="1:4" ht="14.45" x14ac:dyDescent="0.3">
      <c r="A4119"/>
      <c r="B4119"/>
      <c r="C4119"/>
      <c r="D4119"/>
    </row>
    <row r="4120" spans="1:4" ht="14.45" x14ac:dyDescent="0.3">
      <c r="A4120"/>
      <c r="B4120"/>
      <c r="C4120"/>
      <c r="D4120"/>
    </row>
    <row r="4121" spans="1:4" ht="14.45" x14ac:dyDescent="0.3">
      <c r="A4121"/>
      <c r="B4121"/>
      <c r="C4121"/>
      <c r="D4121"/>
    </row>
    <row r="4122" spans="1:4" ht="14.45" x14ac:dyDescent="0.3">
      <c r="A4122"/>
      <c r="B4122"/>
      <c r="C4122"/>
      <c r="D4122"/>
    </row>
    <row r="4123" spans="1:4" ht="14.45" x14ac:dyDescent="0.3">
      <c r="A4123"/>
      <c r="B4123"/>
      <c r="C4123"/>
      <c r="D4123"/>
    </row>
    <row r="4124" spans="1:4" ht="14.45" x14ac:dyDescent="0.3">
      <c r="A4124"/>
      <c r="B4124"/>
      <c r="C4124"/>
      <c r="D4124"/>
    </row>
    <row r="4125" spans="1:4" ht="14.45" x14ac:dyDescent="0.3">
      <c r="A4125"/>
      <c r="B4125"/>
      <c r="C4125"/>
      <c r="D4125"/>
    </row>
    <row r="4126" spans="1:4" ht="14.45" x14ac:dyDescent="0.3">
      <c r="A4126"/>
      <c r="B4126"/>
      <c r="C4126"/>
      <c r="D4126"/>
    </row>
    <row r="4127" spans="1:4" ht="14.45" x14ac:dyDescent="0.3">
      <c r="A4127"/>
      <c r="B4127"/>
      <c r="C4127"/>
      <c r="D4127"/>
    </row>
    <row r="4128" spans="1:4" ht="14.45" x14ac:dyDescent="0.3">
      <c r="A4128"/>
      <c r="B4128"/>
      <c r="C4128"/>
      <c r="D4128"/>
    </row>
    <row r="4129" spans="1:4" ht="14.45" x14ac:dyDescent="0.3">
      <c r="A4129"/>
      <c r="B4129"/>
      <c r="C4129"/>
      <c r="D4129"/>
    </row>
    <row r="4130" spans="1:4" ht="14.45" x14ac:dyDescent="0.3">
      <c r="A4130"/>
      <c r="B4130"/>
      <c r="C4130"/>
      <c r="D4130"/>
    </row>
    <row r="4131" spans="1:4" ht="14.45" x14ac:dyDescent="0.3">
      <c r="A4131"/>
      <c r="B4131"/>
      <c r="C4131"/>
      <c r="D4131"/>
    </row>
    <row r="4132" spans="1:4" ht="14.45" x14ac:dyDescent="0.3">
      <c r="A4132"/>
      <c r="B4132"/>
      <c r="C4132"/>
      <c r="D4132"/>
    </row>
    <row r="4133" spans="1:4" ht="14.45" x14ac:dyDescent="0.3">
      <c r="A4133"/>
      <c r="B4133"/>
      <c r="C4133"/>
      <c r="D4133"/>
    </row>
    <row r="4134" spans="1:4" ht="14.45" x14ac:dyDescent="0.3">
      <c r="A4134"/>
      <c r="B4134"/>
      <c r="C4134"/>
      <c r="D4134"/>
    </row>
    <row r="4135" spans="1:4" ht="14.45" x14ac:dyDescent="0.3">
      <c r="A4135"/>
      <c r="B4135"/>
      <c r="C4135"/>
      <c r="D4135"/>
    </row>
    <row r="4136" spans="1:4" ht="14.45" x14ac:dyDescent="0.3">
      <c r="A4136"/>
      <c r="B4136"/>
      <c r="C4136"/>
      <c r="D4136"/>
    </row>
    <row r="4137" spans="1:4" ht="14.45" x14ac:dyDescent="0.3">
      <c r="A4137"/>
      <c r="B4137"/>
      <c r="C4137"/>
      <c r="D4137"/>
    </row>
    <row r="4138" spans="1:4" ht="14.45" x14ac:dyDescent="0.3">
      <c r="A4138"/>
      <c r="B4138"/>
      <c r="C4138"/>
      <c r="D4138"/>
    </row>
    <row r="4139" spans="1:4" ht="14.45" x14ac:dyDescent="0.3">
      <c r="A4139"/>
      <c r="B4139"/>
      <c r="C4139"/>
      <c r="D4139"/>
    </row>
    <row r="4140" spans="1:4" ht="14.45" x14ac:dyDescent="0.3">
      <c r="A4140"/>
      <c r="B4140"/>
      <c r="C4140"/>
      <c r="D4140"/>
    </row>
    <row r="4141" spans="1:4" ht="14.45" x14ac:dyDescent="0.3">
      <c r="A4141"/>
      <c r="B4141"/>
      <c r="C4141"/>
      <c r="D4141"/>
    </row>
    <row r="4142" spans="1:4" ht="14.45" x14ac:dyDescent="0.3">
      <c r="A4142"/>
      <c r="B4142"/>
      <c r="C4142"/>
      <c r="D4142"/>
    </row>
    <row r="4143" spans="1:4" ht="14.45" x14ac:dyDescent="0.3">
      <c r="A4143"/>
      <c r="B4143"/>
      <c r="C4143"/>
      <c r="D4143"/>
    </row>
    <row r="4144" spans="1:4" ht="14.45" x14ac:dyDescent="0.3">
      <c r="A4144"/>
      <c r="B4144"/>
      <c r="C4144"/>
      <c r="D4144"/>
    </row>
    <row r="4145" spans="1:4" ht="14.45" x14ac:dyDescent="0.3">
      <c r="A4145"/>
      <c r="B4145"/>
      <c r="C4145"/>
      <c r="D4145"/>
    </row>
    <row r="4146" spans="1:4" ht="14.45" x14ac:dyDescent="0.3">
      <c r="A4146"/>
      <c r="B4146"/>
      <c r="C4146"/>
      <c r="D4146"/>
    </row>
    <row r="4147" spans="1:4" ht="14.45" x14ac:dyDescent="0.3">
      <c r="A4147"/>
      <c r="B4147"/>
      <c r="C4147"/>
      <c r="D4147"/>
    </row>
    <row r="4148" spans="1:4" ht="14.45" x14ac:dyDescent="0.3">
      <c r="A4148"/>
      <c r="B4148"/>
      <c r="C4148"/>
      <c r="D4148"/>
    </row>
    <row r="4149" spans="1:4" ht="14.45" x14ac:dyDescent="0.3">
      <c r="A4149"/>
      <c r="B4149"/>
      <c r="C4149"/>
      <c r="D4149"/>
    </row>
    <row r="4150" spans="1:4" ht="14.45" x14ac:dyDescent="0.3">
      <c r="A4150"/>
      <c r="B4150"/>
      <c r="C4150"/>
      <c r="D4150"/>
    </row>
    <row r="4151" spans="1:4" ht="14.45" x14ac:dyDescent="0.3">
      <c r="A4151"/>
      <c r="B4151"/>
      <c r="C4151"/>
      <c r="D4151"/>
    </row>
    <row r="4152" spans="1:4" ht="14.45" x14ac:dyDescent="0.3">
      <c r="A4152"/>
      <c r="B4152"/>
      <c r="C4152"/>
      <c r="D4152"/>
    </row>
    <row r="4153" spans="1:4" ht="14.45" x14ac:dyDescent="0.3">
      <c r="A4153"/>
      <c r="B4153"/>
      <c r="C4153"/>
      <c r="D4153"/>
    </row>
    <row r="4154" spans="1:4" ht="14.45" x14ac:dyDescent="0.3">
      <c r="A4154"/>
      <c r="B4154"/>
      <c r="C4154"/>
      <c r="D4154"/>
    </row>
    <row r="4155" spans="1:4" ht="14.45" x14ac:dyDescent="0.3">
      <c r="A4155"/>
      <c r="B4155"/>
      <c r="C4155"/>
      <c r="D4155"/>
    </row>
    <row r="4156" spans="1:4" ht="14.45" x14ac:dyDescent="0.3">
      <c r="A4156"/>
      <c r="B4156"/>
      <c r="C4156"/>
      <c r="D4156"/>
    </row>
    <row r="4157" spans="1:4" ht="14.45" x14ac:dyDescent="0.3">
      <c r="A4157"/>
      <c r="B4157"/>
      <c r="C4157"/>
      <c r="D4157"/>
    </row>
    <row r="4158" spans="1:4" ht="14.45" x14ac:dyDescent="0.3">
      <c r="A4158"/>
      <c r="B4158"/>
      <c r="C4158"/>
      <c r="D4158"/>
    </row>
    <row r="4159" spans="1:4" ht="14.45" x14ac:dyDescent="0.3">
      <c r="A4159"/>
      <c r="B4159"/>
      <c r="C4159"/>
      <c r="D4159"/>
    </row>
    <row r="4160" spans="1:4" ht="14.45" x14ac:dyDescent="0.3">
      <c r="A4160"/>
      <c r="B4160"/>
      <c r="C4160"/>
      <c r="D4160"/>
    </row>
    <row r="4161" spans="1:4" ht="14.45" x14ac:dyDescent="0.3">
      <c r="A4161"/>
      <c r="B4161"/>
      <c r="C4161"/>
      <c r="D4161"/>
    </row>
    <row r="4162" spans="1:4" ht="14.45" x14ac:dyDescent="0.3">
      <c r="A4162"/>
      <c r="B4162"/>
      <c r="C4162"/>
      <c r="D4162"/>
    </row>
    <row r="4163" spans="1:4" ht="14.45" x14ac:dyDescent="0.3">
      <c r="A4163"/>
      <c r="B4163"/>
      <c r="C4163"/>
      <c r="D4163"/>
    </row>
    <row r="4164" spans="1:4" ht="14.45" x14ac:dyDescent="0.3">
      <c r="A4164"/>
      <c r="B4164"/>
      <c r="C4164"/>
      <c r="D4164"/>
    </row>
    <row r="4165" spans="1:4" ht="14.45" x14ac:dyDescent="0.3">
      <c r="A4165"/>
      <c r="B4165"/>
      <c r="C4165"/>
      <c r="D4165"/>
    </row>
    <row r="4166" spans="1:4" ht="14.45" x14ac:dyDescent="0.3">
      <c r="A4166"/>
      <c r="B4166"/>
      <c r="C4166"/>
      <c r="D4166"/>
    </row>
    <row r="4167" spans="1:4" ht="14.45" x14ac:dyDescent="0.3">
      <c r="A4167"/>
      <c r="B4167"/>
      <c r="C4167"/>
      <c r="D4167"/>
    </row>
    <row r="4168" spans="1:4" ht="14.45" x14ac:dyDescent="0.3">
      <c r="A4168"/>
      <c r="B4168"/>
      <c r="C4168"/>
      <c r="D4168"/>
    </row>
    <row r="4169" spans="1:4" ht="14.45" x14ac:dyDescent="0.3">
      <c r="A4169"/>
      <c r="B4169"/>
      <c r="C4169"/>
      <c r="D4169"/>
    </row>
    <row r="4170" spans="1:4" ht="14.45" x14ac:dyDescent="0.3">
      <c r="A4170"/>
      <c r="B4170"/>
      <c r="C4170"/>
      <c r="D4170"/>
    </row>
    <row r="4171" spans="1:4" ht="14.45" x14ac:dyDescent="0.3">
      <c r="A4171"/>
      <c r="B4171"/>
      <c r="C4171"/>
      <c r="D4171"/>
    </row>
    <row r="4172" spans="1:4" ht="14.45" x14ac:dyDescent="0.3">
      <c r="A4172"/>
      <c r="B4172"/>
      <c r="C4172"/>
      <c r="D4172"/>
    </row>
    <row r="4173" spans="1:4" ht="14.45" x14ac:dyDescent="0.3">
      <c r="A4173"/>
      <c r="B4173"/>
      <c r="C4173"/>
      <c r="D4173"/>
    </row>
    <row r="4174" spans="1:4" ht="14.45" x14ac:dyDescent="0.3">
      <c r="A4174"/>
      <c r="B4174"/>
      <c r="C4174"/>
      <c r="D4174"/>
    </row>
    <row r="4175" spans="1:4" ht="14.45" x14ac:dyDescent="0.3">
      <c r="A4175"/>
      <c r="B4175"/>
      <c r="C4175"/>
      <c r="D4175"/>
    </row>
    <row r="4176" spans="1:4" ht="14.45" x14ac:dyDescent="0.3">
      <c r="A4176"/>
      <c r="B4176"/>
      <c r="C4176"/>
      <c r="D4176"/>
    </row>
    <row r="4177" spans="1:4" ht="14.45" x14ac:dyDescent="0.3">
      <c r="A4177"/>
      <c r="B4177"/>
      <c r="C4177"/>
      <c r="D4177"/>
    </row>
    <row r="4178" spans="1:4" ht="14.45" x14ac:dyDescent="0.3">
      <c r="A4178"/>
      <c r="B4178"/>
      <c r="C4178"/>
      <c r="D4178"/>
    </row>
    <row r="4179" spans="1:4" ht="14.45" x14ac:dyDescent="0.3">
      <c r="A4179"/>
      <c r="B4179"/>
      <c r="C4179"/>
      <c r="D4179"/>
    </row>
    <row r="4180" spans="1:4" ht="14.45" x14ac:dyDescent="0.3">
      <c r="A4180"/>
      <c r="B4180"/>
      <c r="C4180"/>
      <c r="D4180"/>
    </row>
    <row r="4181" spans="1:4" ht="14.45" x14ac:dyDescent="0.3">
      <c r="A4181"/>
      <c r="B4181"/>
      <c r="C4181"/>
      <c r="D4181"/>
    </row>
    <row r="4182" spans="1:4" ht="14.45" x14ac:dyDescent="0.3">
      <c r="A4182"/>
      <c r="B4182"/>
      <c r="C4182"/>
      <c r="D4182"/>
    </row>
    <row r="4183" spans="1:4" ht="14.45" x14ac:dyDescent="0.3">
      <c r="A4183"/>
      <c r="B4183"/>
      <c r="C4183"/>
      <c r="D4183"/>
    </row>
    <row r="4184" spans="1:4" ht="14.45" x14ac:dyDescent="0.3">
      <c r="A4184"/>
      <c r="B4184"/>
      <c r="C4184"/>
      <c r="D4184"/>
    </row>
    <row r="4185" spans="1:4" ht="14.45" x14ac:dyDescent="0.3">
      <c r="A4185"/>
      <c r="B4185"/>
      <c r="C4185"/>
      <c r="D4185"/>
    </row>
    <row r="4186" spans="1:4" ht="14.45" x14ac:dyDescent="0.3">
      <c r="A4186"/>
      <c r="B4186"/>
      <c r="C4186"/>
      <c r="D4186"/>
    </row>
    <row r="4187" spans="1:4" ht="14.45" x14ac:dyDescent="0.3">
      <c r="A4187"/>
      <c r="B4187"/>
      <c r="C4187"/>
      <c r="D4187"/>
    </row>
    <row r="4188" spans="1:4" ht="14.45" x14ac:dyDescent="0.3">
      <c r="A4188"/>
      <c r="B4188"/>
      <c r="C4188"/>
      <c r="D4188"/>
    </row>
    <row r="4189" spans="1:4" ht="14.45" x14ac:dyDescent="0.3">
      <c r="A4189"/>
      <c r="B4189"/>
      <c r="C4189"/>
      <c r="D4189"/>
    </row>
    <row r="4190" spans="1:4" ht="14.45" x14ac:dyDescent="0.3">
      <c r="A4190"/>
      <c r="B4190"/>
      <c r="C4190"/>
      <c r="D4190"/>
    </row>
    <row r="4191" spans="1:4" ht="14.45" x14ac:dyDescent="0.3">
      <c r="A4191"/>
      <c r="B4191"/>
      <c r="C4191"/>
      <c r="D4191"/>
    </row>
    <row r="4192" spans="1:4" ht="14.45" x14ac:dyDescent="0.3">
      <c r="A4192"/>
      <c r="B4192"/>
      <c r="C4192"/>
      <c r="D4192"/>
    </row>
    <row r="4193" spans="1:4" ht="14.45" x14ac:dyDescent="0.3">
      <c r="A4193"/>
      <c r="B4193"/>
      <c r="C4193"/>
      <c r="D4193"/>
    </row>
    <row r="4194" spans="1:4" ht="14.45" x14ac:dyDescent="0.3">
      <c r="A4194"/>
      <c r="B4194"/>
      <c r="C4194"/>
      <c r="D4194"/>
    </row>
    <row r="4195" spans="1:4" ht="14.45" x14ac:dyDescent="0.3">
      <c r="A4195"/>
      <c r="B4195"/>
      <c r="C4195"/>
      <c r="D4195"/>
    </row>
    <row r="4196" spans="1:4" ht="14.45" x14ac:dyDescent="0.3">
      <c r="A4196"/>
      <c r="B4196"/>
      <c r="C4196"/>
      <c r="D4196"/>
    </row>
    <row r="4197" spans="1:4" ht="14.45" x14ac:dyDescent="0.3">
      <c r="A4197"/>
      <c r="B4197"/>
      <c r="C4197"/>
      <c r="D4197"/>
    </row>
    <row r="4198" spans="1:4" ht="14.45" x14ac:dyDescent="0.3">
      <c r="A4198"/>
      <c r="B4198"/>
      <c r="C4198"/>
      <c r="D4198"/>
    </row>
    <row r="4199" spans="1:4" ht="14.45" x14ac:dyDescent="0.3">
      <c r="A4199"/>
      <c r="B4199"/>
      <c r="C4199"/>
      <c r="D4199"/>
    </row>
    <row r="4200" spans="1:4" ht="14.45" x14ac:dyDescent="0.3">
      <c r="A4200"/>
      <c r="B4200"/>
      <c r="C4200"/>
      <c r="D4200"/>
    </row>
    <row r="4201" spans="1:4" ht="14.45" x14ac:dyDescent="0.3">
      <c r="A4201"/>
      <c r="B4201"/>
      <c r="C4201"/>
      <c r="D4201"/>
    </row>
    <row r="4202" spans="1:4" ht="15" x14ac:dyDescent="0.25">
      <c r="A4202"/>
      <c r="B4202"/>
      <c r="C4202"/>
      <c r="D4202"/>
    </row>
    <row r="4203" spans="1:4" ht="15" x14ac:dyDescent="0.25">
      <c r="A4203"/>
      <c r="B4203"/>
      <c r="C4203"/>
      <c r="D4203"/>
    </row>
    <row r="4204" spans="1:4" ht="15" x14ac:dyDescent="0.25">
      <c r="A4204"/>
      <c r="B4204"/>
      <c r="C4204"/>
      <c r="D4204"/>
    </row>
    <row r="4205" spans="1:4" ht="15" x14ac:dyDescent="0.25">
      <c r="A4205"/>
      <c r="B4205"/>
      <c r="C4205"/>
      <c r="D4205"/>
    </row>
    <row r="4206" spans="1:4" ht="15" x14ac:dyDescent="0.25">
      <c r="A4206"/>
      <c r="B4206"/>
      <c r="C4206"/>
      <c r="D4206"/>
    </row>
    <row r="4207" spans="1:4" ht="15" x14ac:dyDescent="0.25">
      <c r="A4207"/>
      <c r="B4207"/>
      <c r="C4207"/>
      <c r="D4207"/>
    </row>
    <row r="4208" spans="1:4" ht="15" x14ac:dyDescent="0.25">
      <c r="A4208"/>
      <c r="B4208"/>
      <c r="C4208"/>
      <c r="D4208"/>
    </row>
    <row r="4209" spans="1:4" ht="15" x14ac:dyDescent="0.25">
      <c r="A4209"/>
      <c r="B4209"/>
      <c r="C4209"/>
      <c r="D4209"/>
    </row>
    <row r="4210" spans="1:4" ht="15" x14ac:dyDescent="0.25">
      <c r="A4210"/>
      <c r="B4210"/>
      <c r="C4210"/>
      <c r="D4210"/>
    </row>
    <row r="4211" spans="1:4" ht="15" x14ac:dyDescent="0.25">
      <c r="A4211"/>
      <c r="B4211"/>
      <c r="C4211"/>
      <c r="D4211"/>
    </row>
    <row r="4212" spans="1:4" ht="15" x14ac:dyDescent="0.25">
      <c r="A4212"/>
      <c r="B4212"/>
      <c r="C4212"/>
      <c r="D4212"/>
    </row>
    <row r="4213" spans="1:4" ht="15" x14ac:dyDescent="0.25">
      <c r="A4213"/>
      <c r="B4213"/>
      <c r="C4213"/>
      <c r="D4213"/>
    </row>
    <row r="4214" spans="1:4" ht="15" x14ac:dyDescent="0.25">
      <c r="A4214"/>
      <c r="B4214"/>
      <c r="C4214"/>
      <c r="D4214"/>
    </row>
    <row r="4215" spans="1:4" ht="15" x14ac:dyDescent="0.25">
      <c r="A4215"/>
      <c r="B4215"/>
      <c r="C4215"/>
      <c r="D4215"/>
    </row>
    <row r="4216" spans="1:4" ht="15" x14ac:dyDescent="0.25">
      <c r="A4216"/>
      <c r="B4216"/>
      <c r="C4216"/>
      <c r="D4216"/>
    </row>
    <row r="4217" spans="1:4" ht="15" x14ac:dyDescent="0.25">
      <c r="A4217"/>
      <c r="B4217"/>
      <c r="C4217"/>
      <c r="D4217"/>
    </row>
    <row r="4218" spans="1:4" ht="15" x14ac:dyDescent="0.25">
      <c r="A4218"/>
      <c r="B4218"/>
      <c r="C4218"/>
      <c r="D4218"/>
    </row>
    <row r="4219" spans="1:4" ht="15" x14ac:dyDescent="0.25">
      <c r="A4219"/>
      <c r="B4219"/>
      <c r="C4219"/>
      <c r="D4219"/>
    </row>
    <row r="4220" spans="1:4" ht="15" x14ac:dyDescent="0.25">
      <c r="A4220"/>
      <c r="B4220"/>
      <c r="C4220"/>
      <c r="D4220"/>
    </row>
    <row r="4221" spans="1:4" ht="15" x14ac:dyDescent="0.25">
      <c r="A4221"/>
      <c r="B4221"/>
      <c r="C4221"/>
      <c r="D4221"/>
    </row>
    <row r="4222" spans="1:4" ht="15" x14ac:dyDescent="0.25">
      <c r="A4222"/>
      <c r="B4222"/>
      <c r="C4222"/>
      <c r="D4222"/>
    </row>
    <row r="4223" spans="1:4" ht="15" x14ac:dyDescent="0.25">
      <c r="A4223"/>
      <c r="B4223"/>
      <c r="C4223"/>
      <c r="D4223"/>
    </row>
    <row r="4224" spans="1:4" ht="15" x14ac:dyDescent="0.25">
      <c r="A4224"/>
      <c r="B4224"/>
      <c r="C4224"/>
      <c r="D4224"/>
    </row>
    <row r="4225" spans="1:4" ht="15" x14ac:dyDescent="0.25">
      <c r="A4225"/>
      <c r="B4225"/>
      <c r="C4225"/>
      <c r="D4225"/>
    </row>
    <row r="4226" spans="1:4" ht="15" x14ac:dyDescent="0.25">
      <c r="A4226"/>
      <c r="B4226"/>
      <c r="C4226"/>
      <c r="D4226"/>
    </row>
    <row r="4227" spans="1:4" ht="15" x14ac:dyDescent="0.25">
      <c r="A4227"/>
      <c r="B4227"/>
      <c r="C4227"/>
      <c r="D4227"/>
    </row>
    <row r="4228" spans="1:4" ht="15" x14ac:dyDescent="0.25">
      <c r="A4228"/>
      <c r="B4228"/>
      <c r="C4228"/>
      <c r="D4228"/>
    </row>
    <row r="4229" spans="1:4" ht="15" x14ac:dyDescent="0.25">
      <c r="A4229"/>
      <c r="B4229"/>
      <c r="C4229"/>
      <c r="D4229"/>
    </row>
    <row r="4230" spans="1:4" ht="15" x14ac:dyDescent="0.25">
      <c r="A4230"/>
      <c r="B4230"/>
      <c r="C4230"/>
      <c r="D4230"/>
    </row>
    <row r="4231" spans="1:4" ht="15" x14ac:dyDescent="0.25">
      <c r="A4231"/>
      <c r="B4231"/>
      <c r="C4231"/>
      <c r="D4231"/>
    </row>
    <row r="4232" spans="1:4" ht="15" x14ac:dyDescent="0.25">
      <c r="A4232"/>
      <c r="B4232"/>
      <c r="C4232"/>
      <c r="D4232"/>
    </row>
    <row r="4233" spans="1:4" ht="15" x14ac:dyDescent="0.25">
      <c r="A4233"/>
      <c r="B4233"/>
      <c r="C4233"/>
      <c r="D4233"/>
    </row>
    <row r="4234" spans="1:4" ht="15" x14ac:dyDescent="0.25">
      <c r="A4234"/>
      <c r="B4234"/>
      <c r="C4234"/>
      <c r="D4234"/>
    </row>
    <row r="4235" spans="1:4" ht="15" x14ac:dyDescent="0.25">
      <c r="A4235"/>
      <c r="B4235"/>
      <c r="C4235"/>
      <c r="D4235"/>
    </row>
    <row r="4236" spans="1:4" ht="15" x14ac:dyDescent="0.25">
      <c r="A4236"/>
      <c r="B4236"/>
      <c r="C4236"/>
      <c r="D4236"/>
    </row>
    <row r="4237" spans="1:4" ht="15" x14ac:dyDescent="0.25">
      <c r="A4237"/>
      <c r="B4237"/>
      <c r="C4237"/>
      <c r="D4237"/>
    </row>
    <row r="4238" spans="1:4" ht="15" x14ac:dyDescent="0.25">
      <c r="A4238"/>
      <c r="B4238"/>
      <c r="C4238"/>
      <c r="D4238"/>
    </row>
    <row r="4239" spans="1:4" ht="15" x14ac:dyDescent="0.25">
      <c r="A4239"/>
      <c r="B4239"/>
      <c r="C4239"/>
      <c r="D4239"/>
    </row>
    <row r="4240" spans="1:4" ht="15" x14ac:dyDescent="0.25">
      <c r="A4240"/>
      <c r="B4240"/>
      <c r="C4240"/>
      <c r="D4240"/>
    </row>
    <row r="4241" spans="1:4" ht="15" x14ac:dyDescent="0.25">
      <c r="A4241"/>
      <c r="B4241"/>
      <c r="C4241"/>
      <c r="D4241"/>
    </row>
    <row r="4242" spans="1:4" ht="15" x14ac:dyDescent="0.25">
      <c r="A4242"/>
      <c r="B4242"/>
      <c r="C4242"/>
      <c r="D4242"/>
    </row>
    <row r="4243" spans="1:4" ht="15" x14ac:dyDescent="0.25">
      <c r="A4243"/>
      <c r="B4243"/>
      <c r="C4243"/>
      <c r="D4243"/>
    </row>
    <row r="4244" spans="1:4" ht="15" x14ac:dyDescent="0.25">
      <c r="A4244"/>
      <c r="B4244"/>
      <c r="C4244"/>
      <c r="D4244"/>
    </row>
    <row r="4245" spans="1:4" ht="15" x14ac:dyDescent="0.25">
      <c r="A4245"/>
      <c r="B4245"/>
      <c r="C4245"/>
      <c r="D4245"/>
    </row>
    <row r="4246" spans="1:4" ht="15" x14ac:dyDescent="0.25">
      <c r="A4246"/>
      <c r="B4246"/>
      <c r="C4246"/>
      <c r="D4246"/>
    </row>
    <row r="4247" spans="1:4" ht="15" x14ac:dyDescent="0.25">
      <c r="A4247"/>
      <c r="B4247"/>
      <c r="C4247"/>
      <c r="D4247"/>
    </row>
    <row r="4248" spans="1:4" ht="15" x14ac:dyDescent="0.25">
      <c r="A4248"/>
      <c r="B4248"/>
      <c r="C4248"/>
      <c r="D4248"/>
    </row>
    <row r="4249" spans="1:4" ht="15" x14ac:dyDescent="0.25">
      <c r="A4249"/>
      <c r="B4249"/>
      <c r="C4249"/>
      <c r="D4249"/>
    </row>
    <row r="4250" spans="1:4" ht="15" x14ac:dyDescent="0.25">
      <c r="A4250"/>
      <c r="B4250"/>
      <c r="C4250"/>
      <c r="D4250"/>
    </row>
    <row r="4251" spans="1:4" ht="15" x14ac:dyDescent="0.25">
      <c r="A4251"/>
      <c r="B4251"/>
      <c r="C4251"/>
      <c r="D4251"/>
    </row>
    <row r="4252" spans="1:4" ht="15" x14ac:dyDescent="0.25">
      <c r="A4252"/>
      <c r="B4252"/>
      <c r="C4252"/>
      <c r="D4252"/>
    </row>
    <row r="4253" spans="1:4" ht="15" x14ac:dyDescent="0.25">
      <c r="A4253"/>
      <c r="B4253"/>
      <c r="C4253"/>
      <c r="D4253"/>
    </row>
    <row r="4254" spans="1:4" ht="15" x14ac:dyDescent="0.25">
      <c r="A4254"/>
      <c r="B4254"/>
      <c r="C4254"/>
      <c r="D4254"/>
    </row>
    <row r="4255" spans="1:4" ht="15" x14ac:dyDescent="0.25">
      <c r="A4255"/>
      <c r="B4255"/>
      <c r="C4255"/>
      <c r="D4255"/>
    </row>
    <row r="4256" spans="1:4" ht="15" x14ac:dyDescent="0.25">
      <c r="A4256"/>
      <c r="B4256"/>
      <c r="C4256"/>
      <c r="D4256"/>
    </row>
    <row r="4257" spans="1:4" ht="15" x14ac:dyDescent="0.25">
      <c r="A4257"/>
      <c r="B4257"/>
      <c r="C4257"/>
      <c r="D4257"/>
    </row>
    <row r="4258" spans="1:4" ht="15" x14ac:dyDescent="0.25">
      <c r="A4258"/>
      <c r="B4258"/>
      <c r="C4258"/>
      <c r="D4258"/>
    </row>
    <row r="4259" spans="1:4" ht="15" x14ac:dyDescent="0.25">
      <c r="A4259"/>
      <c r="B4259"/>
      <c r="C4259"/>
      <c r="D4259"/>
    </row>
    <row r="4260" spans="1:4" ht="15" x14ac:dyDescent="0.25">
      <c r="A4260"/>
      <c r="B4260"/>
      <c r="C4260"/>
      <c r="D4260"/>
    </row>
    <row r="4261" spans="1:4" ht="15" x14ac:dyDescent="0.25">
      <c r="A4261"/>
      <c r="B4261"/>
      <c r="C4261"/>
      <c r="D4261"/>
    </row>
    <row r="4262" spans="1:4" ht="15" x14ac:dyDescent="0.25">
      <c r="A4262"/>
      <c r="B4262"/>
      <c r="C4262"/>
      <c r="D4262"/>
    </row>
    <row r="4263" spans="1:4" ht="15" x14ac:dyDescent="0.25">
      <c r="A4263"/>
      <c r="B4263"/>
      <c r="C4263"/>
      <c r="D4263"/>
    </row>
    <row r="4264" spans="1:4" ht="15" x14ac:dyDescent="0.25">
      <c r="A4264"/>
      <c r="B4264"/>
      <c r="C4264"/>
      <c r="D4264"/>
    </row>
    <row r="4265" spans="1:4" ht="15" x14ac:dyDescent="0.25">
      <c r="A4265"/>
      <c r="B4265"/>
      <c r="C4265"/>
      <c r="D4265"/>
    </row>
    <row r="4266" spans="1:4" ht="15" x14ac:dyDescent="0.25">
      <c r="A4266"/>
      <c r="B4266"/>
      <c r="C4266"/>
      <c r="D4266"/>
    </row>
    <row r="4267" spans="1:4" ht="15" x14ac:dyDescent="0.25">
      <c r="A4267"/>
      <c r="B4267"/>
      <c r="C4267"/>
      <c r="D4267"/>
    </row>
    <row r="4268" spans="1:4" ht="15" x14ac:dyDescent="0.25">
      <c r="A4268"/>
      <c r="B4268"/>
      <c r="C4268"/>
      <c r="D4268"/>
    </row>
    <row r="4269" spans="1:4" ht="15" x14ac:dyDescent="0.25">
      <c r="A4269"/>
      <c r="B4269"/>
      <c r="C4269"/>
      <c r="D4269"/>
    </row>
    <row r="4270" spans="1:4" ht="15" x14ac:dyDescent="0.25">
      <c r="A4270"/>
      <c r="B4270"/>
      <c r="C4270"/>
      <c r="D4270"/>
    </row>
    <row r="4271" spans="1:4" ht="15" x14ac:dyDescent="0.25">
      <c r="A4271"/>
      <c r="B4271"/>
      <c r="C4271"/>
      <c r="D4271"/>
    </row>
    <row r="4272" spans="1:4" ht="15" x14ac:dyDescent="0.25">
      <c r="A4272"/>
      <c r="B4272"/>
      <c r="C4272"/>
      <c r="D4272"/>
    </row>
    <row r="4273" spans="1:4" ht="15" x14ac:dyDescent="0.25">
      <c r="A4273"/>
      <c r="B4273"/>
      <c r="C4273"/>
      <c r="D4273"/>
    </row>
    <row r="4274" spans="1:4" ht="15" x14ac:dyDescent="0.25">
      <c r="A4274"/>
      <c r="B4274"/>
      <c r="C4274"/>
      <c r="D4274"/>
    </row>
    <row r="4275" spans="1:4" ht="15" x14ac:dyDescent="0.25">
      <c r="A4275"/>
      <c r="B4275"/>
      <c r="C4275"/>
      <c r="D4275"/>
    </row>
    <row r="4276" spans="1:4" ht="15" x14ac:dyDescent="0.25">
      <c r="A4276"/>
      <c r="B4276"/>
      <c r="C4276"/>
      <c r="D4276"/>
    </row>
    <row r="4277" spans="1:4" ht="15" x14ac:dyDescent="0.25">
      <c r="A4277"/>
      <c r="B4277"/>
      <c r="C4277"/>
      <c r="D4277"/>
    </row>
    <row r="4278" spans="1:4" ht="15" x14ac:dyDescent="0.25">
      <c r="A4278"/>
      <c r="B4278"/>
      <c r="C4278"/>
      <c r="D4278"/>
    </row>
    <row r="4279" spans="1:4" ht="15" x14ac:dyDescent="0.25">
      <c r="A4279"/>
      <c r="B4279"/>
      <c r="C4279"/>
      <c r="D4279"/>
    </row>
    <row r="4280" spans="1:4" ht="15" x14ac:dyDescent="0.25">
      <c r="A4280"/>
      <c r="B4280"/>
      <c r="C4280"/>
      <c r="D4280"/>
    </row>
    <row r="4281" spans="1:4" ht="15" x14ac:dyDescent="0.25">
      <c r="A4281"/>
      <c r="B4281"/>
      <c r="C4281"/>
      <c r="D4281"/>
    </row>
    <row r="4282" spans="1:4" ht="15" x14ac:dyDescent="0.25">
      <c r="A4282"/>
      <c r="B4282"/>
      <c r="C4282"/>
      <c r="D4282"/>
    </row>
    <row r="4283" spans="1:4" ht="15" x14ac:dyDescent="0.25">
      <c r="A4283"/>
      <c r="B4283"/>
      <c r="C4283"/>
      <c r="D4283"/>
    </row>
    <row r="4284" spans="1:4" ht="15" x14ac:dyDescent="0.25">
      <c r="A4284"/>
      <c r="B4284"/>
      <c r="C4284"/>
      <c r="D4284"/>
    </row>
    <row r="4285" spans="1:4" ht="15" x14ac:dyDescent="0.25">
      <c r="A4285"/>
      <c r="B4285"/>
      <c r="C4285"/>
      <c r="D4285"/>
    </row>
    <row r="4286" spans="1:4" ht="15" x14ac:dyDescent="0.25">
      <c r="A4286"/>
      <c r="B4286"/>
      <c r="C4286"/>
      <c r="D4286"/>
    </row>
    <row r="4287" spans="1:4" ht="15" x14ac:dyDescent="0.25">
      <c r="A4287"/>
      <c r="B4287"/>
      <c r="C4287"/>
      <c r="D4287"/>
    </row>
    <row r="4288" spans="1:4" ht="15" x14ac:dyDescent="0.25">
      <c r="A4288"/>
      <c r="B4288"/>
      <c r="C4288"/>
      <c r="D4288"/>
    </row>
    <row r="4289" spans="1:4" ht="15" x14ac:dyDescent="0.25">
      <c r="A4289"/>
      <c r="B4289"/>
      <c r="C4289"/>
      <c r="D4289"/>
    </row>
    <row r="4290" spans="1:4" ht="15" x14ac:dyDescent="0.25">
      <c r="A4290"/>
      <c r="B4290"/>
      <c r="C4290"/>
      <c r="D4290"/>
    </row>
    <row r="4291" spans="1:4" ht="15" x14ac:dyDescent="0.25">
      <c r="A4291"/>
      <c r="B4291"/>
      <c r="C4291"/>
      <c r="D4291"/>
    </row>
    <row r="4292" spans="1:4" ht="15" x14ac:dyDescent="0.25">
      <c r="A4292"/>
      <c r="B4292"/>
      <c r="C4292"/>
      <c r="D4292"/>
    </row>
    <row r="4293" spans="1:4" ht="15" x14ac:dyDescent="0.25">
      <c r="A4293"/>
      <c r="B4293"/>
      <c r="C4293"/>
      <c r="D4293"/>
    </row>
    <row r="4294" spans="1:4" ht="15" x14ac:dyDescent="0.25">
      <c r="A4294"/>
      <c r="B4294"/>
      <c r="C4294"/>
      <c r="D4294"/>
    </row>
    <row r="4295" spans="1:4" ht="15" x14ac:dyDescent="0.25">
      <c r="A4295"/>
      <c r="B4295"/>
      <c r="C4295"/>
      <c r="D4295"/>
    </row>
    <row r="4296" spans="1:4" ht="15" x14ac:dyDescent="0.25">
      <c r="A4296"/>
      <c r="B4296"/>
      <c r="C4296"/>
      <c r="D4296"/>
    </row>
    <row r="4297" spans="1:4" ht="15" x14ac:dyDescent="0.25">
      <c r="A4297"/>
      <c r="B4297"/>
      <c r="C4297"/>
      <c r="D4297"/>
    </row>
    <row r="4298" spans="1:4" ht="15" x14ac:dyDescent="0.25">
      <c r="A4298"/>
      <c r="B4298"/>
      <c r="C4298"/>
      <c r="D4298"/>
    </row>
    <row r="4299" spans="1:4" ht="15" x14ac:dyDescent="0.25">
      <c r="A4299"/>
      <c r="B4299"/>
      <c r="C4299"/>
      <c r="D4299"/>
    </row>
    <row r="4300" spans="1:4" ht="15" x14ac:dyDescent="0.25">
      <c r="A4300"/>
      <c r="B4300"/>
      <c r="C4300"/>
      <c r="D4300"/>
    </row>
    <row r="4301" spans="1:4" ht="15" x14ac:dyDescent="0.25">
      <c r="A4301"/>
      <c r="B4301"/>
      <c r="C4301"/>
      <c r="D4301"/>
    </row>
    <row r="4302" spans="1:4" ht="15" x14ac:dyDescent="0.25">
      <c r="A4302"/>
      <c r="B4302"/>
      <c r="C4302"/>
      <c r="D4302"/>
    </row>
    <row r="4303" spans="1:4" ht="15" x14ac:dyDescent="0.25">
      <c r="A4303"/>
      <c r="B4303"/>
      <c r="C4303"/>
      <c r="D4303"/>
    </row>
    <row r="4304" spans="1:4" ht="15" x14ac:dyDescent="0.25">
      <c r="A4304"/>
      <c r="B4304"/>
      <c r="C4304"/>
      <c r="D4304"/>
    </row>
    <row r="4305" spans="1:4" ht="15" x14ac:dyDescent="0.25">
      <c r="A4305"/>
      <c r="B4305"/>
      <c r="C4305"/>
      <c r="D4305"/>
    </row>
    <row r="4306" spans="1:4" ht="15" x14ac:dyDescent="0.25">
      <c r="A4306"/>
      <c r="B4306"/>
      <c r="C4306"/>
      <c r="D4306"/>
    </row>
    <row r="4307" spans="1:4" ht="15" x14ac:dyDescent="0.25">
      <c r="A4307"/>
      <c r="B4307"/>
      <c r="C4307"/>
      <c r="D4307"/>
    </row>
    <row r="4308" spans="1:4" ht="15" x14ac:dyDescent="0.25">
      <c r="A4308"/>
      <c r="B4308"/>
      <c r="C4308"/>
      <c r="D4308"/>
    </row>
    <row r="4309" spans="1:4" ht="15" x14ac:dyDescent="0.25">
      <c r="A4309"/>
      <c r="B4309"/>
      <c r="C4309"/>
      <c r="D4309"/>
    </row>
    <row r="4310" spans="1:4" ht="15" x14ac:dyDescent="0.25">
      <c r="A4310"/>
      <c r="B4310"/>
      <c r="C4310"/>
      <c r="D4310"/>
    </row>
    <row r="4311" spans="1:4" ht="15" x14ac:dyDescent="0.25">
      <c r="A4311"/>
      <c r="B4311"/>
      <c r="C4311"/>
      <c r="D4311"/>
    </row>
    <row r="4312" spans="1:4" ht="15" x14ac:dyDescent="0.25">
      <c r="A4312"/>
      <c r="B4312"/>
      <c r="C4312"/>
      <c r="D4312"/>
    </row>
    <row r="4313" spans="1:4" ht="15" x14ac:dyDescent="0.25">
      <c r="A4313"/>
      <c r="B4313"/>
      <c r="C4313"/>
      <c r="D4313"/>
    </row>
    <row r="4314" spans="1:4" ht="15" x14ac:dyDescent="0.25">
      <c r="A4314"/>
      <c r="B4314"/>
      <c r="C4314"/>
      <c r="D4314"/>
    </row>
    <row r="4315" spans="1:4" ht="15" x14ac:dyDescent="0.25">
      <c r="A4315"/>
      <c r="B4315"/>
      <c r="C4315"/>
      <c r="D4315"/>
    </row>
    <row r="4316" spans="1:4" ht="15" x14ac:dyDescent="0.25">
      <c r="A4316"/>
      <c r="B4316"/>
      <c r="C4316"/>
      <c r="D4316"/>
    </row>
    <row r="4317" spans="1:4" ht="15" x14ac:dyDescent="0.25">
      <c r="A4317"/>
      <c r="B4317"/>
      <c r="C4317"/>
      <c r="D4317"/>
    </row>
    <row r="4318" spans="1:4" ht="15" x14ac:dyDescent="0.25">
      <c r="A4318"/>
      <c r="B4318"/>
      <c r="C4318"/>
      <c r="D4318"/>
    </row>
    <row r="4319" spans="1:4" ht="15" x14ac:dyDescent="0.25">
      <c r="A4319"/>
      <c r="B4319"/>
      <c r="C4319"/>
      <c r="D4319"/>
    </row>
    <row r="4320" spans="1:4" ht="15" x14ac:dyDescent="0.25">
      <c r="A4320"/>
      <c r="B4320"/>
      <c r="C4320"/>
      <c r="D4320"/>
    </row>
    <row r="4321" spans="1:4" ht="15" x14ac:dyDescent="0.25">
      <c r="A4321"/>
      <c r="B4321"/>
      <c r="C4321"/>
      <c r="D4321"/>
    </row>
    <row r="4322" spans="1:4" ht="15" x14ac:dyDescent="0.25">
      <c r="A4322"/>
      <c r="B4322"/>
      <c r="C4322"/>
      <c r="D4322"/>
    </row>
    <row r="4323" spans="1:4" ht="15" x14ac:dyDescent="0.25">
      <c r="A4323"/>
      <c r="B4323"/>
      <c r="C4323"/>
      <c r="D4323"/>
    </row>
    <row r="4324" spans="1:4" ht="15" x14ac:dyDescent="0.25">
      <c r="A4324"/>
      <c r="B4324"/>
      <c r="C4324"/>
      <c r="D4324"/>
    </row>
    <row r="4325" spans="1:4" ht="15" x14ac:dyDescent="0.25">
      <c r="A4325"/>
      <c r="B4325"/>
      <c r="C4325"/>
      <c r="D4325"/>
    </row>
    <row r="4326" spans="1:4" ht="15" x14ac:dyDescent="0.25">
      <c r="A4326"/>
      <c r="B4326"/>
      <c r="C4326"/>
      <c r="D4326"/>
    </row>
    <row r="4327" spans="1:4" ht="15" x14ac:dyDescent="0.25">
      <c r="A4327"/>
      <c r="B4327"/>
      <c r="C4327"/>
      <c r="D4327"/>
    </row>
    <row r="4328" spans="1:4" ht="15" x14ac:dyDescent="0.25">
      <c r="A4328"/>
      <c r="B4328"/>
      <c r="C4328"/>
      <c r="D4328"/>
    </row>
    <row r="4329" spans="1:4" ht="15" x14ac:dyDescent="0.25">
      <c r="A4329"/>
      <c r="B4329"/>
      <c r="C4329"/>
      <c r="D4329"/>
    </row>
    <row r="4330" spans="1:4" ht="15" x14ac:dyDescent="0.25">
      <c r="A4330"/>
      <c r="B4330"/>
      <c r="C4330"/>
      <c r="D4330"/>
    </row>
    <row r="4331" spans="1:4" ht="15" x14ac:dyDescent="0.25">
      <c r="A4331"/>
      <c r="B4331"/>
      <c r="C4331"/>
      <c r="D4331"/>
    </row>
    <row r="4332" spans="1:4" ht="15" x14ac:dyDescent="0.25">
      <c r="A4332"/>
      <c r="B4332"/>
      <c r="C4332"/>
      <c r="D4332"/>
    </row>
    <row r="4333" spans="1:4" ht="15" x14ac:dyDescent="0.25">
      <c r="A4333"/>
      <c r="B4333"/>
      <c r="C4333"/>
      <c r="D4333"/>
    </row>
    <row r="4334" spans="1:4" ht="15" x14ac:dyDescent="0.25">
      <c r="A4334"/>
      <c r="B4334"/>
      <c r="C4334"/>
      <c r="D4334"/>
    </row>
    <row r="4335" spans="1:4" ht="15" x14ac:dyDescent="0.25">
      <c r="A4335"/>
      <c r="B4335"/>
      <c r="C4335"/>
      <c r="D4335"/>
    </row>
    <row r="4336" spans="1:4" ht="15" x14ac:dyDescent="0.25">
      <c r="A4336"/>
      <c r="B4336"/>
      <c r="C4336"/>
      <c r="D4336"/>
    </row>
    <row r="4337" spans="1:4" ht="15" x14ac:dyDescent="0.25">
      <c r="A4337"/>
      <c r="B4337"/>
      <c r="C4337"/>
      <c r="D4337"/>
    </row>
    <row r="4338" spans="1:4" ht="15" x14ac:dyDescent="0.25">
      <c r="A4338"/>
      <c r="B4338"/>
      <c r="C4338"/>
      <c r="D4338"/>
    </row>
    <row r="4339" spans="1:4" ht="15" x14ac:dyDescent="0.25">
      <c r="A4339"/>
      <c r="B4339"/>
      <c r="C4339"/>
      <c r="D4339"/>
    </row>
    <row r="4340" spans="1:4" ht="15" x14ac:dyDescent="0.25">
      <c r="A4340"/>
      <c r="B4340"/>
      <c r="C4340"/>
      <c r="D4340"/>
    </row>
    <row r="4341" spans="1:4" ht="15" x14ac:dyDescent="0.25">
      <c r="A4341"/>
      <c r="B4341"/>
      <c r="C4341"/>
      <c r="D4341"/>
    </row>
    <row r="4342" spans="1:4" ht="15" x14ac:dyDescent="0.25">
      <c r="A4342"/>
      <c r="B4342"/>
      <c r="C4342"/>
      <c r="D4342"/>
    </row>
    <row r="4343" spans="1:4" ht="15" x14ac:dyDescent="0.25">
      <c r="A4343"/>
      <c r="B4343"/>
      <c r="C4343"/>
      <c r="D4343"/>
    </row>
    <row r="4344" spans="1:4" ht="15" x14ac:dyDescent="0.25">
      <c r="A4344"/>
      <c r="B4344"/>
      <c r="C4344"/>
      <c r="D4344"/>
    </row>
    <row r="4345" spans="1:4" ht="15" x14ac:dyDescent="0.25">
      <c r="A4345"/>
      <c r="B4345"/>
      <c r="C4345"/>
      <c r="D4345"/>
    </row>
    <row r="4346" spans="1:4" ht="15" x14ac:dyDescent="0.25">
      <c r="A4346"/>
      <c r="B4346"/>
      <c r="C4346"/>
      <c r="D4346"/>
    </row>
    <row r="4347" spans="1:4" ht="15" x14ac:dyDescent="0.25">
      <c r="A4347"/>
      <c r="B4347"/>
      <c r="C4347"/>
      <c r="D4347"/>
    </row>
    <row r="4348" spans="1:4" ht="15" x14ac:dyDescent="0.25">
      <c r="A4348"/>
      <c r="B4348"/>
      <c r="C4348"/>
      <c r="D4348"/>
    </row>
    <row r="4349" spans="1:4" ht="15" x14ac:dyDescent="0.25">
      <c r="A4349"/>
      <c r="B4349"/>
      <c r="C4349"/>
      <c r="D4349"/>
    </row>
    <row r="4350" spans="1:4" ht="15" x14ac:dyDescent="0.25">
      <c r="A4350"/>
      <c r="B4350"/>
      <c r="C4350"/>
      <c r="D4350"/>
    </row>
    <row r="4351" spans="1:4" ht="15" x14ac:dyDescent="0.25">
      <c r="A4351"/>
      <c r="B4351"/>
      <c r="C4351"/>
      <c r="D4351"/>
    </row>
    <row r="4352" spans="1:4" ht="15" x14ac:dyDescent="0.25">
      <c r="A4352"/>
      <c r="B4352"/>
      <c r="C4352"/>
      <c r="D4352"/>
    </row>
    <row r="4353" spans="1:4" ht="15" x14ac:dyDescent="0.25">
      <c r="A4353"/>
      <c r="B4353"/>
      <c r="C4353"/>
      <c r="D4353"/>
    </row>
    <row r="4354" spans="1:4" ht="15" x14ac:dyDescent="0.25">
      <c r="A4354"/>
      <c r="B4354"/>
      <c r="C4354"/>
      <c r="D4354"/>
    </row>
    <row r="4355" spans="1:4" ht="15" x14ac:dyDescent="0.25">
      <c r="A4355"/>
      <c r="B4355"/>
      <c r="C4355"/>
      <c r="D4355"/>
    </row>
    <row r="4356" spans="1:4" ht="15" x14ac:dyDescent="0.25">
      <c r="A4356"/>
      <c r="B4356"/>
      <c r="C4356"/>
      <c r="D4356"/>
    </row>
    <row r="4357" spans="1:4" ht="15" x14ac:dyDescent="0.25">
      <c r="A4357"/>
      <c r="B4357"/>
      <c r="C4357"/>
      <c r="D4357"/>
    </row>
    <row r="4358" spans="1:4" ht="15" x14ac:dyDescent="0.25">
      <c r="A4358"/>
      <c r="B4358"/>
      <c r="C4358"/>
      <c r="D4358"/>
    </row>
    <row r="4359" spans="1:4" ht="15" x14ac:dyDescent="0.25">
      <c r="A4359"/>
      <c r="B4359"/>
      <c r="C4359"/>
      <c r="D4359"/>
    </row>
    <row r="4360" spans="1:4" ht="15" x14ac:dyDescent="0.25">
      <c r="A4360"/>
      <c r="B4360"/>
      <c r="C4360"/>
      <c r="D4360"/>
    </row>
    <row r="4361" spans="1:4" ht="15" x14ac:dyDescent="0.25">
      <c r="A4361"/>
      <c r="B4361"/>
      <c r="C4361"/>
      <c r="D4361"/>
    </row>
    <row r="4362" spans="1:4" ht="15" x14ac:dyDescent="0.25">
      <c r="A4362"/>
      <c r="B4362"/>
      <c r="C4362"/>
      <c r="D4362"/>
    </row>
    <row r="4363" spans="1:4" ht="15" x14ac:dyDescent="0.25">
      <c r="A4363"/>
      <c r="B4363"/>
      <c r="C4363"/>
      <c r="D4363"/>
    </row>
    <row r="4364" spans="1:4" ht="15" x14ac:dyDescent="0.25">
      <c r="A4364"/>
      <c r="B4364"/>
      <c r="C4364"/>
      <c r="D4364"/>
    </row>
    <row r="4365" spans="1:4" ht="15" x14ac:dyDescent="0.25">
      <c r="A4365"/>
      <c r="B4365"/>
      <c r="C4365"/>
      <c r="D4365"/>
    </row>
    <row r="4366" spans="1:4" ht="15" x14ac:dyDescent="0.25">
      <c r="A4366"/>
      <c r="B4366"/>
      <c r="C4366"/>
      <c r="D4366"/>
    </row>
    <row r="4367" spans="1:4" ht="15" x14ac:dyDescent="0.25">
      <c r="A4367"/>
      <c r="B4367"/>
      <c r="C4367"/>
      <c r="D4367"/>
    </row>
    <row r="4368" spans="1:4" ht="15" x14ac:dyDescent="0.25">
      <c r="A4368"/>
      <c r="B4368"/>
      <c r="C4368"/>
      <c r="D4368"/>
    </row>
    <row r="4369" spans="1:4" ht="15" x14ac:dyDescent="0.25">
      <c r="A4369"/>
      <c r="B4369"/>
      <c r="C4369"/>
      <c r="D4369"/>
    </row>
    <row r="4370" spans="1:4" ht="15" x14ac:dyDescent="0.25">
      <c r="A4370"/>
      <c r="B4370"/>
      <c r="C4370"/>
      <c r="D4370"/>
    </row>
    <row r="4371" spans="1:4" ht="15" x14ac:dyDescent="0.25">
      <c r="A4371"/>
      <c r="B4371"/>
      <c r="C4371"/>
      <c r="D4371"/>
    </row>
    <row r="4372" spans="1:4" ht="15" x14ac:dyDescent="0.25">
      <c r="A4372"/>
      <c r="B4372"/>
      <c r="C4372"/>
      <c r="D4372"/>
    </row>
    <row r="4373" spans="1:4" ht="15" x14ac:dyDescent="0.25">
      <c r="A4373"/>
      <c r="B4373"/>
      <c r="C4373"/>
      <c r="D4373"/>
    </row>
    <row r="4374" spans="1:4" ht="15" x14ac:dyDescent="0.25">
      <c r="A4374"/>
      <c r="B4374"/>
      <c r="C4374"/>
      <c r="D4374"/>
    </row>
    <row r="4375" spans="1:4" ht="15" x14ac:dyDescent="0.25">
      <c r="A4375"/>
      <c r="B4375"/>
      <c r="C4375"/>
      <c r="D4375"/>
    </row>
    <row r="4376" spans="1:4" ht="15" x14ac:dyDescent="0.25">
      <c r="A4376"/>
      <c r="B4376"/>
      <c r="C4376"/>
      <c r="D4376"/>
    </row>
    <row r="4377" spans="1:4" ht="15" x14ac:dyDescent="0.25">
      <c r="A4377"/>
      <c r="B4377"/>
      <c r="C4377"/>
      <c r="D4377"/>
    </row>
    <row r="4378" spans="1:4" ht="15" x14ac:dyDescent="0.25">
      <c r="A4378"/>
      <c r="B4378"/>
      <c r="C4378"/>
      <c r="D4378"/>
    </row>
    <row r="4379" spans="1:4" ht="15" x14ac:dyDescent="0.25">
      <c r="A4379"/>
      <c r="B4379"/>
      <c r="C4379"/>
      <c r="D4379"/>
    </row>
    <row r="4380" spans="1:4" ht="15" x14ac:dyDescent="0.25">
      <c r="A4380"/>
      <c r="B4380"/>
      <c r="C4380"/>
      <c r="D4380"/>
    </row>
    <row r="4381" spans="1:4" ht="15" x14ac:dyDescent="0.25">
      <c r="A4381"/>
      <c r="B4381"/>
      <c r="C4381"/>
      <c r="D4381"/>
    </row>
    <row r="4382" spans="1:4" ht="15" x14ac:dyDescent="0.25">
      <c r="A4382"/>
      <c r="B4382"/>
      <c r="C4382"/>
      <c r="D4382"/>
    </row>
    <row r="4383" spans="1:4" ht="15" x14ac:dyDescent="0.25">
      <c r="A4383"/>
      <c r="B4383"/>
      <c r="C4383"/>
      <c r="D4383"/>
    </row>
    <row r="4384" spans="1:4" ht="15" x14ac:dyDescent="0.25">
      <c r="A4384"/>
      <c r="B4384"/>
      <c r="C4384"/>
      <c r="D4384"/>
    </row>
    <row r="4385" spans="1:4" ht="15" x14ac:dyDescent="0.25">
      <c r="A4385"/>
      <c r="B4385"/>
      <c r="C4385"/>
      <c r="D4385"/>
    </row>
    <row r="4386" spans="1:4" ht="15" x14ac:dyDescent="0.25">
      <c r="A4386"/>
      <c r="B4386"/>
      <c r="C4386"/>
      <c r="D4386"/>
    </row>
    <row r="4387" spans="1:4" ht="15" x14ac:dyDescent="0.25">
      <c r="A4387"/>
      <c r="B4387"/>
      <c r="C4387"/>
      <c r="D4387"/>
    </row>
    <row r="4388" spans="1:4" ht="15" x14ac:dyDescent="0.25">
      <c r="A4388"/>
      <c r="B4388"/>
      <c r="C4388"/>
      <c r="D4388"/>
    </row>
    <row r="4389" spans="1:4" ht="15" x14ac:dyDescent="0.25">
      <c r="A4389"/>
      <c r="B4389"/>
      <c r="C4389"/>
      <c r="D4389"/>
    </row>
    <row r="4390" spans="1:4" ht="15" x14ac:dyDescent="0.25">
      <c r="A4390"/>
      <c r="B4390"/>
      <c r="C4390"/>
      <c r="D4390"/>
    </row>
    <row r="4391" spans="1:4" ht="15" x14ac:dyDescent="0.25">
      <c r="A4391"/>
      <c r="B4391"/>
      <c r="C4391"/>
      <c r="D4391"/>
    </row>
    <row r="4392" spans="1:4" ht="15" x14ac:dyDescent="0.25">
      <c r="A4392"/>
      <c r="B4392"/>
      <c r="C4392"/>
      <c r="D4392"/>
    </row>
    <row r="4393" spans="1:4" ht="15" x14ac:dyDescent="0.25">
      <c r="A4393"/>
      <c r="B4393"/>
      <c r="C4393"/>
      <c r="D4393"/>
    </row>
    <row r="4394" spans="1:4" ht="15" x14ac:dyDescent="0.25">
      <c r="A4394"/>
      <c r="B4394"/>
      <c r="C4394"/>
      <c r="D4394"/>
    </row>
    <row r="4395" spans="1:4" ht="15" x14ac:dyDescent="0.25">
      <c r="A4395"/>
      <c r="B4395"/>
      <c r="C4395"/>
      <c r="D4395"/>
    </row>
    <row r="4396" spans="1:4" ht="15" x14ac:dyDescent="0.25">
      <c r="A4396"/>
      <c r="B4396"/>
      <c r="C4396"/>
      <c r="D4396"/>
    </row>
    <row r="4397" spans="1:4" ht="15" x14ac:dyDescent="0.25">
      <c r="A4397"/>
      <c r="B4397"/>
      <c r="C4397"/>
      <c r="D4397"/>
    </row>
    <row r="4398" spans="1:4" ht="15" x14ac:dyDescent="0.25">
      <c r="A4398"/>
      <c r="B4398"/>
      <c r="C4398"/>
      <c r="D4398"/>
    </row>
    <row r="4399" spans="1:4" ht="15" x14ac:dyDescent="0.25">
      <c r="A4399"/>
      <c r="B4399"/>
      <c r="C4399"/>
      <c r="D4399"/>
    </row>
    <row r="4400" spans="1:4" ht="15" x14ac:dyDescent="0.25">
      <c r="A4400"/>
      <c r="B4400"/>
      <c r="C4400"/>
      <c r="D4400"/>
    </row>
    <row r="4401" spans="1:4" ht="15" x14ac:dyDescent="0.25">
      <c r="A4401"/>
      <c r="B4401"/>
      <c r="C4401"/>
      <c r="D4401"/>
    </row>
    <row r="4402" spans="1:4" ht="15" x14ac:dyDescent="0.25">
      <c r="A4402"/>
      <c r="B4402"/>
      <c r="C4402"/>
      <c r="D4402"/>
    </row>
    <row r="4403" spans="1:4" ht="15" x14ac:dyDescent="0.25">
      <c r="A4403"/>
      <c r="B4403"/>
      <c r="C4403"/>
      <c r="D4403"/>
    </row>
    <row r="4404" spans="1:4" ht="15" x14ac:dyDescent="0.25">
      <c r="A4404"/>
      <c r="B4404"/>
      <c r="C4404"/>
      <c r="D4404"/>
    </row>
    <row r="4405" spans="1:4" ht="15" x14ac:dyDescent="0.25">
      <c r="A4405"/>
      <c r="B4405"/>
      <c r="C4405"/>
      <c r="D4405"/>
    </row>
    <row r="4406" spans="1:4" ht="15" x14ac:dyDescent="0.25">
      <c r="A4406"/>
      <c r="B4406"/>
      <c r="C4406"/>
      <c r="D4406"/>
    </row>
    <row r="4407" spans="1:4" ht="15" x14ac:dyDescent="0.25">
      <c r="A4407"/>
      <c r="B4407"/>
      <c r="C4407"/>
      <c r="D4407"/>
    </row>
    <row r="4408" spans="1:4" ht="15" x14ac:dyDescent="0.25">
      <c r="A4408"/>
      <c r="B4408"/>
      <c r="C4408"/>
      <c r="D4408"/>
    </row>
    <row r="4409" spans="1:4" ht="15" x14ac:dyDescent="0.25">
      <c r="A4409"/>
      <c r="B4409"/>
      <c r="C4409"/>
      <c r="D4409"/>
    </row>
    <row r="4410" spans="1:4" ht="15" x14ac:dyDescent="0.25">
      <c r="A4410"/>
      <c r="B4410"/>
      <c r="C4410"/>
      <c r="D4410"/>
    </row>
    <row r="4411" spans="1:4" ht="15" x14ac:dyDescent="0.25">
      <c r="A4411"/>
      <c r="B4411"/>
      <c r="C4411"/>
      <c r="D4411"/>
    </row>
    <row r="4412" spans="1:4" ht="15" x14ac:dyDescent="0.25">
      <c r="A4412"/>
      <c r="B4412"/>
      <c r="C4412"/>
      <c r="D4412"/>
    </row>
    <row r="4413" spans="1:4" ht="15" x14ac:dyDescent="0.25">
      <c r="A4413"/>
      <c r="B4413"/>
      <c r="C4413"/>
      <c r="D4413"/>
    </row>
    <row r="4414" spans="1:4" ht="15" x14ac:dyDescent="0.25">
      <c r="A4414"/>
      <c r="B4414"/>
      <c r="C4414"/>
      <c r="D4414"/>
    </row>
    <row r="4415" spans="1:4" ht="15" x14ac:dyDescent="0.25">
      <c r="A4415"/>
      <c r="B4415"/>
      <c r="C4415"/>
      <c r="D4415"/>
    </row>
    <row r="4416" spans="1:4" ht="15" x14ac:dyDescent="0.25">
      <c r="A4416"/>
      <c r="B4416"/>
      <c r="C4416"/>
      <c r="D4416"/>
    </row>
    <row r="4417" spans="1:4" ht="15" x14ac:dyDescent="0.25">
      <c r="A4417"/>
      <c r="B4417"/>
      <c r="C4417"/>
      <c r="D4417"/>
    </row>
    <row r="4418" spans="1:4" ht="15" x14ac:dyDescent="0.25">
      <c r="A4418"/>
      <c r="B4418"/>
      <c r="C4418"/>
      <c r="D4418"/>
    </row>
    <row r="4419" spans="1:4" ht="15" x14ac:dyDescent="0.25">
      <c r="A4419"/>
      <c r="B4419"/>
      <c r="C4419"/>
      <c r="D4419"/>
    </row>
    <row r="4420" spans="1:4" ht="15" x14ac:dyDescent="0.25">
      <c r="A4420"/>
      <c r="B4420"/>
      <c r="C4420"/>
      <c r="D4420"/>
    </row>
    <row r="4421" spans="1:4" ht="15" x14ac:dyDescent="0.25">
      <c r="A4421"/>
      <c r="B4421"/>
      <c r="C4421"/>
      <c r="D4421"/>
    </row>
    <row r="4422" spans="1:4" ht="15" x14ac:dyDescent="0.25">
      <c r="A4422"/>
      <c r="B4422"/>
      <c r="C4422"/>
      <c r="D4422"/>
    </row>
    <row r="4423" spans="1:4" ht="15" x14ac:dyDescent="0.25">
      <c r="A4423"/>
      <c r="B4423"/>
      <c r="C4423"/>
      <c r="D4423"/>
    </row>
    <row r="4424" spans="1:4" ht="15" x14ac:dyDescent="0.25">
      <c r="A4424"/>
      <c r="B4424"/>
      <c r="C4424"/>
      <c r="D4424"/>
    </row>
    <row r="4425" spans="1:4" ht="15" x14ac:dyDescent="0.25">
      <c r="A4425"/>
      <c r="B4425"/>
      <c r="C4425"/>
      <c r="D4425"/>
    </row>
    <row r="4426" spans="1:4" ht="15" x14ac:dyDescent="0.25">
      <c r="A4426"/>
      <c r="B4426"/>
      <c r="C4426"/>
      <c r="D4426"/>
    </row>
    <row r="4427" spans="1:4" ht="15" x14ac:dyDescent="0.25">
      <c r="A4427"/>
      <c r="B4427"/>
      <c r="C4427"/>
      <c r="D4427"/>
    </row>
    <row r="4428" spans="1:4" ht="15" x14ac:dyDescent="0.25">
      <c r="A4428"/>
      <c r="B4428"/>
      <c r="C4428"/>
      <c r="D4428"/>
    </row>
    <row r="4429" spans="1:4" ht="15" x14ac:dyDescent="0.25">
      <c r="A4429"/>
      <c r="B4429"/>
      <c r="C4429"/>
      <c r="D4429"/>
    </row>
    <row r="4430" spans="1:4" ht="15" x14ac:dyDescent="0.25">
      <c r="A4430"/>
      <c r="B4430"/>
      <c r="C4430"/>
      <c r="D4430"/>
    </row>
    <row r="4431" spans="1:4" ht="15" x14ac:dyDescent="0.25">
      <c r="A4431"/>
      <c r="B4431"/>
      <c r="C4431"/>
      <c r="D4431"/>
    </row>
    <row r="4432" spans="1:4" ht="15" x14ac:dyDescent="0.25">
      <c r="A4432"/>
      <c r="B4432"/>
      <c r="C4432"/>
      <c r="D4432"/>
    </row>
    <row r="4433" spans="1:4" ht="15" x14ac:dyDescent="0.25">
      <c r="A4433"/>
      <c r="B4433"/>
      <c r="C4433"/>
      <c r="D4433"/>
    </row>
    <row r="4434" spans="1:4" ht="15" x14ac:dyDescent="0.25">
      <c r="A4434"/>
      <c r="B4434"/>
      <c r="C4434"/>
      <c r="D4434"/>
    </row>
    <row r="4435" spans="1:4" ht="15" x14ac:dyDescent="0.25">
      <c r="A4435"/>
      <c r="B4435"/>
      <c r="C4435"/>
      <c r="D4435"/>
    </row>
    <row r="4436" spans="1:4" ht="15" x14ac:dyDescent="0.25">
      <c r="A4436"/>
      <c r="B4436"/>
      <c r="C4436"/>
      <c r="D4436"/>
    </row>
    <row r="4437" spans="1:4" ht="15" x14ac:dyDescent="0.25">
      <c r="A4437"/>
      <c r="B4437"/>
      <c r="C4437"/>
      <c r="D4437"/>
    </row>
    <row r="4438" spans="1:4" ht="15" x14ac:dyDescent="0.25">
      <c r="A4438"/>
      <c r="B4438"/>
      <c r="C4438"/>
      <c r="D4438"/>
    </row>
    <row r="4439" spans="1:4" ht="15" x14ac:dyDescent="0.25">
      <c r="A4439"/>
      <c r="B4439"/>
      <c r="C4439"/>
      <c r="D4439"/>
    </row>
    <row r="4440" spans="1:4" ht="15" x14ac:dyDescent="0.25">
      <c r="A4440"/>
      <c r="B4440"/>
      <c r="C4440"/>
      <c r="D4440"/>
    </row>
    <row r="4441" spans="1:4" ht="15" x14ac:dyDescent="0.25">
      <c r="A4441"/>
      <c r="B4441"/>
      <c r="C4441"/>
      <c r="D4441"/>
    </row>
    <row r="4442" spans="1:4" ht="15" x14ac:dyDescent="0.25">
      <c r="A4442"/>
      <c r="B4442"/>
      <c r="C4442"/>
      <c r="D4442"/>
    </row>
    <row r="4443" spans="1:4" ht="15" x14ac:dyDescent="0.25">
      <c r="A4443"/>
      <c r="B4443"/>
      <c r="C4443"/>
      <c r="D4443"/>
    </row>
    <row r="4444" spans="1:4" ht="15" x14ac:dyDescent="0.25">
      <c r="A4444"/>
      <c r="B4444"/>
      <c r="C4444"/>
      <c r="D4444"/>
    </row>
    <row r="4445" spans="1:4" ht="15" x14ac:dyDescent="0.25">
      <c r="A4445"/>
      <c r="B4445"/>
      <c r="C4445"/>
      <c r="D4445"/>
    </row>
    <row r="4446" spans="1:4" ht="15" x14ac:dyDescent="0.25">
      <c r="A4446"/>
      <c r="B4446"/>
      <c r="C4446"/>
      <c r="D4446"/>
    </row>
    <row r="4447" spans="1:4" ht="15" x14ac:dyDescent="0.25">
      <c r="A4447"/>
      <c r="B4447"/>
      <c r="C4447"/>
      <c r="D4447"/>
    </row>
    <row r="4448" spans="1:4" ht="15" x14ac:dyDescent="0.25">
      <c r="A4448"/>
      <c r="B4448"/>
      <c r="C4448"/>
      <c r="D4448"/>
    </row>
    <row r="4449" spans="1:4" ht="15" x14ac:dyDescent="0.25">
      <c r="A4449"/>
      <c r="B4449"/>
      <c r="C4449"/>
      <c r="D4449"/>
    </row>
    <row r="4450" spans="1:4" ht="15" x14ac:dyDescent="0.25">
      <c r="A4450"/>
      <c r="B4450"/>
      <c r="C4450"/>
      <c r="D4450"/>
    </row>
    <row r="4451" spans="1:4" ht="15" x14ac:dyDescent="0.25">
      <c r="A4451"/>
      <c r="B4451"/>
      <c r="C4451"/>
      <c r="D4451"/>
    </row>
    <row r="4452" spans="1:4" ht="15" x14ac:dyDescent="0.25">
      <c r="A4452"/>
      <c r="B4452"/>
      <c r="C4452"/>
      <c r="D4452"/>
    </row>
    <row r="4453" spans="1:4" ht="15" x14ac:dyDescent="0.25">
      <c r="A4453"/>
      <c r="B4453"/>
      <c r="C4453"/>
      <c r="D4453"/>
    </row>
    <row r="4454" spans="1:4" ht="15" x14ac:dyDescent="0.25">
      <c r="A4454"/>
      <c r="B4454"/>
      <c r="C4454"/>
      <c r="D4454"/>
    </row>
    <row r="4455" spans="1:4" ht="15" x14ac:dyDescent="0.25">
      <c r="A4455"/>
      <c r="B4455"/>
      <c r="C4455"/>
      <c r="D4455"/>
    </row>
    <row r="4456" spans="1:4" ht="15" x14ac:dyDescent="0.25">
      <c r="A4456"/>
      <c r="B4456"/>
      <c r="C4456"/>
      <c r="D4456"/>
    </row>
    <row r="4457" spans="1:4" ht="15" x14ac:dyDescent="0.25">
      <c r="A4457"/>
      <c r="B4457"/>
      <c r="C4457"/>
      <c r="D4457"/>
    </row>
    <row r="4458" spans="1:4" ht="15" x14ac:dyDescent="0.25">
      <c r="A4458"/>
      <c r="B4458"/>
      <c r="C4458"/>
      <c r="D4458"/>
    </row>
    <row r="4459" spans="1:4" ht="15" x14ac:dyDescent="0.25">
      <c r="A4459"/>
      <c r="B4459"/>
      <c r="C4459"/>
      <c r="D4459"/>
    </row>
    <row r="4460" spans="1:4" ht="15" x14ac:dyDescent="0.25">
      <c r="A4460"/>
      <c r="B4460"/>
      <c r="C4460"/>
      <c r="D4460"/>
    </row>
    <row r="4461" spans="1:4" ht="15" x14ac:dyDescent="0.25">
      <c r="A4461"/>
      <c r="B4461"/>
      <c r="C4461"/>
      <c r="D4461"/>
    </row>
    <row r="4462" spans="1:4" ht="15" x14ac:dyDescent="0.25">
      <c r="A4462"/>
      <c r="B4462"/>
      <c r="C4462"/>
      <c r="D4462"/>
    </row>
    <row r="4463" spans="1:4" ht="15" x14ac:dyDescent="0.25">
      <c r="A4463"/>
      <c r="B4463"/>
      <c r="C4463"/>
      <c r="D4463"/>
    </row>
    <row r="4464" spans="1:4" ht="15" x14ac:dyDescent="0.25">
      <c r="A4464"/>
      <c r="B4464"/>
      <c r="C4464"/>
      <c r="D4464"/>
    </row>
    <row r="4465" spans="1:4" ht="15" x14ac:dyDescent="0.25">
      <c r="A4465"/>
      <c r="B4465"/>
      <c r="C4465"/>
      <c r="D4465"/>
    </row>
    <row r="4466" spans="1:4" ht="15" x14ac:dyDescent="0.25">
      <c r="A4466"/>
      <c r="B4466"/>
      <c r="C4466"/>
      <c r="D4466"/>
    </row>
    <row r="4467" spans="1:4" ht="15" x14ac:dyDescent="0.25">
      <c r="A4467"/>
      <c r="B4467"/>
      <c r="C4467"/>
      <c r="D4467"/>
    </row>
    <row r="4468" spans="1:4" ht="15" x14ac:dyDescent="0.25">
      <c r="A4468"/>
      <c r="B4468"/>
      <c r="C4468"/>
      <c r="D4468"/>
    </row>
    <row r="4469" spans="1:4" ht="15" x14ac:dyDescent="0.25">
      <c r="A4469"/>
      <c r="B4469"/>
      <c r="C4469"/>
      <c r="D4469"/>
    </row>
    <row r="4470" spans="1:4" ht="15" x14ac:dyDescent="0.25">
      <c r="A4470"/>
      <c r="B4470"/>
      <c r="C4470"/>
      <c r="D4470"/>
    </row>
    <row r="4471" spans="1:4" ht="15" x14ac:dyDescent="0.25">
      <c r="A4471"/>
      <c r="B4471"/>
      <c r="C4471"/>
      <c r="D4471"/>
    </row>
    <row r="4472" spans="1:4" ht="15" x14ac:dyDescent="0.25">
      <c r="A4472"/>
      <c r="B4472"/>
      <c r="C4472"/>
      <c r="D4472"/>
    </row>
    <row r="4473" spans="1:4" ht="15" x14ac:dyDescent="0.25">
      <c r="A4473"/>
      <c r="B4473"/>
      <c r="C4473"/>
      <c r="D4473"/>
    </row>
    <row r="4474" spans="1:4" ht="15" x14ac:dyDescent="0.25">
      <c r="A4474"/>
      <c r="B4474"/>
      <c r="C4474"/>
      <c r="D4474"/>
    </row>
  </sheetData>
  <sortState ref="A4:B14">
    <sortCondition descending="1" ref="A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5464"/>
  <sheetViews>
    <sheetView topLeftCell="A71" workbookViewId="0">
      <pane ySplit="2310" activePane="bottomLeft"/>
      <selection activeCell="D22" sqref="D22"/>
      <selection pane="bottomLeft" activeCell="A25" sqref="A25:D5464"/>
    </sheetView>
  </sheetViews>
  <sheetFormatPr defaultColWidth="9.140625" defaultRowHeight="11.25" x14ac:dyDescent="0.2"/>
  <cols>
    <col min="1" max="1" width="8.140625" style="2" customWidth="1"/>
    <col min="2" max="2" width="72.85546875" style="2" customWidth="1"/>
    <col min="3" max="3" width="8" style="2" bestFit="1" customWidth="1"/>
    <col min="4" max="16384" width="9.140625" style="2"/>
  </cols>
  <sheetData>
    <row r="1" spans="1:3" customFormat="1" ht="21.75" x14ac:dyDescent="0.25">
      <c r="A1" s="9" t="s">
        <v>8295</v>
      </c>
      <c r="B1" s="2"/>
      <c r="C1" s="2"/>
    </row>
    <row r="2" spans="1:3" customFormat="1" ht="15" x14ac:dyDescent="0.25">
      <c r="A2" s="24" t="s">
        <v>9568</v>
      </c>
      <c r="C2" s="2"/>
    </row>
    <row r="3" spans="1:3" customFormat="1" ht="5.25" customHeight="1" x14ac:dyDescent="0.25">
      <c r="A3" s="50"/>
      <c r="B3" s="51"/>
      <c r="C3" s="2"/>
    </row>
    <row r="4" spans="1:3" customFormat="1" ht="15" x14ac:dyDescent="0.25">
      <c r="A4" s="18">
        <f>COUNTIF($B$25:$B$9123,"*kw_il/content/routing/*")</f>
        <v>1494</v>
      </c>
      <c r="B4" s="19" t="s">
        <v>2687</v>
      </c>
      <c r="C4" s="30"/>
    </row>
    <row r="5" spans="1:3" customFormat="1" ht="15" x14ac:dyDescent="0.25">
      <c r="A5" s="18">
        <f>COUNTIF($B$25:$B$9123,"*kw_il/framework/*")</f>
        <v>1393</v>
      </c>
      <c r="B5" s="19" t="s">
        <v>180</v>
      </c>
      <c r="C5" s="30" t="s">
        <v>8430</v>
      </c>
    </row>
    <row r="6" spans="1:3" customFormat="1" ht="15" x14ac:dyDescent="0.25">
      <c r="A6" s="18">
        <f>COUNTIF($B$25:$B$9123,"*kw_il/content/traffic/*")</f>
        <v>740</v>
      </c>
      <c r="B6" s="19" t="s">
        <v>7</v>
      </c>
      <c r="C6" s="30" t="s">
        <v>8430</v>
      </c>
    </row>
    <row r="7" spans="1:3" customFormat="1" ht="15" x14ac:dyDescent="0.25">
      <c r="A7" s="18">
        <f>COUNTIF($B$25:$B$9123,"*kw_il/content/access/*")</f>
        <v>215</v>
      </c>
      <c r="B7" s="19" t="s">
        <v>181</v>
      </c>
      <c r="C7" s="30" t="s">
        <v>8430</v>
      </c>
    </row>
    <row r="8" spans="1:3" customFormat="1" ht="15" x14ac:dyDescent="0.25">
      <c r="A8" s="18">
        <f>COUNTIF($B$25:$B$9123,"*kw_il/common/lib/*")</f>
        <v>1389</v>
      </c>
      <c r="B8" s="19" t="s">
        <v>7277</v>
      </c>
      <c r="C8" s="30" t="s">
        <v>8430</v>
      </c>
    </row>
    <row r="9" spans="1:3" customFormat="1" ht="15" x14ac:dyDescent="0.25">
      <c r="A9" s="18">
        <f>COUNTIF($B$25:$B$9123,"*kw_il/content/storage/*")</f>
        <v>65</v>
      </c>
      <c r="B9" s="19" t="s">
        <v>6</v>
      </c>
      <c r="C9" s="30" t="s">
        <v>8430</v>
      </c>
    </row>
    <row r="10" spans="1:3" customFormat="1" ht="15" x14ac:dyDescent="0.25">
      <c r="A10" s="18">
        <f>COUNTIF($B$25:$B$9123,"*content/cts/*")</f>
        <v>20</v>
      </c>
      <c r="B10" s="19" t="s">
        <v>113</v>
      </c>
      <c r="C10" s="30" t="s">
        <v>8430</v>
      </c>
    </row>
    <row r="11" spans="1:3" customFormat="1" ht="15" x14ac:dyDescent="0.25">
      <c r="A11" s="18">
        <f>COUNTIF($B$25:$B$9123,"*content/v4v6transition/*")</f>
        <v>2</v>
      </c>
      <c r="B11" s="19" t="s">
        <v>1151</v>
      </c>
      <c r="C11" s="30" t="s">
        <v>8430</v>
      </c>
    </row>
    <row r="12" spans="1:3" customFormat="1" ht="15" x14ac:dyDescent="0.25">
      <c r="A12" s="18">
        <f>COUNTIF($B$25:$B$9123,"*/common/tools/*")</f>
        <v>9</v>
      </c>
      <c r="B12" s="19" t="s">
        <v>2693</v>
      </c>
      <c r="C12" s="30" t="s">
        <v>8430</v>
      </c>
    </row>
    <row r="13" spans="1:3" customFormat="1" ht="15" hidden="1" x14ac:dyDescent="0.25">
      <c r="A13" s="18">
        <f>COUNTIF($B$25:$B$9123,"*content/datacenter/*")</f>
        <v>66</v>
      </c>
      <c r="B13" s="19" t="s">
        <v>695</v>
      </c>
      <c r="C13" s="30"/>
    </row>
    <row r="14" spans="1:3" customFormat="1" ht="15" hidden="1" x14ac:dyDescent="0.25">
      <c r="A14" s="18">
        <f>COUNTIF($B$25:$B$9123,"*content/device/configurator/*")</f>
        <v>0</v>
      </c>
      <c r="B14" s="19" t="s">
        <v>2686</v>
      </c>
      <c r="C14" s="30"/>
    </row>
    <row r="15" spans="1:3" customFormat="1" ht="15" hidden="1" x14ac:dyDescent="0.25">
      <c r="A15" s="18">
        <f>COUNTIF($B$25:$B$9123,"*content/traffictests/*")</f>
        <v>0</v>
      </c>
      <c r="B15" s="19" t="s">
        <v>2688</v>
      </c>
      <c r="C15" s="30"/>
    </row>
    <row r="16" spans="1:3" customFormat="1" ht="15" hidden="1" x14ac:dyDescent="0.25">
      <c r="A16" s="18">
        <f>COUNTIF($B$25:$B$9123,"*content/tripleplay/*")</f>
        <v>29</v>
      </c>
      <c r="B16" s="19" t="s">
        <v>2690</v>
      </c>
      <c r="C16" s="30"/>
    </row>
    <row r="17" spans="1:4" customFormat="1" ht="15" hidden="1" x14ac:dyDescent="0.25">
      <c r="A17" s="18">
        <f>COUNTIF($B$25:$B$9123,"*content/admin/*")</f>
        <v>0</v>
      </c>
      <c r="B17" s="19" t="s">
        <v>2689</v>
      </c>
      <c r="C17" s="30"/>
    </row>
    <row r="18" spans="1:4" customFormat="1" ht="15" hidden="1" x14ac:dyDescent="0.25">
      <c r="A18" s="18">
        <f>COUNTIF($B$25:$B$9123,"*content/sample/*")</f>
        <v>0</v>
      </c>
      <c r="B18" s="19" t="s">
        <v>2691</v>
      </c>
      <c r="C18" s="30"/>
    </row>
    <row r="19" spans="1:4" customFormat="1" ht="15" hidden="1" x14ac:dyDescent="0.25">
      <c r="A19" s="18">
        <f>COUNTIF($B$25:$B$9123,"*content/mcast/*")</f>
        <v>18</v>
      </c>
      <c r="B19" s="19" t="s">
        <v>1150</v>
      </c>
      <c r="C19" s="30"/>
    </row>
    <row r="20" spans="1:4" customFormat="1" ht="15" hidden="1" x14ac:dyDescent="0.25">
      <c r="A20" s="18">
        <f>COUNTIF($B$25:$B$9123,"*content/learning/*")</f>
        <v>0</v>
      </c>
      <c r="B20" s="19" t="s">
        <v>2692</v>
      </c>
      <c r="C20" s="30"/>
    </row>
    <row r="21" spans="1:4" customFormat="1" ht="4.5" customHeight="1" x14ac:dyDescent="0.25">
      <c r="A21" s="50"/>
      <c r="B21" s="51"/>
      <c r="C21" s="2"/>
    </row>
    <row r="22" spans="1:4" customFormat="1" ht="15" x14ac:dyDescent="0.25">
      <c r="A22" s="59">
        <f>SUM(A3:A21)</f>
        <v>5440</v>
      </c>
      <c r="B22" s="1" t="s">
        <v>2694</v>
      </c>
      <c r="C22" s="31"/>
      <c r="D22">
        <f>2732-A22</f>
        <v>-2708</v>
      </c>
    </row>
    <row r="23" spans="1:4" customFormat="1" ht="15" x14ac:dyDescent="0.25">
      <c r="A23" s="59"/>
      <c r="B23" s="1"/>
      <c r="C23" s="31"/>
    </row>
    <row r="24" spans="1:4" customFormat="1" ht="14.45" x14ac:dyDescent="0.3">
      <c r="A24" s="59" t="s">
        <v>110</v>
      </c>
      <c r="B24" s="44" t="s">
        <v>111</v>
      </c>
      <c r="C24" s="2">
        <f>COUNTA(A24:A9120)-1</f>
        <v>5440</v>
      </c>
    </row>
    <row r="25" spans="1:4" ht="14.45" x14ac:dyDescent="0.3">
      <c r="A25">
        <v>11020</v>
      </c>
      <c r="B25" t="s">
        <v>10750</v>
      </c>
      <c r="C25" t="s">
        <v>5043</v>
      </c>
      <c r="D25" t="s">
        <v>8401</v>
      </c>
    </row>
    <row r="26" spans="1:4" ht="14.45" x14ac:dyDescent="0.3">
      <c r="A26">
        <v>11484</v>
      </c>
      <c r="B26" t="s">
        <v>10750</v>
      </c>
      <c r="C26" t="s">
        <v>5043</v>
      </c>
      <c r="D26" t="s">
        <v>8401</v>
      </c>
    </row>
    <row r="27" spans="1:4" ht="14.45" x14ac:dyDescent="0.3">
      <c r="A27">
        <v>7197</v>
      </c>
      <c r="B27" t="s">
        <v>10751</v>
      </c>
      <c r="C27" t="s">
        <v>5043</v>
      </c>
      <c r="D27" t="s">
        <v>8401</v>
      </c>
    </row>
    <row r="28" spans="1:4" ht="14.45" x14ac:dyDescent="0.3">
      <c r="A28">
        <v>7764</v>
      </c>
      <c r="B28" t="s">
        <v>10752</v>
      </c>
      <c r="C28" t="s">
        <v>5043</v>
      </c>
      <c r="D28" t="s">
        <v>8401</v>
      </c>
    </row>
    <row r="29" spans="1:4" ht="14.45" x14ac:dyDescent="0.3">
      <c r="A29">
        <v>8431</v>
      </c>
      <c r="B29" t="s">
        <v>10752</v>
      </c>
      <c r="C29" t="s">
        <v>5043</v>
      </c>
      <c r="D29" t="s">
        <v>8401</v>
      </c>
    </row>
    <row r="30" spans="1:4" ht="14.45" x14ac:dyDescent="0.3">
      <c r="A30">
        <v>9805</v>
      </c>
      <c r="B30" t="s">
        <v>9036</v>
      </c>
      <c r="C30" t="s">
        <v>5043</v>
      </c>
      <c r="D30" t="s">
        <v>8401</v>
      </c>
    </row>
    <row r="31" spans="1:4" ht="14.45" x14ac:dyDescent="0.3">
      <c r="A31">
        <v>7582</v>
      </c>
      <c r="B31" t="s">
        <v>10753</v>
      </c>
      <c r="C31" t="s">
        <v>5043</v>
      </c>
      <c r="D31" t="s">
        <v>8401</v>
      </c>
    </row>
    <row r="32" spans="1:4" ht="14.45" x14ac:dyDescent="0.3">
      <c r="A32">
        <v>9687</v>
      </c>
      <c r="B32" t="s">
        <v>10754</v>
      </c>
      <c r="C32" t="s">
        <v>5043</v>
      </c>
      <c r="D32" t="s">
        <v>8401</v>
      </c>
    </row>
    <row r="33" spans="1:4" ht="14.45" x14ac:dyDescent="0.3">
      <c r="A33">
        <v>6894</v>
      </c>
      <c r="B33" t="s">
        <v>10755</v>
      </c>
      <c r="C33" t="s">
        <v>5043</v>
      </c>
      <c r="D33" t="s">
        <v>8401</v>
      </c>
    </row>
    <row r="34" spans="1:4" ht="14.45" x14ac:dyDescent="0.3">
      <c r="A34">
        <v>11282</v>
      </c>
      <c r="B34" t="s">
        <v>10756</v>
      </c>
      <c r="C34" t="s">
        <v>5043</v>
      </c>
      <c r="D34" t="s">
        <v>8401</v>
      </c>
    </row>
    <row r="35" spans="1:4" ht="14.45" x14ac:dyDescent="0.3">
      <c r="A35">
        <v>8181</v>
      </c>
      <c r="B35" t="s">
        <v>10756</v>
      </c>
      <c r="C35" t="s">
        <v>5043</v>
      </c>
      <c r="D35" t="s">
        <v>8401</v>
      </c>
    </row>
    <row r="36" spans="1:4" ht="14.45" x14ac:dyDescent="0.3">
      <c r="A36">
        <v>11194</v>
      </c>
      <c r="B36" t="s">
        <v>10757</v>
      </c>
      <c r="C36" t="s">
        <v>5043</v>
      </c>
      <c r="D36" t="s">
        <v>8401</v>
      </c>
    </row>
    <row r="37" spans="1:4" ht="14.45" x14ac:dyDescent="0.3">
      <c r="A37">
        <v>10252</v>
      </c>
      <c r="B37" t="s">
        <v>10758</v>
      </c>
      <c r="C37" t="s">
        <v>5043</v>
      </c>
      <c r="D37" t="s">
        <v>8401</v>
      </c>
    </row>
    <row r="38" spans="1:4" ht="14.45" x14ac:dyDescent="0.3">
      <c r="A38">
        <v>10846</v>
      </c>
      <c r="B38" t="s">
        <v>10758</v>
      </c>
      <c r="C38" t="s">
        <v>5043</v>
      </c>
      <c r="D38" t="s">
        <v>8401</v>
      </c>
    </row>
    <row r="39" spans="1:4" ht="14.45" x14ac:dyDescent="0.3">
      <c r="A39">
        <v>11745</v>
      </c>
      <c r="B39" t="s">
        <v>10758</v>
      </c>
      <c r="C39" t="s">
        <v>5043</v>
      </c>
      <c r="D39" t="s">
        <v>8401</v>
      </c>
    </row>
    <row r="40" spans="1:4" ht="14.45" x14ac:dyDescent="0.3">
      <c r="A40">
        <v>6828</v>
      </c>
      <c r="B40" t="s">
        <v>10758</v>
      </c>
      <c r="C40" t="s">
        <v>5043</v>
      </c>
      <c r="D40" t="s">
        <v>8401</v>
      </c>
    </row>
    <row r="41" spans="1:4" ht="14.45" x14ac:dyDescent="0.3">
      <c r="A41">
        <v>7065</v>
      </c>
      <c r="B41" t="s">
        <v>10758</v>
      </c>
      <c r="C41" t="s">
        <v>5043</v>
      </c>
      <c r="D41" t="s">
        <v>8401</v>
      </c>
    </row>
    <row r="42" spans="1:4" ht="14.45" x14ac:dyDescent="0.3">
      <c r="A42">
        <v>7227</v>
      </c>
      <c r="B42" t="s">
        <v>10758</v>
      </c>
      <c r="C42" t="s">
        <v>5043</v>
      </c>
      <c r="D42" t="s">
        <v>8401</v>
      </c>
    </row>
    <row r="43" spans="1:4" ht="14.45" x14ac:dyDescent="0.3">
      <c r="A43">
        <v>8601</v>
      </c>
      <c r="B43" t="s">
        <v>10758</v>
      </c>
      <c r="C43" t="s">
        <v>5043</v>
      </c>
      <c r="D43" t="s">
        <v>8401</v>
      </c>
    </row>
    <row r="44" spans="1:4" ht="14.45" x14ac:dyDescent="0.3">
      <c r="A44">
        <v>9305</v>
      </c>
      <c r="B44" t="s">
        <v>10759</v>
      </c>
      <c r="C44" t="s">
        <v>5043</v>
      </c>
      <c r="D44" t="s">
        <v>8401</v>
      </c>
    </row>
    <row r="45" spans="1:4" ht="14.45" x14ac:dyDescent="0.3">
      <c r="A45">
        <v>7674</v>
      </c>
      <c r="B45" t="s">
        <v>10760</v>
      </c>
      <c r="C45" t="s">
        <v>5043</v>
      </c>
      <c r="D45" t="s">
        <v>8401</v>
      </c>
    </row>
    <row r="46" spans="1:4" ht="14.45" x14ac:dyDescent="0.3">
      <c r="A46">
        <v>11154</v>
      </c>
      <c r="B46" t="s">
        <v>10761</v>
      </c>
      <c r="C46" t="s">
        <v>5043</v>
      </c>
      <c r="D46" t="s">
        <v>8401</v>
      </c>
    </row>
    <row r="47" spans="1:4" ht="14.45" x14ac:dyDescent="0.3">
      <c r="A47">
        <v>7224</v>
      </c>
      <c r="B47" t="s">
        <v>10761</v>
      </c>
      <c r="C47" t="s">
        <v>5043</v>
      </c>
      <c r="D47" t="s">
        <v>8401</v>
      </c>
    </row>
    <row r="48" spans="1:4" ht="14.45" x14ac:dyDescent="0.3">
      <c r="A48">
        <v>8442</v>
      </c>
      <c r="B48" t="s">
        <v>10761</v>
      </c>
      <c r="C48" t="s">
        <v>5043</v>
      </c>
      <c r="D48" t="s">
        <v>8401</v>
      </c>
    </row>
    <row r="49" spans="1:4" ht="14.45" x14ac:dyDescent="0.3">
      <c r="A49">
        <v>10489</v>
      </c>
      <c r="B49" t="s">
        <v>10762</v>
      </c>
      <c r="C49" t="s">
        <v>5043</v>
      </c>
      <c r="D49" t="s">
        <v>8401</v>
      </c>
    </row>
    <row r="50" spans="1:4" ht="14.45" x14ac:dyDescent="0.3">
      <c r="A50">
        <v>6942</v>
      </c>
      <c r="B50" t="s">
        <v>10763</v>
      </c>
      <c r="C50" t="s">
        <v>5043</v>
      </c>
      <c r="D50" t="s">
        <v>8401</v>
      </c>
    </row>
    <row r="51" spans="1:4" ht="14.45" x14ac:dyDescent="0.3">
      <c r="A51">
        <v>7451</v>
      </c>
      <c r="B51" t="s">
        <v>10763</v>
      </c>
      <c r="C51" t="s">
        <v>5043</v>
      </c>
      <c r="D51" t="s">
        <v>8401</v>
      </c>
    </row>
    <row r="52" spans="1:4" ht="14.45" x14ac:dyDescent="0.3">
      <c r="A52">
        <v>8449</v>
      </c>
      <c r="B52" t="s">
        <v>10764</v>
      </c>
      <c r="C52" t="s">
        <v>5043</v>
      </c>
      <c r="D52" t="s">
        <v>8401</v>
      </c>
    </row>
    <row r="53" spans="1:4" ht="14.45" x14ac:dyDescent="0.3">
      <c r="A53">
        <v>6865</v>
      </c>
      <c r="B53" t="s">
        <v>10765</v>
      </c>
      <c r="C53" t="s">
        <v>5043</v>
      </c>
      <c r="D53" t="s">
        <v>8401</v>
      </c>
    </row>
    <row r="54" spans="1:4" ht="14.45" x14ac:dyDescent="0.3">
      <c r="A54">
        <v>8086</v>
      </c>
      <c r="B54" t="s">
        <v>10765</v>
      </c>
      <c r="C54" t="s">
        <v>5043</v>
      </c>
      <c r="D54" t="s">
        <v>8401</v>
      </c>
    </row>
    <row r="55" spans="1:4" ht="14.45" x14ac:dyDescent="0.3">
      <c r="A55">
        <v>10798</v>
      </c>
      <c r="B55" t="s">
        <v>10766</v>
      </c>
      <c r="C55" t="s">
        <v>5043</v>
      </c>
      <c r="D55" t="s">
        <v>8401</v>
      </c>
    </row>
    <row r="56" spans="1:4" ht="14.45" x14ac:dyDescent="0.3">
      <c r="A56">
        <v>11043</v>
      </c>
      <c r="B56" t="s">
        <v>10767</v>
      </c>
      <c r="C56" t="s">
        <v>5043</v>
      </c>
      <c r="D56" t="s">
        <v>8401</v>
      </c>
    </row>
    <row r="57" spans="1:4" ht="14.45" x14ac:dyDescent="0.3">
      <c r="A57">
        <v>11772</v>
      </c>
      <c r="B57" t="s">
        <v>10768</v>
      </c>
      <c r="C57" t="s">
        <v>5043</v>
      </c>
      <c r="D57" t="s">
        <v>8401</v>
      </c>
    </row>
    <row r="58" spans="1:4" ht="14.45" x14ac:dyDescent="0.3">
      <c r="A58">
        <v>7519</v>
      </c>
      <c r="B58" t="s">
        <v>9037</v>
      </c>
      <c r="C58" t="s">
        <v>5043</v>
      </c>
      <c r="D58" t="s">
        <v>8401</v>
      </c>
    </row>
    <row r="59" spans="1:4" ht="14.45" x14ac:dyDescent="0.3">
      <c r="A59">
        <v>9090</v>
      </c>
      <c r="B59" t="s">
        <v>9037</v>
      </c>
      <c r="C59" t="s">
        <v>5043</v>
      </c>
      <c r="D59" t="s">
        <v>8401</v>
      </c>
    </row>
    <row r="60" spans="1:4" ht="14.45" x14ac:dyDescent="0.3">
      <c r="A60">
        <v>10964</v>
      </c>
      <c r="B60" t="s">
        <v>10769</v>
      </c>
      <c r="C60" t="s">
        <v>5043</v>
      </c>
      <c r="D60" t="s">
        <v>8401</v>
      </c>
    </row>
    <row r="61" spans="1:4" ht="14.45" x14ac:dyDescent="0.3">
      <c r="A61">
        <v>10637</v>
      </c>
      <c r="B61" t="s">
        <v>10770</v>
      </c>
      <c r="C61" t="s">
        <v>5043</v>
      </c>
      <c r="D61" t="s">
        <v>8401</v>
      </c>
    </row>
    <row r="62" spans="1:4" ht="14.45" x14ac:dyDescent="0.3">
      <c r="A62">
        <v>11111</v>
      </c>
      <c r="B62" t="s">
        <v>10770</v>
      </c>
      <c r="C62" t="s">
        <v>5043</v>
      </c>
      <c r="D62" t="s">
        <v>8401</v>
      </c>
    </row>
    <row r="63" spans="1:4" ht="14.45" x14ac:dyDescent="0.3">
      <c r="A63">
        <v>11420</v>
      </c>
      <c r="B63" t="s">
        <v>10770</v>
      </c>
      <c r="C63" t="s">
        <v>5043</v>
      </c>
      <c r="D63" t="s">
        <v>8401</v>
      </c>
    </row>
    <row r="64" spans="1:4" ht="14.45" x14ac:dyDescent="0.3">
      <c r="A64">
        <v>11512</v>
      </c>
      <c r="B64" t="s">
        <v>10770</v>
      </c>
      <c r="C64" t="s">
        <v>5043</v>
      </c>
      <c r="D64" t="s">
        <v>8401</v>
      </c>
    </row>
    <row r="65" spans="1:4" ht="14.45" x14ac:dyDescent="0.3">
      <c r="A65">
        <v>6713</v>
      </c>
      <c r="B65" t="s">
        <v>10770</v>
      </c>
      <c r="C65" t="s">
        <v>5043</v>
      </c>
      <c r="D65" t="s">
        <v>8401</v>
      </c>
    </row>
    <row r="66" spans="1:4" ht="14.45" x14ac:dyDescent="0.3">
      <c r="A66">
        <v>7231</v>
      </c>
      <c r="B66" t="s">
        <v>10770</v>
      </c>
      <c r="C66" t="s">
        <v>5043</v>
      </c>
      <c r="D66" t="s">
        <v>8401</v>
      </c>
    </row>
    <row r="67" spans="1:4" ht="14.45" x14ac:dyDescent="0.3">
      <c r="A67">
        <v>7409</v>
      </c>
      <c r="B67" t="s">
        <v>10770</v>
      </c>
      <c r="C67" t="s">
        <v>5043</v>
      </c>
      <c r="D67" t="s">
        <v>8401</v>
      </c>
    </row>
    <row r="68" spans="1:4" ht="14.45" x14ac:dyDescent="0.3">
      <c r="A68">
        <v>7691</v>
      </c>
      <c r="B68" t="s">
        <v>10770</v>
      </c>
      <c r="C68" t="s">
        <v>5043</v>
      </c>
      <c r="D68" t="s">
        <v>8401</v>
      </c>
    </row>
    <row r="69" spans="1:4" ht="14.45" x14ac:dyDescent="0.3">
      <c r="A69">
        <v>8414</v>
      </c>
      <c r="B69" t="s">
        <v>10770</v>
      </c>
      <c r="C69" t="s">
        <v>5043</v>
      </c>
      <c r="D69" t="s">
        <v>8401</v>
      </c>
    </row>
    <row r="70" spans="1:4" ht="14.45" x14ac:dyDescent="0.3">
      <c r="A70">
        <v>9067</v>
      </c>
      <c r="B70" t="s">
        <v>10770</v>
      </c>
      <c r="C70" t="s">
        <v>5043</v>
      </c>
      <c r="D70" t="s">
        <v>8401</v>
      </c>
    </row>
    <row r="71" spans="1:4" ht="14.45" x14ac:dyDescent="0.3">
      <c r="A71">
        <v>9140</v>
      </c>
      <c r="B71" t="s">
        <v>10770</v>
      </c>
      <c r="C71" t="s">
        <v>5043</v>
      </c>
      <c r="D71" t="s">
        <v>8401</v>
      </c>
    </row>
    <row r="72" spans="1:4" ht="14.45" x14ac:dyDescent="0.3">
      <c r="A72">
        <v>9599</v>
      </c>
      <c r="B72" t="s">
        <v>10770</v>
      </c>
      <c r="C72" t="s">
        <v>5043</v>
      </c>
      <c r="D72" t="s">
        <v>8401</v>
      </c>
    </row>
    <row r="73" spans="1:4" ht="14.45" x14ac:dyDescent="0.3">
      <c r="A73">
        <v>9621</v>
      </c>
      <c r="B73" t="s">
        <v>10770</v>
      </c>
      <c r="C73" t="s">
        <v>5043</v>
      </c>
      <c r="D73" t="s">
        <v>8401</v>
      </c>
    </row>
    <row r="74" spans="1:4" ht="14.45" x14ac:dyDescent="0.3">
      <c r="A74">
        <v>9919</v>
      </c>
      <c r="B74" t="s">
        <v>10770</v>
      </c>
      <c r="C74" t="s">
        <v>5043</v>
      </c>
      <c r="D74" t="s">
        <v>8401</v>
      </c>
    </row>
    <row r="75" spans="1:4" ht="14.45" x14ac:dyDescent="0.3">
      <c r="A75">
        <v>8115</v>
      </c>
      <c r="B75" t="s">
        <v>10771</v>
      </c>
      <c r="C75" t="s">
        <v>5043</v>
      </c>
      <c r="D75" t="s">
        <v>8401</v>
      </c>
    </row>
    <row r="76" spans="1:4" ht="14.45" x14ac:dyDescent="0.3">
      <c r="A76">
        <v>10686</v>
      </c>
      <c r="B76" t="s">
        <v>10772</v>
      </c>
      <c r="C76" t="s">
        <v>5043</v>
      </c>
      <c r="D76" t="s">
        <v>8401</v>
      </c>
    </row>
    <row r="77" spans="1:4" ht="14.45" x14ac:dyDescent="0.3">
      <c r="A77">
        <v>8467</v>
      </c>
      <c r="B77" t="s">
        <v>10773</v>
      </c>
      <c r="C77" t="s">
        <v>5043</v>
      </c>
      <c r="D77" t="s">
        <v>8401</v>
      </c>
    </row>
    <row r="78" spans="1:4" ht="14.45" x14ac:dyDescent="0.3">
      <c r="A78">
        <v>11800</v>
      </c>
      <c r="B78" t="s">
        <v>10774</v>
      </c>
      <c r="C78" t="s">
        <v>5043</v>
      </c>
      <c r="D78" t="s">
        <v>8401</v>
      </c>
    </row>
    <row r="79" spans="1:4" ht="15" x14ac:dyDescent="0.25">
      <c r="A79">
        <v>9294</v>
      </c>
      <c r="B79" t="s">
        <v>10774</v>
      </c>
      <c r="C79" t="s">
        <v>5043</v>
      </c>
      <c r="D79" t="s">
        <v>8401</v>
      </c>
    </row>
    <row r="80" spans="1:4" ht="15" x14ac:dyDescent="0.25">
      <c r="A80">
        <v>7526</v>
      </c>
      <c r="B80" t="s">
        <v>10775</v>
      </c>
      <c r="C80" t="s">
        <v>5043</v>
      </c>
      <c r="D80" t="s">
        <v>8401</v>
      </c>
    </row>
    <row r="81" spans="1:4" ht="15" x14ac:dyDescent="0.25">
      <c r="A81">
        <v>7628</v>
      </c>
      <c r="B81" t="s">
        <v>10775</v>
      </c>
      <c r="C81" t="s">
        <v>5043</v>
      </c>
      <c r="D81" t="s">
        <v>8401</v>
      </c>
    </row>
    <row r="82" spans="1:4" ht="15" x14ac:dyDescent="0.25">
      <c r="A82">
        <v>12033</v>
      </c>
      <c r="B82" t="s">
        <v>10776</v>
      </c>
      <c r="C82" t="s">
        <v>5043</v>
      </c>
      <c r="D82" t="s">
        <v>8401</v>
      </c>
    </row>
    <row r="83" spans="1:4" ht="15" x14ac:dyDescent="0.25">
      <c r="A83">
        <v>7798</v>
      </c>
      <c r="B83" t="s">
        <v>10776</v>
      </c>
      <c r="C83" t="s">
        <v>5043</v>
      </c>
      <c r="D83" t="s">
        <v>8401</v>
      </c>
    </row>
    <row r="84" spans="1:4" ht="15" x14ac:dyDescent="0.25">
      <c r="A84">
        <v>10106</v>
      </c>
      <c r="B84" t="s">
        <v>10777</v>
      </c>
      <c r="C84" t="s">
        <v>5043</v>
      </c>
      <c r="D84" t="s">
        <v>8401</v>
      </c>
    </row>
    <row r="85" spans="1:4" ht="15" x14ac:dyDescent="0.25">
      <c r="A85">
        <v>10904</v>
      </c>
      <c r="B85" t="s">
        <v>10777</v>
      </c>
      <c r="C85" t="s">
        <v>5043</v>
      </c>
      <c r="D85" t="s">
        <v>8401</v>
      </c>
    </row>
    <row r="86" spans="1:4" ht="15" x14ac:dyDescent="0.25">
      <c r="A86">
        <v>7607</v>
      </c>
      <c r="B86" t="s">
        <v>10778</v>
      </c>
      <c r="C86" t="s">
        <v>5043</v>
      </c>
      <c r="D86" t="s">
        <v>8401</v>
      </c>
    </row>
    <row r="87" spans="1:4" ht="15" x14ac:dyDescent="0.25">
      <c r="A87">
        <v>7684</v>
      </c>
      <c r="B87" t="s">
        <v>10778</v>
      </c>
      <c r="C87" t="s">
        <v>5043</v>
      </c>
      <c r="D87" t="s">
        <v>8401</v>
      </c>
    </row>
    <row r="88" spans="1:4" ht="15" x14ac:dyDescent="0.25">
      <c r="A88">
        <v>8133</v>
      </c>
      <c r="B88" t="s">
        <v>10779</v>
      </c>
      <c r="C88" t="s">
        <v>5043</v>
      </c>
      <c r="D88" t="s">
        <v>8401</v>
      </c>
    </row>
    <row r="89" spans="1:4" ht="15" x14ac:dyDescent="0.25">
      <c r="A89">
        <v>9229</v>
      </c>
      <c r="B89" t="s">
        <v>10779</v>
      </c>
      <c r="C89" t="s">
        <v>5043</v>
      </c>
      <c r="D89" t="s">
        <v>8401</v>
      </c>
    </row>
    <row r="90" spans="1:4" ht="15" x14ac:dyDescent="0.25">
      <c r="A90">
        <v>7882</v>
      </c>
      <c r="B90" t="s">
        <v>10780</v>
      </c>
      <c r="C90" t="s">
        <v>5043</v>
      </c>
      <c r="D90" t="s">
        <v>8401</v>
      </c>
    </row>
    <row r="91" spans="1:4" ht="15" x14ac:dyDescent="0.25">
      <c r="A91">
        <v>9070</v>
      </c>
      <c r="B91" t="s">
        <v>10781</v>
      </c>
      <c r="C91" t="s">
        <v>5043</v>
      </c>
      <c r="D91" t="s">
        <v>8401</v>
      </c>
    </row>
    <row r="92" spans="1:4" ht="15" x14ac:dyDescent="0.25">
      <c r="A92">
        <v>6714</v>
      </c>
      <c r="B92" t="s">
        <v>10782</v>
      </c>
      <c r="C92" t="s">
        <v>5043</v>
      </c>
      <c r="D92" t="s">
        <v>8401</v>
      </c>
    </row>
    <row r="93" spans="1:4" ht="15" x14ac:dyDescent="0.25">
      <c r="A93">
        <v>9802</v>
      </c>
      <c r="B93" t="s">
        <v>10782</v>
      </c>
      <c r="C93" t="s">
        <v>5043</v>
      </c>
      <c r="D93" t="s">
        <v>8401</v>
      </c>
    </row>
    <row r="94" spans="1:4" ht="15" x14ac:dyDescent="0.25">
      <c r="A94">
        <v>8421</v>
      </c>
      <c r="B94" t="s">
        <v>10783</v>
      </c>
      <c r="C94" t="s">
        <v>5043</v>
      </c>
      <c r="D94" t="s">
        <v>8401</v>
      </c>
    </row>
    <row r="95" spans="1:4" ht="15" x14ac:dyDescent="0.25">
      <c r="A95">
        <v>8942</v>
      </c>
      <c r="B95" t="s">
        <v>10784</v>
      </c>
      <c r="C95" t="s">
        <v>5043</v>
      </c>
      <c r="D95" t="s">
        <v>8401</v>
      </c>
    </row>
    <row r="96" spans="1:4" ht="15" x14ac:dyDescent="0.25">
      <c r="A96">
        <v>11190</v>
      </c>
      <c r="B96" t="s">
        <v>10785</v>
      </c>
      <c r="C96" t="s">
        <v>5043</v>
      </c>
      <c r="D96" t="s">
        <v>8401</v>
      </c>
    </row>
    <row r="97" spans="1:4" ht="15" x14ac:dyDescent="0.25">
      <c r="A97">
        <v>7256</v>
      </c>
      <c r="B97" t="s">
        <v>10785</v>
      </c>
      <c r="C97" t="s">
        <v>5043</v>
      </c>
      <c r="D97" t="s">
        <v>8401</v>
      </c>
    </row>
    <row r="98" spans="1:4" ht="15" x14ac:dyDescent="0.25">
      <c r="A98">
        <v>7800</v>
      </c>
      <c r="B98" t="s">
        <v>10785</v>
      </c>
      <c r="C98" t="s">
        <v>5043</v>
      </c>
      <c r="D98" t="s">
        <v>8401</v>
      </c>
    </row>
    <row r="99" spans="1:4" ht="15" x14ac:dyDescent="0.25">
      <c r="A99">
        <v>7879</v>
      </c>
      <c r="B99" t="s">
        <v>10785</v>
      </c>
      <c r="C99" t="s">
        <v>5043</v>
      </c>
      <c r="D99" t="s">
        <v>8401</v>
      </c>
    </row>
    <row r="100" spans="1:4" ht="15" x14ac:dyDescent="0.25">
      <c r="A100">
        <v>8966</v>
      </c>
      <c r="B100" t="s">
        <v>10785</v>
      </c>
      <c r="C100" t="s">
        <v>5043</v>
      </c>
      <c r="D100" t="s">
        <v>8401</v>
      </c>
    </row>
    <row r="101" spans="1:4" ht="15" x14ac:dyDescent="0.25">
      <c r="A101">
        <v>9111</v>
      </c>
      <c r="B101" t="s">
        <v>10785</v>
      </c>
      <c r="C101" t="s">
        <v>5043</v>
      </c>
      <c r="D101" t="s">
        <v>8401</v>
      </c>
    </row>
    <row r="102" spans="1:4" ht="15" x14ac:dyDescent="0.25">
      <c r="A102">
        <v>7177</v>
      </c>
      <c r="B102" t="s">
        <v>10786</v>
      </c>
      <c r="C102" t="s">
        <v>5043</v>
      </c>
      <c r="D102" t="s">
        <v>8401</v>
      </c>
    </row>
    <row r="103" spans="1:4" ht="15" x14ac:dyDescent="0.25">
      <c r="A103">
        <v>9931</v>
      </c>
      <c r="B103" t="s">
        <v>10786</v>
      </c>
      <c r="C103" t="s">
        <v>5043</v>
      </c>
      <c r="D103" t="s">
        <v>8401</v>
      </c>
    </row>
    <row r="104" spans="1:4" ht="15" x14ac:dyDescent="0.25">
      <c r="A104">
        <v>10316</v>
      </c>
      <c r="B104" t="s">
        <v>10787</v>
      </c>
      <c r="C104" t="s">
        <v>5043</v>
      </c>
      <c r="D104" t="s">
        <v>8401</v>
      </c>
    </row>
    <row r="105" spans="1:4" ht="15" x14ac:dyDescent="0.25">
      <c r="A105">
        <v>10793</v>
      </c>
      <c r="B105" t="s">
        <v>10787</v>
      </c>
      <c r="C105" t="s">
        <v>5043</v>
      </c>
      <c r="D105" t="s">
        <v>8401</v>
      </c>
    </row>
    <row r="106" spans="1:4" ht="15" x14ac:dyDescent="0.25">
      <c r="A106">
        <v>10840</v>
      </c>
      <c r="B106" t="s">
        <v>10787</v>
      </c>
      <c r="C106" t="s">
        <v>5043</v>
      </c>
      <c r="D106" t="s">
        <v>8401</v>
      </c>
    </row>
    <row r="107" spans="1:4" ht="15" x14ac:dyDescent="0.25">
      <c r="A107">
        <v>11116</v>
      </c>
      <c r="B107" t="s">
        <v>10787</v>
      </c>
      <c r="C107" t="s">
        <v>5043</v>
      </c>
      <c r="D107" t="s">
        <v>8401</v>
      </c>
    </row>
    <row r="108" spans="1:4" ht="15" x14ac:dyDescent="0.25">
      <c r="A108">
        <v>11470</v>
      </c>
      <c r="B108" t="s">
        <v>10787</v>
      </c>
      <c r="C108" t="s">
        <v>5043</v>
      </c>
      <c r="D108" t="s">
        <v>8401</v>
      </c>
    </row>
    <row r="109" spans="1:4" ht="15" x14ac:dyDescent="0.25">
      <c r="A109">
        <v>11669</v>
      </c>
      <c r="B109" t="s">
        <v>10787</v>
      </c>
      <c r="C109" t="s">
        <v>5043</v>
      </c>
      <c r="D109" t="s">
        <v>8401</v>
      </c>
    </row>
    <row r="110" spans="1:4" ht="15" x14ac:dyDescent="0.25">
      <c r="A110">
        <v>11708</v>
      </c>
      <c r="B110" t="s">
        <v>10787</v>
      </c>
      <c r="C110" t="s">
        <v>5043</v>
      </c>
      <c r="D110" t="s">
        <v>8401</v>
      </c>
    </row>
    <row r="111" spans="1:4" ht="15" x14ac:dyDescent="0.25">
      <c r="A111">
        <v>11938</v>
      </c>
      <c r="B111" t="s">
        <v>10787</v>
      </c>
      <c r="C111" t="s">
        <v>5043</v>
      </c>
      <c r="D111" t="s">
        <v>8401</v>
      </c>
    </row>
    <row r="112" spans="1:4" ht="15" x14ac:dyDescent="0.25">
      <c r="A112">
        <v>7215</v>
      </c>
      <c r="B112" t="s">
        <v>10787</v>
      </c>
      <c r="C112" t="s">
        <v>5043</v>
      </c>
      <c r="D112" t="s">
        <v>8401</v>
      </c>
    </row>
    <row r="113" spans="1:4" ht="15" x14ac:dyDescent="0.25">
      <c r="A113">
        <v>7321</v>
      </c>
      <c r="B113" t="s">
        <v>10787</v>
      </c>
      <c r="C113" t="s">
        <v>5043</v>
      </c>
      <c r="D113" t="s">
        <v>8401</v>
      </c>
    </row>
    <row r="114" spans="1:4" ht="15" x14ac:dyDescent="0.25">
      <c r="A114">
        <v>8549</v>
      </c>
      <c r="B114" t="s">
        <v>10787</v>
      </c>
      <c r="C114" t="s">
        <v>5043</v>
      </c>
      <c r="D114" t="s">
        <v>8401</v>
      </c>
    </row>
    <row r="115" spans="1:4" ht="15" x14ac:dyDescent="0.25">
      <c r="A115">
        <v>9172</v>
      </c>
      <c r="B115" t="s">
        <v>10787</v>
      </c>
      <c r="C115" t="s">
        <v>5043</v>
      </c>
      <c r="D115" t="s">
        <v>8401</v>
      </c>
    </row>
    <row r="116" spans="1:4" ht="15" x14ac:dyDescent="0.25">
      <c r="A116">
        <v>9192</v>
      </c>
      <c r="B116" t="s">
        <v>10787</v>
      </c>
      <c r="C116" t="s">
        <v>5043</v>
      </c>
      <c r="D116" t="s">
        <v>8401</v>
      </c>
    </row>
    <row r="117" spans="1:4" ht="15" x14ac:dyDescent="0.25">
      <c r="A117">
        <v>9254</v>
      </c>
      <c r="B117" t="s">
        <v>10787</v>
      </c>
      <c r="C117" t="s">
        <v>5043</v>
      </c>
      <c r="D117" t="s">
        <v>8401</v>
      </c>
    </row>
    <row r="118" spans="1:4" ht="15" x14ac:dyDescent="0.25">
      <c r="A118">
        <v>9398</v>
      </c>
      <c r="B118" t="s">
        <v>10787</v>
      </c>
      <c r="C118" t="s">
        <v>5043</v>
      </c>
      <c r="D118" t="s">
        <v>8401</v>
      </c>
    </row>
    <row r="119" spans="1:4" ht="15" x14ac:dyDescent="0.25">
      <c r="A119">
        <v>9675</v>
      </c>
      <c r="B119" t="s">
        <v>10787</v>
      </c>
      <c r="C119" t="s">
        <v>5043</v>
      </c>
      <c r="D119" t="s">
        <v>8401</v>
      </c>
    </row>
    <row r="120" spans="1:4" ht="15" x14ac:dyDescent="0.25">
      <c r="A120">
        <v>9806</v>
      </c>
      <c r="B120" t="s">
        <v>10787</v>
      </c>
      <c r="C120" t="s">
        <v>5043</v>
      </c>
      <c r="D120" t="s">
        <v>8401</v>
      </c>
    </row>
    <row r="121" spans="1:4" ht="15" x14ac:dyDescent="0.25">
      <c r="A121">
        <v>9971</v>
      </c>
      <c r="B121" t="s">
        <v>10787</v>
      </c>
      <c r="C121" t="s">
        <v>5043</v>
      </c>
      <c r="D121" t="s">
        <v>8401</v>
      </c>
    </row>
    <row r="122" spans="1:4" ht="15" x14ac:dyDescent="0.25">
      <c r="A122">
        <v>10092</v>
      </c>
      <c r="B122" t="s">
        <v>10788</v>
      </c>
      <c r="C122" t="s">
        <v>5043</v>
      </c>
      <c r="D122" t="s">
        <v>8401</v>
      </c>
    </row>
    <row r="123" spans="1:4" ht="15" x14ac:dyDescent="0.25">
      <c r="A123">
        <v>10108</v>
      </c>
      <c r="B123" t="s">
        <v>10788</v>
      </c>
      <c r="C123" t="s">
        <v>5043</v>
      </c>
      <c r="D123" t="s">
        <v>8401</v>
      </c>
    </row>
    <row r="124" spans="1:4" ht="15" x14ac:dyDescent="0.25">
      <c r="A124">
        <v>8891</v>
      </c>
      <c r="B124" t="s">
        <v>10788</v>
      </c>
      <c r="C124" t="s">
        <v>5043</v>
      </c>
      <c r="D124" t="s">
        <v>8401</v>
      </c>
    </row>
    <row r="125" spans="1:4" ht="15" x14ac:dyDescent="0.25">
      <c r="A125">
        <v>9826</v>
      </c>
      <c r="B125" t="s">
        <v>10788</v>
      </c>
      <c r="C125" t="s">
        <v>5043</v>
      </c>
      <c r="D125" t="s">
        <v>8401</v>
      </c>
    </row>
    <row r="126" spans="1:4" ht="15" x14ac:dyDescent="0.25">
      <c r="A126">
        <v>251354</v>
      </c>
      <c r="B126" t="s">
        <v>11573</v>
      </c>
      <c r="C126" t="s">
        <v>5043</v>
      </c>
      <c r="D126" t="s">
        <v>8401</v>
      </c>
    </row>
    <row r="127" spans="1:4" ht="15" x14ac:dyDescent="0.25">
      <c r="A127">
        <v>11569</v>
      </c>
      <c r="B127" t="s">
        <v>10789</v>
      </c>
      <c r="C127" t="s">
        <v>5043</v>
      </c>
      <c r="D127" t="s">
        <v>8401</v>
      </c>
    </row>
    <row r="128" spans="1:4" ht="15" x14ac:dyDescent="0.25">
      <c r="A128">
        <v>8772</v>
      </c>
      <c r="B128" t="s">
        <v>10790</v>
      </c>
      <c r="C128" t="s">
        <v>5043</v>
      </c>
      <c r="D128" t="s">
        <v>8401</v>
      </c>
    </row>
    <row r="129" spans="1:4" ht="15" x14ac:dyDescent="0.25">
      <c r="A129">
        <v>9267</v>
      </c>
      <c r="B129" t="s">
        <v>10790</v>
      </c>
      <c r="C129" t="s">
        <v>5043</v>
      </c>
      <c r="D129" t="s">
        <v>8401</v>
      </c>
    </row>
    <row r="130" spans="1:4" ht="15" x14ac:dyDescent="0.25">
      <c r="A130">
        <v>8151</v>
      </c>
      <c r="B130" t="s">
        <v>10791</v>
      </c>
      <c r="C130" t="s">
        <v>5043</v>
      </c>
      <c r="D130" t="s">
        <v>8401</v>
      </c>
    </row>
    <row r="131" spans="1:4" ht="15" x14ac:dyDescent="0.25">
      <c r="A131">
        <v>11028</v>
      </c>
      <c r="B131" t="s">
        <v>10792</v>
      </c>
      <c r="C131" t="s">
        <v>5043</v>
      </c>
      <c r="D131" t="s">
        <v>8401</v>
      </c>
    </row>
    <row r="132" spans="1:4" ht="15" x14ac:dyDescent="0.25">
      <c r="A132">
        <v>6710</v>
      </c>
      <c r="B132" t="s">
        <v>10793</v>
      </c>
      <c r="C132" t="s">
        <v>5043</v>
      </c>
      <c r="D132" t="s">
        <v>8401</v>
      </c>
    </row>
    <row r="133" spans="1:4" ht="15" x14ac:dyDescent="0.25">
      <c r="A133">
        <v>8065</v>
      </c>
      <c r="B133" t="s">
        <v>10793</v>
      </c>
      <c r="C133" t="s">
        <v>5043</v>
      </c>
      <c r="D133" t="s">
        <v>8401</v>
      </c>
    </row>
    <row r="134" spans="1:4" ht="15" x14ac:dyDescent="0.25">
      <c r="A134">
        <v>7710</v>
      </c>
      <c r="B134" t="s">
        <v>10794</v>
      </c>
      <c r="C134" t="s">
        <v>5043</v>
      </c>
      <c r="D134" t="s">
        <v>8401</v>
      </c>
    </row>
    <row r="135" spans="1:4" ht="15" x14ac:dyDescent="0.25">
      <c r="A135">
        <v>9712</v>
      </c>
      <c r="B135" t="s">
        <v>10795</v>
      </c>
      <c r="C135" t="s">
        <v>5043</v>
      </c>
      <c r="D135" t="s">
        <v>8401</v>
      </c>
    </row>
    <row r="136" spans="1:4" ht="15" x14ac:dyDescent="0.25">
      <c r="A136">
        <v>10396</v>
      </c>
      <c r="B136" t="s">
        <v>10796</v>
      </c>
      <c r="C136" t="s">
        <v>5043</v>
      </c>
      <c r="D136" t="s">
        <v>8401</v>
      </c>
    </row>
    <row r="137" spans="1:4" ht="15" x14ac:dyDescent="0.25">
      <c r="A137">
        <v>9367</v>
      </c>
      <c r="B137" t="s">
        <v>10796</v>
      </c>
      <c r="C137" t="s">
        <v>5043</v>
      </c>
      <c r="D137" t="s">
        <v>8401</v>
      </c>
    </row>
    <row r="138" spans="1:4" ht="15" x14ac:dyDescent="0.25">
      <c r="A138">
        <v>9680</v>
      </c>
      <c r="B138" t="s">
        <v>10796</v>
      </c>
      <c r="C138" t="s">
        <v>5043</v>
      </c>
      <c r="D138" t="s">
        <v>8401</v>
      </c>
    </row>
    <row r="139" spans="1:4" ht="15" x14ac:dyDescent="0.25">
      <c r="A139">
        <v>7071</v>
      </c>
      <c r="B139" t="s">
        <v>10797</v>
      </c>
      <c r="C139" t="s">
        <v>5043</v>
      </c>
      <c r="D139" t="s">
        <v>8401</v>
      </c>
    </row>
    <row r="140" spans="1:4" ht="15" x14ac:dyDescent="0.25">
      <c r="A140">
        <v>11058</v>
      </c>
      <c r="B140" t="s">
        <v>10798</v>
      </c>
      <c r="C140" t="s">
        <v>5043</v>
      </c>
      <c r="D140" t="s">
        <v>8401</v>
      </c>
    </row>
    <row r="141" spans="1:4" ht="15" x14ac:dyDescent="0.25">
      <c r="A141">
        <v>8730</v>
      </c>
      <c r="B141" t="s">
        <v>10798</v>
      </c>
      <c r="C141" t="s">
        <v>5043</v>
      </c>
      <c r="D141" t="s">
        <v>8401</v>
      </c>
    </row>
    <row r="142" spans="1:4" ht="15" x14ac:dyDescent="0.25">
      <c r="A142">
        <v>10005</v>
      </c>
      <c r="B142" t="s">
        <v>10799</v>
      </c>
      <c r="C142" t="s">
        <v>5043</v>
      </c>
      <c r="D142" t="s">
        <v>8401</v>
      </c>
    </row>
    <row r="143" spans="1:4" ht="15" x14ac:dyDescent="0.25">
      <c r="A143">
        <v>10008</v>
      </c>
      <c r="B143" t="s">
        <v>10799</v>
      </c>
      <c r="C143" t="s">
        <v>5043</v>
      </c>
      <c r="D143" t="s">
        <v>8401</v>
      </c>
    </row>
    <row r="144" spans="1:4" ht="15" x14ac:dyDescent="0.25">
      <c r="A144">
        <v>10012</v>
      </c>
      <c r="B144" t="s">
        <v>10799</v>
      </c>
      <c r="C144" t="s">
        <v>5043</v>
      </c>
      <c r="D144" t="s">
        <v>8401</v>
      </c>
    </row>
    <row r="145" spans="1:4" ht="15" x14ac:dyDescent="0.25">
      <c r="A145">
        <v>10013</v>
      </c>
      <c r="B145" t="s">
        <v>10799</v>
      </c>
      <c r="C145" t="s">
        <v>5043</v>
      </c>
      <c r="D145" t="s">
        <v>8401</v>
      </c>
    </row>
    <row r="146" spans="1:4" ht="15" x14ac:dyDescent="0.25">
      <c r="A146">
        <v>10014</v>
      </c>
      <c r="B146" t="s">
        <v>10799</v>
      </c>
      <c r="C146" t="s">
        <v>5043</v>
      </c>
      <c r="D146" t="s">
        <v>8401</v>
      </c>
    </row>
    <row r="147" spans="1:4" ht="15" x14ac:dyDescent="0.25">
      <c r="A147">
        <v>10016</v>
      </c>
      <c r="B147" t="s">
        <v>10799</v>
      </c>
      <c r="C147" t="s">
        <v>5043</v>
      </c>
      <c r="D147" t="s">
        <v>8401</v>
      </c>
    </row>
    <row r="148" spans="1:4" ht="15" x14ac:dyDescent="0.25">
      <c r="A148">
        <v>10020</v>
      </c>
      <c r="B148" t="s">
        <v>10799</v>
      </c>
      <c r="C148" t="s">
        <v>5043</v>
      </c>
      <c r="D148" t="s">
        <v>8401</v>
      </c>
    </row>
    <row r="149" spans="1:4" ht="15" x14ac:dyDescent="0.25">
      <c r="A149">
        <v>10022</v>
      </c>
      <c r="B149" t="s">
        <v>10799</v>
      </c>
      <c r="C149" t="s">
        <v>5043</v>
      </c>
      <c r="D149" t="s">
        <v>8401</v>
      </c>
    </row>
    <row r="150" spans="1:4" ht="15" x14ac:dyDescent="0.25">
      <c r="A150">
        <v>10023</v>
      </c>
      <c r="B150" t="s">
        <v>10799</v>
      </c>
      <c r="C150" t="s">
        <v>5043</v>
      </c>
      <c r="D150" t="s">
        <v>8401</v>
      </c>
    </row>
    <row r="151" spans="1:4" ht="15" x14ac:dyDescent="0.25">
      <c r="A151">
        <v>10026</v>
      </c>
      <c r="B151" t="s">
        <v>10799</v>
      </c>
      <c r="C151" t="s">
        <v>5043</v>
      </c>
      <c r="D151" t="s">
        <v>8401</v>
      </c>
    </row>
    <row r="152" spans="1:4" ht="15" x14ac:dyDescent="0.25">
      <c r="A152">
        <v>10028</v>
      </c>
      <c r="B152" t="s">
        <v>10799</v>
      </c>
      <c r="C152" t="s">
        <v>5043</v>
      </c>
      <c r="D152" t="s">
        <v>8401</v>
      </c>
    </row>
    <row r="153" spans="1:4" ht="15" x14ac:dyDescent="0.25">
      <c r="A153">
        <v>10032</v>
      </c>
      <c r="B153" t="s">
        <v>10799</v>
      </c>
      <c r="C153" t="s">
        <v>5043</v>
      </c>
      <c r="D153" t="s">
        <v>8401</v>
      </c>
    </row>
    <row r="154" spans="1:4" ht="15" x14ac:dyDescent="0.25">
      <c r="A154">
        <v>10042</v>
      </c>
      <c r="B154" t="s">
        <v>10799</v>
      </c>
      <c r="C154" t="s">
        <v>5043</v>
      </c>
      <c r="D154" t="s">
        <v>8401</v>
      </c>
    </row>
    <row r="155" spans="1:4" ht="15" x14ac:dyDescent="0.25">
      <c r="A155">
        <v>10044</v>
      </c>
      <c r="B155" t="s">
        <v>10799</v>
      </c>
      <c r="C155" t="s">
        <v>5043</v>
      </c>
      <c r="D155" t="s">
        <v>8401</v>
      </c>
    </row>
    <row r="156" spans="1:4" ht="15" x14ac:dyDescent="0.25">
      <c r="A156">
        <v>10052</v>
      </c>
      <c r="B156" t="s">
        <v>10799</v>
      </c>
      <c r="C156" t="s">
        <v>5043</v>
      </c>
      <c r="D156" t="s">
        <v>8401</v>
      </c>
    </row>
    <row r="157" spans="1:4" ht="15" x14ac:dyDescent="0.25">
      <c r="A157">
        <v>10068</v>
      </c>
      <c r="B157" t="s">
        <v>10799</v>
      </c>
      <c r="C157" t="s">
        <v>5043</v>
      </c>
      <c r="D157" t="s">
        <v>8401</v>
      </c>
    </row>
    <row r="158" spans="1:4" ht="15" x14ac:dyDescent="0.25">
      <c r="A158">
        <v>10070</v>
      </c>
      <c r="B158" t="s">
        <v>10799</v>
      </c>
      <c r="C158" t="s">
        <v>5043</v>
      </c>
      <c r="D158" t="s">
        <v>8401</v>
      </c>
    </row>
    <row r="159" spans="1:4" ht="15" x14ac:dyDescent="0.25">
      <c r="A159">
        <v>10073</v>
      </c>
      <c r="B159" t="s">
        <v>10799</v>
      </c>
      <c r="C159" t="s">
        <v>5043</v>
      </c>
      <c r="D159" t="s">
        <v>8401</v>
      </c>
    </row>
    <row r="160" spans="1:4" ht="15" x14ac:dyDescent="0.25">
      <c r="A160">
        <v>10074</v>
      </c>
      <c r="B160" t="s">
        <v>10799</v>
      </c>
      <c r="C160" t="s">
        <v>5043</v>
      </c>
      <c r="D160" t="s">
        <v>8401</v>
      </c>
    </row>
    <row r="161" spans="1:4" ht="15" x14ac:dyDescent="0.25">
      <c r="A161">
        <v>10075</v>
      </c>
      <c r="B161" t="s">
        <v>10799</v>
      </c>
      <c r="C161" t="s">
        <v>5043</v>
      </c>
      <c r="D161" t="s">
        <v>8401</v>
      </c>
    </row>
    <row r="162" spans="1:4" ht="15" x14ac:dyDescent="0.25">
      <c r="A162">
        <v>10086</v>
      </c>
      <c r="B162" t="s">
        <v>10799</v>
      </c>
      <c r="C162" t="s">
        <v>5043</v>
      </c>
      <c r="D162" t="s">
        <v>8401</v>
      </c>
    </row>
    <row r="163" spans="1:4" ht="15" x14ac:dyDescent="0.25">
      <c r="A163">
        <v>10091</v>
      </c>
      <c r="B163" t="s">
        <v>10799</v>
      </c>
      <c r="C163" t="s">
        <v>5043</v>
      </c>
      <c r="D163" t="s">
        <v>8401</v>
      </c>
    </row>
    <row r="164" spans="1:4" ht="15" x14ac:dyDescent="0.25">
      <c r="A164">
        <v>10102</v>
      </c>
      <c r="B164" t="s">
        <v>10799</v>
      </c>
      <c r="C164" t="s">
        <v>5043</v>
      </c>
      <c r="D164" t="s">
        <v>8401</v>
      </c>
    </row>
    <row r="165" spans="1:4" ht="15" x14ac:dyDescent="0.25">
      <c r="A165">
        <v>10110</v>
      </c>
      <c r="B165" t="s">
        <v>10799</v>
      </c>
      <c r="C165" t="s">
        <v>5043</v>
      </c>
      <c r="D165" t="s">
        <v>8401</v>
      </c>
    </row>
    <row r="166" spans="1:4" ht="15" x14ac:dyDescent="0.25">
      <c r="A166">
        <v>10113</v>
      </c>
      <c r="B166" t="s">
        <v>10799</v>
      </c>
      <c r="C166" t="s">
        <v>5043</v>
      </c>
      <c r="D166" t="s">
        <v>8401</v>
      </c>
    </row>
    <row r="167" spans="1:4" ht="15" x14ac:dyDescent="0.25">
      <c r="A167">
        <v>10115</v>
      </c>
      <c r="B167" t="s">
        <v>10799</v>
      </c>
      <c r="C167" t="s">
        <v>5043</v>
      </c>
      <c r="D167" t="s">
        <v>8401</v>
      </c>
    </row>
    <row r="168" spans="1:4" ht="15" x14ac:dyDescent="0.25">
      <c r="A168">
        <v>10116</v>
      </c>
      <c r="B168" t="s">
        <v>10799</v>
      </c>
      <c r="C168" t="s">
        <v>5043</v>
      </c>
      <c r="D168" t="s">
        <v>8401</v>
      </c>
    </row>
    <row r="169" spans="1:4" ht="15" x14ac:dyDescent="0.25">
      <c r="A169">
        <v>10123</v>
      </c>
      <c r="B169" t="s">
        <v>10799</v>
      </c>
      <c r="C169" t="s">
        <v>5043</v>
      </c>
      <c r="D169" t="s">
        <v>8401</v>
      </c>
    </row>
    <row r="170" spans="1:4" ht="15" x14ac:dyDescent="0.25">
      <c r="A170">
        <v>10124</v>
      </c>
      <c r="B170" t="s">
        <v>10799</v>
      </c>
      <c r="C170" t="s">
        <v>5043</v>
      </c>
      <c r="D170" t="s">
        <v>8401</v>
      </c>
    </row>
    <row r="171" spans="1:4" ht="15" x14ac:dyDescent="0.25">
      <c r="A171">
        <v>10130</v>
      </c>
      <c r="B171" t="s">
        <v>10799</v>
      </c>
      <c r="C171" t="s">
        <v>5043</v>
      </c>
      <c r="D171" t="s">
        <v>8401</v>
      </c>
    </row>
    <row r="172" spans="1:4" ht="15" x14ac:dyDescent="0.25">
      <c r="A172">
        <v>10132</v>
      </c>
      <c r="B172" t="s">
        <v>10799</v>
      </c>
      <c r="C172" t="s">
        <v>5043</v>
      </c>
      <c r="D172" t="s">
        <v>8401</v>
      </c>
    </row>
    <row r="173" spans="1:4" ht="15" x14ac:dyDescent="0.25">
      <c r="A173">
        <v>10135</v>
      </c>
      <c r="B173" t="s">
        <v>10799</v>
      </c>
      <c r="C173" t="s">
        <v>5043</v>
      </c>
      <c r="D173" t="s">
        <v>8401</v>
      </c>
    </row>
    <row r="174" spans="1:4" ht="15" x14ac:dyDescent="0.25">
      <c r="A174">
        <v>10141</v>
      </c>
      <c r="B174" t="s">
        <v>10799</v>
      </c>
      <c r="C174" t="s">
        <v>5043</v>
      </c>
      <c r="D174" t="s">
        <v>8401</v>
      </c>
    </row>
    <row r="175" spans="1:4" ht="15" x14ac:dyDescent="0.25">
      <c r="A175">
        <v>10142</v>
      </c>
      <c r="B175" t="s">
        <v>10799</v>
      </c>
      <c r="C175" t="s">
        <v>5043</v>
      </c>
      <c r="D175" t="s">
        <v>8401</v>
      </c>
    </row>
    <row r="176" spans="1:4" ht="15" x14ac:dyDescent="0.25">
      <c r="A176">
        <v>10148</v>
      </c>
      <c r="B176" t="s">
        <v>10799</v>
      </c>
      <c r="C176" t="s">
        <v>5043</v>
      </c>
      <c r="D176" t="s">
        <v>8401</v>
      </c>
    </row>
    <row r="177" spans="1:4" ht="15" x14ac:dyDescent="0.25">
      <c r="A177">
        <v>10156</v>
      </c>
      <c r="B177" t="s">
        <v>10799</v>
      </c>
      <c r="C177" t="s">
        <v>5043</v>
      </c>
      <c r="D177" t="s">
        <v>8401</v>
      </c>
    </row>
    <row r="178" spans="1:4" ht="15" x14ac:dyDescent="0.25">
      <c r="A178">
        <v>10157</v>
      </c>
      <c r="B178" t="s">
        <v>10799</v>
      </c>
      <c r="C178" t="s">
        <v>5043</v>
      </c>
      <c r="D178" t="s">
        <v>8401</v>
      </c>
    </row>
    <row r="179" spans="1:4" ht="15" x14ac:dyDescent="0.25">
      <c r="A179">
        <v>10159</v>
      </c>
      <c r="B179" t="s">
        <v>10799</v>
      </c>
      <c r="C179" t="s">
        <v>5043</v>
      </c>
      <c r="D179" t="s">
        <v>8401</v>
      </c>
    </row>
    <row r="180" spans="1:4" ht="15" x14ac:dyDescent="0.25">
      <c r="A180">
        <v>10166</v>
      </c>
      <c r="B180" t="s">
        <v>10799</v>
      </c>
      <c r="C180" t="s">
        <v>5043</v>
      </c>
      <c r="D180" t="s">
        <v>8401</v>
      </c>
    </row>
    <row r="181" spans="1:4" ht="15" x14ac:dyDescent="0.25">
      <c r="A181">
        <v>10171</v>
      </c>
      <c r="B181" t="s">
        <v>10799</v>
      </c>
      <c r="C181" t="s">
        <v>5043</v>
      </c>
      <c r="D181" t="s">
        <v>8401</v>
      </c>
    </row>
    <row r="182" spans="1:4" ht="15" x14ac:dyDescent="0.25">
      <c r="A182">
        <v>10179</v>
      </c>
      <c r="B182" t="s">
        <v>10799</v>
      </c>
      <c r="C182" t="s">
        <v>5043</v>
      </c>
      <c r="D182" t="s">
        <v>8401</v>
      </c>
    </row>
    <row r="183" spans="1:4" ht="15" x14ac:dyDescent="0.25">
      <c r="A183">
        <v>10188</v>
      </c>
      <c r="B183" t="s">
        <v>10799</v>
      </c>
      <c r="C183" t="s">
        <v>5043</v>
      </c>
      <c r="D183" t="s">
        <v>8401</v>
      </c>
    </row>
    <row r="184" spans="1:4" ht="15" x14ac:dyDescent="0.25">
      <c r="A184">
        <v>10191</v>
      </c>
      <c r="B184" t="s">
        <v>10799</v>
      </c>
      <c r="C184" t="s">
        <v>5043</v>
      </c>
      <c r="D184" t="s">
        <v>8401</v>
      </c>
    </row>
    <row r="185" spans="1:4" ht="15" x14ac:dyDescent="0.25">
      <c r="A185">
        <v>10192</v>
      </c>
      <c r="B185" t="s">
        <v>10799</v>
      </c>
      <c r="C185" t="s">
        <v>5043</v>
      </c>
      <c r="D185" t="s">
        <v>8401</v>
      </c>
    </row>
    <row r="186" spans="1:4" ht="15" x14ac:dyDescent="0.25">
      <c r="A186">
        <v>10193</v>
      </c>
      <c r="B186" t="s">
        <v>10799</v>
      </c>
      <c r="C186" t="s">
        <v>5043</v>
      </c>
      <c r="D186" t="s">
        <v>8401</v>
      </c>
    </row>
    <row r="187" spans="1:4" ht="15" x14ac:dyDescent="0.25">
      <c r="A187">
        <v>10199</v>
      </c>
      <c r="B187" t="s">
        <v>10799</v>
      </c>
      <c r="C187" t="s">
        <v>5043</v>
      </c>
      <c r="D187" t="s">
        <v>8401</v>
      </c>
    </row>
    <row r="188" spans="1:4" ht="15" x14ac:dyDescent="0.25">
      <c r="A188">
        <v>10208</v>
      </c>
      <c r="B188" t="s">
        <v>10799</v>
      </c>
      <c r="C188" t="s">
        <v>5043</v>
      </c>
      <c r="D188" t="s">
        <v>8401</v>
      </c>
    </row>
    <row r="189" spans="1:4" ht="15" x14ac:dyDescent="0.25">
      <c r="A189">
        <v>10210</v>
      </c>
      <c r="B189" t="s">
        <v>10799</v>
      </c>
      <c r="C189" t="s">
        <v>5043</v>
      </c>
      <c r="D189" t="s">
        <v>8401</v>
      </c>
    </row>
    <row r="190" spans="1:4" ht="15" x14ac:dyDescent="0.25">
      <c r="A190">
        <v>10220</v>
      </c>
      <c r="B190" t="s">
        <v>10799</v>
      </c>
      <c r="C190" t="s">
        <v>5043</v>
      </c>
      <c r="D190" t="s">
        <v>8401</v>
      </c>
    </row>
    <row r="191" spans="1:4" ht="15" x14ac:dyDescent="0.25">
      <c r="A191">
        <v>10221</v>
      </c>
      <c r="B191" t="s">
        <v>10799</v>
      </c>
      <c r="C191" t="s">
        <v>5043</v>
      </c>
      <c r="D191" t="s">
        <v>8401</v>
      </c>
    </row>
    <row r="192" spans="1:4" ht="15" x14ac:dyDescent="0.25">
      <c r="A192">
        <v>10226</v>
      </c>
      <c r="B192" t="s">
        <v>10799</v>
      </c>
      <c r="C192" t="s">
        <v>5043</v>
      </c>
      <c r="D192" t="s">
        <v>8401</v>
      </c>
    </row>
    <row r="193" spans="1:4" ht="15" x14ac:dyDescent="0.25">
      <c r="A193">
        <v>10232</v>
      </c>
      <c r="B193" t="s">
        <v>10799</v>
      </c>
      <c r="C193" t="s">
        <v>5043</v>
      </c>
      <c r="D193" t="s">
        <v>8401</v>
      </c>
    </row>
    <row r="194" spans="1:4" ht="15" x14ac:dyDescent="0.25">
      <c r="A194">
        <v>10239</v>
      </c>
      <c r="B194" t="s">
        <v>10799</v>
      </c>
      <c r="C194" t="s">
        <v>5043</v>
      </c>
      <c r="D194" t="s">
        <v>8401</v>
      </c>
    </row>
    <row r="195" spans="1:4" ht="15" x14ac:dyDescent="0.25">
      <c r="A195">
        <v>10241</v>
      </c>
      <c r="B195" t="s">
        <v>10799</v>
      </c>
      <c r="C195" t="s">
        <v>5043</v>
      </c>
      <c r="D195" t="s">
        <v>8401</v>
      </c>
    </row>
    <row r="196" spans="1:4" ht="15" x14ac:dyDescent="0.25">
      <c r="A196">
        <v>10243</v>
      </c>
      <c r="B196" t="s">
        <v>10799</v>
      </c>
      <c r="C196" t="s">
        <v>5043</v>
      </c>
      <c r="D196" t="s">
        <v>8401</v>
      </c>
    </row>
    <row r="197" spans="1:4" ht="15" x14ac:dyDescent="0.25">
      <c r="A197">
        <v>10249</v>
      </c>
      <c r="B197" t="s">
        <v>10799</v>
      </c>
      <c r="C197" t="s">
        <v>5043</v>
      </c>
      <c r="D197" t="s">
        <v>8401</v>
      </c>
    </row>
    <row r="198" spans="1:4" ht="15" x14ac:dyDescent="0.25">
      <c r="A198">
        <v>10253</v>
      </c>
      <c r="B198" t="s">
        <v>10799</v>
      </c>
      <c r="C198" t="s">
        <v>5043</v>
      </c>
      <c r="D198" t="s">
        <v>8401</v>
      </c>
    </row>
    <row r="199" spans="1:4" ht="15" x14ac:dyDescent="0.25">
      <c r="A199">
        <v>10262</v>
      </c>
      <c r="B199" t="s">
        <v>10799</v>
      </c>
      <c r="C199" t="s">
        <v>5043</v>
      </c>
      <c r="D199" t="s">
        <v>8401</v>
      </c>
    </row>
    <row r="200" spans="1:4" ht="15" x14ac:dyDescent="0.25">
      <c r="A200">
        <v>10268</v>
      </c>
      <c r="B200" t="s">
        <v>10799</v>
      </c>
      <c r="C200" t="s">
        <v>5043</v>
      </c>
      <c r="D200" t="s">
        <v>8401</v>
      </c>
    </row>
    <row r="201" spans="1:4" ht="15" x14ac:dyDescent="0.25">
      <c r="A201">
        <v>10274</v>
      </c>
      <c r="B201" t="s">
        <v>10799</v>
      </c>
      <c r="C201" t="s">
        <v>5043</v>
      </c>
      <c r="D201" t="s">
        <v>8401</v>
      </c>
    </row>
    <row r="202" spans="1:4" ht="15" x14ac:dyDescent="0.25">
      <c r="A202">
        <v>10281</v>
      </c>
      <c r="B202" t="s">
        <v>10799</v>
      </c>
      <c r="C202" t="s">
        <v>5043</v>
      </c>
      <c r="D202" t="s">
        <v>8401</v>
      </c>
    </row>
    <row r="203" spans="1:4" ht="15" x14ac:dyDescent="0.25">
      <c r="A203">
        <v>10293</v>
      </c>
      <c r="B203" t="s">
        <v>10799</v>
      </c>
      <c r="C203" t="s">
        <v>5043</v>
      </c>
      <c r="D203" t="s">
        <v>8401</v>
      </c>
    </row>
    <row r="204" spans="1:4" ht="15" x14ac:dyDescent="0.25">
      <c r="A204">
        <v>10294</v>
      </c>
      <c r="B204" t="s">
        <v>10799</v>
      </c>
      <c r="C204" t="s">
        <v>5043</v>
      </c>
      <c r="D204" t="s">
        <v>8401</v>
      </c>
    </row>
    <row r="205" spans="1:4" ht="15" x14ac:dyDescent="0.25">
      <c r="A205">
        <v>10298</v>
      </c>
      <c r="B205" t="s">
        <v>10799</v>
      </c>
      <c r="C205" t="s">
        <v>5043</v>
      </c>
      <c r="D205" t="s">
        <v>8401</v>
      </c>
    </row>
    <row r="206" spans="1:4" ht="15" x14ac:dyDescent="0.25">
      <c r="A206">
        <v>10299</v>
      </c>
      <c r="B206" t="s">
        <v>10799</v>
      </c>
      <c r="C206" t="s">
        <v>5043</v>
      </c>
      <c r="D206" t="s">
        <v>8401</v>
      </c>
    </row>
    <row r="207" spans="1:4" ht="15" x14ac:dyDescent="0.25">
      <c r="A207">
        <v>10302</v>
      </c>
      <c r="B207" t="s">
        <v>10799</v>
      </c>
      <c r="C207" t="s">
        <v>5043</v>
      </c>
      <c r="D207" t="s">
        <v>8401</v>
      </c>
    </row>
    <row r="208" spans="1:4" ht="15" x14ac:dyDescent="0.25">
      <c r="A208">
        <v>10323</v>
      </c>
      <c r="B208" t="s">
        <v>10799</v>
      </c>
      <c r="C208" t="s">
        <v>5043</v>
      </c>
      <c r="D208" t="s">
        <v>8401</v>
      </c>
    </row>
    <row r="209" spans="1:4" ht="15" x14ac:dyDescent="0.25">
      <c r="A209">
        <v>10332</v>
      </c>
      <c r="B209" t="s">
        <v>10799</v>
      </c>
      <c r="C209" t="s">
        <v>5043</v>
      </c>
      <c r="D209" t="s">
        <v>8401</v>
      </c>
    </row>
    <row r="210" spans="1:4" ht="15" x14ac:dyDescent="0.25">
      <c r="A210">
        <v>10335</v>
      </c>
      <c r="B210" t="s">
        <v>10799</v>
      </c>
      <c r="C210" t="s">
        <v>5043</v>
      </c>
      <c r="D210" t="s">
        <v>8401</v>
      </c>
    </row>
    <row r="211" spans="1:4" ht="15" x14ac:dyDescent="0.25">
      <c r="A211">
        <v>10336</v>
      </c>
      <c r="B211" t="s">
        <v>10799</v>
      </c>
      <c r="C211" t="s">
        <v>5043</v>
      </c>
      <c r="D211" t="s">
        <v>8401</v>
      </c>
    </row>
    <row r="212" spans="1:4" ht="15" x14ac:dyDescent="0.25">
      <c r="A212">
        <v>10337</v>
      </c>
      <c r="B212" t="s">
        <v>10799</v>
      </c>
      <c r="C212" t="s">
        <v>5043</v>
      </c>
      <c r="D212" t="s">
        <v>8401</v>
      </c>
    </row>
    <row r="213" spans="1:4" ht="15" x14ac:dyDescent="0.25">
      <c r="A213">
        <v>10340</v>
      </c>
      <c r="B213" t="s">
        <v>10799</v>
      </c>
      <c r="C213" t="s">
        <v>5043</v>
      </c>
      <c r="D213" t="s">
        <v>8401</v>
      </c>
    </row>
    <row r="214" spans="1:4" ht="15" x14ac:dyDescent="0.25">
      <c r="A214">
        <v>10343</v>
      </c>
      <c r="B214" t="s">
        <v>10799</v>
      </c>
      <c r="C214" t="s">
        <v>5043</v>
      </c>
      <c r="D214" t="s">
        <v>8401</v>
      </c>
    </row>
    <row r="215" spans="1:4" ht="15" x14ac:dyDescent="0.25">
      <c r="A215">
        <v>10344</v>
      </c>
      <c r="B215" t="s">
        <v>10799</v>
      </c>
      <c r="C215" t="s">
        <v>5043</v>
      </c>
      <c r="D215" t="s">
        <v>8401</v>
      </c>
    </row>
    <row r="216" spans="1:4" ht="15" x14ac:dyDescent="0.25">
      <c r="A216">
        <v>10352</v>
      </c>
      <c r="B216" t="s">
        <v>10799</v>
      </c>
      <c r="C216" t="s">
        <v>5043</v>
      </c>
      <c r="D216" t="s">
        <v>8401</v>
      </c>
    </row>
    <row r="217" spans="1:4" ht="15" x14ac:dyDescent="0.25">
      <c r="A217">
        <v>10356</v>
      </c>
      <c r="B217" t="s">
        <v>10799</v>
      </c>
      <c r="C217" t="s">
        <v>5043</v>
      </c>
      <c r="D217" t="s">
        <v>8401</v>
      </c>
    </row>
    <row r="218" spans="1:4" ht="15" x14ac:dyDescent="0.25">
      <c r="A218">
        <v>10358</v>
      </c>
      <c r="B218" t="s">
        <v>10799</v>
      </c>
      <c r="C218" t="s">
        <v>5043</v>
      </c>
      <c r="D218" t="s">
        <v>8401</v>
      </c>
    </row>
    <row r="219" spans="1:4" ht="15" x14ac:dyDescent="0.25">
      <c r="A219">
        <v>10359</v>
      </c>
      <c r="B219" t="s">
        <v>10799</v>
      </c>
      <c r="C219" t="s">
        <v>5043</v>
      </c>
      <c r="D219" t="s">
        <v>8401</v>
      </c>
    </row>
    <row r="220" spans="1:4" ht="15" x14ac:dyDescent="0.25">
      <c r="A220">
        <v>10360</v>
      </c>
      <c r="B220" t="s">
        <v>10799</v>
      </c>
      <c r="C220" t="s">
        <v>5043</v>
      </c>
      <c r="D220" t="s">
        <v>8401</v>
      </c>
    </row>
    <row r="221" spans="1:4" ht="15" x14ac:dyDescent="0.25">
      <c r="A221">
        <v>10363</v>
      </c>
      <c r="B221" t="s">
        <v>10799</v>
      </c>
      <c r="C221" t="s">
        <v>5043</v>
      </c>
      <c r="D221" t="s">
        <v>8401</v>
      </c>
    </row>
    <row r="222" spans="1:4" ht="15" x14ac:dyDescent="0.25">
      <c r="A222">
        <v>10368</v>
      </c>
      <c r="B222" t="s">
        <v>10799</v>
      </c>
      <c r="C222" t="s">
        <v>5043</v>
      </c>
      <c r="D222" t="s">
        <v>8401</v>
      </c>
    </row>
    <row r="223" spans="1:4" ht="15" x14ac:dyDescent="0.25">
      <c r="A223">
        <v>10377</v>
      </c>
      <c r="B223" t="s">
        <v>10799</v>
      </c>
      <c r="C223" t="s">
        <v>5043</v>
      </c>
      <c r="D223" t="s">
        <v>8401</v>
      </c>
    </row>
    <row r="224" spans="1:4" ht="15" x14ac:dyDescent="0.25">
      <c r="A224">
        <v>10378</v>
      </c>
      <c r="B224" t="s">
        <v>10799</v>
      </c>
      <c r="C224" t="s">
        <v>5043</v>
      </c>
      <c r="D224" t="s">
        <v>8401</v>
      </c>
    </row>
    <row r="225" spans="1:4" ht="15" x14ac:dyDescent="0.25">
      <c r="A225">
        <v>10379</v>
      </c>
      <c r="B225" t="s">
        <v>10799</v>
      </c>
      <c r="C225" t="s">
        <v>5043</v>
      </c>
      <c r="D225" t="s">
        <v>8401</v>
      </c>
    </row>
    <row r="226" spans="1:4" ht="15" x14ac:dyDescent="0.25">
      <c r="A226">
        <v>10381</v>
      </c>
      <c r="B226" t="s">
        <v>10799</v>
      </c>
      <c r="C226" t="s">
        <v>5043</v>
      </c>
      <c r="D226" t="s">
        <v>8401</v>
      </c>
    </row>
    <row r="227" spans="1:4" ht="15" x14ac:dyDescent="0.25">
      <c r="A227">
        <v>10389</v>
      </c>
      <c r="B227" t="s">
        <v>10799</v>
      </c>
      <c r="C227" t="s">
        <v>5043</v>
      </c>
      <c r="D227" t="s">
        <v>8401</v>
      </c>
    </row>
    <row r="228" spans="1:4" ht="15" x14ac:dyDescent="0.25">
      <c r="A228">
        <v>10401</v>
      </c>
      <c r="B228" t="s">
        <v>10799</v>
      </c>
      <c r="C228" t="s">
        <v>5043</v>
      </c>
      <c r="D228" t="s">
        <v>8401</v>
      </c>
    </row>
    <row r="229" spans="1:4" ht="15" x14ac:dyDescent="0.25">
      <c r="A229">
        <v>10402</v>
      </c>
      <c r="B229" t="s">
        <v>10799</v>
      </c>
      <c r="C229" t="s">
        <v>5043</v>
      </c>
      <c r="D229" t="s">
        <v>8401</v>
      </c>
    </row>
    <row r="230" spans="1:4" ht="15" x14ac:dyDescent="0.25">
      <c r="A230">
        <v>10403</v>
      </c>
      <c r="B230" t="s">
        <v>10799</v>
      </c>
      <c r="C230" t="s">
        <v>5043</v>
      </c>
      <c r="D230" t="s">
        <v>8401</v>
      </c>
    </row>
    <row r="231" spans="1:4" ht="15" x14ac:dyDescent="0.25">
      <c r="A231">
        <v>10407</v>
      </c>
      <c r="B231" t="s">
        <v>10799</v>
      </c>
      <c r="C231" t="s">
        <v>5043</v>
      </c>
      <c r="D231" t="s">
        <v>8401</v>
      </c>
    </row>
    <row r="232" spans="1:4" ht="15" x14ac:dyDescent="0.25">
      <c r="A232">
        <v>10410</v>
      </c>
      <c r="B232" t="s">
        <v>10799</v>
      </c>
      <c r="C232" t="s">
        <v>5043</v>
      </c>
      <c r="D232" t="s">
        <v>8401</v>
      </c>
    </row>
    <row r="233" spans="1:4" ht="15" x14ac:dyDescent="0.25">
      <c r="A233">
        <v>10417</v>
      </c>
      <c r="B233" t="s">
        <v>10799</v>
      </c>
      <c r="C233" t="s">
        <v>5043</v>
      </c>
      <c r="D233" t="s">
        <v>8401</v>
      </c>
    </row>
    <row r="234" spans="1:4" ht="15" x14ac:dyDescent="0.25">
      <c r="A234">
        <v>10423</v>
      </c>
      <c r="B234" t="s">
        <v>10799</v>
      </c>
      <c r="C234" t="s">
        <v>5043</v>
      </c>
      <c r="D234" t="s">
        <v>8401</v>
      </c>
    </row>
    <row r="235" spans="1:4" ht="15" x14ac:dyDescent="0.25">
      <c r="A235">
        <v>10426</v>
      </c>
      <c r="B235" t="s">
        <v>10799</v>
      </c>
      <c r="C235" t="s">
        <v>5043</v>
      </c>
      <c r="D235" t="s">
        <v>8401</v>
      </c>
    </row>
    <row r="236" spans="1:4" ht="15" x14ac:dyDescent="0.25">
      <c r="A236">
        <v>10429</v>
      </c>
      <c r="B236" t="s">
        <v>10799</v>
      </c>
      <c r="C236" t="s">
        <v>5043</v>
      </c>
      <c r="D236" t="s">
        <v>8401</v>
      </c>
    </row>
    <row r="237" spans="1:4" ht="15" x14ac:dyDescent="0.25">
      <c r="A237">
        <v>10432</v>
      </c>
      <c r="B237" t="s">
        <v>10799</v>
      </c>
      <c r="C237" t="s">
        <v>5043</v>
      </c>
      <c r="D237" t="s">
        <v>8401</v>
      </c>
    </row>
    <row r="238" spans="1:4" ht="15" x14ac:dyDescent="0.25">
      <c r="A238">
        <v>10433</v>
      </c>
      <c r="B238" t="s">
        <v>10799</v>
      </c>
      <c r="C238" t="s">
        <v>5043</v>
      </c>
      <c r="D238" t="s">
        <v>8401</v>
      </c>
    </row>
    <row r="239" spans="1:4" ht="15" x14ac:dyDescent="0.25">
      <c r="A239">
        <v>10445</v>
      </c>
      <c r="B239" t="s">
        <v>10799</v>
      </c>
      <c r="C239" t="s">
        <v>5043</v>
      </c>
      <c r="D239" t="s">
        <v>8401</v>
      </c>
    </row>
    <row r="240" spans="1:4" ht="15" x14ac:dyDescent="0.25">
      <c r="A240">
        <v>10451</v>
      </c>
      <c r="B240" t="s">
        <v>10799</v>
      </c>
      <c r="C240" t="s">
        <v>5043</v>
      </c>
      <c r="D240" t="s">
        <v>8401</v>
      </c>
    </row>
    <row r="241" spans="1:4" ht="15" x14ac:dyDescent="0.25">
      <c r="A241">
        <v>10452</v>
      </c>
      <c r="B241" t="s">
        <v>10799</v>
      </c>
      <c r="C241" t="s">
        <v>5043</v>
      </c>
      <c r="D241" t="s">
        <v>8401</v>
      </c>
    </row>
    <row r="242" spans="1:4" ht="15" x14ac:dyDescent="0.25">
      <c r="A242">
        <v>10453</v>
      </c>
      <c r="B242" t="s">
        <v>10799</v>
      </c>
      <c r="C242" t="s">
        <v>5043</v>
      </c>
      <c r="D242" t="s">
        <v>8401</v>
      </c>
    </row>
    <row r="243" spans="1:4" ht="15" x14ac:dyDescent="0.25">
      <c r="A243">
        <v>10456</v>
      </c>
      <c r="B243" t="s">
        <v>10799</v>
      </c>
      <c r="C243" t="s">
        <v>5043</v>
      </c>
      <c r="D243" t="s">
        <v>8401</v>
      </c>
    </row>
    <row r="244" spans="1:4" ht="15" x14ac:dyDescent="0.25">
      <c r="A244">
        <v>10458</v>
      </c>
      <c r="B244" t="s">
        <v>10799</v>
      </c>
      <c r="C244" t="s">
        <v>5043</v>
      </c>
      <c r="D244" t="s">
        <v>8401</v>
      </c>
    </row>
    <row r="245" spans="1:4" ht="15" x14ac:dyDescent="0.25">
      <c r="A245">
        <v>10463</v>
      </c>
      <c r="B245" t="s">
        <v>10799</v>
      </c>
      <c r="C245" t="s">
        <v>5043</v>
      </c>
      <c r="D245" t="s">
        <v>8401</v>
      </c>
    </row>
    <row r="246" spans="1:4" ht="15" x14ac:dyDescent="0.25">
      <c r="A246">
        <v>10469</v>
      </c>
      <c r="B246" t="s">
        <v>10799</v>
      </c>
      <c r="C246" t="s">
        <v>5043</v>
      </c>
      <c r="D246" t="s">
        <v>8401</v>
      </c>
    </row>
    <row r="247" spans="1:4" ht="15" x14ac:dyDescent="0.25">
      <c r="A247">
        <v>10470</v>
      </c>
      <c r="B247" t="s">
        <v>10799</v>
      </c>
      <c r="C247" t="s">
        <v>5043</v>
      </c>
      <c r="D247" t="s">
        <v>8401</v>
      </c>
    </row>
    <row r="248" spans="1:4" ht="15" x14ac:dyDescent="0.25">
      <c r="A248">
        <v>10474</v>
      </c>
      <c r="B248" t="s">
        <v>10799</v>
      </c>
      <c r="C248" t="s">
        <v>5043</v>
      </c>
      <c r="D248" t="s">
        <v>8401</v>
      </c>
    </row>
    <row r="249" spans="1:4" ht="15" x14ac:dyDescent="0.25">
      <c r="A249">
        <v>10476</v>
      </c>
      <c r="B249" t="s">
        <v>10799</v>
      </c>
      <c r="C249" t="s">
        <v>5043</v>
      </c>
      <c r="D249" t="s">
        <v>8401</v>
      </c>
    </row>
    <row r="250" spans="1:4" ht="15" x14ac:dyDescent="0.25">
      <c r="A250">
        <v>10477</v>
      </c>
      <c r="B250" t="s">
        <v>10799</v>
      </c>
      <c r="C250" t="s">
        <v>5043</v>
      </c>
      <c r="D250" t="s">
        <v>8401</v>
      </c>
    </row>
    <row r="251" spans="1:4" ht="15" x14ac:dyDescent="0.25">
      <c r="A251">
        <v>10490</v>
      </c>
      <c r="B251" t="s">
        <v>10799</v>
      </c>
      <c r="C251" t="s">
        <v>5043</v>
      </c>
      <c r="D251" t="s">
        <v>8401</v>
      </c>
    </row>
    <row r="252" spans="1:4" ht="15" x14ac:dyDescent="0.25">
      <c r="A252">
        <v>10498</v>
      </c>
      <c r="B252" t="s">
        <v>10799</v>
      </c>
      <c r="C252" t="s">
        <v>5043</v>
      </c>
      <c r="D252" t="s">
        <v>8401</v>
      </c>
    </row>
    <row r="253" spans="1:4" ht="15" x14ac:dyDescent="0.25">
      <c r="A253">
        <v>10500</v>
      </c>
      <c r="B253" t="s">
        <v>10799</v>
      </c>
      <c r="C253" t="s">
        <v>5043</v>
      </c>
      <c r="D253" t="s">
        <v>8401</v>
      </c>
    </row>
    <row r="254" spans="1:4" ht="15" x14ac:dyDescent="0.25">
      <c r="A254">
        <v>10502</v>
      </c>
      <c r="B254" t="s">
        <v>10799</v>
      </c>
      <c r="C254" t="s">
        <v>5043</v>
      </c>
      <c r="D254" t="s">
        <v>8401</v>
      </c>
    </row>
    <row r="255" spans="1:4" ht="15" x14ac:dyDescent="0.25">
      <c r="A255">
        <v>10508</v>
      </c>
      <c r="B255" t="s">
        <v>10799</v>
      </c>
      <c r="C255" t="s">
        <v>5043</v>
      </c>
      <c r="D255" t="s">
        <v>8401</v>
      </c>
    </row>
    <row r="256" spans="1:4" ht="15" x14ac:dyDescent="0.25">
      <c r="A256">
        <v>10509</v>
      </c>
      <c r="B256" t="s">
        <v>10799</v>
      </c>
      <c r="C256" t="s">
        <v>5043</v>
      </c>
      <c r="D256" t="s">
        <v>8401</v>
      </c>
    </row>
    <row r="257" spans="1:4" ht="15" x14ac:dyDescent="0.25">
      <c r="A257">
        <v>10510</v>
      </c>
      <c r="B257" t="s">
        <v>10799</v>
      </c>
      <c r="C257" t="s">
        <v>5043</v>
      </c>
      <c r="D257" t="s">
        <v>8401</v>
      </c>
    </row>
    <row r="258" spans="1:4" ht="15" x14ac:dyDescent="0.25">
      <c r="A258">
        <v>10514</v>
      </c>
      <c r="B258" t="s">
        <v>10799</v>
      </c>
      <c r="C258" t="s">
        <v>5043</v>
      </c>
      <c r="D258" t="s">
        <v>8401</v>
      </c>
    </row>
    <row r="259" spans="1:4" ht="15" x14ac:dyDescent="0.25">
      <c r="A259">
        <v>10515</v>
      </c>
      <c r="B259" t="s">
        <v>10799</v>
      </c>
      <c r="C259" t="s">
        <v>5043</v>
      </c>
      <c r="D259" t="s">
        <v>8401</v>
      </c>
    </row>
    <row r="260" spans="1:4" ht="15" x14ac:dyDescent="0.25">
      <c r="A260">
        <v>10516</v>
      </c>
      <c r="B260" t="s">
        <v>10799</v>
      </c>
      <c r="C260" t="s">
        <v>5043</v>
      </c>
      <c r="D260" t="s">
        <v>8401</v>
      </c>
    </row>
    <row r="261" spans="1:4" ht="15" x14ac:dyDescent="0.25">
      <c r="A261">
        <v>10517</v>
      </c>
      <c r="B261" t="s">
        <v>10799</v>
      </c>
      <c r="C261" t="s">
        <v>5043</v>
      </c>
      <c r="D261" t="s">
        <v>8401</v>
      </c>
    </row>
    <row r="262" spans="1:4" ht="15" x14ac:dyDescent="0.25">
      <c r="A262">
        <v>10518</v>
      </c>
      <c r="B262" t="s">
        <v>10799</v>
      </c>
      <c r="C262" t="s">
        <v>5043</v>
      </c>
      <c r="D262" t="s">
        <v>8401</v>
      </c>
    </row>
    <row r="263" spans="1:4" ht="15" x14ac:dyDescent="0.25">
      <c r="A263">
        <v>10520</v>
      </c>
      <c r="B263" t="s">
        <v>10799</v>
      </c>
      <c r="C263" t="s">
        <v>5043</v>
      </c>
      <c r="D263" t="s">
        <v>8401</v>
      </c>
    </row>
    <row r="264" spans="1:4" ht="15" x14ac:dyDescent="0.25">
      <c r="A264">
        <v>10521</v>
      </c>
      <c r="B264" t="s">
        <v>10799</v>
      </c>
      <c r="C264" t="s">
        <v>5043</v>
      </c>
      <c r="D264" t="s">
        <v>8401</v>
      </c>
    </row>
    <row r="265" spans="1:4" ht="15" x14ac:dyDescent="0.25">
      <c r="A265">
        <v>10525</v>
      </c>
      <c r="B265" t="s">
        <v>10799</v>
      </c>
      <c r="C265" t="s">
        <v>5043</v>
      </c>
      <c r="D265" t="s">
        <v>8401</v>
      </c>
    </row>
    <row r="266" spans="1:4" ht="15" x14ac:dyDescent="0.25">
      <c r="A266">
        <v>10526</v>
      </c>
      <c r="B266" t="s">
        <v>10799</v>
      </c>
      <c r="C266" t="s">
        <v>5043</v>
      </c>
      <c r="D266" t="s">
        <v>8401</v>
      </c>
    </row>
    <row r="267" spans="1:4" ht="15" x14ac:dyDescent="0.25">
      <c r="A267">
        <v>10531</v>
      </c>
      <c r="B267" t="s">
        <v>10799</v>
      </c>
      <c r="C267" t="s">
        <v>5043</v>
      </c>
      <c r="D267" t="s">
        <v>8401</v>
      </c>
    </row>
    <row r="268" spans="1:4" ht="15" x14ac:dyDescent="0.25">
      <c r="A268">
        <v>10552</v>
      </c>
      <c r="B268" t="s">
        <v>10799</v>
      </c>
      <c r="C268" t="s">
        <v>5043</v>
      </c>
      <c r="D268" t="s">
        <v>8401</v>
      </c>
    </row>
    <row r="269" spans="1:4" ht="15" x14ac:dyDescent="0.25">
      <c r="A269">
        <v>10556</v>
      </c>
      <c r="B269" t="s">
        <v>10799</v>
      </c>
      <c r="C269" t="s">
        <v>5043</v>
      </c>
      <c r="D269" t="s">
        <v>8401</v>
      </c>
    </row>
    <row r="270" spans="1:4" ht="15" x14ac:dyDescent="0.25">
      <c r="A270">
        <v>10559</v>
      </c>
      <c r="B270" t="s">
        <v>10799</v>
      </c>
      <c r="C270" t="s">
        <v>5043</v>
      </c>
      <c r="D270" t="s">
        <v>8401</v>
      </c>
    </row>
    <row r="271" spans="1:4" ht="15" x14ac:dyDescent="0.25">
      <c r="A271">
        <v>10560</v>
      </c>
      <c r="B271" t="s">
        <v>10799</v>
      </c>
      <c r="C271" t="s">
        <v>5043</v>
      </c>
      <c r="D271" t="s">
        <v>8401</v>
      </c>
    </row>
    <row r="272" spans="1:4" ht="15" x14ac:dyDescent="0.25">
      <c r="A272">
        <v>10563</v>
      </c>
      <c r="B272" t="s">
        <v>10799</v>
      </c>
      <c r="C272" t="s">
        <v>5043</v>
      </c>
      <c r="D272" t="s">
        <v>8401</v>
      </c>
    </row>
    <row r="273" spans="1:4" ht="15" x14ac:dyDescent="0.25">
      <c r="A273">
        <v>10565</v>
      </c>
      <c r="B273" t="s">
        <v>10799</v>
      </c>
      <c r="C273" t="s">
        <v>5043</v>
      </c>
      <c r="D273" t="s">
        <v>8401</v>
      </c>
    </row>
    <row r="274" spans="1:4" ht="15" x14ac:dyDescent="0.25">
      <c r="A274">
        <v>10571</v>
      </c>
      <c r="B274" t="s">
        <v>10799</v>
      </c>
      <c r="C274" t="s">
        <v>5043</v>
      </c>
      <c r="D274" t="s">
        <v>8401</v>
      </c>
    </row>
    <row r="275" spans="1:4" ht="15" x14ac:dyDescent="0.25">
      <c r="A275">
        <v>10573</v>
      </c>
      <c r="B275" t="s">
        <v>10799</v>
      </c>
      <c r="C275" t="s">
        <v>5043</v>
      </c>
      <c r="D275" t="s">
        <v>8401</v>
      </c>
    </row>
    <row r="276" spans="1:4" ht="15" x14ac:dyDescent="0.25">
      <c r="A276">
        <v>10574</v>
      </c>
      <c r="B276" t="s">
        <v>10799</v>
      </c>
      <c r="C276" t="s">
        <v>5043</v>
      </c>
      <c r="D276" t="s">
        <v>8401</v>
      </c>
    </row>
    <row r="277" spans="1:4" ht="15" x14ac:dyDescent="0.25">
      <c r="A277">
        <v>10575</v>
      </c>
      <c r="B277" t="s">
        <v>10799</v>
      </c>
      <c r="C277" t="s">
        <v>5043</v>
      </c>
      <c r="D277" t="s">
        <v>8401</v>
      </c>
    </row>
    <row r="278" spans="1:4" ht="15" x14ac:dyDescent="0.25">
      <c r="A278">
        <v>10578</v>
      </c>
      <c r="B278" t="s">
        <v>10799</v>
      </c>
      <c r="C278" t="s">
        <v>5043</v>
      </c>
      <c r="D278" t="s">
        <v>8401</v>
      </c>
    </row>
    <row r="279" spans="1:4" ht="15" x14ac:dyDescent="0.25">
      <c r="A279">
        <v>10579</v>
      </c>
      <c r="B279" t="s">
        <v>10799</v>
      </c>
      <c r="C279" t="s">
        <v>5043</v>
      </c>
      <c r="D279" t="s">
        <v>8401</v>
      </c>
    </row>
    <row r="280" spans="1:4" ht="15" x14ac:dyDescent="0.25">
      <c r="A280">
        <v>10584</v>
      </c>
      <c r="B280" t="s">
        <v>10799</v>
      </c>
      <c r="C280" t="s">
        <v>5043</v>
      </c>
      <c r="D280" t="s">
        <v>8401</v>
      </c>
    </row>
    <row r="281" spans="1:4" ht="15" x14ac:dyDescent="0.25">
      <c r="A281">
        <v>10599</v>
      </c>
      <c r="B281" t="s">
        <v>10799</v>
      </c>
      <c r="C281" t="s">
        <v>5043</v>
      </c>
      <c r="D281" t="s">
        <v>8401</v>
      </c>
    </row>
    <row r="282" spans="1:4" ht="15" x14ac:dyDescent="0.25">
      <c r="A282">
        <v>10613</v>
      </c>
      <c r="B282" t="s">
        <v>10799</v>
      </c>
      <c r="C282" t="s">
        <v>5043</v>
      </c>
      <c r="D282" t="s">
        <v>8401</v>
      </c>
    </row>
    <row r="283" spans="1:4" ht="15" x14ac:dyDescent="0.25">
      <c r="A283">
        <v>10617</v>
      </c>
      <c r="B283" t="s">
        <v>10799</v>
      </c>
      <c r="C283" t="s">
        <v>5043</v>
      </c>
      <c r="D283" t="s">
        <v>8401</v>
      </c>
    </row>
    <row r="284" spans="1:4" ht="15" x14ac:dyDescent="0.25">
      <c r="A284">
        <v>10632</v>
      </c>
      <c r="B284" t="s">
        <v>10799</v>
      </c>
      <c r="C284" t="s">
        <v>5043</v>
      </c>
      <c r="D284" t="s">
        <v>8401</v>
      </c>
    </row>
    <row r="285" spans="1:4" ht="15" x14ac:dyDescent="0.25">
      <c r="A285">
        <v>10633</v>
      </c>
      <c r="B285" t="s">
        <v>10799</v>
      </c>
      <c r="C285" t="s">
        <v>5043</v>
      </c>
      <c r="D285" t="s">
        <v>8401</v>
      </c>
    </row>
    <row r="286" spans="1:4" ht="15" x14ac:dyDescent="0.25">
      <c r="A286">
        <v>10638</v>
      </c>
      <c r="B286" t="s">
        <v>10799</v>
      </c>
      <c r="C286" t="s">
        <v>5043</v>
      </c>
      <c r="D286" t="s">
        <v>8401</v>
      </c>
    </row>
    <row r="287" spans="1:4" ht="15" x14ac:dyDescent="0.25">
      <c r="A287">
        <v>10639</v>
      </c>
      <c r="B287" t="s">
        <v>10799</v>
      </c>
      <c r="C287" t="s">
        <v>5043</v>
      </c>
      <c r="D287" t="s">
        <v>8401</v>
      </c>
    </row>
    <row r="288" spans="1:4" ht="15" x14ac:dyDescent="0.25">
      <c r="A288">
        <v>10641</v>
      </c>
      <c r="B288" t="s">
        <v>10799</v>
      </c>
      <c r="C288" t="s">
        <v>5043</v>
      </c>
      <c r="D288" t="s">
        <v>8401</v>
      </c>
    </row>
    <row r="289" spans="1:4" ht="15" x14ac:dyDescent="0.25">
      <c r="A289">
        <v>10644</v>
      </c>
      <c r="B289" t="s">
        <v>10799</v>
      </c>
      <c r="C289" t="s">
        <v>5043</v>
      </c>
      <c r="D289" t="s">
        <v>8401</v>
      </c>
    </row>
    <row r="290" spans="1:4" ht="15" x14ac:dyDescent="0.25">
      <c r="A290">
        <v>10646</v>
      </c>
      <c r="B290" t="s">
        <v>10799</v>
      </c>
      <c r="C290" t="s">
        <v>5043</v>
      </c>
      <c r="D290" t="s">
        <v>8401</v>
      </c>
    </row>
    <row r="291" spans="1:4" ht="15" x14ac:dyDescent="0.25">
      <c r="A291">
        <v>10649</v>
      </c>
      <c r="B291" t="s">
        <v>10799</v>
      </c>
      <c r="C291" t="s">
        <v>5043</v>
      </c>
      <c r="D291" t="s">
        <v>8401</v>
      </c>
    </row>
    <row r="292" spans="1:4" ht="15" x14ac:dyDescent="0.25">
      <c r="A292">
        <v>10658</v>
      </c>
      <c r="B292" t="s">
        <v>10799</v>
      </c>
      <c r="C292" t="s">
        <v>5043</v>
      </c>
      <c r="D292" t="s">
        <v>8401</v>
      </c>
    </row>
    <row r="293" spans="1:4" ht="15" x14ac:dyDescent="0.25">
      <c r="A293">
        <v>10662</v>
      </c>
      <c r="B293" t="s">
        <v>10799</v>
      </c>
      <c r="C293" t="s">
        <v>5043</v>
      </c>
      <c r="D293" t="s">
        <v>8401</v>
      </c>
    </row>
    <row r="294" spans="1:4" ht="15" x14ac:dyDescent="0.25">
      <c r="A294">
        <v>10667</v>
      </c>
      <c r="B294" t="s">
        <v>10799</v>
      </c>
      <c r="C294" t="s">
        <v>5043</v>
      </c>
      <c r="D294" t="s">
        <v>8401</v>
      </c>
    </row>
    <row r="295" spans="1:4" ht="15" x14ac:dyDescent="0.25">
      <c r="A295">
        <v>10670</v>
      </c>
      <c r="B295" t="s">
        <v>10799</v>
      </c>
      <c r="C295" t="s">
        <v>5043</v>
      </c>
      <c r="D295" t="s">
        <v>8401</v>
      </c>
    </row>
    <row r="296" spans="1:4" ht="15" x14ac:dyDescent="0.25">
      <c r="A296">
        <v>10672</v>
      </c>
      <c r="B296" t="s">
        <v>10799</v>
      </c>
      <c r="C296" t="s">
        <v>5043</v>
      </c>
      <c r="D296" t="s">
        <v>8401</v>
      </c>
    </row>
    <row r="297" spans="1:4" ht="15" x14ac:dyDescent="0.25">
      <c r="A297">
        <v>10685</v>
      </c>
      <c r="B297" t="s">
        <v>10799</v>
      </c>
      <c r="C297" t="s">
        <v>5043</v>
      </c>
      <c r="D297" t="s">
        <v>8401</v>
      </c>
    </row>
    <row r="298" spans="1:4" ht="15" x14ac:dyDescent="0.25">
      <c r="A298">
        <v>10690</v>
      </c>
      <c r="B298" t="s">
        <v>10799</v>
      </c>
      <c r="C298" t="s">
        <v>5043</v>
      </c>
      <c r="D298" t="s">
        <v>8401</v>
      </c>
    </row>
    <row r="299" spans="1:4" ht="15" x14ac:dyDescent="0.25">
      <c r="A299">
        <v>10691</v>
      </c>
      <c r="B299" t="s">
        <v>10799</v>
      </c>
      <c r="C299" t="s">
        <v>5043</v>
      </c>
      <c r="D299" t="s">
        <v>8401</v>
      </c>
    </row>
    <row r="300" spans="1:4" ht="15" x14ac:dyDescent="0.25">
      <c r="A300">
        <v>10693</v>
      </c>
      <c r="B300" t="s">
        <v>10799</v>
      </c>
      <c r="C300" t="s">
        <v>5043</v>
      </c>
      <c r="D300" t="s">
        <v>8401</v>
      </c>
    </row>
    <row r="301" spans="1:4" ht="15" x14ac:dyDescent="0.25">
      <c r="A301">
        <v>10706</v>
      </c>
      <c r="B301" t="s">
        <v>10799</v>
      </c>
      <c r="C301" t="s">
        <v>5043</v>
      </c>
      <c r="D301" t="s">
        <v>8401</v>
      </c>
    </row>
    <row r="302" spans="1:4" ht="15" x14ac:dyDescent="0.25">
      <c r="A302">
        <v>10719</v>
      </c>
      <c r="B302" t="s">
        <v>10799</v>
      </c>
      <c r="C302" t="s">
        <v>5043</v>
      </c>
      <c r="D302" t="s">
        <v>8401</v>
      </c>
    </row>
    <row r="303" spans="1:4" ht="15" x14ac:dyDescent="0.25">
      <c r="A303">
        <v>10725</v>
      </c>
      <c r="B303" t="s">
        <v>10799</v>
      </c>
      <c r="C303" t="s">
        <v>5043</v>
      </c>
      <c r="D303" t="s">
        <v>8401</v>
      </c>
    </row>
    <row r="304" spans="1:4" ht="15" x14ac:dyDescent="0.25">
      <c r="A304">
        <v>10730</v>
      </c>
      <c r="B304" t="s">
        <v>10799</v>
      </c>
      <c r="C304" t="s">
        <v>5043</v>
      </c>
      <c r="D304" t="s">
        <v>8401</v>
      </c>
    </row>
    <row r="305" spans="1:4" ht="15" x14ac:dyDescent="0.25">
      <c r="A305">
        <v>10738</v>
      </c>
      <c r="B305" t="s">
        <v>10799</v>
      </c>
      <c r="C305" t="s">
        <v>5043</v>
      </c>
      <c r="D305" t="s">
        <v>8401</v>
      </c>
    </row>
    <row r="306" spans="1:4" ht="15" x14ac:dyDescent="0.25">
      <c r="A306">
        <v>10749</v>
      </c>
      <c r="B306" t="s">
        <v>10799</v>
      </c>
      <c r="C306" t="s">
        <v>5043</v>
      </c>
      <c r="D306" t="s">
        <v>8401</v>
      </c>
    </row>
    <row r="307" spans="1:4" ht="15" x14ac:dyDescent="0.25">
      <c r="A307">
        <v>10752</v>
      </c>
      <c r="B307" t="s">
        <v>10799</v>
      </c>
      <c r="C307" t="s">
        <v>5043</v>
      </c>
      <c r="D307" t="s">
        <v>8401</v>
      </c>
    </row>
    <row r="308" spans="1:4" ht="15" x14ac:dyDescent="0.25">
      <c r="A308">
        <v>10758</v>
      </c>
      <c r="B308" t="s">
        <v>10799</v>
      </c>
      <c r="C308" t="s">
        <v>5043</v>
      </c>
      <c r="D308" t="s">
        <v>8401</v>
      </c>
    </row>
    <row r="309" spans="1:4" ht="15" x14ac:dyDescent="0.25">
      <c r="A309">
        <v>10761</v>
      </c>
      <c r="B309" t="s">
        <v>10799</v>
      </c>
      <c r="C309" t="s">
        <v>5043</v>
      </c>
      <c r="D309" t="s">
        <v>8401</v>
      </c>
    </row>
    <row r="310" spans="1:4" ht="15" x14ac:dyDescent="0.25">
      <c r="A310">
        <v>10762</v>
      </c>
      <c r="B310" t="s">
        <v>10799</v>
      </c>
      <c r="C310" t="s">
        <v>5043</v>
      </c>
      <c r="D310" t="s">
        <v>8401</v>
      </c>
    </row>
    <row r="311" spans="1:4" ht="15" x14ac:dyDescent="0.25">
      <c r="A311">
        <v>10763</v>
      </c>
      <c r="B311" t="s">
        <v>10799</v>
      </c>
      <c r="C311" t="s">
        <v>5043</v>
      </c>
      <c r="D311" t="s">
        <v>8401</v>
      </c>
    </row>
    <row r="312" spans="1:4" ht="15" x14ac:dyDescent="0.25">
      <c r="A312">
        <v>10769</v>
      </c>
      <c r="B312" t="s">
        <v>10799</v>
      </c>
      <c r="C312" t="s">
        <v>5043</v>
      </c>
      <c r="D312" t="s">
        <v>8401</v>
      </c>
    </row>
    <row r="313" spans="1:4" ht="15" x14ac:dyDescent="0.25">
      <c r="A313">
        <v>10775</v>
      </c>
      <c r="B313" t="s">
        <v>10799</v>
      </c>
      <c r="C313" t="s">
        <v>5043</v>
      </c>
      <c r="D313" t="s">
        <v>8401</v>
      </c>
    </row>
    <row r="314" spans="1:4" ht="15" x14ac:dyDescent="0.25">
      <c r="A314">
        <v>10776</v>
      </c>
      <c r="B314" t="s">
        <v>10799</v>
      </c>
      <c r="C314" t="s">
        <v>5043</v>
      </c>
      <c r="D314" t="s">
        <v>8401</v>
      </c>
    </row>
    <row r="315" spans="1:4" ht="15" x14ac:dyDescent="0.25">
      <c r="A315">
        <v>10777</v>
      </c>
      <c r="B315" t="s">
        <v>10799</v>
      </c>
      <c r="C315" t="s">
        <v>5043</v>
      </c>
      <c r="D315" t="s">
        <v>8401</v>
      </c>
    </row>
    <row r="316" spans="1:4" ht="15" x14ac:dyDescent="0.25">
      <c r="A316">
        <v>10782</v>
      </c>
      <c r="B316" t="s">
        <v>10799</v>
      </c>
      <c r="C316" t="s">
        <v>5043</v>
      </c>
      <c r="D316" t="s">
        <v>8401</v>
      </c>
    </row>
    <row r="317" spans="1:4" ht="15" x14ac:dyDescent="0.25">
      <c r="A317">
        <v>10785</v>
      </c>
      <c r="B317" t="s">
        <v>10799</v>
      </c>
      <c r="C317" t="s">
        <v>5043</v>
      </c>
      <c r="D317" t="s">
        <v>8401</v>
      </c>
    </row>
    <row r="318" spans="1:4" ht="15" x14ac:dyDescent="0.25">
      <c r="A318">
        <v>10790</v>
      </c>
      <c r="B318" t="s">
        <v>10799</v>
      </c>
      <c r="C318" t="s">
        <v>5043</v>
      </c>
      <c r="D318" t="s">
        <v>8401</v>
      </c>
    </row>
    <row r="319" spans="1:4" ht="15" x14ac:dyDescent="0.25">
      <c r="A319">
        <v>10791</v>
      </c>
      <c r="B319" t="s">
        <v>10799</v>
      </c>
      <c r="C319" t="s">
        <v>5043</v>
      </c>
      <c r="D319" t="s">
        <v>8401</v>
      </c>
    </row>
    <row r="320" spans="1:4" ht="15" x14ac:dyDescent="0.25">
      <c r="A320">
        <v>10792</v>
      </c>
      <c r="B320" t="s">
        <v>10799</v>
      </c>
      <c r="C320" t="s">
        <v>5043</v>
      </c>
      <c r="D320" t="s">
        <v>8401</v>
      </c>
    </row>
    <row r="321" spans="1:4" ht="15" x14ac:dyDescent="0.25">
      <c r="A321">
        <v>10801</v>
      </c>
      <c r="B321" t="s">
        <v>10799</v>
      </c>
      <c r="C321" t="s">
        <v>5043</v>
      </c>
      <c r="D321" t="s">
        <v>8401</v>
      </c>
    </row>
    <row r="322" spans="1:4" ht="15" x14ac:dyDescent="0.25">
      <c r="A322">
        <v>10803</v>
      </c>
      <c r="B322" t="s">
        <v>10799</v>
      </c>
      <c r="C322" t="s">
        <v>5043</v>
      </c>
      <c r="D322" t="s">
        <v>8401</v>
      </c>
    </row>
    <row r="323" spans="1:4" ht="15" x14ac:dyDescent="0.25">
      <c r="A323">
        <v>10810</v>
      </c>
      <c r="B323" t="s">
        <v>10799</v>
      </c>
      <c r="C323" t="s">
        <v>5043</v>
      </c>
      <c r="D323" t="s">
        <v>8401</v>
      </c>
    </row>
    <row r="324" spans="1:4" ht="15" x14ac:dyDescent="0.25">
      <c r="A324">
        <v>10812</v>
      </c>
      <c r="B324" t="s">
        <v>10799</v>
      </c>
      <c r="C324" t="s">
        <v>5043</v>
      </c>
      <c r="D324" t="s">
        <v>8401</v>
      </c>
    </row>
    <row r="325" spans="1:4" ht="15" x14ac:dyDescent="0.25">
      <c r="A325">
        <v>10814</v>
      </c>
      <c r="B325" t="s">
        <v>10799</v>
      </c>
      <c r="C325" t="s">
        <v>5043</v>
      </c>
      <c r="D325" t="s">
        <v>8401</v>
      </c>
    </row>
    <row r="326" spans="1:4" ht="15" x14ac:dyDescent="0.25">
      <c r="A326">
        <v>10824</v>
      </c>
      <c r="B326" t="s">
        <v>10799</v>
      </c>
      <c r="C326" t="s">
        <v>5043</v>
      </c>
      <c r="D326" t="s">
        <v>8401</v>
      </c>
    </row>
    <row r="327" spans="1:4" ht="15" x14ac:dyDescent="0.25">
      <c r="A327">
        <v>10826</v>
      </c>
      <c r="B327" t="s">
        <v>10799</v>
      </c>
      <c r="C327" t="s">
        <v>5043</v>
      </c>
      <c r="D327" t="s">
        <v>8401</v>
      </c>
    </row>
    <row r="328" spans="1:4" ht="15" x14ac:dyDescent="0.25">
      <c r="A328">
        <v>10828</v>
      </c>
      <c r="B328" t="s">
        <v>10799</v>
      </c>
      <c r="C328" t="s">
        <v>5043</v>
      </c>
      <c r="D328" t="s">
        <v>8401</v>
      </c>
    </row>
    <row r="329" spans="1:4" ht="15" x14ac:dyDescent="0.25">
      <c r="A329">
        <v>10836</v>
      </c>
      <c r="B329" t="s">
        <v>10799</v>
      </c>
      <c r="C329" t="s">
        <v>5043</v>
      </c>
      <c r="D329" t="s">
        <v>8401</v>
      </c>
    </row>
    <row r="330" spans="1:4" ht="15" x14ac:dyDescent="0.25">
      <c r="A330">
        <v>10837</v>
      </c>
      <c r="B330" t="s">
        <v>10799</v>
      </c>
      <c r="C330" t="s">
        <v>5043</v>
      </c>
      <c r="D330" t="s">
        <v>8401</v>
      </c>
    </row>
    <row r="331" spans="1:4" ht="15" x14ac:dyDescent="0.25">
      <c r="A331">
        <v>10843</v>
      </c>
      <c r="B331" t="s">
        <v>10799</v>
      </c>
      <c r="C331" t="s">
        <v>5043</v>
      </c>
      <c r="D331" t="s">
        <v>8401</v>
      </c>
    </row>
    <row r="332" spans="1:4" ht="15" x14ac:dyDescent="0.25">
      <c r="A332">
        <v>10854</v>
      </c>
      <c r="B332" t="s">
        <v>10799</v>
      </c>
      <c r="C332" t="s">
        <v>5043</v>
      </c>
      <c r="D332" t="s">
        <v>8401</v>
      </c>
    </row>
    <row r="333" spans="1:4" ht="15" x14ac:dyDescent="0.25">
      <c r="A333">
        <v>10855</v>
      </c>
      <c r="B333" t="s">
        <v>10799</v>
      </c>
      <c r="C333" t="s">
        <v>5043</v>
      </c>
      <c r="D333" t="s">
        <v>8401</v>
      </c>
    </row>
    <row r="334" spans="1:4" ht="15" x14ac:dyDescent="0.25">
      <c r="A334">
        <v>10863</v>
      </c>
      <c r="B334" t="s">
        <v>10799</v>
      </c>
      <c r="C334" t="s">
        <v>5043</v>
      </c>
      <c r="D334" t="s">
        <v>8401</v>
      </c>
    </row>
    <row r="335" spans="1:4" ht="15" x14ac:dyDescent="0.25">
      <c r="A335">
        <v>10864</v>
      </c>
      <c r="B335" t="s">
        <v>10799</v>
      </c>
      <c r="C335" t="s">
        <v>5043</v>
      </c>
      <c r="D335" t="s">
        <v>8401</v>
      </c>
    </row>
    <row r="336" spans="1:4" ht="15" x14ac:dyDescent="0.25">
      <c r="A336">
        <v>10867</v>
      </c>
      <c r="B336" t="s">
        <v>10799</v>
      </c>
      <c r="C336" t="s">
        <v>5043</v>
      </c>
      <c r="D336" t="s">
        <v>8401</v>
      </c>
    </row>
    <row r="337" spans="1:4" ht="15" x14ac:dyDescent="0.25">
      <c r="A337">
        <v>10875</v>
      </c>
      <c r="B337" t="s">
        <v>10799</v>
      </c>
      <c r="C337" t="s">
        <v>5043</v>
      </c>
      <c r="D337" t="s">
        <v>8401</v>
      </c>
    </row>
    <row r="338" spans="1:4" ht="15" x14ac:dyDescent="0.25">
      <c r="A338">
        <v>10877</v>
      </c>
      <c r="B338" t="s">
        <v>10799</v>
      </c>
      <c r="C338" t="s">
        <v>5043</v>
      </c>
      <c r="D338" t="s">
        <v>8401</v>
      </c>
    </row>
    <row r="339" spans="1:4" ht="15" x14ac:dyDescent="0.25">
      <c r="A339">
        <v>10887</v>
      </c>
      <c r="B339" t="s">
        <v>10799</v>
      </c>
      <c r="C339" t="s">
        <v>5043</v>
      </c>
      <c r="D339" t="s">
        <v>8401</v>
      </c>
    </row>
    <row r="340" spans="1:4" ht="15" x14ac:dyDescent="0.25">
      <c r="A340">
        <v>10888</v>
      </c>
      <c r="B340" t="s">
        <v>10799</v>
      </c>
      <c r="C340" t="s">
        <v>5043</v>
      </c>
      <c r="D340" t="s">
        <v>8401</v>
      </c>
    </row>
    <row r="341" spans="1:4" ht="15" x14ac:dyDescent="0.25">
      <c r="A341">
        <v>10889</v>
      </c>
      <c r="B341" t="s">
        <v>10799</v>
      </c>
      <c r="C341" t="s">
        <v>5043</v>
      </c>
      <c r="D341" t="s">
        <v>8401</v>
      </c>
    </row>
    <row r="342" spans="1:4" ht="15" x14ac:dyDescent="0.25">
      <c r="A342">
        <v>10893</v>
      </c>
      <c r="B342" t="s">
        <v>10799</v>
      </c>
      <c r="C342" t="s">
        <v>5043</v>
      </c>
      <c r="D342" t="s">
        <v>8401</v>
      </c>
    </row>
    <row r="343" spans="1:4" ht="15" x14ac:dyDescent="0.25">
      <c r="A343">
        <v>10898</v>
      </c>
      <c r="B343" t="s">
        <v>10799</v>
      </c>
      <c r="C343" t="s">
        <v>5043</v>
      </c>
      <c r="D343" t="s">
        <v>8401</v>
      </c>
    </row>
    <row r="344" spans="1:4" ht="15" x14ac:dyDescent="0.25">
      <c r="A344">
        <v>10900</v>
      </c>
      <c r="B344" t="s">
        <v>10799</v>
      </c>
      <c r="C344" t="s">
        <v>5043</v>
      </c>
      <c r="D344" t="s">
        <v>8401</v>
      </c>
    </row>
    <row r="345" spans="1:4" ht="15" x14ac:dyDescent="0.25">
      <c r="A345">
        <v>10916</v>
      </c>
      <c r="B345" t="s">
        <v>10799</v>
      </c>
      <c r="C345" t="s">
        <v>5043</v>
      </c>
      <c r="D345" t="s">
        <v>8401</v>
      </c>
    </row>
    <row r="346" spans="1:4" ht="15" x14ac:dyDescent="0.25">
      <c r="A346">
        <v>10930</v>
      </c>
      <c r="B346" t="s">
        <v>10799</v>
      </c>
      <c r="C346" t="s">
        <v>5043</v>
      </c>
      <c r="D346" t="s">
        <v>8401</v>
      </c>
    </row>
    <row r="347" spans="1:4" ht="15" x14ac:dyDescent="0.25">
      <c r="A347">
        <v>10933</v>
      </c>
      <c r="B347" t="s">
        <v>10799</v>
      </c>
      <c r="C347" t="s">
        <v>5043</v>
      </c>
      <c r="D347" t="s">
        <v>8401</v>
      </c>
    </row>
    <row r="348" spans="1:4" ht="15" x14ac:dyDescent="0.25">
      <c r="A348">
        <v>10936</v>
      </c>
      <c r="B348" t="s">
        <v>10799</v>
      </c>
      <c r="C348" t="s">
        <v>5043</v>
      </c>
      <c r="D348" t="s">
        <v>8401</v>
      </c>
    </row>
    <row r="349" spans="1:4" ht="15" x14ac:dyDescent="0.25">
      <c r="A349">
        <v>10938</v>
      </c>
      <c r="B349" t="s">
        <v>10799</v>
      </c>
      <c r="C349" t="s">
        <v>5043</v>
      </c>
      <c r="D349" t="s">
        <v>8401</v>
      </c>
    </row>
    <row r="350" spans="1:4" ht="15" x14ac:dyDescent="0.25">
      <c r="A350">
        <v>10939</v>
      </c>
      <c r="B350" t="s">
        <v>10799</v>
      </c>
      <c r="C350" t="s">
        <v>5043</v>
      </c>
      <c r="D350" t="s">
        <v>8401</v>
      </c>
    </row>
    <row r="351" spans="1:4" ht="15" x14ac:dyDescent="0.25">
      <c r="A351">
        <v>10942</v>
      </c>
      <c r="B351" t="s">
        <v>10799</v>
      </c>
      <c r="C351" t="s">
        <v>5043</v>
      </c>
      <c r="D351" t="s">
        <v>8401</v>
      </c>
    </row>
    <row r="352" spans="1:4" ht="15" x14ac:dyDescent="0.25">
      <c r="A352">
        <v>10953</v>
      </c>
      <c r="B352" t="s">
        <v>10799</v>
      </c>
      <c r="C352" t="s">
        <v>5043</v>
      </c>
      <c r="D352" t="s">
        <v>8401</v>
      </c>
    </row>
    <row r="353" spans="1:4" ht="15" x14ac:dyDescent="0.25">
      <c r="A353">
        <v>10958</v>
      </c>
      <c r="B353" t="s">
        <v>10799</v>
      </c>
      <c r="C353" t="s">
        <v>5043</v>
      </c>
      <c r="D353" t="s">
        <v>8401</v>
      </c>
    </row>
    <row r="354" spans="1:4" ht="15" x14ac:dyDescent="0.25">
      <c r="A354">
        <v>10960</v>
      </c>
      <c r="B354" t="s">
        <v>10799</v>
      </c>
      <c r="C354" t="s">
        <v>5043</v>
      </c>
      <c r="D354" t="s">
        <v>8401</v>
      </c>
    </row>
    <row r="355" spans="1:4" ht="15" x14ac:dyDescent="0.25">
      <c r="A355">
        <v>10975</v>
      </c>
      <c r="B355" t="s">
        <v>10799</v>
      </c>
      <c r="C355" t="s">
        <v>5043</v>
      </c>
      <c r="D355" t="s">
        <v>8401</v>
      </c>
    </row>
    <row r="356" spans="1:4" ht="15" x14ac:dyDescent="0.25">
      <c r="A356">
        <v>10979</v>
      </c>
      <c r="B356" t="s">
        <v>10799</v>
      </c>
      <c r="C356" t="s">
        <v>5043</v>
      </c>
      <c r="D356" t="s">
        <v>8401</v>
      </c>
    </row>
    <row r="357" spans="1:4" ht="15" x14ac:dyDescent="0.25">
      <c r="A357">
        <v>10980</v>
      </c>
      <c r="B357" t="s">
        <v>10799</v>
      </c>
      <c r="C357" t="s">
        <v>5043</v>
      </c>
      <c r="D357" t="s">
        <v>8401</v>
      </c>
    </row>
    <row r="358" spans="1:4" ht="15" x14ac:dyDescent="0.25">
      <c r="A358">
        <v>10984</v>
      </c>
      <c r="B358" t="s">
        <v>10799</v>
      </c>
      <c r="C358" t="s">
        <v>5043</v>
      </c>
      <c r="D358" t="s">
        <v>8401</v>
      </c>
    </row>
    <row r="359" spans="1:4" ht="15" x14ac:dyDescent="0.25">
      <c r="A359">
        <v>10990</v>
      </c>
      <c r="B359" t="s">
        <v>10799</v>
      </c>
      <c r="C359" t="s">
        <v>5043</v>
      </c>
      <c r="D359" t="s">
        <v>8401</v>
      </c>
    </row>
    <row r="360" spans="1:4" ht="15" x14ac:dyDescent="0.25">
      <c r="A360">
        <v>10999</v>
      </c>
      <c r="B360" t="s">
        <v>10799</v>
      </c>
      <c r="C360" t="s">
        <v>5043</v>
      </c>
      <c r="D360" t="s">
        <v>8401</v>
      </c>
    </row>
    <row r="361" spans="1:4" ht="15" x14ac:dyDescent="0.25">
      <c r="A361">
        <v>11001</v>
      </c>
      <c r="B361" t="s">
        <v>10799</v>
      </c>
      <c r="C361" t="s">
        <v>5043</v>
      </c>
      <c r="D361" t="s">
        <v>8401</v>
      </c>
    </row>
    <row r="362" spans="1:4" ht="15" x14ac:dyDescent="0.25">
      <c r="A362">
        <v>11004</v>
      </c>
      <c r="B362" t="s">
        <v>10799</v>
      </c>
      <c r="C362" t="s">
        <v>5043</v>
      </c>
      <c r="D362" t="s">
        <v>8401</v>
      </c>
    </row>
    <row r="363" spans="1:4" ht="15" x14ac:dyDescent="0.25">
      <c r="A363">
        <v>11006</v>
      </c>
      <c r="B363" t="s">
        <v>10799</v>
      </c>
      <c r="C363" t="s">
        <v>5043</v>
      </c>
      <c r="D363" t="s">
        <v>8401</v>
      </c>
    </row>
    <row r="364" spans="1:4" ht="15" x14ac:dyDescent="0.25">
      <c r="A364">
        <v>11017</v>
      </c>
      <c r="B364" t="s">
        <v>10799</v>
      </c>
      <c r="C364" t="s">
        <v>5043</v>
      </c>
      <c r="D364" t="s">
        <v>8401</v>
      </c>
    </row>
    <row r="365" spans="1:4" ht="15" x14ac:dyDescent="0.25">
      <c r="A365">
        <v>11018</v>
      </c>
      <c r="B365" t="s">
        <v>10799</v>
      </c>
      <c r="C365" t="s">
        <v>5043</v>
      </c>
      <c r="D365" t="s">
        <v>8401</v>
      </c>
    </row>
    <row r="366" spans="1:4" ht="15" x14ac:dyDescent="0.25">
      <c r="A366">
        <v>11024</v>
      </c>
      <c r="B366" t="s">
        <v>10799</v>
      </c>
      <c r="C366" t="s">
        <v>5043</v>
      </c>
      <c r="D366" t="s">
        <v>8401</v>
      </c>
    </row>
    <row r="367" spans="1:4" ht="15" x14ac:dyDescent="0.25">
      <c r="A367">
        <v>11029</v>
      </c>
      <c r="B367" t="s">
        <v>10799</v>
      </c>
      <c r="C367" t="s">
        <v>5043</v>
      </c>
      <c r="D367" t="s">
        <v>8401</v>
      </c>
    </row>
    <row r="368" spans="1:4" ht="15" x14ac:dyDescent="0.25">
      <c r="A368">
        <v>11035</v>
      </c>
      <c r="B368" t="s">
        <v>10799</v>
      </c>
      <c r="C368" t="s">
        <v>5043</v>
      </c>
      <c r="D368" t="s">
        <v>8401</v>
      </c>
    </row>
    <row r="369" spans="1:4" ht="15" x14ac:dyDescent="0.25">
      <c r="A369">
        <v>11038</v>
      </c>
      <c r="B369" t="s">
        <v>10799</v>
      </c>
      <c r="C369" t="s">
        <v>5043</v>
      </c>
      <c r="D369" t="s">
        <v>8401</v>
      </c>
    </row>
    <row r="370" spans="1:4" ht="15" x14ac:dyDescent="0.25">
      <c r="A370">
        <v>11039</v>
      </c>
      <c r="B370" t="s">
        <v>10799</v>
      </c>
      <c r="C370" t="s">
        <v>5043</v>
      </c>
      <c r="D370" t="s">
        <v>8401</v>
      </c>
    </row>
    <row r="371" spans="1:4" ht="15" x14ac:dyDescent="0.25">
      <c r="A371">
        <v>11040</v>
      </c>
      <c r="B371" t="s">
        <v>10799</v>
      </c>
      <c r="C371" t="s">
        <v>5043</v>
      </c>
      <c r="D371" t="s">
        <v>8401</v>
      </c>
    </row>
    <row r="372" spans="1:4" ht="15" x14ac:dyDescent="0.25">
      <c r="A372">
        <v>11046</v>
      </c>
      <c r="B372" t="s">
        <v>10799</v>
      </c>
      <c r="C372" t="s">
        <v>5043</v>
      </c>
      <c r="D372" t="s">
        <v>8401</v>
      </c>
    </row>
    <row r="373" spans="1:4" ht="15" x14ac:dyDescent="0.25">
      <c r="A373">
        <v>11062</v>
      </c>
      <c r="B373" t="s">
        <v>10799</v>
      </c>
      <c r="C373" t="s">
        <v>5043</v>
      </c>
      <c r="D373" t="s">
        <v>8401</v>
      </c>
    </row>
    <row r="374" spans="1:4" ht="15" x14ac:dyDescent="0.25">
      <c r="A374">
        <v>11063</v>
      </c>
      <c r="B374" t="s">
        <v>10799</v>
      </c>
      <c r="C374" t="s">
        <v>5043</v>
      </c>
      <c r="D374" t="s">
        <v>8401</v>
      </c>
    </row>
    <row r="375" spans="1:4" ht="15" x14ac:dyDescent="0.25">
      <c r="A375">
        <v>11066</v>
      </c>
      <c r="B375" t="s">
        <v>10799</v>
      </c>
      <c r="C375" t="s">
        <v>5043</v>
      </c>
      <c r="D375" t="s">
        <v>8401</v>
      </c>
    </row>
    <row r="376" spans="1:4" ht="15" x14ac:dyDescent="0.25">
      <c r="A376">
        <v>11067</v>
      </c>
      <c r="B376" t="s">
        <v>10799</v>
      </c>
      <c r="C376" t="s">
        <v>5043</v>
      </c>
      <c r="D376" t="s">
        <v>8401</v>
      </c>
    </row>
    <row r="377" spans="1:4" ht="15" x14ac:dyDescent="0.25">
      <c r="A377">
        <v>11077</v>
      </c>
      <c r="B377" t="s">
        <v>10799</v>
      </c>
      <c r="C377" t="s">
        <v>5043</v>
      </c>
      <c r="D377" t="s">
        <v>8401</v>
      </c>
    </row>
    <row r="378" spans="1:4" ht="15" x14ac:dyDescent="0.25">
      <c r="A378">
        <v>11081</v>
      </c>
      <c r="B378" t="s">
        <v>10799</v>
      </c>
      <c r="C378" t="s">
        <v>5043</v>
      </c>
      <c r="D378" t="s">
        <v>8401</v>
      </c>
    </row>
    <row r="379" spans="1:4" ht="15" x14ac:dyDescent="0.25">
      <c r="A379">
        <v>11090</v>
      </c>
      <c r="B379" t="s">
        <v>10799</v>
      </c>
      <c r="C379" t="s">
        <v>5043</v>
      </c>
      <c r="D379" t="s">
        <v>8401</v>
      </c>
    </row>
    <row r="380" spans="1:4" ht="15" x14ac:dyDescent="0.25">
      <c r="A380">
        <v>11092</v>
      </c>
      <c r="B380" t="s">
        <v>10799</v>
      </c>
      <c r="C380" t="s">
        <v>5043</v>
      </c>
      <c r="D380" t="s">
        <v>8401</v>
      </c>
    </row>
    <row r="381" spans="1:4" ht="15" x14ac:dyDescent="0.25">
      <c r="A381">
        <v>11105</v>
      </c>
      <c r="B381" t="s">
        <v>10799</v>
      </c>
      <c r="C381" t="s">
        <v>5043</v>
      </c>
      <c r="D381" t="s">
        <v>8401</v>
      </c>
    </row>
    <row r="382" spans="1:4" ht="15" x14ac:dyDescent="0.25">
      <c r="A382">
        <v>11112</v>
      </c>
      <c r="B382" t="s">
        <v>10799</v>
      </c>
      <c r="C382" t="s">
        <v>5043</v>
      </c>
      <c r="D382" t="s">
        <v>8401</v>
      </c>
    </row>
    <row r="383" spans="1:4" ht="15" x14ac:dyDescent="0.25">
      <c r="A383">
        <v>11117</v>
      </c>
      <c r="B383" t="s">
        <v>10799</v>
      </c>
      <c r="C383" t="s">
        <v>5043</v>
      </c>
      <c r="D383" t="s">
        <v>8401</v>
      </c>
    </row>
    <row r="384" spans="1:4" ht="15" x14ac:dyDescent="0.25">
      <c r="A384">
        <v>11129</v>
      </c>
      <c r="B384" t="s">
        <v>10799</v>
      </c>
      <c r="C384" t="s">
        <v>5043</v>
      </c>
      <c r="D384" t="s">
        <v>8401</v>
      </c>
    </row>
    <row r="385" spans="1:4" ht="15" x14ac:dyDescent="0.25">
      <c r="A385">
        <v>11130</v>
      </c>
      <c r="B385" t="s">
        <v>10799</v>
      </c>
      <c r="C385" t="s">
        <v>5043</v>
      </c>
      <c r="D385" t="s">
        <v>8401</v>
      </c>
    </row>
    <row r="386" spans="1:4" ht="15" x14ac:dyDescent="0.25">
      <c r="A386">
        <v>11134</v>
      </c>
      <c r="B386" t="s">
        <v>10799</v>
      </c>
      <c r="C386" t="s">
        <v>5043</v>
      </c>
      <c r="D386" t="s">
        <v>8401</v>
      </c>
    </row>
    <row r="387" spans="1:4" ht="15" x14ac:dyDescent="0.25">
      <c r="A387">
        <v>11135</v>
      </c>
      <c r="B387" t="s">
        <v>10799</v>
      </c>
      <c r="C387" t="s">
        <v>5043</v>
      </c>
      <c r="D387" t="s">
        <v>8401</v>
      </c>
    </row>
    <row r="388" spans="1:4" ht="15" x14ac:dyDescent="0.25">
      <c r="A388">
        <v>11148</v>
      </c>
      <c r="B388" t="s">
        <v>10799</v>
      </c>
      <c r="C388" t="s">
        <v>5043</v>
      </c>
      <c r="D388" t="s">
        <v>8401</v>
      </c>
    </row>
    <row r="389" spans="1:4" ht="15" x14ac:dyDescent="0.25">
      <c r="A389">
        <v>11149</v>
      </c>
      <c r="B389" t="s">
        <v>10799</v>
      </c>
      <c r="C389" t="s">
        <v>5043</v>
      </c>
      <c r="D389" t="s">
        <v>8401</v>
      </c>
    </row>
    <row r="390" spans="1:4" ht="15" x14ac:dyDescent="0.25">
      <c r="A390">
        <v>11153</v>
      </c>
      <c r="B390" t="s">
        <v>10799</v>
      </c>
      <c r="C390" t="s">
        <v>5043</v>
      </c>
      <c r="D390" t="s">
        <v>8401</v>
      </c>
    </row>
    <row r="391" spans="1:4" ht="15" x14ac:dyDescent="0.25">
      <c r="A391">
        <v>11159</v>
      </c>
      <c r="B391" t="s">
        <v>10799</v>
      </c>
      <c r="C391" t="s">
        <v>5043</v>
      </c>
      <c r="D391" t="s">
        <v>8401</v>
      </c>
    </row>
    <row r="392" spans="1:4" ht="15" x14ac:dyDescent="0.25">
      <c r="A392">
        <v>11160</v>
      </c>
      <c r="B392" t="s">
        <v>10799</v>
      </c>
      <c r="C392" t="s">
        <v>5043</v>
      </c>
      <c r="D392" t="s">
        <v>8401</v>
      </c>
    </row>
    <row r="393" spans="1:4" ht="15" x14ac:dyDescent="0.25">
      <c r="A393">
        <v>11161</v>
      </c>
      <c r="B393" t="s">
        <v>10799</v>
      </c>
      <c r="C393" t="s">
        <v>5043</v>
      </c>
      <c r="D393" t="s">
        <v>8401</v>
      </c>
    </row>
    <row r="394" spans="1:4" ht="15" x14ac:dyDescent="0.25">
      <c r="A394">
        <v>11166</v>
      </c>
      <c r="B394" t="s">
        <v>10799</v>
      </c>
      <c r="C394" t="s">
        <v>5043</v>
      </c>
      <c r="D394" t="s">
        <v>8401</v>
      </c>
    </row>
    <row r="395" spans="1:4" ht="15" x14ac:dyDescent="0.25">
      <c r="A395">
        <v>11180</v>
      </c>
      <c r="B395" t="s">
        <v>10799</v>
      </c>
      <c r="C395" t="s">
        <v>5043</v>
      </c>
      <c r="D395" t="s">
        <v>8401</v>
      </c>
    </row>
    <row r="396" spans="1:4" ht="15" x14ac:dyDescent="0.25">
      <c r="A396">
        <v>11185</v>
      </c>
      <c r="B396" t="s">
        <v>10799</v>
      </c>
      <c r="C396" t="s">
        <v>5043</v>
      </c>
      <c r="D396" t="s">
        <v>8401</v>
      </c>
    </row>
    <row r="397" spans="1:4" ht="15" x14ac:dyDescent="0.25">
      <c r="A397">
        <v>11186</v>
      </c>
      <c r="B397" t="s">
        <v>10799</v>
      </c>
      <c r="C397" t="s">
        <v>5043</v>
      </c>
      <c r="D397" t="s">
        <v>8401</v>
      </c>
    </row>
    <row r="398" spans="1:4" ht="15" x14ac:dyDescent="0.25">
      <c r="A398">
        <v>11200</v>
      </c>
      <c r="B398" t="s">
        <v>10799</v>
      </c>
      <c r="C398" t="s">
        <v>5043</v>
      </c>
      <c r="D398" t="s">
        <v>8401</v>
      </c>
    </row>
    <row r="399" spans="1:4" ht="15" x14ac:dyDescent="0.25">
      <c r="A399">
        <v>11206</v>
      </c>
      <c r="B399" t="s">
        <v>10799</v>
      </c>
      <c r="C399" t="s">
        <v>5043</v>
      </c>
      <c r="D399" t="s">
        <v>8401</v>
      </c>
    </row>
    <row r="400" spans="1:4" ht="15" x14ac:dyDescent="0.25">
      <c r="A400">
        <v>11209</v>
      </c>
      <c r="B400" t="s">
        <v>10799</v>
      </c>
      <c r="C400" t="s">
        <v>5043</v>
      </c>
      <c r="D400" t="s">
        <v>8401</v>
      </c>
    </row>
    <row r="401" spans="1:4" ht="15" x14ac:dyDescent="0.25">
      <c r="A401">
        <v>11210</v>
      </c>
      <c r="B401" t="s">
        <v>10799</v>
      </c>
      <c r="C401" t="s">
        <v>5043</v>
      </c>
      <c r="D401" t="s">
        <v>8401</v>
      </c>
    </row>
    <row r="402" spans="1:4" ht="15" x14ac:dyDescent="0.25">
      <c r="A402">
        <v>11214</v>
      </c>
      <c r="B402" t="s">
        <v>10799</v>
      </c>
      <c r="C402" t="s">
        <v>5043</v>
      </c>
      <c r="D402" t="s">
        <v>8401</v>
      </c>
    </row>
    <row r="403" spans="1:4" ht="15" x14ac:dyDescent="0.25">
      <c r="A403">
        <v>11215</v>
      </c>
      <c r="B403" t="s">
        <v>10799</v>
      </c>
      <c r="C403" t="s">
        <v>5043</v>
      </c>
      <c r="D403" t="s">
        <v>8401</v>
      </c>
    </row>
    <row r="404" spans="1:4" ht="15" x14ac:dyDescent="0.25">
      <c r="A404">
        <v>11221</v>
      </c>
      <c r="B404" t="s">
        <v>10799</v>
      </c>
      <c r="C404" t="s">
        <v>5043</v>
      </c>
      <c r="D404" t="s">
        <v>8401</v>
      </c>
    </row>
    <row r="405" spans="1:4" ht="15" x14ac:dyDescent="0.25">
      <c r="A405">
        <v>11224</v>
      </c>
      <c r="B405" t="s">
        <v>10799</v>
      </c>
      <c r="C405" t="s">
        <v>5043</v>
      </c>
      <c r="D405" t="s">
        <v>8401</v>
      </c>
    </row>
    <row r="406" spans="1:4" ht="15" x14ac:dyDescent="0.25">
      <c r="A406">
        <v>11225</v>
      </c>
      <c r="B406" t="s">
        <v>10799</v>
      </c>
      <c r="C406" t="s">
        <v>5043</v>
      </c>
      <c r="D406" t="s">
        <v>8401</v>
      </c>
    </row>
    <row r="407" spans="1:4" ht="15" x14ac:dyDescent="0.25">
      <c r="A407">
        <v>11228</v>
      </c>
      <c r="B407" t="s">
        <v>10799</v>
      </c>
      <c r="C407" t="s">
        <v>5043</v>
      </c>
      <c r="D407" t="s">
        <v>8401</v>
      </c>
    </row>
    <row r="408" spans="1:4" ht="15" x14ac:dyDescent="0.25">
      <c r="A408">
        <v>11233</v>
      </c>
      <c r="B408" t="s">
        <v>10799</v>
      </c>
      <c r="C408" t="s">
        <v>5043</v>
      </c>
      <c r="D408" t="s">
        <v>8401</v>
      </c>
    </row>
    <row r="409" spans="1:4" ht="15" x14ac:dyDescent="0.25">
      <c r="A409">
        <v>11235</v>
      </c>
      <c r="B409" t="s">
        <v>10799</v>
      </c>
      <c r="C409" t="s">
        <v>5043</v>
      </c>
      <c r="D409" t="s">
        <v>8401</v>
      </c>
    </row>
    <row r="410" spans="1:4" ht="15" x14ac:dyDescent="0.25">
      <c r="A410">
        <v>11238</v>
      </c>
      <c r="B410" t="s">
        <v>10799</v>
      </c>
      <c r="C410" t="s">
        <v>5043</v>
      </c>
      <c r="D410" t="s">
        <v>8401</v>
      </c>
    </row>
    <row r="411" spans="1:4" ht="15" x14ac:dyDescent="0.25">
      <c r="A411">
        <v>11244</v>
      </c>
      <c r="B411" t="s">
        <v>10799</v>
      </c>
      <c r="C411" t="s">
        <v>5043</v>
      </c>
      <c r="D411" t="s">
        <v>8401</v>
      </c>
    </row>
    <row r="412" spans="1:4" ht="15" x14ac:dyDescent="0.25">
      <c r="A412">
        <v>11248</v>
      </c>
      <c r="B412" t="s">
        <v>10799</v>
      </c>
      <c r="C412" t="s">
        <v>5043</v>
      </c>
      <c r="D412" t="s">
        <v>8401</v>
      </c>
    </row>
    <row r="413" spans="1:4" ht="15" x14ac:dyDescent="0.25">
      <c r="A413">
        <v>11258</v>
      </c>
      <c r="B413" t="s">
        <v>10799</v>
      </c>
      <c r="C413" t="s">
        <v>5043</v>
      </c>
      <c r="D413" t="s">
        <v>8401</v>
      </c>
    </row>
    <row r="414" spans="1:4" ht="15" x14ac:dyDescent="0.25">
      <c r="A414">
        <v>11269</v>
      </c>
      <c r="B414" t="s">
        <v>10799</v>
      </c>
      <c r="C414" t="s">
        <v>5043</v>
      </c>
      <c r="D414" t="s">
        <v>8401</v>
      </c>
    </row>
    <row r="415" spans="1:4" ht="15" x14ac:dyDescent="0.25">
      <c r="A415">
        <v>11271</v>
      </c>
      <c r="B415" t="s">
        <v>10799</v>
      </c>
      <c r="C415" t="s">
        <v>5043</v>
      </c>
      <c r="D415" t="s">
        <v>8401</v>
      </c>
    </row>
    <row r="416" spans="1:4" ht="15" x14ac:dyDescent="0.25">
      <c r="A416">
        <v>11278</v>
      </c>
      <c r="B416" t="s">
        <v>10799</v>
      </c>
      <c r="C416" t="s">
        <v>5043</v>
      </c>
      <c r="D416" t="s">
        <v>8401</v>
      </c>
    </row>
    <row r="417" spans="1:4" ht="15" x14ac:dyDescent="0.25">
      <c r="A417">
        <v>11279</v>
      </c>
      <c r="B417" t="s">
        <v>10799</v>
      </c>
      <c r="C417" t="s">
        <v>5043</v>
      </c>
      <c r="D417" t="s">
        <v>8401</v>
      </c>
    </row>
    <row r="418" spans="1:4" ht="15" x14ac:dyDescent="0.25">
      <c r="A418">
        <v>11280</v>
      </c>
      <c r="B418" t="s">
        <v>10799</v>
      </c>
      <c r="C418" t="s">
        <v>5043</v>
      </c>
      <c r="D418" t="s">
        <v>8401</v>
      </c>
    </row>
    <row r="419" spans="1:4" ht="15" x14ac:dyDescent="0.25">
      <c r="A419">
        <v>11289</v>
      </c>
      <c r="B419" t="s">
        <v>10799</v>
      </c>
      <c r="C419" t="s">
        <v>5043</v>
      </c>
      <c r="D419" t="s">
        <v>8401</v>
      </c>
    </row>
    <row r="420" spans="1:4" ht="15" x14ac:dyDescent="0.25">
      <c r="A420">
        <v>11294</v>
      </c>
      <c r="B420" t="s">
        <v>10799</v>
      </c>
      <c r="C420" t="s">
        <v>5043</v>
      </c>
      <c r="D420" t="s">
        <v>8401</v>
      </c>
    </row>
    <row r="421" spans="1:4" ht="15" x14ac:dyDescent="0.25">
      <c r="A421">
        <v>11308</v>
      </c>
      <c r="B421" t="s">
        <v>10799</v>
      </c>
      <c r="C421" t="s">
        <v>5043</v>
      </c>
      <c r="D421" t="s">
        <v>8401</v>
      </c>
    </row>
    <row r="422" spans="1:4" ht="15" x14ac:dyDescent="0.25">
      <c r="A422">
        <v>11312</v>
      </c>
      <c r="B422" t="s">
        <v>10799</v>
      </c>
      <c r="C422" t="s">
        <v>5043</v>
      </c>
      <c r="D422" t="s">
        <v>8401</v>
      </c>
    </row>
    <row r="423" spans="1:4" ht="15" x14ac:dyDescent="0.25">
      <c r="A423">
        <v>11317</v>
      </c>
      <c r="B423" t="s">
        <v>10799</v>
      </c>
      <c r="C423" t="s">
        <v>5043</v>
      </c>
      <c r="D423" t="s">
        <v>8401</v>
      </c>
    </row>
    <row r="424" spans="1:4" ht="15" x14ac:dyDescent="0.25">
      <c r="A424">
        <v>11320</v>
      </c>
      <c r="B424" t="s">
        <v>10799</v>
      </c>
      <c r="C424" t="s">
        <v>5043</v>
      </c>
      <c r="D424" t="s">
        <v>8401</v>
      </c>
    </row>
    <row r="425" spans="1:4" ht="15" x14ac:dyDescent="0.25">
      <c r="A425">
        <v>11321</v>
      </c>
      <c r="B425" t="s">
        <v>10799</v>
      </c>
      <c r="C425" t="s">
        <v>5043</v>
      </c>
      <c r="D425" t="s">
        <v>8401</v>
      </c>
    </row>
    <row r="426" spans="1:4" ht="15" x14ac:dyDescent="0.25">
      <c r="A426">
        <v>11322</v>
      </c>
      <c r="B426" t="s">
        <v>10799</v>
      </c>
      <c r="C426" t="s">
        <v>5043</v>
      </c>
      <c r="D426" t="s">
        <v>8401</v>
      </c>
    </row>
    <row r="427" spans="1:4" ht="15" x14ac:dyDescent="0.25">
      <c r="A427">
        <v>11323</v>
      </c>
      <c r="B427" t="s">
        <v>10799</v>
      </c>
      <c r="C427" t="s">
        <v>5043</v>
      </c>
      <c r="D427" t="s">
        <v>8401</v>
      </c>
    </row>
    <row r="428" spans="1:4" ht="15" x14ac:dyDescent="0.25">
      <c r="A428">
        <v>11324</v>
      </c>
      <c r="B428" t="s">
        <v>10799</v>
      </c>
      <c r="C428" t="s">
        <v>5043</v>
      </c>
      <c r="D428" t="s">
        <v>8401</v>
      </c>
    </row>
    <row r="429" spans="1:4" ht="15" x14ac:dyDescent="0.25">
      <c r="A429">
        <v>11327</v>
      </c>
      <c r="B429" t="s">
        <v>10799</v>
      </c>
      <c r="C429" t="s">
        <v>5043</v>
      </c>
      <c r="D429" t="s">
        <v>8401</v>
      </c>
    </row>
    <row r="430" spans="1:4" ht="15" x14ac:dyDescent="0.25">
      <c r="A430">
        <v>11328</v>
      </c>
      <c r="B430" t="s">
        <v>10799</v>
      </c>
      <c r="C430" t="s">
        <v>5043</v>
      </c>
      <c r="D430" t="s">
        <v>8401</v>
      </c>
    </row>
    <row r="431" spans="1:4" ht="15" x14ac:dyDescent="0.25">
      <c r="A431">
        <v>11329</v>
      </c>
      <c r="B431" t="s">
        <v>10799</v>
      </c>
      <c r="C431" t="s">
        <v>5043</v>
      </c>
      <c r="D431" t="s">
        <v>8401</v>
      </c>
    </row>
    <row r="432" spans="1:4" ht="15" x14ac:dyDescent="0.25">
      <c r="A432">
        <v>11338</v>
      </c>
      <c r="B432" t="s">
        <v>10799</v>
      </c>
      <c r="C432" t="s">
        <v>5043</v>
      </c>
      <c r="D432" t="s">
        <v>8401</v>
      </c>
    </row>
    <row r="433" spans="1:4" ht="15" x14ac:dyDescent="0.25">
      <c r="A433">
        <v>11341</v>
      </c>
      <c r="B433" t="s">
        <v>10799</v>
      </c>
      <c r="C433" t="s">
        <v>5043</v>
      </c>
      <c r="D433" t="s">
        <v>8401</v>
      </c>
    </row>
    <row r="434" spans="1:4" ht="15" x14ac:dyDescent="0.25">
      <c r="A434">
        <v>11347</v>
      </c>
      <c r="B434" t="s">
        <v>10799</v>
      </c>
      <c r="C434" t="s">
        <v>5043</v>
      </c>
      <c r="D434" t="s">
        <v>8401</v>
      </c>
    </row>
    <row r="435" spans="1:4" ht="15" x14ac:dyDescent="0.25">
      <c r="A435">
        <v>11349</v>
      </c>
      <c r="B435" t="s">
        <v>10799</v>
      </c>
      <c r="C435" t="s">
        <v>5043</v>
      </c>
      <c r="D435" t="s">
        <v>8401</v>
      </c>
    </row>
    <row r="436" spans="1:4" ht="15" x14ac:dyDescent="0.25">
      <c r="A436">
        <v>11354</v>
      </c>
      <c r="B436" t="s">
        <v>10799</v>
      </c>
      <c r="C436" t="s">
        <v>5043</v>
      </c>
      <c r="D436" t="s">
        <v>8401</v>
      </c>
    </row>
    <row r="437" spans="1:4" ht="15" x14ac:dyDescent="0.25">
      <c r="A437">
        <v>11357</v>
      </c>
      <c r="B437" t="s">
        <v>10799</v>
      </c>
      <c r="C437" t="s">
        <v>5043</v>
      </c>
      <c r="D437" t="s">
        <v>8401</v>
      </c>
    </row>
    <row r="438" spans="1:4" ht="15" x14ac:dyDescent="0.25">
      <c r="A438">
        <v>11363</v>
      </c>
      <c r="B438" t="s">
        <v>10799</v>
      </c>
      <c r="C438" t="s">
        <v>5043</v>
      </c>
      <c r="D438" t="s">
        <v>8401</v>
      </c>
    </row>
    <row r="439" spans="1:4" ht="15" x14ac:dyDescent="0.25">
      <c r="A439">
        <v>11365</v>
      </c>
      <c r="B439" t="s">
        <v>10799</v>
      </c>
      <c r="C439" t="s">
        <v>5043</v>
      </c>
      <c r="D439" t="s">
        <v>8401</v>
      </c>
    </row>
    <row r="440" spans="1:4" ht="15" x14ac:dyDescent="0.25">
      <c r="A440">
        <v>11371</v>
      </c>
      <c r="B440" t="s">
        <v>10799</v>
      </c>
      <c r="C440" t="s">
        <v>5043</v>
      </c>
      <c r="D440" t="s">
        <v>8401</v>
      </c>
    </row>
    <row r="441" spans="1:4" ht="15" x14ac:dyDescent="0.25">
      <c r="A441">
        <v>11372</v>
      </c>
      <c r="B441" t="s">
        <v>10799</v>
      </c>
      <c r="C441" t="s">
        <v>5043</v>
      </c>
      <c r="D441" t="s">
        <v>8401</v>
      </c>
    </row>
    <row r="442" spans="1:4" ht="15" x14ac:dyDescent="0.25">
      <c r="A442">
        <v>11377</v>
      </c>
      <c r="B442" t="s">
        <v>10799</v>
      </c>
      <c r="C442" t="s">
        <v>5043</v>
      </c>
      <c r="D442" t="s">
        <v>8401</v>
      </c>
    </row>
    <row r="443" spans="1:4" ht="15" x14ac:dyDescent="0.25">
      <c r="A443">
        <v>11378</v>
      </c>
      <c r="B443" t="s">
        <v>10799</v>
      </c>
      <c r="C443" t="s">
        <v>5043</v>
      </c>
      <c r="D443" t="s">
        <v>8401</v>
      </c>
    </row>
    <row r="444" spans="1:4" ht="15" x14ac:dyDescent="0.25">
      <c r="A444">
        <v>11382</v>
      </c>
      <c r="B444" t="s">
        <v>10799</v>
      </c>
      <c r="C444" t="s">
        <v>5043</v>
      </c>
      <c r="D444" t="s">
        <v>8401</v>
      </c>
    </row>
    <row r="445" spans="1:4" ht="15" x14ac:dyDescent="0.25">
      <c r="A445">
        <v>11385</v>
      </c>
      <c r="B445" t="s">
        <v>10799</v>
      </c>
      <c r="C445" t="s">
        <v>5043</v>
      </c>
      <c r="D445" t="s">
        <v>8401</v>
      </c>
    </row>
    <row r="446" spans="1:4" ht="15" x14ac:dyDescent="0.25">
      <c r="A446">
        <v>11387</v>
      </c>
      <c r="B446" t="s">
        <v>10799</v>
      </c>
      <c r="C446" t="s">
        <v>5043</v>
      </c>
      <c r="D446" t="s">
        <v>8401</v>
      </c>
    </row>
    <row r="447" spans="1:4" ht="15" x14ac:dyDescent="0.25">
      <c r="A447">
        <v>11392</v>
      </c>
      <c r="B447" t="s">
        <v>10799</v>
      </c>
      <c r="C447" t="s">
        <v>5043</v>
      </c>
      <c r="D447" t="s">
        <v>8401</v>
      </c>
    </row>
    <row r="448" spans="1:4" ht="15" x14ac:dyDescent="0.25">
      <c r="A448">
        <v>11394</v>
      </c>
      <c r="B448" t="s">
        <v>10799</v>
      </c>
      <c r="C448" t="s">
        <v>5043</v>
      </c>
      <c r="D448" t="s">
        <v>8401</v>
      </c>
    </row>
    <row r="449" spans="1:4" ht="15" x14ac:dyDescent="0.25">
      <c r="A449">
        <v>11401</v>
      </c>
      <c r="B449" t="s">
        <v>10799</v>
      </c>
      <c r="C449" t="s">
        <v>5043</v>
      </c>
      <c r="D449" t="s">
        <v>8401</v>
      </c>
    </row>
    <row r="450" spans="1:4" ht="15" x14ac:dyDescent="0.25">
      <c r="A450">
        <v>11402</v>
      </c>
      <c r="B450" t="s">
        <v>10799</v>
      </c>
      <c r="C450" t="s">
        <v>5043</v>
      </c>
      <c r="D450" t="s">
        <v>8401</v>
      </c>
    </row>
    <row r="451" spans="1:4" ht="15" x14ac:dyDescent="0.25">
      <c r="A451">
        <v>11419</v>
      </c>
      <c r="B451" t="s">
        <v>10799</v>
      </c>
      <c r="C451" t="s">
        <v>5043</v>
      </c>
      <c r="D451" t="s">
        <v>8401</v>
      </c>
    </row>
    <row r="452" spans="1:4" ht="15" x14ac:dyDescent="0.25">
      <c r="A452">
        <v>11435</v>
      </c>
      <c r="B452" t="s">
        <v>10799</v>
      </c>
      <c r="C452" t="s">
        <v>5043</v>
      </c>
      <c r="D452" t="s">
        <v>8401</v>
      </c>
    </row>
    <row r="453" spans="1:4" ht="15" x14ac:dyDescent="0.25">
      <c r="A453">
        <v>11441</v>
      </c>
      <c r="B453" t="s">
        <v>10799</v>
      </c>
      <c r="C453" t="s">
        <v>5043</v>
      </c>
      <c r="D453" t="s">
        <v>8401</v>
      </c>
    </row>
    <row r="454" spans="1:4" ht="15" x14ac:dyDescent="0.25">
      <c r="A454">
        <v>11446</v>
      </c>
      <c r="B454" t="s">
        <v>10799</v>
      </c>
      <c r="C454" t="s">
        <v>5043</v>
      </c>
      <c r="D454" t="s">
        <v>8401</v>
      </c>
    </row>
    <row r="455" spans="1:4" ht="15" x14ac:dyDescent="0.25">
      <c r="A455">
        <v>11449</v>
      </c>
      <c r="B455" t="s">
        <v>10799</v>
      </c>
      <c r="C455" t="s">
        <v>5043</v>
      </c>
      <c r="D455" t="s">
        <v>8401</v>
      </c>
    </row>
    <row r="456" spans="1:4" ht="15" x14ac:dyDescent="0.25">
      <c r="A456">
        <v>11457</v>
      </c>
      <c r="B456" t="s">
        <v>10799</v>
      </c>
      <c r="C456" t="s">
        <v>5043</v>
      </c>
      <c r="D456" t="s">
        <v>8401</v>
      </c>
    </row>
    <row r="457" spans="1:4" ht="15" x14ac:dyDescent="0.25">
      <c r="A457">
        <v>11459</v>
      </c>
      <c r="B457" t="s">
        <v>10799</v>
      </c>
      <c r="C457" t="s">
        <v>5043</v>
      </c>
      <c r="D457" t="s">
        <v>8401</v>
      </c>
    </row>
    <row r="458" spans="1:4" ht="15" x14ac:dyDescent="0.25">
      <c r="A458">
        <v>11462</v>
      </c>
      <c r="B458" t="s">
        <v>10799</v>
      </c>
      <c r="C458" t="s">
        <v>5043</v>
      </c>
      <c r="D458" t="s">
        <v>8401</v>
      </c>
    </row>
    <row r="459" spans="1:4" ht="15" x14ac:dyDescent="0.25">
      <c r="A459">
        <v>11463</v>
      </c>
      <c r="B459" t="s">
        <v>10799</v>
      </c>
      <c r="C459" t="s">
        <v>5043</v>
      </c>
      <c r="D459" t="s">
        <v>8401</v>
      </c>
    </row>
    <row r="460" spans="1:4" ht="15" x14ac:dyDescent="0.25">
      <c r="A460">
        <v>11467</v>
      </c>
      <c r="B460" t="s">
        <v>10799</v>
      </c>
      <c r="C460" t="s">
        <v>5043</v>
      </c>
      <c r="D460" t="s">
        <v>8401</v>
      </c>
    </row>
    <row r="461" spans="1:4" ht="15" x14ac:dyDescent="0.25">
      <c r="A461">
        <v>11477</v>
      </c>
      <c r="B461" t="s">
        <v>10799</v>
      </c>
      <c r="C461" t="s">
        <v>5043</v>
      </c>
      <c r="D461" t="s">
        <v>8401</v>
      </c>
    </row>
    <row r="462" spans="1:4" ht="15" x14ac:dyDescent="0.25">
      <c r="A462">
        <v>11485</v>
      </c>
      <c r="B462" t="s">
        <v>10799</v>
      </c>
      <c r="C462" t="s">
        <v>5043</v>
      </c>
      <c r="D462" t="s">
        <v>8401</v>
      </c>
    </row>
    <row r="463" spans="1:4" ht="15" x14ac:dyDescent="0.25">
      <c r="A463">
        <v>11486</v>
      </c>
      <c r="B463" t="s">
        <v>10799</v>
      </c>
      <c r="C463" t="s">
        <v>5043</v>
      </c>
      <c r="D463" t="s">
        <v>8401</v>
      </c>
    </row>
    <row r="464" spans="1:4" ht="15" x14ac:dyDescent="0.25">
      <c r="A464">
        <v>11505</v>
      </c>
      <c r="B464" t="s">
        <v>10799</v>
      </c>
      <c r="C464" t="s">
        <v>5043</v>
      </c>
      <c r="D464" t="s">
        <v>8401</v>
      </c>
    </row>
    <row r="465" spans="1:4" ht="15" x14ac:dyDescent="0.25">
      <c r="A465">
        <v>11509</v>
      </c>
      <c r="B465" t="s">
        <v>10799</v>
      </c>
      <c r="C465" t="s">
        <v>5043</v>
      </c>
      <c r="D465" t="s">
        <v>8401</v>
      </c>
    </row>
    <row r="466" spans="1:4" ht="15" x14ac:dyDescent="0.25">
      <c r="A466">
        <v>11522</v>
      </c>
      <c r="B466" t="s">
        <v>10799</v>
      </c>
      <c r="C466" t="s">
        <v>5043</v>
      </c>
      <c r="D466" t="s">
        <v>8401</v>
      </c>
    </row>
    <row r="467" spans="1:4" ht="15" x14ac:dyDescent="0.25">
      <c r="A467">
        <v>11531</v>
      </c>
      <c r="B467" t="s">
        <v>10799</v>
      </c>
      <c r="C467" t="s">
        <v>5043</v>
      </c>
      <c r="D467" t="s">
        <v>8401</v>
      </c>
    </row>
    <row r="468" spans="1:4" ht="15" x14ac:dyDescent="0.25">
      <c r="A468">
        <v>11538</v>
      </c>
      <c r="B468" t="s">
        <v>10799</v>
      </c>
      <c r="C468" t="s">
        <v>5043</v>
      </c>
      <c r="D468" t="s">
        <v>8401</v>
      </c>
    </row>
    <row r="469" spans="1:4" ht="15" x14ac:dyDescent="0.25">
      <c r="A469">
        <v>11539</v>
      </c>
      <c r="B469" t="s">
        <v>10799</v>
      </c>
      <c r="C469" t="s">
        <v>5043</v>
      </c>
      <c r="D469" t="s">
        <v>8401</v>
      </c>
    </row>
    <row r="470" spans="1:4" ht="15" x14ac:dyDescent="0.25">
      <c r="A470">
        <v>11545</v>
      </c>
      <c r="B470" t="s">
        <v>10799</v>
      </c>
      <c r="C470" t="s">
        <v>5043</v>
      </c>
      <c r="D470" t="s">
        <v>8401</v>
      </c>
    </row>
    <row r="471" spans="1:4" ht="15" x14ac:dyDescent="0.25">
      <c r="A471">
        <v>11547</v>
      </c>
      <c r="B471" t="s">
        <v>10799</v>
      </c>
      <c r="C471" t="s">
        <v>5043</v>
      </c>
      <c r="D471" t="s">
        <v>8401</v>
      </c>
    </row>
    <row r="472" spans="1:4" ht="15" x14ac:dyDescent="0.25">
      <c r="A472">
        <v>11553</v>
      </c>
      <c r="B472" t="s">
        <v>10799</v>
      </c>
      <c r="C472" t="s">
        <v>5043</v>
      </c>
      <c r="D472" t="s">
        <v>8401</v>
      </c>
    </row>
    <row r="473" spans="1:4" ht="15" x14ac:dyDescent="0.25">
      <c r="A473">
        <v>11558</v>
      </c>
      <c r="B473" t="s">
        <v>10799</v>
      </c>
      <c r="C473" t="s">
        <v>5043</v>
      </c>
      <c r="D473" t="s">
        <v>8401</v>
      </c>
    </row>
    <row r="474" spans="1:4" ht="15" x14ac:dyDescent="0.25">
      <c r="A474">
        <v>11559</v>
      </c>
      <c r="B474" t="s">
        <v>10799</v>
      </c>
      <c r="C474" t="s">
        <v>5043</v>
      </c>
      <c r="D474" t="s">
        <v>8401</v>
      </c>
    </row>
    <row r="475" spans="1:4" ht="15" x14ac:dyDescent="0.25">
      <c r="A475">
        <v>11562</v>
      </c>
      <c r="B475" t="s">
        <v>10799</v>
      </c>
      <c r="C475" t="s">
        <v>5043</v>
      </c>
      <c r="D475" t="s">
        <v>8401</v>
      </c>
    </row>
    <row r="476" spans="1:4" ht="15" x14ac:dyDescent="0.25">
      <c r="A476">
        <v>11565</v>
      </c>
      <c r="B476" t="s">
        <v>10799</v>
      </c>
      <c r="C476" t="s">
        <v>5043</v>
      </c>
      <c r="D476" t="s">
        <v>8401</v>
      </c>
    </row>
    <row r="477" spans="1:4" ht="15" x14ac:dyDescent="0.25">
      <c r="A477">
        <v>11570</v>
      </c>
      <c r="B477" t="s">
        <v>10799</v>
      </c>
      <c r="C477" t="s">
        <v>5043</v>
      </c>
      <c r="D477" t="s">
        <v>8401</v>
      </c>
    </row>
    <row r="478" spans="1:4" ht="15" x14ac:dyDescent="0.25">
      <c r="A478">
        <v>11574</v>
      </c>
      <c r="B478" t="s">
        <v>10799</v>
      </c>
      <c r="C478" t="s">
        <v>5043</v>
      </c>
      <c r="D478" t="s">
        <v>8401</v>
      </c>
    </row>
    <row r="479" spans="1:4" ht="15" x14ac:dyDescent="0.25">
      <c r="A479">
        <v>11578</v>
      </c>
      <c r="B479" t="s">
        <v>10799</v>
      </c>
      <c r="C479" t="s">
        <v>5043</v>
      </c>
      <c r="D479" t="s">
        <v>8401</v>
      </c>
    </row>
    <row r="480" spans="1:4" ht="15" x14ac:dyDescent="0.25">
      <c r="A480">
        <v>11581</v>
      </c>
      <c r="B480" t="s">
        <v>10799</v>
      </c>
      <c r="C480" t="s">
        <v>5043</v>
      </c>
      <c r="D480" t="s">
        <v>8401</v>
      </c>
    </row>
    <row r="481" spans="1:4" ht="15" x14ac:dyDescent="0.25">
      <c r="A481">
        <v>11582</v>
      </c>
      <c r="B481" t="s">
        <v>10799</v>
      </c>
      <c r="C481" t="s">
        <v>5043</v>
      </c>
      <c r="D481" t="s">
        <v>8401</v>
      </c>
    </row>
    <row r="482" spans="1:4" ht="15" x14ac:dyDescent="0.25">
      <c r="A482">
        <v>11586</v>
      </c>
      <c r="B482" t="s">
        <v>10799</v>
      </c>
      <c r="C482" t="s">
        <v>5043</v>
      </c>
      <c r="D482" t="s">
        <v>8401</v>
      </c>
    </row>
    <row r="483" spans="1:4" ht="15" x14ac:dyDescent="0.25">
      <c r="A483">
        <v>11603</v>
      </c>
      <c r="B483" t="s">
        <v>10799</v>
      </c>
      <c r="C483" t="s">
        <v>5043</v>
      </c>
      <c r="D483" t="s">
        <v>8401</v>
      </c>
    </row>
    <row r="484" spans="1:4" ht="15" x14ac:dyDescent="0.25">
      <c r="A484">
        <v>11605</v>
      </c>
      <c r="B484" t="s">
        <v>10799</v>
      </c>
      <c r="C484" t="s">
        <v>5043</v>
      </c>
      <c r="D484" t="s">
        <v>8401</v>
      </c>
    </row>
    <row r="485" spans="1:4" ht="15" x14ac:dyDescent="0.25">
      <c r="A485">
        <v>11607</v>
      </c>
      <c r="B485" t="s">
        <v>10799</v>
      </c>
      <c r="C485" t="s">
        <v>5043</v>
      </c>
      <c r="D485" t="s">
        <v>8401</v>
      </c>
    </row>
    <row r="486" spans="1:4" ht="15" x14ac:dyDescent="0.25">
      <c r="A486">
        <v>11612</v>
      </c>
      <c r="B486" t="s">
        <v>10799</v>
      </c>
      <c r="C486" t="s">
        <v>5043</v>
      </c>
      <c r="D486" t="s">
        <v>8401</v>
      </c>
    </row>
    <row r="487" spans="1:4" ht="15" x14ac:dyDescent="0.25">
      <c r="A487">
        <v>11619</v>
      </c>
      <c r="B487" t="s">
        <v>10799</v>
      </c>
      <c r="C487" t="s">
        <v>5043</v>
      </c>
      <c r="D487" t="s">
        <v>8401</v>
      </c>
    </row>
    <row r="488" spans="1:4" ht="15" x14ac:dyDescent="0.25">
      <c r="A488">
        <v>11623</v>
      </c>
      <c r="B488" t="s">
        <v>10799</v>
      </c>
      <c r="C488" t="s">
        <v>5043</v>
      </c>
      <c r="D488" t="s">
        <v>8401</v>
      </c>
    </row>
    <row r="489" spans="1:4" ht="15" x14ac:dyDescent="0.25">
      <c r="A489">
        <v>11629</v>
      </c>
      <c r="B489" t="s">
        <v>10799</v>
      </c>
      <c r="C489" t="s">
        <v>5043</v>
      </c>
      <c r="D489" t="s">
        <v>8401</v>
      </c>
    </row>
    <row r="490" spans="1:4" ht="15" x14ac:dyDescent="0.25">
      <c r="A490">
        <v>11634</v>
      </c>
      <c r="B490" t="s">
        <v>10799</v>
      </c>
      <c r="C490" t="s">
        <v>5043</v>
      </c>
      <c r="D490" t="s">
        <v>8401</v>
      </c>
    </row>
    <row r="491" spans="1:4" ht="15" x14ac:dyDescent="0.25">
      <c r="A491">
        <v>11642</v>
      </c>
      <c r="B491" t="s">
        <v>10799</v>
      </c>
      <c r="C491" t="s">
        <v>5043</v>
      </c>
      <c r="D491" t="s">
        <v>8401</v>
      </c>
    </row>
    <row r="492" spans="1:4" ht="15" x14ac:dyDescent="0.25">
      <c r="A492">
        <v>11643</v>
      </c>
      <c r="B492" t="s">
        <v>10799</v>
      </c>
      <c r="C492" t="s">
        <v>5043</v>
      </c>
      <c r="D492" t="s">
        <v>8401</v>
      </c>
    </row>
    <row r="493" spans="1:4" ht="15" x14ac:dyDescent="0.25">
      <c r="A493">
        <v>11652</v>
      </c>
      <c r="B493" t="s">
        <v>10799</v>
      </c>
      <c r="C493" t="s">
        <v>5043</v>
      </c>
      <c r="D493" t="s">
        <v>8401</v>
      </c>
    </row>
    <row r="494" spans="1:4" ht="15" x14ac:dyDescent="0.25">
      <c r="A494">
        <v>11655</v>
      </c>
      <c r="B494" t="s">
        <v>10799</v>
      </c>
      <c r="C494" t="s">
        <v>5043</v>
      </c>
      <c r="D494" t="s">
        <v>8401</v>
      </c>
    </row>
    <row r="495" spans="1:4" ht="15" x14ac:dyDescent="0.25">
      <c r="A495">
        <v>11664</v>
      </c>
      <c r="B495" t="s">
        <v>10799</v>
      </c>
      <c r="C495" t="s">
        <v>5043</v>
      </c>
      <c r="D495" t="s">
        <v>8401</v>
      </c>
    </row>
    <row r="496" spans="1:4" ht="15" x14ac:dyDescent="0.25">
      <c r="A496">
        <v>11666</v>
      </c>
      <c r="B496" t="s">
        <v>10799</v>
      </c>
      <c r="C496" t="s">
        <v>5043</v>
      </c>
      <c r="D496" t="s">
        <v>8401</v>
      </c>
    </row>
    <row r="497" spans="1:4" ht="15" x14ac:dyDescent="0.25">
      <c r="A497">
        <v>11668</v>
      </c>
      <c r="B497" t="s">
        <v>10799</v>
      </c>
      <c r="C497" t="s">
        <v>5043</v>
      </c>
      <c r="D497" t="s">
        <v>8401</v>
      </c>
    </row>
    <row r="498" spans="1:4" ht="15" x14ac:dyDescent="0.25">
      <c r="A498">
        <v>11672</v>
      </c>
      <c r="B498" t="s">
        <v>10799</v>
      </c>
      <c r="C498" t="s">
        <v>5043</v>
      </c>
      <c r="D498" t="s">
        <v>8401</v>
      </c>
    </row>
    <row r="499" spans="1:4" ht="15" x14ac:dyDescent="0.25">
      <c r="A499">
        <v>11678</v>
      </c>
      <c r="B499" t="s">
        <v>10799</v>
      </c>
      <c r="C499" t="s">
        <v>5043</v>
      </c>
      <c r="D499" t="s">
        <v>8401</v>
      </c>
    </row>
    <row r="500" spans="1:4" ht="15" x14ac:dyDescent="0.25">
      <c r="A500">
        <v>11682</v>
      </c>
      <c r="B500" t="s">
        <v>10799</v>
      </c>
      <c r="C500" t="s">
        <v>5043</v>
      </c>
      <c r="D500" t="s">
        <v>8401</v>
      </c>
    </row>
    <row r="501" spans="1:4" ht="15" x14ac:dyDescent="0.25">
      <c r="A501">
        <v>11691</v>
      </c>
      <c r="B501" t="s">
        <v>10799</v>
      </c>
      <c r="C501" t="s">
        <v>5043</v>
      </c>
      <c r="D501" t="s">
        <v>8401</v>
      </c>
    </row>
    <row r="502" spans="1:4" ht="15" x14ac:dyDescent="0.25">
      <c r="A502">
        <v>11692</v>
      </c>
      <c r="B502" t="s">
        <v>10799</v>
      </c>
      <c r="C502" t="s">
        <v>5043</v>
      </c>
      <c r="D502" t="s">
        <v>8401</v>
      </c>
    </row>
    <row r="503" spans="1:4" ht="15" x14ac:dyDescent="0.25">
      <c r="A503">
        <v>11696</v>
      </c>
      <c r="B503" t="s">
        <v>10799</v>
      </c>
      <c r="C503" t="s">
        <v>5043</v>
      </c>
      <c r="D503" t="s">
        <v>8401</v>
      </c>
    </row>
    <row r="504" spans="1:4" ht="15" x14ac:dyDescent="0.25">
      <c r="A504">
        <v>11702</v>
      </c>
      <c r="B504" t="s">
        <v>10799</v>
      </c>
      <c r="C504" t="s">
        <v>5043</v>
      </c>
      <c r="D504" t="s">
        <v>8401</v>
      </c>
    </row>
    <row r="505" spans="1:4" ht="15" x14ac:dyDescent="0.25">
      <c r="A505">
        <v>11706</v>
      </c>
      <c r="B505" t="s">
        <v>10799</v>
      </c>
      <c r="C505" t="s">
        <v>5043</v>
      </c>
      <c r="D505" t="s">
        <v>8401</v>
      </c>
    </row>
    <row r="506" spans="1:4" ht="15" x14ac:dyDescent="0.25">
      <c r="A506">
        <v>11714</v>
      </c>
      <c r="B506" t="s">
        <v>10799</v>
      </c>
      <c r="C506" t="s">
        <v>5043</v>
      </c>
      <c r="D506" t="s">
        <v>8401</v>
      </c>
    </row>
    <row r="507" spans="1:4" ht="15" x14ac:dyDescent="0.25">
      <c r="A507">
        <v>11717</v>
      </c>
      <c r="B507" t="s">
        <v>10799</v>
      </c>
      <c r="C507" t="s">
        <v>5043</v>
      </c>
      <c r="D507" t="s">
        <v>8401</v>
      </c>
    </row>
    <row r="508" spans="1:4" ht="15" x14ac:dyDescent="0.25">
      <c r="A508">
        <v>11723</v>
      </c>
      <c r="B508" t="s">
        <v>10799</v>
      </c>
      <c r="C508" t="s">
        <v>5043</v>
      </c>
      <c r="D508" t="s">
        <v>8401</v>
      </c>
    </row>
    <row r="509" spans="1:4" ht="15" x14ac:dyDescent="0.25">
      <c r="A509">
        <v>11725</v>
      </c>
      <c r="B509" t="s">
        <v>10799</v>
      </c>
      <c r="C509" t="s">
        <v>5043</v>
      </c>
      <c r="D509" t="s">
        <v>8401</v>
      </c>
    </row>
    <row r="510" spans="1:4" ht="15" x14ac:dyDescent="0.25">
      <c r="A510">
        <v>11730</v>
      </c>
      <c r="B510" t="s">
        <v>10799</v>
      </c>
      <c r="C510" t="s">
        <v>5043</v>
      </c>
      <c r="D510" t="s">
        <v>8401</v>
      </c>
    </row>
    <row r="511" spans="1:4" ht="15" x14ac:dyDescent="0.25">
      <c r="A511">
        <v>11736</v>
      </c>
      <c r="B511" t="s">
        <v>10799</v>
      </c>
      <c r="C511" t="s">
        <v>5043</v>
      </c>
      <c r="D511" t="s">
        <v>8401</v>
      </c>
    </row>
    <row r="512" spans="1:4" ht="15" x14ac:dyDescent="0.25">
      <c r="A512">
        <v>11737</v>
      </c>
      <c r="B512" t="s">
        <v>10799</v>
      </c>
      <c r="C512" t="s">
        <v>5043</v>
      </c>
      <c r="D512" t="s">
        <v>8401</v>
      </c>
    </row>
    <row r="513" spans="1:4" ht="15" x14ac:dyDescent="0.25">
      <c r="A513">
        <v>11739</v>
      </c>
      <c r="B513" t="s">
        <v>10799</v>
      </c>
      <c r="C513" t="s">
        <v>5043</v>
      </c>
      <c r="D513" t="s">
        <v>8401</v>
      </c>
    </row>
    <row r="514" spans="1:4" ht="15" x14ac:dyDescent="0.25">
      <c r="A514">
        <v>11746</v>
      </c>
      <c r="B514" t="s">
        <v>10799</v>
      </c>
      <c r="C514" t="s">
        <v>5043</v>
      </c>
      <c r="D514" t="s">
        <v>8401</v>
      </c>
    </row>
    <row r="515" spans="1:4" ht="15" x14ac:dyDescent="0.25">
      <c r="A515">
        <v>11750</v>
      </c>
      <c r="B515" t="s">
        <v>10799</v>
      </c>
      <c r="C515" t="s">
        <v>5043</v>
      </c>
      <c r="D515" t="s">
        <v>8401</v>
      </c>
    </row>
    <row r="516" spans="1:4" ht="15" x14ac:dyDescent="0.25">
      <c r="A516">
        <v>11752</v>
      </c>
      <c r="B516" t="s">
        <v>10799</v>
      </c>
      <c r="C516" t="s">
        <v>5043</v>
      </c>
      <c r="D516" t="s">
        <v>8401</v>
      </c>
    </row>
    <row r="517" spans="1:4" ht="15" x14ac:dyDescent="0.25">
      <c r="A517">
        <v>11756</v>
      </c>
      <c r="B517" t="s">
        <v>10799</v>
      </c>
      <c r="C517" t="s">
        <v>5043</v>
      </c>
      <c r="D517" t="s">
        <v>8401</v>
      </c>
    </row>
    <row r="518" spans="1:4" ht="15" x14ac:dyDescent="0.25">
      <c r="A518">
        <v>11757</v>
      </c>
      <c r="B518" t="s">
        <v>10799</v>
      </c>
      <c r="C518" t="s">
        <v>5043</v>
      </c>
      <c r="D518" t="s">
        <v>8401</v>
      </c>
    </row>
    <row r="519" spans="1:4" ht="15" x14ac:dyDescent="0.25">
      <c r="A519">
        <v>11760</v>
      </c>
      <c r="B519" t="s">
        <v>10799</v>
      </c>
      <c r="C519" t="s">
        <v>5043</v>
      </c>
      <c r="D519" t="s">
        <v>8401</v>
      </c>
    </row>
    <row r="520" spans="1:4" ht="15" x14ac:dyDescent="0.25">
      <c r="A520">
        <v>11761</v>
      </c>
      <c r="B520" t="s">
        <v>10799</v>
      </c>
      <c r="C520" t="s">
        <v>5043</v>
      </c>
      <c r="D520" t="s">
        <v>8401</v>
      </c>
    </row>
    <row r="521" spans="1:4" ht="15" x14ac:dyDescent="0.25">
      <c r="A521">
        <v>11762</v>
      </c>
      <c r="B521" t="s">
        <v>10799</v>
      </c>
      <c r="C521" t="s">
        <v>5043</v>
      </c>
      <c r="D521" t="s">
        <v>8401</v>
      </c>
    </row>
    <row r="522" spans="1:4" ht="15" x14ac:dyDescent="0.25">
      <c r="A522">
        <v>11764</v>
      </c>
      <c r="B522" t="s">
        <v>10799</v>
      </c>
      <c r="C522" t="s">
        <v>5043</v>
      </c>
      <c r="D522" t="s">
        <v>8401</v>
      </c>
    </row>
    <row r="523" spans="1:4" ht="15" x14ac:dyDescent="0.25">
      <c r="A523">
        <v>11767</v>
      </c>
      <c r="B523" t="s">
        <v>10799</v>
      </c>
      <c r="C523" t="s">
        <v>5043</v>
      </c>
      <c r="D523" t="s">
        <v>8401</v>
      </c>
    </row>
    <row r="524" spans="1:4" ht="15" x14ac:dyDescent="0.25">
      <c r="A524">
        <v>11768</v>
      </c>
      <c r="B524" t="s">
        <v>10799</v>
      </c>
      <c r="C524" t="s">
        <v>5043</v>
      </c>
      <c r="D524" t="s">
        <v>8401</v>
      </c>
    </row>
    <row r="525" spans="1:4" ht="15" x14ac:dyDescent="0.25">
      <c r="A525">
        <v>11769</v>
      </c>
      <c r="B525" t="s">
        <v>10799</v>
      </c>
      <c r="C525" t="s">
        <v>5043</v>
      </c>
      <c r="D525" t="s">
        <v>8401</v>
      </c>
    </row>
    <row r="526" spans="1:4" ht="15" x14ac:dyDescent="0.25">
      <c r="A526">
        <v>11773</v>
      </c>
      <c r="B526" t="s">
        <v>10799</v>
      </c>
      <c r="C526" t="s">
        <v>5043</v>
      </c>
      <c r="D526" t="s">
        <v>8401</v>
      </c>
    </row>
    <row r="527" spans="1:4" ht="15" x14ac:dyDescent="0.25">
      <c r="A527">
        <v>11776</v>
      </c>
      <c r="B527" t="s">
        <v>10799</v>
      </c>
      <c r="C527" t="s">
        <v>5043</v>
      </c>
      <c r="D527" t="s">
        <v>8401</v>
      </c>
    </row>
    <row r="528" spans="1:4" ht="15" x14ac:dyDescent="0.25">
      <c r="A528">
        <v>11780</v>
      </c>
      <c r="B528" t="s">
        <v>10799</v>
      </c>
      <c r="C528" t="s">
        <v>5043</v>
      </c>
      <c r="D528" t="s">
        <v>8401</v>
      </c>
    </row>
    <row r="529" spans="1:4" ht="15" x14ac:dyDescent="0.25">
      <c r="A529">
        <v>11789</v>
      </c>
      <c r="B529" t="s">
        <v>10799</v>
      </c>
      <c r="C529" t="s">
        <v>5043</v>
      </c>
      <c r="D529" t="s">
        <v>8401</v>
      </c>
    </row>
    <row r="530" spans="1:4" ht="15" x14ac:dyDescent="0.25">
      <c r="A530">
        <v>11790</v>
      </c>
      <c r="B530" t="s">
        <v>10799</v>
      </c>
      <c r="C530" t="s">
        <v>5043</v>
      </c>
      <c r="D530" t="s">
        <v>8401</v>
      </c>
    </row>
    <row r="531" spans="1:4" ht="15" x14ac:dyDescent="0.25">
      <c r="A531">
        <v>11795</v>
      </c>
      <c r="B531" t="s">
        <v>10799</v>
      </c>
      <c r="C531" t="s">
        <v>5043</v>
      </c>
      <c r="D531" t="s">
        <v>8401</v>
      </c>
    </row>
    <row r="532" spans="1:4" ht="15" x14ac:dyDescent="0.25">
      <c r="A532">
        <v>11803</v>
      </c>
      <c r="B532" t="s">
        <v>10799</v>
      </c>
      <c r="C532" t="s">
        <v>5043</v>
      </c>
      <c r="D532" t="s">
        <v>8401</v>
      </c>
    </row>
    <row r="533" spans="1:4" ht="15" x14ac:dyDescent="0.25">
      <c r="A533">
        <v>11809</v>
      </c>
      <c r="B533" t="s">
        <v>10799</v>
      </c>
      <c r="C533" t="s">
        <v>5043</v>
      </c>
      <c r="D533" t="s">
        <v>8401</v>
      </c>
    </row>
    <row r="534" spans="1:4" ht="15" x14ac:dyDescent="0.25">
      <c r="A534">
        <v>11810</v>
      </c>
      <c r="B534" t="s">
        <v>10799</v>
      </c>
      <c r="C534" t="s">
        <v>5043</v>
      </c>
      <c r="D534" t="s">
        <v>8401</v>
      </c>
    </row>
    <row r="535" spans="1:4" ht="15" x14ac:dyDescent="0.25">
      <c r="A535">
        <v>11818</v>
      </c>
      <c r="B535" t="s">
        <v>10799</v>
      </c>
      <c r="C535" t="s">
        <v>5043</v>
      </c>
      <c r="D535" t="s">
        <v>8401</v>
      </c>
    </row>
    <row r="536" spans="1:4" ht="15" x14ac:dyDescent="0.25">
      <c r="A536">
        <v>11819</v>
      </c>
      <c r="B536" t="s">
        <v>10799</v>
      </c>
      <c r="C536" t="s">
        <v>5043</v>
      </c>
      <c r="D536" t="s">
        <v>8401</v>
      </c>
    </row>
    <row r="537" spans="1:4" ht="15" x14ac:dyDescent="0.25">
      <c r="A537">
        <v>11846</v>
      </c>
      <c r="B537" t="s">
        <v>10799</v>
      </c>
      <c r="C537" t="s">
        <v>5043</v>
      </c>
      <c r="D537" t="s">
        <v>8401</v>
      </c>
    </row>
    <row r="538" spans="1:4" ht="15" x14ac:dyDescent="0.25">
      <c r="A538">
        <v>11847</v>
      </c>
      <c r="B538" t="s">
        <v>10799</v>
      </c>
      <c r="C538" t="s">
        <v>5043</v>
      </c>
      <c r="D538" t="s">
        <v>8401</v>
      </c>
    </row>
    <row r="539" spans="1:4" ht="15" x14ac:dyDescent="0.25">
      <c r="A539">
        <v>11849</v>
      </c>
      <c r="B539" t="s">
        <v>10799</v>
      </c>
      <c r="C539" t="s">
        <v>5043</v>
      </c>
      <c r="D539" t="s">
        <v>8401</v>
      </c>
    </row>
    <row r="540" spans="1:4" ht="15" x14ac:dyDescent="0.25">
      <c r="A540">
        <v>11871</v>
      </c>
      <c r="B540" t="s">
        <v>10799</v>
      </c>
      <c r="C540" t="s">
        <v>5043</v>
      </c>
      <c r="D540" t="s">
        <v>8401</v>
      </c>
    </row>
    <row r="541" spans="1:4" ht="15" x14ac:dyDescent="0.25">
      <c r="A541">
        <v>11872</v>
      </c>
      <c r="B541" t="s">
        <v>10799</v>
      </c>
      <c r="C541" t="s">
        <v>5043</v>
      </c>
      <c r="D541" t="s">
        <v>8401</v>
      </c>
    </row>
    <row r="542" spans="1:4" ht="15" x14ac:dyDescent="0.25">
      <c r="A542">
        <v>11874</v>
      </c>
      <c r="B542" t="s">
        <v>10799</v>
      </c>
      <c r="C542" t="s">
        <v>5043</v>
      </c>
      <c r="D542" t="s">
        <v>8401</v>
      </c>
    </row>
    <row r="543" spans="1:4" ht="15" x14ac:dyDescent="0.25">
      <c r="A543">
        <v>11884</v>
      </c>
      <c r="B543" t="s">
        <v>10799</v>
      </c>
      <c r="C543" t="s">
        <v>5043</v>
      </c>
      <c r="D543" t="s">
        <v>8401</v>
      </c>
    </row>
    <row r="544" spans="1:4" ht="15" x14ac:dyDescent="0.25">
      <c r="A544">
        <v>11885</v>
      </c>
      <c r="B544" t="s">
        <v>10799</v>
      </c>
      <c r="C544" t="s">
        <v>5043</v>
      </c>
      <c r="D544" t="s">
        <v>8401</v>
      </c>
    </row>
    <row r="545" spans="1:4" ht="15" x14ac:dyDescent="0.25">
      <c r="A545">
        <v>11897</v>
      </c>
      <c r="B545" t="s">
        <v>10799</v>
      </c>
      <c r="C545" t="s">
        <v>5043</v>
      </c>
      <c r="D545" t="s">
        <v>8401</v>
      </c>
    </row>
    <row r="546" spans="1:4" ht="15" x14ac:dyDescent="0.25">
      <c r="A546">
        <v>11900</v>
      </c>
      <c r="B546" t="s">
        <v>10799</v>
      </c>
      <c r="C546" t="s">
        <v>5043</v>
      </c>
      <c r="D546" t="s">
        <v>8401</v>
      </c>
    </row>
    <row r="547" spans="1:4" ht="15" x14ac:dyDescent="0.25">
      <c r="A547">
        <v>11905</v>
      </c>
      <c r="B547" t="s">
        <v>10799</v>
      </c>
      <c r="C547" t="s">
        <v>5043</v>
      </c>
      <c r="D547" t="s">
        <v>8401</v>
      </c>
    </row>
    <row r="548" spans="1:4" ht="15" x14ac:dyDescent="0.25">
      <c r="A548">
        <v>11906</v>
      </c>
      <c r="B548" t="s">
        <v>10799</v>
      </c>
      <c r="C548" t="s">
        <v>5043</v>
      </c>
      <c r="D548" t="s">
        <v>8401</v>
      </c>
    </row>
    <row r="549" spans="1:4" ht="15" x14ac:dyDescent="0.25">
      <c r="A549">
        <v>11907</v>
      </c>
      <c r="B549" t="s">
        <v>10799</v>
      </c>
      <c r="C549" t="s">
        <v>5043</v>
      </c>
      <c r="D549" t="s">
        <v>8401</v>
      </c>
    </row>
    <row r="550" spans="1:4" ht="15" x14ac:dyDescent="0.25">
      <c r="A550">
        <v>11909</v>
      </c>
      <c r="B550" t="s">
        <v>10799</v>
      </c>
      <c r="C550" t="s">
        <v>5043</v>
      </c>
      <c r="D550" t="s">
        <v>8401</v>
      </c>
    </row>
    <row r="551" spans="1:4" ht="15" x14ac:dyDescent="0.25">
      <c r="A551">
        <v>11912</v>
      </c>
      <c r="B551" t="s">
        <v>10799</v>
      </c>
      <c r="C551" t="s">
        <v>5043</v>
      </c>
      <c r="D551" t="s">
        <v>8401</v>
      </c>
    </row>
    <row r="552" spans="1:4" ht="15" x14ac:dyDescent="0.25">
      <c r="A552">
        <v>11913</v>
      </c>
      <c r="B552" t="s">
        <v>10799</v>
      </c>
      <c r="C552" t="s">
        <v>5043</v>
      </c>
      <c r="D552" t="s">
        <v>8401</v>
      </c>
    </row>
    <row r="553" spans="1:4" ht="15" x14ac:dyDescent="0.25">
      <c r="A553">
        <v>11914</v>
      </c>
      <c r="B553" t="s">
        <v>10799</v>
      </c>
      <c r="C553" t="s">
        <v>5043</v>
      </c>
      <c r="D553" t="s">
        <v>8401</v>
      </c>
    </row>
    <row r="554" spans="1:4" ht="15" x14ac:dyDescent="0.25">
      <c r="A554">
        <v>11923</v>
      </c>
      <c r="B554" t="s">
        <v>10799</v>
      </c>
      <c r="C554" t="s">
        <v>5043</v>
      </c>
      <c r="D554" t="s">
        <v>8401</v>
      </c>
    </row>
    <row r="555" spans="1:4" ht="15" x14ac:dyDescent="0.25">
      <c r="A555">
        <v>11930</v>
      </c>
      <c r="B555" t="s">
        <v>10799</v>
      </c>
      <c r="C555" t="s">
        <v>5043</v>
      </c>
      <c r="D555" t="s">
        <v>8401</v>
      </c>
    </row>
    <row r="556" spans="1:4" ht="15" x14ac:dyDescent="0.25">
      <c r="A556">
        <v>11932</v>
      </c>
      <c r="B556" t="s">
        <v>10799</v>
      </c>
      <c r="C556" t="s">
        <v>5043</v>
      </c>
      <c r="D556" t="s">
        <v>8401</v>
      </c>
    </row>
    <row r="557" spans="1:4" ht="15" x14ac:dyDescent="0.25">
      <c r="A557">
        <v>11933</v>
      </c>
      <c r="B557" t="s">
        <v>10799</v>
      </c>
      <c r="C557" t="s">
        <v>5043</v>
      </c>
      <c r="D557" t="s">
        <v>8401</v>
      </c>
    </row>
    <row r="558" spans="1:4" ht="15" x14ac:dyDescent="0.25">
      <c r="A558">
        <v>11935</v>
      </c>
      <c r="B558" t="s">
        <v>10799</v>
      </c>
      <c r="C558" t="s">
        <v>5043</v>
      </c>
      <c r="D558" t="s">
        <v>8401</v>
      </c>
    </row>
    <row r="559" spans="1:4" ht="15" x14ac:dyDescent="0.25">
      <c r="A559">
        <v>11943</v>
      </c>
      <c r="B559" t="s">
        <v>10799</v>
      </c>
      <c r="C559" t="s">
        <v>5043</v>
      </c>
      <c r="D559" t="s">
        <v>8401</v>
      </c>
    </row>
    <row r="560" spans="1:4" ht="15" x14ac:dyDescent="0.25">
      <c r="A560">
        <v>11944</v>
      </c>
      <c r="B560" t="s">
        <v>10799</v>
      </c>
      <c r="C560" t="s">
        <v>5043</v>
      </c>
      <c r="D560" t="s">
        <v>8401</v>
      </c>
    </row>
    <row r="561" spans="1:4" ht="15" x14ac:dyDescent="0.25">
      <c r="A561">
        <v>11950</v>
      </c>
      <c r="B561" t="s">
        <v>10799</v>
      </c>
      <c r="C561" t="s">
        <v>5043</v>
      </c>
      <c r="D561" t="s">
        <v>8401</v>
      </c>
    </row>
    <row r="562" spans="1:4" ht="15" x14ac:dyDescent="0.25">
      <c r="A562">
        <v>11954</v>
      </c>
      <c r="B562" t="s">
        <v>10799</v>
      </c>
      <c r="C562" t="s">
        <v>5043</v>
      </c>
      <c r="D562" t="s">
        <v>8401</v>
      </c>
    </row>
    <row r="563" spans="1:4" ht="15" x14ac:dyDescent="0.25">
      <c r="A563">
        <v>11956</v>
      </c>
      <c r="B563" t="s">
        <v>10799</v>
      </c>
      <c r="C563" t="s">
        <v>5043</v>
      </c>
      <c r="D563" t="s">
        <v>8401</v>
      </c>
    </row>
    <row r="564" spans="1:4" ht="15" x14ac:dyDescent="0.25">
      <c r="A564">
        <v>11960</v>
      </c>
      <c r="B564" t="s">
        <v>10799</v>
      </c>
      <c r="C564" t="s">
        <v>5043</v>
      </c>
      <c r="D564" t="s">
        <v>8401</v>
      </c>
    </row>
    <row r="565" spans="1:4" ht="15" x14ac:dyDescent="0.25">
      <c r="A565">
        <v>11971</v>
      </c>
      <c r="B565" t="s">
        <v>10799</v>
      </c>
      <c r="C565" t="s">
        <v>5043</v>
      </c>
      <c r="D565" t="s">
        <v>8401</v>
      </c>
    </row>
    <row r="566" spans="1:4" ht="15" x14ac:dyDescent="0.25">
      <c r="A566">
        <v>11972</v>
      </c>
      <c r="B566" t="s">
        <v>10799</v>
      </c>
      <c r="C566" t="s">
        <v>5043</v>
      </c>
      <c r="D566" t="s">
        <v>8401</v>
      </c>
    </row>
    <row r="567" spans="1:4" ht="15" x14ac:dyDescent="0.25">
      <c r="A567">
        <v>11975</v>
      </c>
      <c r="B567" t="s">
        <v>10799</v>
      </c>
      <c r="C567" t="s">
        <v>5043</v>
      </c>
      <c r="D567" t="s">
        <v>8401</v>
      </c>
    </row>
    <row r="568" spans="1:4" ht="15" x14ac:dyDescent="0.25">
      <c r="A568">
        <v>11986</v>
      </c>
      <c r="B568" t="s">
        <v>10799</v>
      </c>
      <c r="C568" t="s">
        <v>5043</v>
      </c>
      <c r="D568" t="s">
        <v>8401</v>
      </c>
    </row>
    <row r="569" spans="1:4" ht="15" x14ac:dyDescent="0.25">
      <c r="A569">
        <v>11987</v>
      </c>
      <c r="B569" t="s">
        <v>10799</v>
      </c>
      <c r="C569" t="s">
        <v>5043</v>
      </c>
      <c r="D569" t="s">
        <v>8401</v>
      </c>
    </row>
    <row r="570" spans="1:4" ht="15" x14ac:dyDescent="0.25">
      <c r="A570">
        <v>11994</v>
      </c>
      <c r="B570" t="s">
        <v>10799</v>
      </c>
      <c r="C570" t="s">
        <v>5043</v>
      </c>
      <c r="D570" t="s">
        <v>8401</v>
      </c>
    </row>
    <row r="571" spans="1:4" ht="15" x14ac:dyDescent="0.25">
      <c r="A571">
        <v>11995</v>
      </c>
      <c r="B571" t="s">
        <v>10799</v>
      </c>
      <c r="C571" t="s">
        <v>5043</v>
      </c>
      <c r="D571" t="s">
        <v>8401</v>
      </c>
    </row>
    <row r="572" spans="1:4" ht="15" x14ac:dyDescent="0.25">
      <c r="A572">
        <v>11996</v>
      </c>
      <c r="B572" t="s">
        <v>10799</v>
      </c>
      <c r="C572" t="s">
        <v>5043</v>
      </c>
      <c r="D572" t="s">
        <v>8401</v>
      </c>
    </row>
    <row r="573" spans="1:4" ht="15" x14ac:dyDescent="0.25">
      <c r="A573">
        <v>11997</v>
      </c>
      <c r="B573" t="s">
        <v>10799</v>
      </c>
      <c r="C573" t="s">
        <v>5043</v>
      </c>
      <c r="D573" t="s">
        <v>8401</v>
      </c>
    </row>
    <row r="574" spans="1:4" ht="15" x14ac:dyDescent="0.25">
      <c r="A574">
        <v>11999</v>
      </c>
      <c r="B574" t="s">
        <v>10799</v>
      </c>
      <c r="C574" t="s">
        <v>5043</v>
      </c>
      <c r="D574" t="s">
        <v>8401</v>
      </c>
    </row>
    <row r="575" spans="1:4" ht="15" x14ac:dyDescent="0.25">
      <c r="A575">
        <v>12001</v>
      </c>
      <c r="B575" t="s">
        <v>10799</v>
      </c>
      <c r="C575" t="s">
        <v>5043</v>
      </c>
      <c r="D575" t="s">
        <v>8401</v>
      </c>
    </row>
    <row r="576" spans="1:4" ht="15" x14ac:dyDescent="0.25">
      <c r="A576">
        <v>12006</v>
      </c>
      <c r="B576" t="s">
        <v>10799</v>
      </c>
      <c r="C576" t="s">
        <v>5043</v>
      </c>
      <c r="D576" t="s">
        <v>8401</v>
      </c>
    </row>
    <row r="577" spans="1:4" ht="15" x14ac:dyDescent="0.25">
      <c r="A577">
        <v>12008</v>
      </c>
      <c r="B577" t="s">
        <v>10799</v>
      </c>
      <c r="C577" t="s">
        <v>5043</v>
      </c>
      <c r="D577" t="s">
        <v>8401</v>
      </c>
    </row>
    <row r="578" spans="1:4" ht="15" x14ac:dyDescent="0.25">
      <c r="A578">
        <v>12009</v>
      </c>
      <c r="B578" t="s">
        <v>10799</v>
      </c>
      <c r="C578" t="s">
        <v>5043</v>
      </c>
      <c r="D578" t="s">
        <v>8401</v>
      </c>
    </row>
    <row r="579" spans="1:4" ht="15" x14ac:dyDescent="0.25">
      <c r="A579">
        <v>12010</v>
      </c>
      <c r="B579" t="s">
        <v>10799</v>
      </c>
      <c r="C579" t="s">
        <v>5043</v>
      </c>
      <c r="D579" t="s">
        <v>8401</v>
      </c>
    </row>
    <row r="580" spans="1:4" ht="15" x14ac:dyDescent="0.25">
      <c r="A580">
        <v>12013</v>
      </c>
      <c r="B580" t="s">
        <v>10799</v>
      </c>
      <c r="C580" t="s">
        <v>5043</v>
      </c>
      <c r="D580" t="s">
        <v>8401</v>
      </c>
    </row>
    <row r="581" spans="1:4" ht="15" x14ac:dyDescent="0.25">
      <c r="A581">
        <v>12017</v>
      </c>
      <c r="B581" t="s">
        <v>10799</v>
      </c>
      <c r="C581" t="s">
        <v>5043</v>
      </c>
      <c r="D581" t="s">
        <v>8401</v>
      </c>
    </row>
    <row r="582" spans="1:4" ht="15" x14ac:dyDescent="0.25">
      <c r="A582">
        <v>12024</v>
      </c>
      <c r="B582" t="s">
        <v>10799</v>
      </c>
      <c r="C582" t="s">
        <v>5043</v>
      </c>
      <c r="D582" t="s">
        <v>8401</v>
      </c>
    </row>
    <row r="583" spans="1:4" ht="15" x14ac:dyDescent="0.25">
      <c r="A583">
        <v>12035</v>
      </c>
      <c r="B583" t="s">
        <v>10799</v>
      </c>
      <c r="C583" t="s">
        <v>5043</v>
      </c>
      <c r="D583" t="s">
        <v>8401</v>
      </c>
    </row>
    <row r="584" spans="1:4" ht="15" x14ac:dyDescent="0.25">
      <c r="A584">
        <v>12036</v>
      </c>
      <c r="B584" t="s">
        <v>10799</v>
      </c>
      <c r="C584" t="s">
        <v>5043</v>
      </c>
      <c r="D584" t="s">
        <v>8401</v>
      </c>
    </row>
    <row r="585" spans="1:4" ht="15" x14ac:dyDescent="0.25">
      <c r="A585">
        <v>12038</v>
      </c>
      <c r="B585" t="s">
        <v>10799</v>
      </c>
      <c r="C585" t="s">
        <v>5043</v>
      </c>
      <c r="D585" t="s">
        <v>8401</v>
      </c>
    </row>
    <row r="586" spans="1:4" ht="15" x14ac:dyDescent="0.25">
      <c r="A586">
        <v>12043</v>
      </c>
      <c r="B586" t="s">
        <v>10799</v>
      </c>
      <c r="C586" t="s">
        <v>5043</v>
      </c>
      <c r="D586" t="s">
        <v>8401</v>
      </c>
    </row>
    <row r="587" spans="1:4" ht="15" x14ac:dyDescent="0.25">
      <c r="A587">
        <v>12048</v>
      </c>
      <c r="B587" t="s">
        <v>10799</v>
      </c>
      <c r="C587" t="s">
        <v>5043</v>
      </c>
      <c r="D587" t="s">
        <v>8401</v>
      </c>
    </row>
    <row r="588" spans="1:4" ht="15" x14ac:dyDescent="0.25">
      <c r="A588">
        <v>12051</v>
      </c>
      <c r="B588" t="s">
        <v>10799</v>
      </c>
      <c r="C588" t="s">
        <v>5043</v>
      </c>
      <c r="D588" t="s">
        <v>8401</v>
      </c>
    </row>
    <row r="589" spans="1:4" ht="15" x14ac:dyDescent="0.25">
      <c r="A589">
        <v>12060</v>
      </c>
      <c r="B589" t="s">
        <v>10799</v>
      </c>
      <c r="C589" t="s">
        <v>5043</v>
      </c>
      <c r="D589" t="s">
        <v>8401</v>
      </c>
    </row>
    <row r="590" spans="1:4" ht="15" x14ac:dyDescent="0.25">
      <c r="A590">
        <v>12076</v>
      </c>
      <c r="B590" t="s">
        <v>10799</v>
      </c>
      <c r="C590" t="s">
        <v>5043</v>
      </c>
      <c r="D590" t="s">
        <v>8401</v>
      </c>
    </row>
    <row r="591" spans="1:4" ht="15" x14ac:dyDescent="0.25">
      <c r="A591">
        <v>12078</v>
      </c>
      <c r="B591" t="s">
        <v>10799</v>
      </c>
      <c r="C591" t="s">
        <v>5043</v>
      </c>
      <c r="D591" t="s">
        <v>8401</v>
      </c>
    </row>
    <row r="592" spans="1:4" ht="15" x14ac:dyDescent="0.25">
      <c r="A592">
        <v>12084</v>
      </c>
      <c r="B592" t="s">
        <v>10799</v>
      </c>
      <c r="C592" t="s">
        <v>5043</v>
      </c>
      <c r="D592" t="s">
        <v>8401</v>
      </c>
    </row>
    <row r="593" spans="1:4" ht="15" x14ac:dyDescent="0.25">
      <c r="A593">
        <v>12089</v>
      </c>
      <c r="B593" t="s">
        <v>10799</v>
      </c>
      <c r="C593" t="s">
        <v>5043</v>
      </c>
      <c r="D593" t="s">
        <v>8401</v>
      </c>
    </row>
    <row r="594" spans="1:4" ht="15" x14ac:dyDescent="0.25">
      <c r="A594">
        <v>12090</v>
      </c>
      <c r="B594" t="s">
        <v>10799</v>
      </c>
      <c r="C594" t="s">
        <v>5043</v>
      </c>
      <c r="D594" t="s">
        <v>8401</v>
      </c>
    </row>
    <row r="595" spans="1:4" ht="15" x14ac:dyDescent="0.25">
      <c r="A595">
        <v>12092</v>
      </c>
      <c r="B595" t="s">
        <v>10799</v>
      </c>
      <c r="C595" t="s">
        <v>5043</v>
      </c>
      <c r="D595" t="s">
        <v>8401</v>
      </c>
    </row>
    <row r="596" spans="1:4" ht="15" x14ac:dyDescent="0.25">
      <c r="A596">
        <v>12103</v>
      </c>
      <c r="B596" t="s">
        <v>10799</v>
      </c>
      <c r="C596" t="s">
        <v>5043</v>
      </c>
      <c r="D596" t="s">
        <v>8401</v>
      </c>
    </row>
    <row r="597" spans="1:4" ht="15" x14ac:dyDescent="0.25">
      <c r="A597">
        <v>12106</v>
      </c>
      <c r="B597" t="s">
        <v>10799</v>
      </c>
      <c r="C597" t="s">
        <v>5043</v>
      </c>
      <c r="D597" t="s">
        <v>8401</v>
      </c>
    </row>
    <row r="598" spans="1:4" ht="15" x14ac:dyDescent="0.25">
      <c r="A598">
        <v>12112</v>
      </c>
      <c r="B598" t="s">
        <v>10799</v>
      </c>
      <c r="C598" t="s">
        <v>5043</v>
      </c>
      <c r="D598" t="s">
        <v>8401</v>
      </c>
    </row>
    <row r="599" spans="1:4" ht="15" x14ac:dyDescent="0.25">
      <c r="A599">
        <v>12114</v>
      </c>
      <c r="B599" t="s">
        <v>10799</v>
      </c>
      <c r="C599" t="s">
        <v>5043</v>
      </c>
      <c r="D599" t="s">
        <v>8401</v>
      </c>
    </row>
    <row r="600" spans="1:4" ht="15" x14ac:dyDescent="0.25">
      <c r="A600">
        <v>12117</v>
      </c>
      <c r="B600" t="s">
        <v>10799</v>
      </c>
      <c r="C600" t="s">
        <v>5043</v>
      </c>
      <c r="D600" t="s">
        <v>8401</v>
      </c>
    </row>
    <row r="601" spans="1:4" ht="15" x14ac:dyDescent="0.25">
      <c r="A601">
        <v>12122</v>
      </c>
      <c r="B601" t="s">
        <v>10799</v>
      </c>
      <c r="C601" t="s">
        <v>5043</v>
      </c>
      <c r="D601" t="s">
        <v>8401</v>
      </c>
    </row>
    <row r="602" spans="1:4" ht="15" x14ac:dyDescent="0.25">
      <c r="A602">
        <v>12127</v>
      </c>
      <c r="B602" t="s">
        <v>10799</v>
      </c>
      <c r="C602" t="s">
        <v>5043</v>
      </c>
      <c r="D602" t="s">
        <v>8401</v>
      </c>
    </row>
    <row r="603" spans="1:4" ht="15" x14ac:dyDescent="0.25">
      <c r="A603">
        <v>12128</v>
      </c>
      <c r="B603" t="s">
        <v>10799</v>
      </c>
      <c r="C603" t="s">
        <v>5043</v>
      </c>
      <c r="D603" t="s">
        <v>8401</v>
      </c>
    </row>
    <row r="604" spans="1:4" ht="15" x14ac:dyDescent="0.25">
      <c r="A604">
        <v>12138</v>
      </c>
      <c r="B604" t="s">
        <v>10799</v>
      </c>
      <c r="C604" t="s">
        <v>5043</v>
      </c>
      <c r="D604" t="s">
        <v>8401</v>
      </c>
    </row>
    <row r="605" spans="1:4" ht="15" x14ac:dyDescent="0.25">
      <c r="A605">
        <v>12140</v>
      </c>
      <c r="B605" t="s">
        <v>10799</v>
      </c>
      <c r="C605" t="s">
        <v>5043</v>
      </c>
      <c r="D605" t="s">
        <v>8401</v>
      </c>
    </row>
    <row r="606" spans="1:4" ht="15" x14ac:dyDescent="0.25">
      <c r="A606">
        <v>12158</v>
      </c>
      <c r="B606" t="s">
        <v>10799</v>
      </c>
      <c r="C606" t="s">
        <v>5043</v>
      </c>
      <c r="D606" t="s">
        <v>8401</v>
      </c>
    </row>
    <row r="607" spans="1:4" ht="15" x14ac:dyDescent="0.25">
      <c r="A607">
        <v>12189</v>
      </c>
      <c r="B607" t="s">
        <v>10799</v>
      </c>
      <c r="C607" t="s">
        <v>5043</v>
      </c>
      <c r="D607" t="s">
        <v>8401</v>
      </c>
    </row>
    <row r="608" spans="1:4" ht="15" x14ac:dyDescent="0.25">
      <c r="A608">
        <v>12190</v>
      </c>
      <c r="B608" t="s">
        <v>10799</v>
      </c>
      <c r="C608" t="s">
        <v>5043</v>
      </c>
      <c r="D608" t="s">
        <v>8401</v>
      </c>
    </row>
    <row r="609" spans="1:4" ht="15" x14ac:dyDescent="0.25">
      <c r="A609">
        <v>12193</v>
      </c>
      <c r="B609" t="s">
        <v>10799</v>
      </c>
      <c r="C609" t="s">
        <v>5043</v>
      </c>
      <c r="D609" t="s">
        <v>8401</v>
      </c>
    </row>
    <row r="610" spans="1:4" ht="15" x14ac:dyDescent="0.25">
      <c r="A610">
        <v>12197</v>
      </c>
      <c r="B610" t="s">
        <v>10799</v>
      </c>
      <c r="C610" t="s">
        <v>5043</v>
      </c>
      <c r="D610" t="s">
        <v>8401</v>
      </c>
    </row>
    <row r="611" spans="1:4" ht="15" x14ac:dyDescent="0.25">
      <c r="A611">
        <v>12199</v>
      </c>
      <c r="B611" t="s">
        <v>10799</v>
      </c>
      <c r="C611" t="s">
        <v>5043</v>
      </c>
      <c r="D611" t="s">
        <v>8401</v>
      </c>
    </row>
    <row r="612" spans="1:4" ht="15" x14ac:dyDescent="0.25">
      <c r="A612">
        <v>12211</v>
      </c>
      <c r="B612" t="s">
        <v>10799</v>
      </c>
      <c r="C612" t="s">
        <v>5043</v>
      </c>
      <c r="D612" t="s">
        <v>8401</v>
      </c>
    </row>
    <row r="613" spans="1:4" ht="15" x14ac:dyDescent="0.25">
      <c r="A613">
        <v>12212</v>
      </c>
      <c r="B613" t="s">
        <v>10799</v>
      </c>
      <c r="C613" t="s">
        <v>5043</v>
      </c>
      <c r="D613" t="s">
        <v>8401</v>
      </c>
    </row>
    <row r="614" spans="1:4" ht="15" x14ac:dyDescent="0.25">
      <c r="A614">
        <v>12330</v>
      </c>
      <c r="B614" t="s">
        <v>10799</v>
      </c>
      <c r="C614" t="s">
        <v>5043</v>
      </c>
      <c r="D614" t="s">
        <v>8401</v>
      </c>
    </row>
    <row r="615" spans="1:4" ht="15" x14ac:dyDescent="0.25">
      <c r="A615">
        <v>12367</v>
      </c>
      <c r="B615" t="s">
        <v>10799</v>
      </c>
      <c r="C615" t="s">
        <v>5043</v>
      </c>
      <c r="D615" t="s">
        <v>8401</v>
      </c>
    </row>
    <row r="616" spans="1:4" ht="15" x14ac:dyDescent="0.25">
      <c r="A616">
        <v>12463</v>
      </c>
      <c r="B616" t="s">
        <v>10799</v>
      </c>
      <c r="C616" t="s">
        <v>5043</v>
      </c>
      <c r="D616" t="s">
        <v>8401</v>
      </c>
    </row>
    <row r="617" spans="1:4" ht="15" x14ac:dyDescent="0.25">
      <c r="A617">
        <v>12486</v>
      </c>
      <c r="B617" t="s">
        <v>10799</v>
      </c>
      <c r="C617" t="s">
        <v>5043</v>
      </c>
      <c r="D617" t="s">
        <v>8401</v>
      </c>
    </row>
    <row r="618" spans="1:4" ht="15" x14ac:dyDescent="0.25">
      <c r="A618">
        <v>12496</v>
      </c>
      <c r="B618" t="s">
        <v>10799</v>
      </c>
      <c r="C618" t="s">
        <v>5043</v>
      </c>
      <c r="D618" t="s">
        <v>8401</v>
      </c>
    </row>
    <row r="619" spans="1:4" ht="15" x14ac:dyDescent="0.25">
      <c r="A619">
        <v>251259</v>
      </c>
      <c r="B619" t="s">
        <v>10799</v>
      </c>
      <c r="C619" t="s">
        <v>5043</v>
      </c>
      <c r="D619" t="s">
        <v>8401</v>
      </c>
    </row>
    <row r="620" spans="1:4" ht="15" x14ac:dyDescent="0.25">
      <c r="A620">
        <v>251260</v>
      </c>
      <c r="B620" t="s">
        <v>10799</v>
      </c>
      <c r="C620" t="s">
        <v>5043</v>
      </c>
      <c r="D620" t="s">
        <v>8401</v>
      </c>
    </row>
    <row r="621" spans="1:4" ht="15" x14ac:dyDescent="0.25">
      <c r="A621">
        <v>251290</v>
      </c>
      <c r="B621" t="s">
        <v>10799</v>
      </c>
      <c r="C621" t="s">
        <v>5043</v>
      </c>
      <c r="D621" t="s">
        <v>8401</v>
      </c>
    </row>
    <row r="622" spans="1:4" ht="15" x14ac:dyDescent="0.25">
      <c r="A622">
        <v>251291</v>
      </c>
      <c r="B622" t="s">
        <v>10799</v>
      </c>
      <c r="C622" t="s">
        <v>5043</v>
      </c>
      <c r="D622" t="s">
        <v>8401</v>
      </c>
    </row>
    <row r="623" spans="1:4" ht="15" x14ac:dyDescent="0.25">
      <c r="A623">
        <v>251293</v>
      </c>
      <c r="B623" t="s">
        <v>10799</v>
      </c>
      <c r="C623" t="s">
        <v>5043</v>
      </c>
      <c r="D623" t="s">
        <v>8401</v>
      </c>
    </row>
    <row r="624" spans="1:4" ht="15" x14ac:dyDescent="0.25">
      <c r="A624">
        <v>251296</v>
      </c>
      <c r="B624" t="s">
        <v>10799</v>
      </c>
      <c r="C624" t="s">
        <v>5043</v>
      </c>
      <c r="D624" t="s">
        <v>8401</v>
      </c>
    </row>
    <row r="625" spans="1:4" ht="15" x14ac:dyDescent="0.25">
      <c r="A625">
        <v>251298</v>
      </c>
      <c r="B625" t="s">
        <v>10799</v>
      </c>
      <c r="C625" t="s">
        <v>5043</v>
      </c>
      <c r="D625" t="s">
        <v>8401</v>
      </c>
    </row>
    <row r="626" spans="1:4" ht="15" x14ac:dyDescent="0.25">
      <c r="A626">
        <v>251300</v>
      </c>
      <c r="B626" t="s">
        <v>10799</v>
      </c>
      <c r="C626" t="s">
        <v>5043</v>
      </c>
      <c r="D626" t="s">
        <v>8401</v>
      </c>
    </row>
    <row r="627" spans="1:4" ht="15" x14ac:dyDescent="0.25">
      <c r="A627">
        <v>251305</v>
      </c>
      <c r="B627" t="s">
        <v>10799</v>
      </c>
      <c r="C627" t="s">
        <v>5043</v>
      </c>
      <c r="D627" t="s">
        <v>8401</v>
      </c>
    </row>
    <row r="628" spans="1:4" ht="15" x14ac:dyDescent="0.25">
      <c r="A628">
        <v>251306</v>
      </c>
      <c r="B628" t="s">
        <v>10799</v>
      </c>
      <c r="C628" t="s">
        <v>5043</v>
      </c>
      <c r="D628" t="s">
        <v>8401</v>
      </c>
    </row>
    <row r="629" spans="1:4" ht="15" x14ac:dyDescent="0.25">
      <c r="A629">
        <v>251308</v>
      </c>
      <c r="B629" t="s">
        <v>10799</v>
      </c>
      <c r="C629" t="s">
        <v>5043</v>
      </c>
      <c r="D629" t="s">
        <v>8401</v>
      </c>
    </row>
    <row r="630" spans="1:4" ht="15" x14ac:dyDescent="0.25">
      <c r="A630">
        <v>251309</v>
      </c>
      <c r="B630" t="s">
        <v>10799</v>
      </c>
      <c r="C630" t="s">
        <v>5043</v>
      </c>
      <c r="D630" t="s">
        <v>8401</v>
      </c>
    </row>
    <row r="631" spans="1:4" ht="15" x14ac:dyDescent="0.25">
      <c r="A631">
        <v>251310</v>
      </c>
      <c r="B631" t="s">
        <v>10799</v>
      </c>
      <c r="C631" t="s">
        <v>5043</v>
      </c>
      <c r="D631" t="s">
        <v>8401</v>
      </c>
    </row>
    <row r="632" spans="1:4" ht="15" x14ac:dyDescent="0.25">
      <c r="A632">
        <v>251311</v>
      </c>
      <c r="B632" t="s">
        <v>10799</v>
      </c>
      <c r="C632" t="s">
        <v>5043</v>
      </c>
      <c r="D632" t="s">
        <v>8401</v>
      </c>
    </row>
    <row r="633" spans="1:4" ht="15" x14ac:dyDescent="0.25">
      <c r="A633">
        <v>251312</v>
      </c>
      <c r="B633" t="s">
        <v>10799</v>
      </c>
      <c r="C633" t="s">
        <v>5043</v>
      </c>
      <c r="D633" t="s">
        <v>8401</v>
      </c>
    </row>
    <row r="634" spans="1:4" ht="15" x14ac:dyDescent="0.25">
      <c r="A634">
        <v>251314</v>
      </c>
      <c r="B634" t="s">
        <v>10799</v>
      </c>
      <c r="C634" t="s">
        <v>5043</v>
      </c>
      <c r="D634" t="s">
        <v>8401</v>
      </c>
    </row>
    <row r="635" spans="1:4" ht="15" x14ac:dyDescent="0.25">
      <c r="A635">
        <v>251316</v>
      </c>
      <c r="B635" t="s">
        <v>10799</v>
      </c>
      <c r="C635" t="s">
        <v>5043</v>
      </c>
      <c r="D635" t="s">
        <v>8401</v>
      </c>
    </row>
    <row r="636" spans="1:4" ht="15" x14ac:dyDescent="0.25">
      <c r="A636">
        <v>251317</v>
      </c>
      <c r="B636" t="s">
        <v>10799</v>
      </c>
      <c r="C636" t="s">
        <v>5043</v>
      </c>
      <c r="D636" t="s">
        <v>8401</v>
      </c>
    </row>
    <row r="637" spans="1:4" ht="15" x14ac:dyDescent="0.25">
      <c r="A637">
        <v>251318</v>
      </c>
      <c r="B637" t="s">
        <v>10799</v>
      </c>
      <c r="C637" t="s">
        <v>5043</v>
      </c>
      <c r="D637" t="s">
        <v>8401</v>
      </c>
    </row>
    <row r="638" spans="1:4" ht="15" x14ac:dyDescent="0.25">
      <c r="A638">
        <v>251347</v>
      </c>
      <c r="B638" t="s">
        <v>10799</v>
      </c>
      <c r="C638" t="s">
        <v>5043</v>
      </c>
      <c r="D638" t="s">
        <v>8401</v>
      </c>
    </row>
    <row r="639" spans="1:4" ht="15" x14ac:dyDescent="0.25">
      <c r="A639">
        <v>251348</v>
      </c>
      <c r="B639" t="s">
        <v>10799</v>
      </c>
      <c r="C639" t="s">
        <v>5043</v>
      </c>
      <c r="D639" t="s">
        <v>8401</v>
      </c>
    </row>
    <row r="640" spans="1:4" ht="15" x14ac:dyDescent="0.25">
      <c r="A640">
        <v>251351</v>
      </c>
      <c r="B640" t="s">
        <v>10799</v>
      </c>
      <c r="C640" t="s">
        <v>5043</v>
      </c>
      <c r="D640" t="s">
        <v>8401</v>
      </c>
    </row>
    <row r="641" spans="1:4" ht="15" x14ac:dyDescent="0.25">
      <c r="A641">
        <v>251356</v>
      </c>
      <c r="B641" t="s">
        <v>10799</v>
      </c>
      <c r="C641" t="s">
        <v>5043</v>
      </c>
      <c r="D641" t="s">
        <v>8401</v>
      </c>
    </row>
    <row r="642" spans="1:4" ht="15" x14ac:dyDescent="0.25">
      <c r="A642">
        <v>251381</v>
      </c>
      <c r="B642" t="s">
        <v>10799</v>
      </c>
      <c r="C642" t="s">
        <v>5043</v>
      </c>
      <c r="D642" t="s">
        <v>8401</v>
      </c>
    </row>
    <row r="643" spans="1:4" ht="15" x14ac:dyDescent="0.25">
      <c r="A643">
        <v>251382</v>
      </c>
      <c r="B643" t="s">
        <v>10799</v>
      </c>
      <c r="C643" t="s">
        <v>5043</v>
      </c>
      <c r="D643" t="s">
        <v>8401</v>
      </c>
    </row>
    <row r="644" spans="1:4" ht="15" x14ac:dyDescent="0.25">
      <c r="A644">
        <v>251386</v>
      </c>
      <c r="B644" t="s">
        <v>10799</v>
      </c>
      <c r="C644" t="s">
        <v>5043</v>
      </c>
      <c r="D644" t="s">
        <v>8401</v>
      </c>
    </row>
    <row r="645" spans="1:4" ht="15" x14ac:dyDescent="0.25">
      <c r="A645">
        <v>251389</v>
      </c>
      <c r="B645" t="s">
        <v>10799</v>
      </c>
      <c r="C645" t="s">
        <v>5043</v>
      </c>
      <c r="D645" t="s">
        <v>8401</v>
      </c>
    </row>
    <row r="646" spans="1:4" ht="15" x14ac:dyDescent="0.25">
      <c r="A646">
        <v>251390</v>
      </c>
      <c r="B646" t="s">
        <v>10799</v>
      </c>
      <c r="C646" t="s">
        <v>5043</v>
      </c>
      <c r="D646" t="s">
        <v>8401</v>
      </c>
    </row>
    <row r="647" spans="1:4" ht="15" x14ac:dyDescent="0.25">
      <c r="A647">
        <v>251391</v>
      </c>
      <c r="B647" t="s">
        <v>10799</v>
      </c>
      <c r="C647" t="s">
        <v>5043</v>
      </c>
      <c r="D647" t="s">
        <v>8401</v>
      </c>
    </row>
    <row r="648" spans="1:4" ht="15" x14ac:dyDescent="0.25">
      <c r="A648">
        <v>251395</v>
      </c>
      <c r="B648" t="s">
        <v>10799</v>
      </c>
      <c r="C648" t="s">
        <v>5043</v>
      </c>
      <c r="D648" t="s">
        <v>8401</v>
      </c>
    </row>
    <row r="649" spans="1:4" ht="15" x14ac:dyDescent="0.25">
      <c r="A649">
        <v>251396</v>
      </c>
      <c r="B649" t="s">
        <v>10799</v>
      </c>
      <c r="C649" t="s">
        <v>5043</v>
      </c>
      <c r="D649" t="s">
        <v>8401</v>
      </c>
    </row>
    <row r="650" spans="1:4" ht="15" x14ac:dyDescent="0.25">
      <c r="A650">
        <v>251401</v>
      </c>
      <c r="B650" t="s">
        <v>10799</v>
      </c>
      <c r="C650" t="s">
        <v>5043</v>
      </c>
      <c r="D650" t="s">
        <v>8401</v>
      </c>
    </row>
    <row r="651" spans="1:4" ht="15" x14ac:dyDescent="0.25">
      <c r="A651">
        <v>251403</v>
      </c>
      <c r="B651" t="s">
        <v>10799</v>
      </c>
      <c r="C651" t="s">
        <v>5043</v>
      </c>
      <c r="D651" t="s">
        <v>8401</v>
      </c>
    </row>
    <row r="652" spans="1:4" ht="15" x14ac:dyDescent="0.25">
      <c r="A652">
        <v>251425</v>
      </c>
      <c r="B652" t="s">
        <v>10799</v>
      </c>
      <c r="C652" t="s">
        <v>5043</v>
      </c>
      <c r="D652" t="s">
        <v>8401</v>
      </c>
    </row>
    <row r="653" spans="1:4" ht="15" x14ac:dyDescent="0.25">
      <c r="A653">
        <v>251450</v>
      </c>
      <c r="B653" t="s">
        <v>10799</v>
      </c>
      <c r="C653" t="s">
        <v>5043</v>
      </c>
      <c r="D653" t="s">
        <v>8401</v>
      </c>
    </row>
    <row r="654" spans="1:4" ht="15" x14ac:dyDescent="0.25">
      <c r="A654">
        <v>251467</v>
      </c>
      <c r="B654" t="s">
        <v>10799</v>
      </c>
      <c r="C654" t="s">
        <v>5043</v>
      </c>
      <c r="D654" t="s">
        <v>8401</v>
      </c>
    </row>
    <row r="655" spans="1:4" ht="15" x14ac:dyDescent="0.25">
      <c r="A655">
        <v>251469</v>
      </c>
      <c r="B655" t="s">
        <v>10799</v>
      </c>
      <c r="C655" t="s">
        <v>5043</v>
      </c>
      <c r="D655" t="s">
        <v>8401</v>
      </c>
    </row>
    <row r="656" spans="1:4" ht="15" x14ac:dyDescent="0.25">
      <c r="A656">
        <v>251472</v>
      </c>
      <c r="B656" t="s">
        <v>10799</v>
      </c>
      <c r="C656" t="s">
        <v>5043</v>
      </c>
      <c r="D656" t="s">
        <v>8401</v>
      </c>
    </row>
    <row r="657" spans="1:4" ht="15" x14ac:dyDescent="0.25">
      <c r="A657">
        <v>251473</v>
      </c>
      <c r="B657" t="s">
        <v>10799</v>
      </c>
      <c r="C657" t="s">
        <v>5043</v>
      </c>
      <c r="D657" t="s">
        <v>8401</v>
      </c>
    </row>
    <row r="658" spans="1:4" ht="15" x14ac:dyDescent="0.25">
      <c r="A658">
        <v>251508</v>
      </c>
      <c r="B658" t="s">
        <v>10799</v>
      </c>
      <c r="C658" t="s">
        <v>5043</v>
      </c>
      <c r="D658" t="s">
        <v>8401</v>
      </c>
    </row>
    <row r="659" spans="1:4" ht="15" x14ac:dyDescent="0.25">
      <c r="A659">
        <v>251510</v>
      </c>
      <c r="B659" t="s">
        <v>10799</v>
      </c>
      <c r="C659" t="s">
        <v>5043</v>
      </c>
      <c r="D659" t="s">
        <v>8401</v>
      </c>
    </row>
    <row r="660" spans="1:4" ht="15" x14ac:dyDescent="0.25">
      <c r="A660">
        <v>251517</v>
      </c>
      <c r="B660" t="s">
        <v>10799</v>
      </c>
      <c r="C660" t="s">
        <v>5043</v>
      </c>
      <c r="D660" t="s">
        <v>8401</v>
      </c>
    </row>
    <row r="661" spans="1:4" ht="15" x14ac:dyDescent="0.25">
      <c r="A661">
        <v>251518</v>
      </c>
      <c r="B661" t="s">
        <v>10799</v>
      </c>
      <c r="C661" t="s">
        <v>5043</v>
      </c>
      <c r="D661" t="s">
        <v>8401</v>
      </c>
    </row>
    <row r="662" spans="1:4" ht="15" x14ac:dyDescent="0.25">
      <c r="A662">
        <v>251519</v>
      </c>
      <c r="B662" t="s">
        <v>10799</v>
      </c>
      <c r="C662" t="s">
        <v>5043</v>
      </c>
      <c r="D662" t="s">
        <v>8401</v>
      </c>
    </row>
    <row r="663" spans="1:4" ht="15" x14ac:dyDescent="0.25">
      <c r="A663">
        <v>251520</v>
      </c>
      <c r="B663" t="s">
        <v>10799</v>
      </c>
      <c r="C663" t="s">
        <v>5043</v>
      </c>
      <c r="D663" t="s">
        <v>8401</v>
      </c>
    </row>
    <row r="664" spans="1:4" ht="15" x14ac:dyDescent="0.25">
      <c r="A664">
        <v>251521</v>
      </c>
      <c r="B664" t="s">
        <v>10799</v>
      </c>
      <c r="C664" t="s">
        <v>5043</v>
      </c>
      <c r="D664" t="s">
        <v>8401</v>
      </c>
    </row>
    <row r="665" spans="1:4" ht="15" x14ac:dyDescent="0.25">
      <c r="A665">
        <v>251574</v>
      </c>
      <c r="B665" t="s">
        <v>10799</v>
      </c>
      <c r="C665" t="s">
        <v>5043</v>
      </c>
      <c r="D665" t="s">
        <v>8401</v>
      </c>
    </row>
    <row r="666" spans="1:4" ht="15" x14ac:dyDescent="0.25">
      <c r="A666">
        <v>251575</v>
      </c>
      <c r="B666" t="s">
        <v>10799</v>
      </c>
      <c r="C666" t="s">
        <v>5043</v>
      </c>
      <c r="D666" t="s">
        <v>8401</v>
      </c>
    </row>
    <row r="667" spans="1:4" ht="15" x14ac:dyDescent="0.25">
      <c r="A667">
        <v>251576</v>
      </c>
      <c r="B667" t="s">
        <v>10799</v>
      </c>
      <c r="C667" t="s">
        <v>5043</v>
      </c>
      <c r="D667" t="s">
        <v>8401</v>
      </c>
    </row>
    <row r="668" spans="1:4" ht="15" x14ac:dyDescent="0.25">
      <c r="A668">
        <v>251577</v>
      </c>
      <c r="B668" t="s">
        <v>10799</v>
      </c>
      <c r="C668" t="s">
        <v>5043</v>
      </c>
      <c r="D668" t="s">
        <v>8401</v>
      </c>
    </row>
    <row r="669" spans="1:4" ht="15" x14ac:dyDescent="0.25">
      <c r="A669">
        <v>251588</v>
      </c>
      <c r="B669" t="s">
        <v>10799</v>
      </c>
      <c r="C669" t="s">
        <v>5043</v>
      </c>
      <c r="D669" t="s">
        <v>8401</v>
      </c>
    </row>
    <row r="670" spans="1:4" ht="15" x14ac:dyDescent="0.25">
      <c r="A670">
        <v>251601</v>
      </c>
      <c r="B670" t="s">
        <v>10799</v>
      </c>
      <c r="C670" t="s">
        <v>5043</v>
      </c>
      <c r="D670" t="s">
        <v>8401</v>
      </c>
    </row>
    <row r="671" spans="1:4" ht="15" x14ac:dyDescent="0.25">
      <c r="A671">
        <v>6662</v>
      </c>
      <c r="B671" t="s">
        <v>10799</v>
      </c>
      <c r="C671" t="s">
        <v>5043</v>
      </c>
      <c r="D671" t="s">
        <v>8401</v>
      </c>
    </row>
    <row r="672" spans="1:4" ht="15" x14ac:dyDescent="0.25">
      <c r="A672">
        <v>6665</v>
      </c>
      <c r="B672" t="s">
        <v>10799</v>
      </c>
      <c r="C672" t="s">
        <v>5043</v>
      </c>
      <c r="D672" t="s">
        <v>8401</v>
      </c>
    </row>
    <row r="673" spans="1:4" ht="15" x14ac:dyDescent="0.25">
      <c r="A673">
        <v>6666</v>
      </c>
      <c r="B673" t="s">
        <v>10799</v>
      </c>
      <c r="C673" t="s">
        <v>5043</v>
      </c>
      <c r="D673" t="s">
        <v>8401</v>
      </c>
    </row>
    <row r="674" spans="1:4" ht="15" x14ac:dyDescent="0.25">
      <c r="A674">
        <v>6667</v>
      </c>
      <c r="B674" t="s">
        <v>10799</v>
      </c>
      <c r="C674" t="s">
        <v>5043</v>
      </c>
      <c r="D674" t="s">
        <v>8401</v>
      </c>
    </row>
    <row r="675" spans="1:4" ht="15" x14ac:dyDescent="0.25">
      <c r="A675">
        <v>6674</v>
      </c>
      <c r="B675" t="s">
        <v>10799</v>
      </c>
      <c r="C675" t="s">
        <v>5043</v>
      </c>
      <c r="D675" t="s">
        <v>8401</v>
      </c>
    </row>
    <row r="676" spans="1:4" ht="15" x14ac:dyDescent="0.25">
      <c r="A676">
        <v>6680</v>
      </c>
      <c r="B676" t="s">
        <v>10799</v>
      </c>
      <c r="C676" t="s">
        <v>5043</v>
      </c>
      <c r="D676" t="s">
        <v>8401</v>
      </c>
    </row>
    <row r="677" spans="1:4" ht="15" x14ac:dyDescent="0.25">
      <c r="A677">
        <v>6681</v>
      </c>
      <c r="B677" t="s">
        <v>10799</v>
      </c>
      <c r="C677" t="s">
        <v>5043</v>
      </c>
      <c r="D677" t="s">
        <v>8401</v>
      </c>
    </row>
    <row r="678" spans="1:4" ht="15" x14ac:dyDescent="0.25">
      <c r="A678">
        <v>6685</v>
      </c>
      <c r="B678" t="s">
        <v>10799</v>
      </c>
      <c r="C678" t="s">
        <v>5043</v>
      </c>
      <c r="D678" t="s">
        <v>8401</v>
      </c>
    </row>
    <row r="679" spans="1:4" ht="15" x14ac:dyDescent="0.25">
      <c r="A679">
        <v>6686</v>
      </c>
      <c r="B679" t="s">
        <v>10799</v>
      </c>
      <c r="C679" t="s">
        <v>5043</v>
      </c>
      <c r="D679" t="s">
        <v>8401</v>
      </c>
    </row>
    <row r="680" spans="1:4" ht="15" x14ac:dyDescent="0.25">
      <c r="A680">
        <v>6690</v>
      </c>
      <c r="B680" t="s">
        <v>10799</v>
      </c>
      <c r="C680" t="s">
        <v>5043</v>
      </c>
      <c r="D680" t="s">
        <v>8401</v>
      </c>
    </row>
    <row r="681" spans="1:4" ht="15" x14ac:dyDescent="0.25">
      <c r="A681">
        <v>6694</v>
      </c>
      <c r="B681" t="s">
        <v>10799</v>
      </c>
      <c r="C681" t="s">
        <v>5043</v>
      </c>
      <c r="D681" t="s">
        <v>8401</v>
      </c>
    </row>
    <row r="682" spans="1:4" ht="15" x14ac:dyDescent="0.25">
      <c r="A682">
        <v>6698</v>
      </c>
      <c r="B682" t="s">
        <v>10799</v>
      </c>
      <c r="C682" t="s">
        <v>5043</v>
      </c>
      <c r="D682" t="s">
        <v>8401</v>
      </c>
    </row>
    <row r="683" spans="1:4" ht="15" x14ac:dyDescent="0.25">
      <c r="A683">
        <v>6703</v>
      </c>
      <c r="B683" t="s">
        <v>10799</v>
      </c>
      <c r="C683" t="s">
        <v>5043</v>
      </c>
      <c r="D683" t="s">
        <v>8401</v>
      </c>
    </row>
    <row r="684" spans="1:4" ht="15" x14ac:dyDescent="0.25">
      <c r="A684">
        <v>6708</v>
      </c>
      <c r="B684" t="s">
        <v>10799</v>
      </c>
      <c r="C684" t="s">
        <v>5043</v>
      </c>
      <c r="D684" t="s">
        <v>8401</v>
      </c>
    </row>
    <row r="685" spans="1:4" ht="15" x14ac:dyDescent="0.25">
      <c r="A685">
        <v>6720</v>
      </c>
      <c r="B685" t="s">
        <v>10799</v>
      </c>
      <c r="C685" t="s">
        <v>5043</v>
      </c>
      <c r="D685" t="s">
        <v>8401</v>
      </c>
    </row>
    <row r="686" spans="1:4" ht="15" x14ac:dyDescent="0.25">
      <c r="A686">
        <v>6727</v>
      </c>
      <c r="B686" t="s">
        <v>10799</v>
      </c>
      <c r="C686" t="s">
        <v>5043</v>
      </c>
      <c r="D686" t="s">
        <v>8401</v>
      </c>
    </row>
    <row r="687" spans="1:4" ht="15" x14ac:dyDescent="0.25">
      <c r="A687">
        <v>6740</v>
      </c>
      <c r="B687" t="s">
        <v>10799</v>
      </c>
      <c r="C687" t="s">
        <v>5043</v>
      </c>
      <c r="D687" t="s">
        <v>8401</v>
      </c>
    </row>
    <row r="688" spans="1:4" ht="15" x14ac:dyDescent="0.25">
      <c r="A688">
        <v>6744</v>
      </c>
      <c r="B688" t="s">
        <v>10799</v>
      </c>
      <c r="C688" t="s">
        <v>5043</v>
      </c>
      <c r="D688" t="s">
        <v>8401</v>
      </c>
    </row>
    <row r="689" spans="1:4" ht="15" x14ac:dyDescent="0.25">
      <c r="A689">
        <v>6746</v>
      </c>
      <c r="B689" t="s">
        <v>10799</v>
      </c>
      <c r="C689" t="s">
        <v>5043</v>
      </c>
      <c r="D689" t="s">
        <v>8401</v>
      </c>
    </row>
    <row r="690" spans="1:4" ht="15" x14ac:dyDescent="0.25">
      <c r="A690">
        <v>6751</v>
      </c>
      <c r="B690" t="s">
        <v>10799</v>
      </c>
      <c r="C690" t="s">
        <v>5043</v>
      </c>
      <c r="D690" t="s">
        <v>8401</v>
      </c>
    </row>
    <row r="691" spans="1:4" ht="15" x14ac:dyDescent="0.25">
      <c r="A691">
        <v>6757</v>
      </c>
      <c r="B691" t="s">
        <v>10799</v>
      </c>
      <c r="C691" t="s">
        <v>5043</v>
      </c>
      <c r="D691" t="s">
        <v>8401</v>
      </c>
    </row>
    <row r="692" spans="1:4" ht="15" x14ac:dyDescent="0.25">
      <c r="A692">
        <v>6760</v>
      </c>
      <c r="B692" t="s">
        <v>10799</v>
      </c>
      <c r="C692" t="s">
        <v>5043</v>
      </c>
      <c r="D692" t="s">
        <v>8401</v>
      </c>
    </row>
    <row r="693" spans="1:4" ht="15" x14ac:dyDescent="0.25">
      <c r="A693">
        <v>6765</v>
      </c>
      <c r="B693" t="s">
        <v>10799</v>
      </c>
      <c r="C693" t="s">
        <v>5043</v>
      </c>
      <c r="D693" t="s">
        <v>8401</v>
      </c>
    </row>
    <row r="694" spans="1:4" ht="15" x14ac:dyDescent="0.25">
      <c r="A694">
        <v>6767</v>
      </c>
      <c r="B694" t="s">
        <v>10799</v>
      </c>
      <c r="C694" t="s">
        <v>5043</v>
      </c>
      <c r="D694" t="s">
        <v>8401</v>
      </c>
    </row>
    <row r="695" spans="1:4" ht="15" x14ac:dyDescent="0.25">
      <c r="A695">
        <v>6779</v>
      </c>
      <c r="B695" t="s">
        <v>10799</v>
      </c>
      <c r="C695" t="s">
        <v>5043</v>
      </c>
      <c r="D695" t="s">
        <v>8401</v>
      </c>
    </row>
    <row r="696" spans="1:4" ht="15" x14ac:dyDescent="0.25">
      <c r="A696">
        <v>6781</v>
      </c>
      <c r="B696" t="s">
        <v>10799</v>
      </c>
      <c r="C696" t="s">
        <v>5043</v>
      </c>
      <c r="D696" t="s">
        <v>8401</v>
      </c>
    </row>
    <row r="697" spans="1:4" ht="15" x14ac:dyDescent="0.25">
      <c r="A697">
        <v>6794</v>
      </c>
      <c r="B697" t="s">
        <v>10799</v>
      </c>
      <c r="C697" t="s">
        <v>5043</v>
      </c>
      <c r="D697" t="s">
        <v>8401</v>
      </c>
    </row>
    <row r="698" spans="1:4" ht="15" x14ac:dyDescent="0.25">
      <c r="A698">
        <v>6809</v>
      </c>
      <c r="B698" t="s">
        <v>10799</v>
      </c>
      <c r="C698" t="s">
        <v>5043</v>
      </c>
      <c r="D698" t="s">
        <v>8401</v>
      </c>
    </row>
    <row r="699" spans="1:4" ht="15" x14ac:dyDescent="0.25">
      <c r="A699">
        <v>6817</v>
      </c>
      <c r="B699" t="s">
        <v>10799</v>
      </c>
      <c r="C699" t="s">
        <v>5043</v>
      </c>
      <c r="D699" t="s">
        <v>8401</v>
      </c>
    </row>
    <row r="700" spans="1:4" ht="15" x14ac:dyDescent="0.25">
      <c r="A700">
        <v>6822</v>
      </c>
      <c r="B700" t="s">
        <v>10799</v>
      </c>
      <c r="C700" t="s">
        <v>5043</v>
      </c>
      <c r="D700" t="s">
        <v>8401</v>
      </c>
    </row>
    <row r="701" spans="1:4" ht="15" x14ac:dyDescent="0.25">
      <c r="A701">
        <v>6823</v>
      </c>
      <c r="B701" t="s">
        <v>10799</v>
      </c>
      <c r="C701" t="s">
        <v>5043</v>
      </c>
      <c r="D701" t="s">
        <v>8401</v>
      </c>
    </row>
    <row r="702" spans="1:4" ht="15" x14ac:dyDescent="0.25">
      <c r="A702">
        <v>6829</v>
      </c>
      <c r="B702" t="s">
        <v>10799</v>
      </c>
      <c r="C702" t="s">
        <v>5043</v>
      </c>
      <c r="D702" t="s">
        <v>8401</v>
      </c>
    </row>
    <row r="703" spans="1:4" ht="15" x14ac:dyDescent="0.25">
      <c r="A703">
        <v>6833</v>
      </c>
      <c r="B703" t="s">
        <v>10799</v>
      </c>
      <c r="C703" t="s">
        <v>5043</v>
      </c>
      <c r="D703" t="s">
        <v>8401</v>
      </c>
    </row>
    <row r="704" spans="1:4" ht="15" x14ac:dyDescent="0.25">
      <c r="A704">
        <v>6834</v>
      </c>
      <c r="B704" t="s">
        <v>10799</v>
      </c>
      <c r="C704" t="s">
        <v>5043</v>
      </c>
      <c r="D704" t="s">
        <v>8401</v>
      </c>
    </row>
    <row r="705" spans="1:4" ht="15" x14ac:dyDescent="0.25">
      <c r="A705">
        <v>6835</v>
      </c>
      <c r="B705" t="s">
        <v>10799</v>
      </c>
      <c r="C705" t="s">
        <v>5043</v>
      </c>
      <c r="D705" t="s">
        <v>8401</v>
      </c>
    </row>
    <row r="706" spans="1:4" ht="15" x14ac:dyDescent="0.25">
      <c r="A706">
        <v>6840</v>
      </c>
      <c r="B706" t="s">
        <v>10799</v>
      </c>
      <c r="C706" t="s">
        <v>5043</v>
      </c>
      <c r="D706" t="s">
        <v>8401</v>
      </c>
    </row>
    <row r="707" spans="1:4" ht="15" x14ac:dyDescent="0.25">
      <c r="A707">
        <v>6842</v>
      </c>
      <c r="B707" t="s">
        <v>10799</v>
      </c>
      <c r="C707" t="s">
        <v>5043</v>
      </c>
      <c r="D707" t="s">
        <v>8401</v>
      </c>
    </row>
    <row r="708" spans="1:4" ht="15" x14ac:dyDescent="0.25">
      <c r="A708">
        <v>6850</v>
      </c>
      <c r="B708" t="s">
        <v>10799</v>
      </c>
      <c r="C708" t="s">
        <v>5043</v>
      </c>
      <c r="D708" t="s">
        <v>8401</v>
      </c>
    </row>
    <row r="709" spans="1:4" ht="15" x14ac:dyDescent="0.25">
      <c r="A709">
        <v>6853</v>
      </c>
      <c r="B709" t="s">
        <v>10799</v>
      </c>
      <c r="C709" t="s">
        <v>5043</v>
      </c>
      <c r="D709" t="s">
        <v>8401</v>
      </c>
    </row>
    <row r="710" spans="1:4" ht="15" x14ac:dyDescent="0.25">
      <c r="A710">
        <v>6855</v>
      </c>
      <c r="B710" t="s">
        <v>10799</v>
      </c>
      <c r="C710" t="s">
        <v>5043</v>
      </c>
      <c r="D710" t="s">
        <v>8401</v>
      </c>
    </row>
    <row r="711" spans="1:4" ht="15" x14ac:dyDescent="0.25">
      <c r="A711">
        <v>6856</v>
      </c>
      <c r="B711" t="s">
        <v>10799</v>
      </c>
      <c r="C711" t="s">
        <v>5043</v>
      </c>
      <c r="D711" t="s">
        <v>8401</v>
      </c>
    </row>
    <row r="712" spans="1:4" ht="15" x14ac:dyDescent="0.25">
      <c r="A712">
        <v>6859</v>
      </c>
      <c r="B712" t="s">
        <v>10799</v>
      </c>
      <c r="C712" t="s">
        <v>5043</v>
      </c>
      <c r="D712" t="s">
        <v>8401</v>
      </c>
    </row>
    <row r="713" spans="1:4" ht="15" x14ac:dyDescent="0.25">
      <c r="A713">
        <v>6866</v>
      </c>
      <c r="B713" t="s">
        <v>10799</v>
      </c>
      <c r="C713" t="s">
        <v>5043</v>
      </c>
      <c r="D713" t="s">
        <v>8401</v>
      </c>
    </row>
    <row r="714" spans="1:4" ht="15" x14ac:dyDescent="0.25">
      <c r="A714">
        <v>6877</v>
      </c>
      <c r="B714" t="s">
        <v>10799</v>
      </c>
      <c r="C714" t="s">
        <v>5043</v>
      </c>
      <c r="D714" t="s">
        <v>8401</v>
      </c>
    </row>
    <row r="715" spans="1:4" ht="15" x14ac:dyDescent="0.25">
      <c r="A715">
        <v>6882</v>
      </c>
      <c r="B715" t="s">
        <v>10799</v>
      </c>
      <c r="C715" t="s">
        <v>5043</v>
      </c>
      <c r="D715" t="s">
        <v>8401</v>
      </c>
    </row>
    <row r="716" spans="1:4" ht="15" x14ac:dyDescent="0.25">
      <c r="A716">
        <v>6884</v>
      </c>
      <c r="B716" t="s">
        <v>10799</v>
      </c>
      <c r="C716" t="s">
        <v>5043</v>
      </c>
      <c r="D716" t="s">
        <v>8401</v>
      </c>
    </row>
    <row r="717" spans="1:4" ht="15" x14ac:dyDescent="0.25">
      <c r="A717">
        <v>6887</v>
      </c>
      <c r="B717" t="s">
        <v>10799</v>
      </c>
      <c r="C717" t="s">
        <v>5043</v>
      </c>
      <c r="D717" t="s">
        <v>8401</v>
      </c>
    </row>
    <row r="718" spans="1:4" ht="15" x14ac:dyDescent="0.25">
      <c r="A718">
        <v>6889</v>
      </c>
      <c r="B718" t="s">
        <v>10799</v>
      </c>
      <c r="C718" t="s">
        <v>5043</v>
      </c>
      <c r="D718" t="s">
        <v>8401</v>
      </c>
    </row>
    <row r="719" spans="1:4" ht="15" x14ac:dyDescent="0.25">
      <c r="A719">
        <v>6896</v>
      </c>
      <c r="B719" t="s">
        <v>10799</v>
      </c>
      <c r="C719" t="s">
        <v>5043</v>
      </c>
      <c r="D719" t="s">
        <v>8401</v>
      </c>
    </row>
    <row r="720" spans="1:4" ht="15" x14ac:dyDescent="0.25">
      <c r="A720">
        <v>6897</v>
      </c>
      <c r="B720" t="s">
        <v>10799</v>
      </c>
      <c r="C720" t="s">
        <v>5043</v>
      </c>
      <c r="D720" t="s">
        <v>8401</v>
      </c>
    </row>
    <row r="721" spans="1:4" ht="15" x14ac:dyDescent="0.25">
      <c r="A721">
        <v>6898</v>
      </c>
      <c r="B721" t="s">
        <v>10799</v>
      </c>
      <c r="C721" t="s">
        <v>5043</v>
      </c>
      <c r="D721" t="s">
        <v>8401</v>
      </c>
    </row>
    <row r="722" spans="1:4" ht="15" x14ac:dyDescent="0.25">
      <c r="A722">
        <v>6901</v>
      </c>
      <c r="B722" t="s">
        <v>10799</v>
      </c>
      <c r="C722" t="s">
        <v>5043</v>
      </c>
      <c r="D722" t="s">
        <v>8401</v>
      </c>
    </row>
    <row r="723" spans="1:4" ht="15" x14ac:dyDescent="0.25">
      <c r="A723">
        <v>6902</v>
      </c>
      <c r="B723" t="s">
        <v>10799</v>
      </c>
      <c r="C723" t="s">
        <v>5043</v>
      </c>
      <c r="D723" t="s">
        <v>8401</v>
      </c>
    </row>
    <row r="724" spans="1:4" ht="15" x14ac:dyDescent="0.25">
      <c r="A724">
        <v>6908</v>
      </c>
      <c r="B724" t="s">
        <v>10799</v>
      </c>
      <c r="C724" t="s">
        <v>5043</v>
      </c>
      <c r="D724" t="s">
        <v>8401</v>
      </c>
    </row>
    <row r="725" spans="1:4" ht="15" x14ac:dyDescent="0.25">
      <c r="A725">
        <v>6911</v>
      </c>
      <c r="B725" t="s">
        <v>10799</v>
      </c>
      <c r="C725" t="s">
        <v>5043</v>
      </c>
      <c r="D725" t="s">
        <v>8401</v>
      </c>
    </row>
    <row r="726" spans="1:4" ht="15" x14ac:dyDescent="0.25">
      <c r="A726">
        <v>6913</v>
      </c>
      <c r="B726" t="s">
        <v>10799</v>
      </c>
      <c r="C726" t="s">
        <v>5043</v>
      </c>
      <c r="D726" t="s">
        <v>8401</v>
      </c>
    </row>
    <row r="727" spans="1:4" ht="15" x14ac:dyDescent="0.25">
      <c r="A727">
        <v>6919</v>
      </c>
      <c r="B727" t="s">
        <v>10799</v>
      </c>
      <c r="C727" t="s">
        <v>5043</v>
      </c>
      <c r="D727" t="s">
        <v>8401</v>
      </c>
    </row>
    <row r="728" spans="1:4" ht="15" x14ac:dyDescent="0.25">
      <c r="A728">
        <v>6920</v>
      </c>
      <c r="B728" t="s">
        <v>10799</v>
      </c>
      <c r="C728" t="s">
        <v>5043</v>
      </c>
      <c r="D728" t="s">
        <v>8401</v>
      </c>
    </row>
    <row r="729" spans="1:4" ht="15" x14ac:dyDescent="0.25">
      <c r="A729">
        <v>6922</v>
      </c>
      <c r="B729" t="s">
        <v>10799</v>
      </c>
      <c r="C729" t="s">
        <v>5043</v>
      </c>
      <c r="D729" t="s">
        <v>8401</v>
      </c>
    </row>
    <row r="730" spans="1:4" ht="15" x14ac:dyDescent="0.25">
      <c r="A730">
        <v>6923</v>
      </c>
      <c r="B730" t="s">
        <v>10799</v>
      </c>
      <c r="C730" t="s">
        <v>5043</v>
      </c>
      <c r="D730" t="s">
        <v>8401</v>
      </c>
    </row>
    <row r="731" spans="1:4" ht="15" x14ac:dyDescent="0.25">
      <c r="A731">
        <v>6935</v>
      </c>
      <c r="B731" t="s">
        <v>10799</v>
      </c>
      <c r="C731" t="s">
        <v>5043</v>
      </c>
      <c r="D731" t="s">
        <v>8401</v>
      </c>
    </row>
    <row r="732" spans="1:4" ht="15" x14ac:dyDescent="0.25">
      <c r="A732">
        <v>6936</v>
      </c>
      <c r="B732" t="s">
        <v>10799</v>
      </c>
      <c r="C732" t="s">
        <v>5043</v>
      </c>
      <c r="D732" t="s">
        <v>8401</v>
      </c>
    </row>
    <row r="733" spans="1:4" ht="15" x14ac:dyDescent="0.25">
      <c r="A733">
        <v>6938</v>
      </c>
      <c r="B733" t="s">
        <v>10799</v>
      </c>
      <c r="C733" t="s">
        <v>5043</v>
      </c>
      <c r="D733" t="s">
        <v>8401</v>
      </c>
    </row>
    <row r="734" spans="1:4" ht="15" x14ac:dyDescent="0.25">
      <c r="A734">
        <v>6943</v>
      </c>
      <c r="B734" t="s">
        <v>10799</v>
      </c>
      <c r="C734" t="s">
        <v>5043</v>
      </c>
      <c r="D734" t="s">
        <v>8401</v>
      </c>
    </row>
    <row r="735" spans="1:4" ht="15" x14ac:dyDescent="0.25">
      <c r="A735">
        <v>6950</v>
      </c>
      <c r="B735" t="s">
        <v>10799</v>
      </c>
      <c r="C735" t="s">
        <v>5043</v>
      </c>
      <c r="D735" t="s">
        <v>8401</v>
      </c>
    </row>
    <row r="736" spans="1:4" ht="15" x14ac:dyDescent="0.25">
      <c r="A736">
        <v>6952</v>
      </c>
      <c r="B736" t="s">
        <v>10799</v>
      </c>
      <c r="C736" t="s">
        <v>5043</v>
      </c>
      <c r="D736" t="s">
        <v>8401</v>
      </c>
    </row>
    <row r="737" spans="1:4" ht="15" x14ac:dyDescent="0.25">
      <c r="A737">
        <v>6953</v>
      </c>
      <c r="B737" t="s">
        <v>10799</v>
      </c>
      <c r="C737" t="s">
        <v>5043</v>
      </c>
      <c r="D737" t="s">
        <v>8401</v>
      </c>
    </row>
    <row r="738" spans="1:4" ht="15" x14ac:dyDescent="0.25">
      <c r="A738">
        <v>6958</v>
      </c>
      <c r="B738" t="s">
        <v>10799</v>
      </c>
      <c r="C738" t="s">
        <v>5043</v>
      </c>
      <c r="D738" t="s">
        <v>8401</v>
      </c>
    </row>
    <row r="739" spans="1:4" ht="15" x14ac:dyDescent="0.25">
      <c r="A739">
        <v>6974</v>
      </c>
      <c r="B739" t="s">
        <v>10799</v>
      </c>
      <c r="C739" t="s">
        <v>5043</v>
      </c>
      <c r="D739" t="s">
        <v>8401</v>
      </c>
    </row>
    <row r="740" spans="1:4" ht="15" x14ac:dyDescent="0.25">
      <c r="A740">
        <v>6992</v>
      </c>
      <c r="B740" t="s">
        <v>10799</v>
      </c>
      <c r="C740" t="s">
        <v>5043</v>
      </c>
      <c r="D740" t="s">
        <v>8401</v>
      </c>
    </row>
    <row r="741" spans="1:4" ht="15" x14ac:dyDescent="0.25">
      <c r="A741">
        <v>6997</v>
      </c>
      <c r="B741" t="s">
        <v>10799</v>
      </c>
      <c r="C741" t="s">
        <v>5043</v>
      </c>
      <c r="D741" t="s">
        <v>8401</v>
      </c>
    </row>
    <row r="742" spans="1:4" ht="15" x14ac:dyDescent="0.25">
      <c r="A742">
        <v>7000</v>
      </c>
      <c r="B742" t="s">
        <v>10799</v>
      </c>
      <c r="C742" t="s">
        <v>5043</v>
      </c>
      <c r="D742" t="s">
        <v>8401</v>
      </c>
    </row>
    <row r="743" spans="1:4" ht="15" x14ac:dyDescent="0.25">
      <c r="A743">
        <v>7002</v>
      </c>
      <c r="B743" t="s">
        <v>10799</v>
      </c>
      <c r="C743" t="s">
        <v>5043</v>
      </c>
      <c r="D743" t="s">
        <v>8401</v>
      </c>
    </row>
    <row r="744" spans="1:4" ht="15" x14ac:dyDescent="0.25">
      <c r="A744">
        <v>7003</v>
      </c>
      <c r="B744" t="s">
        <v>10799</v>
      </c>
      <c r="C744" t="s">
        <v>5043</v>
      </c>
      <c r="D744" t="s">
        <v>8401</v>
      </c>
    </row>
    <row r="745" spans="1:4" ht="15" x14ac:dyDescent="0.25">
      <c r="A745">
        <v>7008</v>
      </c>
      <c r="B745" t="s">
        <v>10799</v>
      </c>
      <c r="C745" t="s">
        <v>5043</v>
      </c>
      <c r="D745" t="s">
        <v>8401</v>
      </c>
    </row>
    <row r="746" spans="1:4" ht="15" x14ac:dyDescent="0.25">
      <c r="A746">
        <v>7020</v>
      </c>
      <c r="B746" t="s">
        <v>10799</v>
      </c>
      <c r="C746" t="s">
        <v>5043</v>
      </c>
      <c r="D746" t="s">
        <v>8401</v>
      </c>
    </row>
    <row r="747" spans="1:4" ht="15" x14ac:dyDescent="0.25">
      <c r="A747">
        <v>7021</v>
      </c>
      <c r="B747" t="s">
        <v>10799</v>
      </c>
      <c r="C747" t="s">
        <v>5043</v>
      </c>
      <c r="D747" t="s">
        <v>8401</v>
      </c>
    </row>
    <row r="748" spans="1:4" ht="15" x14ac:dyDescent="0.25">
      <c r="A748">
        <v>7027</v>
      </c>
      <c r="B748" t="s">
        <v>10799</v>
      </c>
      <c r="C748" t="s">
        <v>5043</v>
      </c>
      <c r="D748" t="s">
        <v>8401</v>
      </c>
    </row>
    <row r="749" spans="1:4" ht="15" x14ac:dyDescent="0.25">
      <c r="A749">
        <v>7030</v>
      </c>
      <c r="B749" t="s">
        <v>10799</v>
      </c>
      <c r="C749" t="s">
        <v>5043</v>
      </c>
      <c r="D749" t="s">
        <v>8401</v>
      </c>
    </row>
    <row r="750" spans="1:4" ht="15" x14ac:dyDescent="0.25">
      <c r="A750">
        <v>7035</v>
      </c>
      <c r="B750" t="s">
        <v>10799</v>
      </c>
      <c r="C750" t="s">
        <v>5043</v>
      </c>
      <c r="D750" t="s">
        <v>8401</v>
      </c>
    </row>
    <row r="751" spans="1:4" ht="15" x14ac:dyDescent="0.25">
      <c r="A751">
        <v>7036</v>
      </c>
      <c r="B751" t="s">
        <v>10799</v>
      </c>
      <c r="C751" t="s">
        <v>5043</v>
      </c>
      <c r="D751" t="s">
        <v>8401</v>
      </c>
    </row>
    <row r="752" spans="1:4" ht="15" x14ac:dyDescent="0.25">
      <c r="A752">
        <v>7038</v>
      </c>
      <c r="B752" t="s">
        <v>10799</v>
      </c>
      <c r="C752" t="s">
        <v>5043</v>
      </c>
      <c r="D752" t="s">
        <v>8401</v>
      </c>
    </row>
    <row r="753" spans="1:4" ht="15" x14ac:dyDescent="0.25">
      <c r="A753">
        <v>7044</v>
      </c>
      <c r="B753" t="s">
        <v>10799</v>
      </c>
      <c r="C753" t="s">
        <v>5043</v>
      </c>
      <c r="D753" t="s">
        <v>8401</v>
      </c>
    </row>
    <row r="754" spans="1:4" ht="15" x14ac:dyDescent="0.25">
      <c r="A754">
        <v>7048</v>
      </c>
      <c r="B754" t="s">
        <v>10799</v>
      </c>
      <c r="C754" t="s">
        <v>5043</v>
      </c>
      <c r="D754" t="s">
        <v>8401</v>
      </c>
    </row>
    <row r="755" spans="1:4" ht="15" x14ac:dyDescent="0.25">
      <c r="A755">
        <v>7053</v>
      </c>
      <c r="B755" t="s">
        <v>10799</v>
      </c>
      <c r="C755" t="s">
        <v>5043</v>
      </c>
      <c r="D755" t="s">
        <v>8401</v>
      </c>
    </row>
    <row r="756" spans="1:4" ht="15" x14ac:dyDescent="0.25">
      <c r="A756">
        <v>7054</v>
      </c>
      <c r="B756" t="s">
        <v>10799</v>
      </c>
      <c r="C756" t="s">
        <v>5043</v>
      </c>
      <c r="D756" t="s">
        <v>8401</v>
      </c>
    </row>
    <row r="757" spans="1:4" ht="15" x14ac:dyDescent="0.25">
      <c r="A757">
        <v>7061</v>
      </c>
      <c r="B757" t="s">
        <v>10799</v>
      </c>
      <c r="C757" t="s">
        <v>5043</v>
      </c>
      <c r="D757" t="s">
        <v>8401</v>
      </c>
    </row>
    <row r="758" spans="1:4" ht="15" x14ac:dyDescent="0.25">
      <c r="A758">
        <v>7070</v>
      </c>
      <c r="B758" t="s">
        <v>10799</v>
      </c>
      <c r="C758" t="s">
        <v>5043</v>
      </c>
      <c r="D758" t="s">
        <v>8401</v>
      </c>
    </row>
    <row r="759" spans="1:4" ht="15" x14ac:dyDescent="0.25">
      <c r="A759">
        <v>7074</v>
      </c>
      <c r="B759" t="s">
        <v>10799</v>
      </c>
      <c r="C759" t="s">
        <v>5043</v>
      </c>
      <c r="D759" t="s">
        <v>8401</v>
      </c>
    </row>
    <row r="760" spans="1:4" ht="15" x14ac:dyDescent="0.25">
      <c r="A760">
        <v>7075</v>
      </c>
      <c r="B760" t="s">
        <v>10799</v>
      </c>
      <c r="C760" t="s">
        <v>5043</v>
      </c>
      <c r="D760" t="s">
        <v>8401</v>
      </c>
    </row>
    <row r="761" spans="1:4" ht="15" x14ac:dyDescent="0.25">
      <c r="A761">
        <v>7078</v>
      </c>
      <c r="B761" t="s">
        <v>10799</v>
      </c>
      <c r="C761" t="s">
        <v>5043</v>
      </c>
      <c r="D761" t="s">
        <v>8401</v>
      </c>
    </row>
    <row r="762" spans="1:4" ht="15" x14ac:dyDescent="0.25">
      <c r="A762">
        <v>7079</v>
      </c>
      <c r="B762" t="s">
        <v>10799</v>
      </c>
      <c r="C762" t="s">
        <v>5043</v>
      </c>
      <c r="D762" t="s">
        <v>8401</v>
      </c>
    </row>
    <row r="763" spans="1:4" ht="15" x14ac:dyDescent="0.25">
      <c r="A763">
        <v>7080</v>
      </c>
      <c r="B763" t="s">
        <v>10799</v>
      </c>
      <c r="C763" t="s">
        <v>5043</v>
      </c>
      <c r="D763" t="s">
        <v>8401</v>
      </c>
    </row>
    <row r="764" spans="1:4" ht="15" x14ac:dyDescent="0.25">
      <c r="A764">
        <v>7084</v>
      </c>
      <c r="B764" t="s">
        <v>10799</v>
      </c>
      <c r="C764" t="s">
        <v>5043</v>
      </c>
      <c r="D764" t="s">
        <v>8401</v>
      </c>
    </row>
    <row r="765" spans="1:4" ht="15" x14ac:dyDescent="0.25">
      <c r="A765">
        <v>7088</v>
      </c>
      <c r="B765" t="s">
        <v>10799</v>
      </c>
      <c r="C765" t="s">
        <v>5043</v>
      </c>
      <c r="D765" t="s">
        <v>8401</v>
      </c>
    </row>
    <row r="766" spans="1:4" ht="15" x14ac:dyDescent="0.25">
      <c r="A766">
        <v>7096</v>
      </c>
      <c r="B766" t="s">
        <v>10799</v>
      </c>
      <c r="C766" t="s">
        <v>5043</v>
      </c>
      <c r="D766" t="s">
        <v>8401</v>
      </c>
    </row>
    <row r="767" spans="1:4" ht="15" x14ac:dyDescent="0.25">
      <c r="A767">
        <v>7102</v>
      </c>
      <c r="B767" t="s">
        <v>10799</v>
      </c>
      <c r="C767" t="s">
        <v>5043</v>
      </c>
      <c r="D767" t="s">
        <v>8401</v>
      </c>
    </row>
    <row r="768" spans="1:4" ht="15" x14ac:dyDescent="0.25">
      <c r="A768">
        <v>7105</v>
      </c>
      <c r="B768" t="s">
        <v>10799</v>
      </c>
      <c r="C768" t="s">
        <v>5043</v>
      </c>
      <c r="D768" t="s">
        <v>8401</v>
      </c>
    </row>
    <row r="769" spans="1:4" ht="15" x14ac:dyDescent="0.25">
      <c r="A769">
        <v>7114</v>
      </c>
      <c r="B769" t="s">
        <v>10799</v>
      </c>
      <c r="C769" t="s">
        <v>5043</v>
      </c>
      <c r="D769" t="s">
        <v>8401</v>
      </c>
    </row>
    <row r="770" spans="1:4" ht="15" x14ac:dyDescent="0.25">
      <c r="A770">
        <v>7120</v>
      </c>
      <c r="B770" t="s">
        <v>10799</v>
      </c>
      <c r="C770" t="s">
        <v>5043</v>
      </c>
      <c r="D770" t="s">
        <v>8401</v>
      </c>
    </row>
    <row r="771" spans="1:4" ht="15" x14ac:dyDescent="0.25">
      <c r="A771">
        <v>7122</v>
      </c>
      <c r="B771" t="s">
        <v>10799</v>
      </c>
      <c r="C771" t="s">
        <v>5043</v>
      </c>
      <c r="D771" t="s">
        <v>8401</v>
      </c>
    </row>
    <row r="772" spans="1:4" ht="15" x14ac:dyDescent="0.25">
      <c r="A772">
        <v>7128</v>
      </c>
      <c r="B772" t="s">
        <v>10799</v>
      </c>
      <c r="C772" t="s">
        <v>5043</v>
      </c>
      <c r="D772" t="s">
        <v>8401</v>
      </c>
    </row>
    <row r="773" spans="1:4" ht="15" x14ac:dyDescent="0.25">
      <c r="A773">
        <v>7131</v>
      </c>
      <c r="B773" t="s">
        <v>10799</v>
      </c>
      <c r="C773" t="s">
        <v>5043</v>
      </c>
      <c r="D773" t="s">
        <v>8401</v>
      </c>
    </row>
    <row r="774" spans="1:4" ht="15" x14ac:dyDescent="0.25">
      <c r="A774">
        <v>7141</v>
      </c>
      <c r="B774" t="s">
        <v>10799</v>
      </c>
      <c r="C774" t="s">
        <v>5043</v>
      </c>
      <c r="D774" t="s">
        <v>8401</v>
      </c>
    </row>
    <row r="775" spans="1:4" ht="15" x14ac:dyDescent="0.25">
      <c r="A775">
        <v>7144</v>
      </c>
      <c r="B775" t="s">
        <v>10799</v>
      </c>
      <c r="C775" t="s">
        <v>5043</v>
      </c>
      <c r="D775" t="s">
        <v>8401</v>
      </c>
    </row>
    <row r="776" spans="1:4" ht="15" x14ac:dyDescent="0.25">
      <c r="A776">
        <v>7149</v>
      </c>
      <c r="B776" t="s">
        <v>10799</v>
      </c>
      <c r="C776" t="s">
        <v>5043</v>
      </c>
      <c r="D776" t="s">
        <v>8401</v>
      </c>
    </row>
    <row r="777" spans="1:4" ht="15" x14ac:dyDescent="0.25">
      <c r="A777">
        <v>7156</v>
      </c>
      <c r="B777" t="s">
        <v>10799</v>
      </c>
      <c r="C777" t="s">
        <v>5043</v>
      </c>
      <c r="D777" t="s">
        <v>8401</v>
      </c>
    </row>
    <row r="778" spans="1:4" ht="15" x14ac:dyDescent="0.25">
      <c r="A778">
        <v>7163</v>
      </c>
      <c r="B778" t="s">
        <v>10799</v>
      </c>
      <c r="C778" t="s">
        <v>5043</v>
      </c>
      <c r="D778" t="s">
        <v>8401</v>
      </c>
    </row>
    <row r="779" spans="1:4" ht="15" x14ac:dyDescent="0.25">
      <c r="A779">
        <v>7166</v>
      </c>
      <c r="B779" t="s">
        <v>10799</v>
      </c>
      <c r="C779" t="s">
        <v>5043</v>
      </c>
      <c r="D779" t="s">
        <v>8401</v>
      </c>
    </row>
    <row r="780" spans="1:4" ht="15" x14ac:dyDescent="0.25">
      <c r="A780">
        <v>7167</v>
      </c>
      <c r="B780" t="s">
        <v>10799</v>
      </c>
      <c r="C780" t="s">
        <v>5043</v>
      </c>
      <c r="D780" t="s">
        <v>8401</v>
      </c>
    </row>
    <row r="781" spans="1:4" ht="15" x14ac:dyDescent="0.25">
      <c r="A781">
        <v>7172</v>
      </c>
      <c r="B781" t="s">
        <v>10799</v>
      </c>
      <c r="C781" t="s">
        <v>5043</v>
      </c>
      <c r="D781" t="s">
        <v>8401</v>
      </c>
    </row>
    <row r="782" spans="1:4" ht="15" x14ac:dyDescent="0.25">
      <c r="A782">
        <v>7180</v>
      </c>
      <c r="B782" t="s">
        <v>10799</v>
      </c>
      <c r="C782" t="s">
        <v>5043</v>
      </c>
      <c r="D782" t="s">
        <v>8401</v>
      </c>
    </row>
    <row r="783" spans="1:4" ht="15" x14ac:dyDescent="0.25">
      <c r="A783">
        <v>7186</v>
      </c>
      <c r="B783" t="s">
        <v>10799</v>
      </c>
      <c r="C783" t="s">
        <v>5043</v>
      </c>
      <c r="D783" t="s">
        <v>8401</v>
      </c>
    </row>
    <row r="784" spans="1:4" ht="15" x14ac:dyDescent="0.25">
      <c r="A784">
        <v>7194</v>
      </c>
      <c r="B784" t="s">
        <v>10799</v>
      </c>
      <c r="C784" t="s">
        <v>5043</v>
      </c>
      <c r="D784" t="s">
        <v>8401</v>
      </c>
    </row>
    <row r="785" spans="1:4" ht="15" x14ac:dyDescent="0.25">
      <c r="A785">
        <v>7195</v>
      </c>
      <c r="B785" t="s">
        <v>10799</v>
      </c>
      <c r="C785" t="s">
        <v>5043</v>
      </c>
      <c r="D785" t="s">
        <v>8401</v>
      </c>
    </row>
    <row r="786" spans="1:4" ht="15" x14ac:dyDescent="0.25">
      <c r="A786">
        <v>7196</v>
      </c>
      <c r="B786" t="s">
        <v>10799</v>
      </c>
      <c r="C786" t="s">
        <v>5043</v>
      </c>
      <c r="D786" t="s">
        <v>8401</v>
      </c>
    </row>
    <row r="787" spans="1:4" ht="15" x14ac:dyDescent="0.25">
      <c r="A787">
        <v>7203</v>
      </c>
      <c r="B787" t="s">
        <v>10799</v>
      </c>
      <c r="C787" t="s">
        <v>5043</v>
      </c>
      <c r="D787" t="s">
        <v>8401</v>
      </c>
    </row>
    <row r="788" spans="1:4" ht="15" x14ac:dyDescent="0.25">
      <c r="A788">
        <v>7217</v>
      </c>
      <c r="B788" t="s">
        <v>10799</v>
      </c>
      <c r="C788" t="s">
        <v>5043</v>
      </c>
      <c r="D788" t="s">
        <v>8401</v>
      </c>
    </row>
    <row r="789" spans="1:4" ht="15" x14ac:dyDescent="0.25">
      <c r="A789">
        <v>7220</v>
      </c>
      <c r="B789" t="s">
        <v>10799</v>
      </c>
      <c r="C789" t="s">
        <v>5043</v>
      </c>
      <c r="D789" t="s">
        <v>8401</v>
      </c>
    </row>
    <row r="790" spans="1:4" ht="15" x14ac:dyDescent="0.25">
      <c r="A790">
        <v>7223</v>
      </c>
      <c r="B790" t="s">
        <v>10799</v>
      </c>
      <c r="C790" t="s">
        <v>5043</v>
      </c>
      <c r="D790" t="s">
        <v>8401</v>
      </c>
    </row>
    <row r="791" spans="1:4" ht="15" x14ac:dyDescent="0.25">
      <c r="A791">
        <v>7238</v>
      </c>
      <c r="B791" t="s">
        <v>10799</v>
      </c>
      <c r="C791" t="s">
        <v>5043</v>
      </c>
      <c r="D791" t="s">
        <v>8401</v>
      </c>
    </row>
    <row r="792" spans="1:4" ht="15" x14ac:dyDescent="0.25">
      <c r="A792">
        <v>7257</v>
      </c>
      <c r="B792" t="s">
        <v>10799</v>
      </c>
      <c r="C792" t="s">
        <v>5043</v>
      </c>
      <c r="D792" t="s">
        <v>8401</v>
      </c>
    </row>
    <row r="793" spans="1:4" ht="15" x14ac:dyDescent="0.25">
      <c r="A793">
        <v>7272</v>
      </c>
      <c r="B793" t="s">
        <v>10799</v>
      </c>
      <c r="C793" t="s">
        <v>5043</v>
      </c>
      <c r="D793" t="s">
        <v>8401</v>
      </c>
    </row>
    <row r="794" spans="1:4" ht="15" x14ac:dyDescent="0.25">
      <c r="A794">
        <v>7282</v>
      </c>
      <c r="B794" t="s">
        <v>10799</v>
      </c>
      <c r="C794" t="s">
        <v>5043</v>
      </c>
      <c r="D794" t="s">
        <v>8401</v>
      </c>
    </row>
    <row r="795" spans="1:4" ht="15" x14ac:dyDescent="0.25">
      <c r="A795">
        <v>7288</v>
      </c>
      <c r="B795" t="s">
        <v>10799</v>
      </c>
      <c r="C795" t="s">
        <v>5043</v>
      </c>
      <c r="D795" t="s">
        <v>8401</v>
      </c>
    </row>
    <row r="796" spans="1:4" ht="15" x14ac:dyDescent="0.25">
      <c r="A796">
        <v>7291</v>
      </c>
      <c r="B796" t="s">
        <v>10799</v>
      </c>
      <c r="C796" t="s">
        <v>5043</v>
      </c>
      <c r="D796" t="s">
        <v>8401</v>
      </c>
    </row>
    <row r="797" spans="1:4" ht="15" x14ac:dyDescent="0.25">
      <c r="A797">
        <v>7298</v>
      </c>
      <c r="B797" t="s">
        <v>10799</v>
      </c>
      <c r="C797" t="s">
        <v>5043</v>
      </c>
      <c r="D797" t="s">
        <v>8401</v>
      </c>
    </row>
    <row r="798" spans="1:4" ht="15" x14ac:dyDescent="0.25">
      <c r="A798">
        <v>7299</v>
      </c>
      <c r="B798" t="s">
        <v>10799</v>
      </c>
      <c r="C798" t="s">
        <v>5043</v>
      </c>
      <c r="D798" t="s">
        <v>8401</v>
      </c>
    </row>
    <row r="799" spans="1:4" ht="15" x14ac:dyDescent="0.25">
      <c r="A799">
        <v>7304</v>
      </c>
      <c r="B799" t="s">
        <v>10799</v>
      </c>
      <c r="C799" t="s">
        <v>5043</v>
      </c>
      <c r="D799" t="s">
        <v>8401</v>
      </c>
    </row>
    <row r="800" spans="1:4" ht="15" x14ac:dyDescent="0.25">
      <c r="A800">
        <v>7309</v>
      </c>
      <c r="B800" t="s">
        <v>10799</v>
      </c>
      <c r="C800" t="s">
        <v>5043</v>
      </c>
      <c r="D800" t="s">
        <v>8401</v>
      </c>
    </row>
    <row r="801" spans="1:4" ht="15" x14ac:dyDescent="0.25">
      <c r="A801">
        <v>7312</v>
      </c>
      <c r="B801" t="s">
        <v>10799</v>
      </c>
      <c r="C801" t="s">
        <v>5043</v>
      </c>
      <c r="D801" t="s">
        <v>8401</v>
      </c>
    </row>
    <row r="802" spans="1:4" ht="15" x14ac:dyDescent="0.25">
      <c r="A802">
        <v>7314</v>
      </c>
      <c r="B802" t="s">
        <v>10799</v>
      </c>
      <c r="C802" t="s">
        <v>5043</v>
      </c>
      <c r="D802" t="s">
        <v>8401</v>
      </c>
    </row>
    <row r="803" spans="1:4" ht="15" x14ac:dyDescent="0.25">
      <c r="A803">
        <v>7316</v>
      </c>
      <c r="B803" t="s">
        <v>10799</v>
      </c>
      <c r="C803" t="s">
        <v>5043</v>
      </c>
      <c r="D803" t="s">
        <v>8401</v>
      </c>
    </row>
    <row r="804" spans="1:4" ht="15" x14ac:dyDescent="0.25">
      <c r="A804">
        <v>7325</v>
      </c>
      <c r="B804" t="s">
        <v>10799</v>
      </c>
      <c r="C804" t="s">
        <v>5043</v>
      </c>
      <c r="D804" t="s">
        <v>8401</v>
      </c>
    </row>
    <row r="805" spans="1:4" ht="15" x14ac:dyDescent="0.25">
      <c r="A805">
        <v>7328</v>
      </c>
      <c r="B805" t="s">
        <v>10799</v>
      </c>
      <c r="C805" t="s">
        <v>5043</v>
      </c>
      <c r="D805" t="s">
        <v>8401</v>
      </c>
    </row>
    <row r="806" spans="1:4" ht="15" x14ac:dyDescent="0.25">
      <c r="A806">
        <v>7335</v>
      </c>
      <c r="B806" t="s">
        <v>10799</v>
      </c>
      <c r="C806" t="s">
        <v>5043</v>
      </c>
      <c r="D806" t="s">
        <v>8401</v>
      </c>
    </row>
    <row r="807" spans="1:4" ht="15" x14ac:dyDescent="0.25">
      <c r="A807">
        <v>7341</v>
      </c>
      <c r="B807" t="s">
        <v>10799</v>
      </c>
      <c r="C807" t="s">
        <v>5043</v>
      </c>
      <c r="D807" t="s">
        <v>8401</v>
      </c>
    </row>
    <row r="808" spans="1:4" ht="15" x14ac:dyDescent="0.25">
      <c r="A808">
        <v>7347</v>
      </c>
      <c r="B808" t="s">
        <v>10799</v>
      </c>
      <c r="C808" t="s">
        <v>5043</v>
      </c>
      <c r="D808" t="s">
        <v>8401</v>
      </c>
    </row>
    <row r="809" spans="1:4" ht="15" x14ac:dyDescent="0.25">
      <c r="A809">
        <v>7356</v>
      </c>
      <c r="B809" t="s">
        <v>10799</v>
      </c>
      <c r="C809" t="s">
        <v>5043</v>
      </c>
      <c r="D809" t="s">
        <v>8401</v>
      </c>
    </row>
    <row r="810" spans="1:4" ht="15" x14ac:dyDescent="0.25">
      <c r="A810">
        <v>7358</v>
      </c>
      <c r="B810" t="s">
        <v>10799</v>
      </c>
      <c r="C810" t="s">
        <v>5043</v>
      </c>
      <c r="D810" t="s">
        <v>8401</v>
      </c>
    </row>
    <row r="811" spans="1:4" ht="15" x14ac:dyDescent="0.25">
      <c r="A811">
        <v>7359</v>
      </c>
      <c r="B811" t="s">
        <v>10799</v>
      </c>
      <c r="C811" t="s">
        <v>5043</v>
      </c>
      <c r="D811" t="s">
        <v>8401</v>
      </c>
    </row>
    <row r="812" spans="1:4" ht="15" x14ac:dyDescent="0.25">
      <c r="A812">
        <v>7369</v>
      </c>
      <c r="B812" t="s">
        <v>10799</v>
      </c>
      <c r="C812" t="s">
        <v>5043</v>
      </c>
      <c r="D812" t="s">
        <v>8401</v>
      </c>
    </row>
    <row r="813" spans="1:4" ht="15" x14ac:dyDescent="0.25">
      <c r="A813">
        <v>7370</v>
      </c>
      <c r="B813" t="s">
        <v>10799</v>
      </c>
      <c r="C813" t="s">
        <v>5043</v>
      </c>
      <c r="D813" t="s">
        <v>8401</v>
      </c>
    </row>
    <row r="814" spans="1:4" ht="15" x14ac:dyDescent="0.25">
      <c r="A814">
        <v>7371</v>
      </c>
      <c r="B814" t="s">
        <v>10799</v>
      </c>
      <c r="C814" t="s">
        <v>5043</v>
      </c>
      <c r="D814" t="s">
        <v>8401</v>
      </c>
    </row>
    <row r="815" spans="1:4" ht="15" x14ac:dyDescent="0.25">
      <c r="A815">
        <v>7372</v>
      </c>
      <c r="B815" t="s">
        <v>10799</v>
      </c>
      <c r="C815" t="s">
        <v>5043</v>
      </c>
      <c r="D815" t="s">
        <v>8401</v>
      </c>
    </row>
    <row r="816" spans="1:4" ht="15" x14ac:dyDescent="0.25">
      <c r="A816">
        <v>7382</v>
      </c>
      <c r="B816" t="s">
        <v>10799</v>
      </c>
      <c r="C816" t="s">
        <v>5043</v>
      </c>
      <c r="D816" t="s">
        <v>8401</v>
      </c>
    </row>
    <row r="817" spans="1:4" ht="15" x14ac:dyDescent="0.25">
      <c r="A817">
        <v>7383</v>
      </c>
      <c r="B817" t="s">
        <v>10799</v>
      </c>
      <c r="C817" t="s">
        <v>5043</v>
      </c>
      <c r="D817" t="s">
        <v>8401</v>
      </c>
    </row>
    <row r="818" spans="1:4" ht="15" x14ac:dyDescent="0.25">
      <c r="A818">
        <v>7388</v>
      </c>
      <c r="B818" t="s">
        <v>10799</v>
      </c>
      <c r="C818" t="s">
        <v>5043</v>
      </c>
      <c r="D818" t="s">
        <v>8401</v>
      </c>
    </row>
    <row r="819" spans="1:4" ht="15" x14ac:dyDescent="0.25">
      <c r="A819">
        <v>7390</v>
      </c>
      <c r="B819" t="s">
        <v>10799</v>
      </c>
      <c r="C819" t="s">
        <v>5043</v>
      </c>
      <c r="D819" t="s">
        <v>8401</v>
      </c>
    </row>
    <row r="820" spans="1:4" ht="15" x14ac:dyDescent="0.25">
      <c r="A820">
        <v>7392</v>
      </c>
      <c r="B820" t="s">
        <v>10799</v>
      </c>
      <c r="C820" t="s">
        <v>5043</v>
      </c>
      <c r="D820" t="s">
        <v>8401</v>
      </c>
    </row>
    <row r="821" spans="1:4" ht="15" x14ac:dyDescent="0.25">
      <c r="A821">
        <v>7394</v>
      </c>
      <c r="B821" t="s">
        <v>10799</v>
      </c>
      <c r="C821" t="s">
        <v>5043</v>
      </c>
      <c r="D821" t="s">
        <v>8401</v>
      </c>
    </row>
    <row r="822" spans="1:4" ht="15" x14ac:dyDescent="0.25">
      <c r="A822">
        <v>7396</v>
      </c>
      <c r="B822" t="s">
        <v>10799</v>
      </c>
      <c r="C822" t="s">
        <v>5043</v>
      </c>
      <c r="D822" t="s">
        <v>8401</v>
      </c>
    </row>
    <row r="823" spans="1:4" ht="15" x14ac:dyDescent="0.25">
      <c r="A823">
        <v>7397</v>
      </c>
      <c r="B823" t="s">
        <v>10799</v>
      </c>
      <c r="C823" t="s">
        <v>5043</v>
      </c>
      <c r="D823" t="s">
        <v>8401</v>
      </c>
    </row>
    <row r="824" spans="1:4" ht="15" x14ac:dyDescent="0.25">
      <c r="A824">
        <v>7398</v>
      </c>
      <c r="B824" t="s">
        <v>10799</v>
      </c>
      <c r="C824" t="s">
        <v>5043</v>
      </c>
      <c r="D824" t="s">
        <v>8401</v>
      </c>
    </row>
    <row r="825" spans="1:4" ht="15" x14ac:dyDescent="0.25">
      <c r="A825">
        <v>7417</v>
      </c>
      <c r="B825" t="s">
        <v>10799</v>
      </c>
      <c r="C825" t="s">
        <v>5043</v>
      </c>
      <c r="D825" t="s">
        <v>8401</v>
      </c>
    </row>
    <row r="826" spans="1:4" ht="15" x14ac:dyDescent="0.25">
      <c r="A826">
        <v>7418</v>
      </c>
      <c r="B826" t="s">
        <v>10799</v>
      </c>
      <c r="C826" t="s">
        <v>5043</v>
      </c>
      <c r="D826" t="s">
        <v>8401</v>
      </c>
    </row>
    <row r="827" spans="1:4" ht="15" x14ac:dyDescent="0.25">
      <c r="A827">
        <v>7419</v>
      </c>
      <c r="B827" t="s">
        <v>10799</v>
      </c>
      <c r="C827" t="s">
        <v>5043</v>
      </c>
      <c r="D827" t="s">
        <v>8401</v>
      </c>
    </row>
    <row r="828" spans="1:4" ht="15" x14ac:dyDescent="0.25">
      <c r="A828">
        <v>7421</v>
      </c>
      <c r="B828" t="s">
        <v>10799</v>
      </c>
      <c r="C828" t="s">
        <v>5043</v>
      </c>
      <c r="D828" t="s">
        <v>8401</v>
      </c>
    </row>
    <row r="829" spans="1:4" ht="15" x14ac:dyDescent="0.25">
      <c r="A829">
        <v>7430</v>
      </c>
      <c r="B829" t="s">
        <v>10799</v>
      </c>
      <c r="C829" t="s">
        <v>5043</v>
      </c>
      <c r="D829" t="s">
        <v>8401</v>
      </c>
    </row>
    <row r="830" spans="1:4" ht="15" x14ac:dyDescent="0.25">
      <c r="A830">
        <v>7431</v>
      </c>
      <c r="B830" t="s">
        <v>10799</v>
      </c>
      <c r="C830" t="s">
        <v>5043</v>
      </c>
      <c r="D830" t="s">
        <v>8401</v>
      </c>
    </row>
    <row r="831" spans="1:4" ht="15" x14ac:dyDescent="0.25">
      <c r="A831">
        <v>7439</v>
      </c>
      <c r="B831" t="s">
        <v>10799</v>
      </c>
      <c r="C831" t="s">
        <v>5043</v>
      </c>
      <c r="D831" t="s">
        <v>8401</v>
      </c>
    </row>
    <row r="832" spans="1:4" ht="15" x14ac:dyDescent="0.25">
      <c r="A832">
        <v>7445</v>
      </c>
      <c r="B832" t="s">
        <v>10799</v>
      </c>
      <c r="C832" t="s">
        <v>5043</v>
      </c>
      <c r="D832" t="s">
        <v>8401</v>
      </c>
    </row>
    <row r="833" spans="1:4" ht="15" x14ac:dyDescent="0.25">
      <c r="A833">
        <v>7452</v>
      </c>
      <c r="B833" t="s">
        <v>10799</v>
      </c>
      <c r="C833" t="s">
        <v>5043</v>
      </c>
      <c r="D833" t="s">
        <v>8401</v>
      </c>
    </row>
    <row r="834" spans="1:4" ht="15" x14ac:dyDescent="0.25">
      <c r="A834">
        <v>7455</v>
      </c>
      <c r="B834" t="s">
        <v>10799</v>
      </c>
      <c r="C834" t="s">
        <v>5043</v>
      </c>
      <c r="D834" t="s">
        <v>8401</v>
      </c>
    </row>
    <row r="835" spans="1:4" ht="15" x14ac:dyDescent="0.25">
      <c r="A835">
        <v>7458</v>
      </c>
      <c r="B835" t="s">
        <v>10799</v>
      </c>
      <c r="C835" t="s">
        <v>5043</v>
      </c>
      <c r="D835" t="s">
        <v>8401</v>
      </c>
    </row>
    <row r="836" spans="1:4" ht="15" x14ac:dyDescent="0.25">
      <c r="A836">
        <v>7460</v>
      </c>
      <c r="B836" t="s">
        <v>10799</v>
      </c>
      <c r="C836" t="s">
        <v>5043</v>
      </c>
      <c r="D836" t="s">
        <v>8401</v>
      </c>
    </row>
    <row r="837" spans="1:4" ht="15" x14ac:dyDescent="0.25">
      <c r="A837">
        <v>7469</v>
      </c>
      <c r="B837" t="s">
        <v>10799</v>
      </c>
      <c r="C837" t="s">
        <v>5043</v>
      </c>
      <c r="D837" t="s">
        <v>8401</v>
      </c>
    </row>
    <row r="838" spans="1:4" ht="15" x14ac:dyDescent="0.25">
      <c r="A838">
        <v>7480</v>
      </c>
      <c r="B838" t="s">
        <v>10799</v>
      </c>
      <c r="C838" t="s">
        <v>5043</v>
      </c>
      <c r="D838" t="s">
        <v>8401</v>
      </c>
    </row>
    <row r="839" spans="1:4" ht="15" x14ac:dyDescent="0.25">
      <c r="A839">
        <v>7484</v>
      </c>
      <c r="B839" t="s">
        <v>10799</v>
      </c>
      <c r="C839" t="s">
        <v>5043</v>
      </c>
      <c r="D839" t="s">
        <v>8401</v>
      </c>
    </row>
    <row r="840" spans="1:4" ht="15" x14ac:dyDescent="0.25">
      <c r="A840">
        <v>7486</v>
      </c>
      <c r="B840" t="s">
        <v>10799</v>
      </c>
      <c r="C840" t="s">
        <v>5043</v>
      </c>
      <c r="D840" t="s">
        <v>8401</v>
      </c>
    </row>
    <row r="841" spans="1:4" ht="15" x14ac:dyDescent="0.25">
      <c r="A841">
        <v>7489</v>
      </c>
      <c r="B841" t="s">
        <v>10799</v>
      </c>
      <c r="C841" t="s">
        <v>5043</v>
      </c>
      <c r="D841" t="s">
        <v>8401</v>
      </c>
    </row>
    <row r="842" spans="1:4" ht="15" x14ac:dyDescent="0.25">
      <c r="A842">
        <v>7490</v>
      </c>
      <c r="B842" t="s">
        <v>10799</v>
      </c>
      <c r="C842" t="s">
        <v>5043</v>
      </c>
      <c r="D842" t="s">
        <v>8401</v>
      </c>
    </row>
    <row r="843" spans="1:4" ht="15" x14ac:dyDescent="0.25">
      <c r="A843">
        <v>7498</v>
      </c>
      <c r="B843" t="s">
        <v>10799</v>
      </c>
      <c r="C843" t="s">
        <v>5043</v>
      </c>
      <c r="D843" t="s">
        <v>8401</v>
      </c>
    </row>
    <row r="844" spans="1:4" ht="15" x14ac:dyDescent="0.25">
      <c r="A844">
        <v>7502</v>
      </c>
      <c r="B844" t="s">
        <v>10799</v>
      </c>
      <c r="C844" t="s">
        <v>5043</v>
      </c>
      <c r="D844" t="s">
        <v>8401</v>
      </c>
    </row>
    <row r="845" spans="1:4" ht="15" x14ac:dyDescent="0.25">
      <c r="A845">
        <v>7507</v>
      </c>
      <c r="B845" t="s">
        <v>10799</v>
      </c>
      <c r="C845" t="s">
        <v>5043</v>
      </c>
      <c r="D845" t="s">
        <v>8401</v>
      </c>
    </row>
    <row r="846" spans="1:4" ht="15" x14ac:dyDescent="0.25">
      <c r="A846">
        <v>7508</v>
      </c>
      <c r="B846" t="s">
        <v>10799</v>
      </c>
      <c r="C846" t="s">
        <v>5043</v>
      </c>
      <c r="D846" t="s">
        <v>8401</v>
      </c>
    </row>
    <row r="847" spans="1:4" ht="15" x14ac:dyDescent="0.25">
      <c r="A847">
        <v>7511</v>
      </c>
      <c r="B847" t="s">
        <v>10799</v>
      </c>
      <c r="C847" t="s">
        <v>5043</v>
      </c>
      <c r="D847" t="s">
        <v>8401</v>
      </c>
    </row>
    <row r="848" spans="1:4" ht="15" x14ac:dyDescent="0.25">
      <c r="A848">
        <v>7512</v>
      </c>
      <c r="B848" t="s">
        <v>10799</v>
      </c>
      <c r="C848" t="s">
        <v>5043</v>
      </c>
      <c r="D848" t="s">
        <v>8401</v>
      </c>
    </row>
    <row r="849" spans="1:4" ht="15" x14ac:dyDescent="0.25">
      <c r="A849">
        <v>7514</v>
      </c>
      <c r="B849" t="s">
        <v>10799</v>
      </c>
      <c r="C849" t="s">
        <v>5043</v>
      </c>
      <c r="D849" t="s">
        <v>8401</v>
      </c>
    </row>
    <row r="850" spans="1:4" ht="15" x14ac:dyDescent="0.25">
      <c r="A850">
        <v>7515</v>
      </c>
      <c r="B850" t="s">
        <v>10799</v>
      </c>
      <c r="C850" t="s">
        <v>5043</v>
      </c>
      <c r="D850" t="s">
        <v>8401</v>
      </c>
    </row>
    <row r="851" spans="1:4" ht="15" x14ac:dyDescent="0.25">
      <c r="A851">
        <v>7525</v>
      </c>
      <c r="B851" t="s">
        <v>10799</v>
      </c>
      <c r="C851" t="s">
        <v>5043</v>
      </c>
      <c r="D851" t="s">
        <v>8401</v>
      </c>
    </row>
    <row r="852" spans="1:4" ht="15" x14ac:dyDescent="0.25">
      <c r="A852">
        <v>7531</v>
      </c>
      <c r="B852" t="s">
        <v>10799</v>
      </c>
      <c r="C852" t="s">
        <v>5043</v>
      </c>
      <c r="D852" t="s">
        <v>8401</v>
      </c>
    </row>
    <row r="853" spans="1:4" ht="15" x14ac:dyDescent="0.25">
      <c r="A853">
        <v>7541</v>
      </c>
      <c r="B853" t="s">
        <v>10799</v>
      </c>
      <c r="C853" t="s">
        <v>5043</v>
      </c>
      <c r="D853" t="s">
        <v>8401</v>
      </c>
    </row>
    <row r="854" spans="1:4" ht="15" x14ac:dyDescent="0.25">
      <c r="A854">
        <v>7545</v>
      </c>
      <c r="B854" t="s">
        <v>10799</v>
      </c>
      <c r="C854" t="s">
        <v>5043</v>
      </c>
      <c r="D854" t="s">
        <v>8401</v>
      </c>
    </row>
    <row r="855" spans="1:4" ht="15" x14ac:dyDescent="0.25">
      <c r="A855">
        <v>7547</v>
      </c>
      <c r="B855" t="s">
        <v>10799</v>
      </c>
      <c r="C855" t="s">
        <v>5043</v>
      </c>
      <c r="D855" t="s">
        <v>8401</v>
      </c>
    </row>
    <row r="856" spans="1:4" ht="15" x14ac:dyDescent="0.25">
      <c r="A856">
        <v>7548</v>
      </c>
      <c r="B856" t="s">
        <v>10799</v>
      </c>
      <c r="C856" t="s">
        <v>5043</v>
      </c>
      <c r="D856" t="s">
        <v>8401</v>
      </c>
    </row>
    <row r="857" spans="1:4" ht="15" x14ac:dyDescent="0.25">
      <c r="A857">
        <v>7551</v>
      </c>
      <c r="B857" t="s">
        <v>10799</v>
      </c>
      <c r="C857" t="s">
        <v>5043</v>
      </c>
      <c r="D857" t="s">
        <v>8401</v>
      </c>
    </row>
    <row r="858" spans="1:4" ht="15" x14ac:dyDescent="0.25">
      <c r="A858">
        <v>7563</v>
      </c>
      <c r="B858" t="s">
        <v>10799</v>
      </c>
      <c r="C858" t="s">
        <v>5043</v>
      </c>
      <c r="D858" t="s">
        <v>8401</v>
      </c>
    </row>
    <row r="859" spans="1:4" ht="15" x14ac:dyDescent="0.25">
      <c r="A859">
        <v>7571</v>
      </c>
      <c r="B859" t="s">
        <v>10799</v>
      </c>
      <c r="C859" t="s">
        <v>5043</v>
      </c>
      <c r="D859" t="s">
        <v>8401</v>
      </c>
    </row>
    <row r="860" spans="1:4" ht="15" x14ac:dyDescent="0.25">
      <c r="A860">
        <v>7575</v>
      </c>
      <c r="B860" t="s">
        <v>10799</v>
      </c>
      <c r="C860" t="s">
        <v>5043</v>
      </c>
      <c r="D860" t="s">
        <v>8401</v>
      </c>
    </row>
    <row r="861" spans="1:4" ht="15" x14ac:dyDescent="0.25">
      <c r="A861">
        <v>7576</v>
      </c>
      <c r="B861" t="s">
        <v>10799</v>
      </c>
      <c r="C861" t="s">
        <v>5043</v>
      </c>
      <c r="D861" t="s">
        <v>8401</v>
      </c>
    </row>
    <row r="862" spans="1:4" ht="15" x14ac:dyDescent="0.25">
      <c r="A862">
        <v>7579</v>
      </c>
      <c r="B862" t="s">
        <v>10799</v>
      </c>
      <c r="C862" t="s">
        <v>5043</v>
      </c>
      <c r="D862" t="s">
        <v>8401</v>
      </c>
    </row>
    <row r="863" spans="1:4" ht="15" x14ac:dyDescent="0.25">
      <c r="A863">
        <v>7583</v>
      </c>
      <c r="B863" t="s">
        <v>10799</v>
      </c>
      <c r="C863" t="s">
        <v>5043</v>
      </c>
      <c r="D863" t="s">
        <v>8401</v>
      </c>
    </row>
    <row r="864" spans="1:4" ht="15" x14ac:dyDescent="0.25">
      <c r="A864">
        <v>7584</v>
      </c>
      <c r="B864" t="s">
        <v>10799</v>
      </c>
      <c r="C864" t="s">
        <v>5043</v>
      </c>
      <c r="D864" t="s">
        <v>8401</v>
      </c>
    </row>
    <row r="865" spans="1:4" ht="15" x14ac:dyDescent="0.25">
      <c r="A865">
        <v>7587</v>
      </c>
      <c r="B865" t="s">
        <v>10799</v>
      </c>
      <c r="C865" t="s">
        <v>5043</v>
      </c>
      <c r="D865" t="s">
        <v>8401</v>
      </c>
    </row>
    <row r="866" spans="1:4" ht="15" x14ac:dyDescent="0.25">
      <c r="A866">
        <v>7588</v>
      </c>
      <c r="B866" t="s">
        <v>10799</v>
      </c>
      <c r="C866" t="s">
        <v>5043</v>
      </c>
      <c r="D866" t="s">
        <v>8401</v>
      </c>
    </row>
    <row r="867" spans="1:4" ht="15" x14ac:dyDescent="0.25">
      <c r="A867">
        <v>7589</v>
      </c>
      <c r="B867" t="s">
        <v>10799</v>
      </c>
      <c r="C867" t="s">
        <v>5043</v>
      </c>
      <c r="D867" t="s">
        <v>8401</v>
      </c>
    </row>
    <row r="868" spans="1:4" ht="15" x14ac:dyDescent="0.25">
      <c r="A868">
        <v>7590</v>
      </c>
      <c r="B868" t="s">
        <v>10799</v>
      </c>
      <c r="C868" t="s">
        <v>5043</v>
      </c>
      <c r="D868" t="s">
        <v>8401</v>
      </c>
    </row>
    <row r="869" spans="1:4" ht="15" x14ac:dyDescent="0.25">
      <c r="A869">
        <v>7592</v>
      </c>
      <c r="B869" t="s">
        <v>10799</v>
      </c>
      <c r="C869" t="s">
        <v>5043</v>
      </c>
      <c r="D869" t="s">
        <v>8401</v>
      </c>
    </row>
    <row r="870" spans="1:4" ht="15" x14ac:dyDescent="0.25">
      <c r="A870">
        <v>7610</v>
      </c>
      <c r="B870" t="s">
        <v>10799</v>
      </c>
      <c r="C870" t="s">
        <v>5043</v>
      </c>
      <c r="D870" t="s">
        <v>8401</v>
      </c>
    </row>
    <row r="871" spans="1:4" ht="15" x14ac:dyDescent="0.25">
      <c r="A871">
        <v>7617</v>
      </c>
      <c r="B871" t="s">
        <v>10799</v>
      </c>
      <c r="C871" t="s">
        <v>5043</v>
      </c>
      <c r="D871" t="s">
        <v>8401</v>
      </c>
    </row>
    <row r="872" spans="1:4" ht="15" x14ac:dyDescent="0.25">
      <c r="A872">
        <v>7621</v>
      </c>
      <c r="B872" t="s">
        <v>10799</v>
      </c>
      <c r="C872" t="s">
        <v>5043</v>
      </c>
      <c r="D872" t="s">
        <v>8401</v>
      </c>
    </row>
    <row r="873" spans="1:4" ht="15" x14ac:dyDescent="0.25">
      <c r="A873">
        <v>7624</v>
      </c>
      <c r="B873" t="s">
        <v>10799</v>
      </c>
      <c r="C873" t="s">
        <v>5043</v>
      </c>
      <c r="D873" t="s">
        <v>8401</v>
      </c>
    </row>
    <row r="874" spans="1:4" ht="15" x14ac:dyDescent="0.25">
      <c r="A874">
        <v>7625</v>
      </c>
      <c r="B874" t="s">
        <v>10799</v>
      </c>
      <c r="C874" t="s">
        <v>5043</v>
      </c>
      <c r="D874" t="s">
        <v>8401</v>
      </c>
    </row>
    <row r="875" spans="1:4" ht="15" x14ac:dyDescent="0.25">
      <c r="A875">
        <v>7629</v>
      </c>
      <c r="B875" t="s">
        <v>10799</v>
      </c>
      <c r="C875" t="s">
        <v>5043</v>
      </c>
      <c r="D875" t="s">
        <v>8401</v>
      </c>
    </row>
    <row r="876" spans="1:4" ht="15" x14ac:dyDescent="0.25">
      <c r="A876">
        <v>7633</v>
      </c>
      <c r="B876" t="s">
        <v>10799</v>
      </c>
      <c r="C876" t="s">
        <v>5043</v>
      </c>
      <c r="D876" t="s">
        <v>8401</v>
      </c>
    </row>
    <row r="877" spans="1:4" ht="15" x14ac:dyDescent="0.25">
      <c r="A877">
        <v>7638</v>
      </c>
      <c r="B877" t="s">
        <v>10799</v>
      </c>
      <c r="C877" t="s">
        <v>5043</v>
      </c>
      <c r="D877" t="s">
        <v>8401</v>
      </c>
    </row>
    <row r="878" spans="1:4" ht="15" x14ac:dyDescent="0.25">
      <c r="A878">
        <v>7642</v>
      </c>
      <c r="B878" t="s">
        <v>10799</v>
      </c>
      <c r="C878" t="s">
        <v>5043</v>
      </c>
      <c r="D878" t="s">
        <v>8401</v>
      </c>
    </row>
    <row r="879" spans="1:4" ht="15" x14ac:dyDescent="0.25">
      <c r="A879">
        <v>7651</v>
      </c>
      <c r="B879" t="s">
        <v>10799</v>
      </c>
      <c r="C879" t="s">
        <v>5043</v>
      </c>
      <c r="D879" t="s">
        <v>8401</v>
      </c>
    </row>
    <row r="880" spans="1:4" ht="15" x14ac:dyDescent="0.25">
      <c r="A880">
        <v>7657</v>
      </c>
      <c r="B880" t="s">
        <v>10799</v>
      </c>
      <c r="C880" t="s">
        <v>5043</v>
      </c>
      <c r="D880" t="s">
        <v>8401</v>
      </c>
    </row>
    <row r="881" spans="1:4" ht="15" x14ac:dyDescent="0.25">
      <c r="A881">
        <v>7659</v>
      </c>
      <c r="B881" t="s">
        <v>10799</v>
      </c>
      <c r="C881" t="s">
        <v>5043</v>
      </c>
      <c r="D881" t="s">
        <v>8401</v>
      </c>
    </row>
    <row r="882" spans="1:4" ht="15" x14ac:dyDescent="0.25">
      <c r="A882">
        <v>7666</v>
      </c>
      <c r="B882" t="s">
        <v>10799</v>
      </c>
      <c r="C882" t="s">
        <v>5043</v>
      </c>
      <c r="D882" t="s">
        <v>8401</v>
      </c>
    </row>
    <row r="883" spans="1:4" ht="15" x14ac:dyDescent="0.25">
      <c r="A883">
        <v>7669</v>
      </c>
      <c r="B883" t="s">
        <v>10799</v>
      </c>
      <c r="C883" t="s">
        <v>5043</v>
      </c>
      <c r="D883" t="s">
        <v>8401</v>
      </c>
    </row>
    <row r="884" spans="1:4" ht="15" x14ac:dyDescent="0.25">
      <c r="A884">
        <v>7672</v>
      </c>
      <c r="B884" t="s">
        <v>10799</v>
      </c>
      <c r="C884" t="s">
        <v>5043</v>
      </c>
      <c r="D884" t="s">
        <v>8401</v>
      </c>
    </row>
    <row r="885" spans="1:4" ht="15" x14ac:dyDescent="0.25">
      <c r="A885">
        <v>7676</v>
      </c>
      <c r="B885" t="s">
        <v>10799</v>
      </c>
      <c r="C885" t="s">
        <v>5043</v>
      </c>
      <c r="D885" t="s">
        <v>8401</v>
      </c>
    </row>
    <row r="886" spans="1:4" ht="15" x14ac:dyDescent="0.25">
      <c r="A886">
        <v>7683</v>
      </c>
      <c r="B886" t="s">
        <v>10799</v>
      </c>
      <c r="C886" t="s">
        <v>5043</v>
      </c>
      <c r="D886" t="s">
        <v>8401</v>
      </c>
    </row>
    <row r="887" spans="1:4" ht="15" x14ac:dyDescent="0.25">
      <c r="A887">
        <v>7693</v>
      </c>
      <c r="B887" t="s">
        <v>10799</v>
      </c>
      <c r="C887" t="s">
        <v>5043</v>
      </c>
      <c r="D887" t="s">
        <v>8401</v>
      </c>
    </row>
    <row r="888" spans="1:4" ht="15" x14ac:dyDescent="0.25">
      <c r="A888">
        <v>7702</v>
      </c>
      <c r="B888" t="s">
        <v>10799</v>
      </c>
      <c r="C888" t="s">
        <v>5043</v>
      </c>
      <c r="D888" t="s">
        <v>8401</v>
      </c>
    </row>
    <row r="889" spans="1:4" ht="15" x14ac:dyDescent="0.25">
      <c r="A889">
        <v>7705</v>
      </c>
      <c r="B889" t="s">
        <v>10799</v>
      </c>
      <c r="C889" t="s">
        <v>5043</v>
      </c>
      <c r="D889" t="s">
        <v>8401</v>
      </c>
    </row>
    <row r="890" spans="1:4" ht="15" x14ac:dyDescent="0.25">
      <c r="A890">
        <v>7713</v>
      </c>
      <c r="B890" t="s">
        <v>10799</v>
      </c>
      <c r="C890" t="s">
        <v>5043</v>
      </c>
      <c r="D890" t="s">
        <v>8401</v>
      </c>
    </row>
    <row r="891" spans="1:4" ht="15" x14ac:dyDescent="0.25">
      <c r="A891">
        <v>7720</v>
      </c>
      <c r="B891" t="s">
        <v>10799</v>
      </c>
      <c r="C891" t="s">
        <v>5043</v>
      </c>
      <c r="D891" t="s">
        <v>8401</v>
      </c>
    </row>
    <row r="892" spans="1:4" ht="15" x14ac:dyDescent="0.25">
      <c r="A892">
        <v>7724</v>
      </c>
      <c r="B892" t="s">
        <v>10799</v>
      </c>
      <c r="C892" t="s">
        <v>5043</v>
      </c>
      <c r="D892" t="s">
        <v>8401</v>
      </c>
    </row>
    <row r="893" spans="1:4" ht="15" x14ac:dyDescent="0.25">
      <c r="A893">
        <v>7727</v>
      </c>
      <c r="B893" t="s">
        <v>10799</v>
      </c>
      <c r="C893" t="s">
        <v>5043</v>
      </c>
      <c r="D893" t="s">
        <v>8401</v>
      </c>
    </row>
    <row r="894" spans="1:4" ht="15" x14ac:dyDescent="0.25">
      <c r="A894">
        <v>7728</v>
      </c>
      <c r="B894" t="s">
        <v>10799</v>
      </c>
      <c r="C894" t="s">
        <v>5043</v>
      </c>
      <c r="D894" t="s">
        <v>8401</v>
      </c>
    </row>
    <row r="895" spans="1:4" ht="15" x14ac:dyDescent="0.25">
      <c r="A895">
        <v>7738</v>
      </c>
      <c r="B895" t="s">
        <v>10799</v>
      </c>
      <c r="C895" t="s">
        <v>5043</v>
      </c>
      <c r="D895" t="s">
        <v>8401</v>
      </c>
    </row>
    <row r="896" spans="1:4" ht="15" x14ac:dyDescent="0.25">
      <c r="A896">
        <v>7744</v>
      </c>
      <c r="B896" t="s">
        <v>10799</v>
      </c>
      <c r="C896" t="s">
        <v>5043</v>
      </c>
      <c r="D896" t="s">
        <v>8401</v>
      </c>
    </row>
    <row r="897" spans="1:4" ht="15" x14ac:dyDescent="0.25">
      <c r="A897">
        <v>7746</v>
      </c>
      <c r="B897" t="s">
        <v>10799</v>
      </c>
      <c r="C897" t="s">
        <v>5043</v>
      </c>
      <c r="D897" t="s">
        <v>8401</v>
      </c>
    </row>
    <row r="898" spans="1:4" ht="15" x14ac:dyDescent="0.25">
      <c r="A898">
        <v>7747</v>
      </c>
      <c r="B898" t="s">
        <v>10799</v>
      </c>
      <c r="C898" t="s">
        <v>5043</v>
      </c>
      <c r="D898" t="s">
        <v>8401</v>
      </c>
    </row>
    <row r="899" spans="1:4" ht="15" x14ac:dyDescent="0.25">
      <c r="A899">
        <v>7750</v>
      </c>
      <c r="B899" t="s">
        <v>10799</v>
      </c>
      <c r="C899" t="s">
        <v>5043</v>
      </c>
      <c r="D899" t="s">
        <v>8401</v>
      </c>
    </row>
    <row r="900" spans="1:4" ht="15" x14ac:dyDescent="0.25">
      <c r="A900">
        <v>7759</v>
      </c>
      <c r="B900" t="s">
        <v>10799</v>
      </c>
      <c r="C900" t="s">
        <v>5043</v>
      </c>
      <c r="D900" t="s">
        <v>8401</v>
      </c>
    </row>
    <row r="901" spans="1:4" ht="15" x14ac:dyDescent="0.25">
      <c r="A901">
        <v>7767</v>
      </c>
      <c r="B901" t="s">
        <v>10799</v>
      </c>
      <c r="C901" t="s">
        <v>5043</v>
      </c>
      <c r="D901" t="s">
        <v>8401</v>
      </c>
    </row>
    <row r="902" spans="1:4" ht="15" x14ac:dyDescent="0.25">
      <c r="A902">
        <v>7772</v>
      </c>
      <c r="B902" t="s">
        <v>10799</v>
      </c>
      <c r="C902" t="s">
        <v>5043</v>
      </c>
      <c r="D902" t="s">
        <v>8401</v>
      </c>
    </row>
    <row r="903" spans="1:4" ht="15" x14ac:dyDescent="0.25">
      <c r="A903">
        <v>7773</v>
      </c>
      <c r="B903" t="s">
        <v>10799</v>
      </c>
      <c r="C903" t="s">
        <v>5043</v>
      </c>
      <c r="D903" t="s">
        <v>8401</v>
      </c>
    </row>
    <row r="904" spans="1:4" ht="15" x14ac:dyDescent="0.25">
      <c r="A904">
        <v>7781</v>
      </c>
      <c r="B904" t="s">
        <v>10799</v>
      </c>
      <c r="C904" t="s">
        <v>5043</v>
      </c>
      <c r="D904" t="s">
        <v>8401</v>
      </c>
    </row>
    <row r="905" spans="1:4" ht="15" x14ac:dyDescent="0.25">
      <c r="A905">
        <v>7786</v>
      </c>
      <c r="B905" t="s">
        <v>10799</v>
      </c>
      <c r="C905" t="s">
        <v>5043</v>
      </c>
      <c r="D905" t="s">
        <v>8401</v>
      </c>
    </row>
    <row r="906" spans="1:4" ht="15" x14ac:dyDescent="0.25">
      <c r="A906">
        <v>7791</v>
      </c>
      <c r="B906" t="s">
        <v>10799</v>
      </c>
      <c r="C906" t="s">
        <v>5043</v>
      </c>
      <c r="D906" t="s">
        <v>8401</v>
      </c>
    </row>
    <row r="907" spans="1:4" ht="15" x14ac:dyDescent="0.25">
      <c r="A907">
        <v>7793</v>
      </c>
      <c r="B907" t="s">
        <v>10799</v>
      </c>
      <c r="C907" t="s">
        <v>5043</v>
      </c>
      <c r="D907" t="s">
        <v>8401</v>
      </c>
    </row>
    <row r="908" spans="1:4" ht="15" x14ac:dyDescent="0.25">
      <c r="A908">
        <v>7808</v>
      </c>
      <c r="B908" t="s">
        <v>10799</v>
      </c>
      <c r="C908" t="s">
        <v>5043</v>
      </c>
      <c r="D908" t="s">
        <v>8401</v>
      </c>
    </row>
    <row r="909" spans="1:4" ht="15" x14ac:dyDescent="0.25">
      <c r="A909">
        <v>7815</v>
      </c>
      <c r="B909" t="s">
        <v>10799</v>
      </c>
      <c r="C909" t="s">
        <v>5043</v>
      </c>
      <c r="D909" t="s">
        <v>8401</v>
      </c>
    </row>
    <row r="910" spans="1:4" ht="15" x14ac:dyDescent="0.25">
      <c r="A910">
        <v>7816</v>
      </c>
      <c r="B910" t="s">
        <v>10799</v>
      </c>
      <c r="C910" t="s">
        <v>5043</v>
      </c>
      <c r="D910" t="s">
        <v>8401</v>
      </c>
    </row>
    <row r="911" spans="1:4" ht="15" x14ac:dyDescent="0.25">
      <c r="A911">
        <v>7817</v>
      </c>
      <c r="B911" t="s">
        <v>10799</v>
      </c>
      <c r="C911" t="s">
        <v>5043</v>
      </c>
      <c r="D911" t="s">
        <v>8401</v>
      </c>
    </row>
    <row r="912" spans="1:4" ht="15" x14ac:dyDescent="0.25">
      <c r="A912">
        <v>7818</v>
      </c>
      <c r="B912" t="s">
        <v>10799</v>
      </c>
      <c r="C912" t="s">
        <v>5043</v>
      </c>
      <c r="D912" t="s">
        <v>8401</v>
      </c>
    </row>
    <row r="913" spans="1:4" ht="15" x14ac:dyDescent="0.25">
      <c r="A913">
        <v>7821</v>
      </c>
      <c r="B913" t="s">
        <v>10799</v>
      </c>
      <c r="C913" t="s">
        <v>5043</v>
      </c>
      <c r="D913" t="s">
        <v>8401</v>
      </c>
    </row>
    <row r="914" spans="1:4" ht="15" x14ac:dyDescent="0.25">
      <c r="A914">
        <v>7830</v>
      </c>
      <c r="B914" t="s">
        <v>10799</v>
      </c>
      <c r="C914" t="s">
        <v>5043</v>
      </c>
      <c r="D914" t="s">
        <v>8401</v>
      </c>
    </row>
    <row r="915" spans="1:4" ht="15" x14ac:dyDescent="0.25">
      <c r="A915">
        <v>7833</v>
      </c>
      <c r="B915" t="s">
        <v>10799</v>
      </c>
      <c r="C915" t="s">
        <v>5043</v>
      </c>
      <c r="D915" t="s">
        <v>8401</v>
      </c>
    </row>
    <row r="916" spans="1:4" ht="15" x14ac:dyDescent="0.25">
      <c r="A916">
        <v>7835</v>
      </c>
      <c r="B916" t="s">
        <v>10799</v>
      </c>
      <c r="C916" t="s">
        <v>5043</v>
      </c>
      <c r="D916" t="s">
        <v>8401</v>
      </c>
    </row>
    <row r="917" spans="1:4" ht="15" x14ac:dyDescent="0.25">
      <c r="A917">
        <v>7841</v>
      </c>
      <c r="B917" t="s">
        <v>10799</v>
      </c>
      <c r="C917" t="s">
        <v>5043</v>
      </c>
      <c r="D917" t="s">
        <v>8401</v>
      </c>
    </row>
    <row r="918" spans="1:4" ht="15" x14ac:dyDescent="0.25">
      <c r="A918">
        <v>7852</v>
      </c>
      <c r="B918" t="s">
        <v>10799</v>
      </c>
      <c r="C918" t="s">
        <v>5043</v>
      </c>
      <c r="D918" t="s">
        <v>8401</v>
      </c>
    </row>
    <row r="919" spans="1:4" ht="15" x14ac:dyDescent="0.25">
      <c r="A919">
        <v>7855</v>
      </c>
      <c r="B919" t="s">
        <v>10799</v>
      </c>
      <c r="C919" t="s">
        <v>5043</v>
      </c>
      <c r="D919" t="s">
        <v>8401</v>
      </c>
    </row>
    <row r="920" spans="1:4" ht="15" x14ac:dyDescent="0.25">
      <c r="A920">
        <v>7866</v>
      </c>
      <c r="B920" t="s">
        <v>10799</v>
      </c>
      <c r="C920" t="s">
        <v>5043</v>
      </c>
      <c r="D920" t="s">
        <v>8401</v>
      </c>
    </row>
    <row r="921" spans="1:4" ht="15" x14ac:dyDescent="0.25">
      <c r="A921">
        <v>7868</v>
      </c>
      <c r="B921" t="s">
        <v>10799</v>
      </c>
      <c r="C921" t="s">
        <v>5043</v>
      </c>
      <c r="D921" t="s">
        <v>8401</v>
      </c>
    </row>
    <row r="922" spans="1:4" ht="15" x14ac:dyDescent="0.25">
      <c r="A922">
        <v>7875</v>
      </c>
      <c r="B922" t="s">
        <v>10799</v>
      </c>
      <c r="C922" t="s">
        <v>5043</v>
      </c>
      <c r="D922" t="s">
        <v>8401</v>
      </c>
    </row>
    <row r="923" spans="1:4" ht="15" x14ac:dyDescent="0.25">
      <c r="A923">
        <v>7876</v>
      </c>
      <c r="B923" t="s">
        <v>10799</v>
      </c>
      <c r="C923" t="s">
        <v>5043</v>
      </c>
      <c r="D923" t="s">
        <v>8401</v>
      </c>
    </row>
    <row r="924" spans="1:4" ht="15" x14ac:dyDescent="0.25">
      <c r="A924">
        <v>7878</v>
      </c>
      <c r="B924" t="s">
        <v>10799</v>
      </c>
      <c r="C924" t="s">
        <v>5043</v>
      </c>
      <c r="D924" t="s">
        <v>8401</v>
      </c>
    </row>
    <row r="925" spans="1:4" ht="15" x14ac:dyDescent="0.25">
      <c r="A925">
        <v>7881</v>
      </c>
      <c r="B925" t="s">
        <v>10799</v>
      </c>
      <c r="C925" t="s">
        <v>5043</v>
      </c>
      <c r="D925" t="s">
        <v>8401</v>
      </c>
    </row>
    <row r="926" spans="1:4" ht="15" x14ac:dyDescent="0.25">
      <c r="A926">
        <v>7886</v>
      </c>
      <c r="B926" t="s">
        <v>10799</v>
      </c>
      <c r="C926" t="s">
        <v>5043</v>
      </c>
      <c r="D926" t="s">
        <v>8401</v>
      </c>
    </row>
    <row r="927" spans="1:4" ht="15" x14ac:dyDescent="0.25">
      <c r="A927">
        <v>7888</v>
      </c>
      <c r="B927" t="s">
        <v>10799</v>
      </c>
      <c r="C927" t="s">
        <v>5043</v>
      </c>
      <c r="D927" t="s">
        <v>8401</v>
      </c>
    </row>
    <row r="928" spans="1:4" ht="15" x14ac:dyDescent="0.25">
      <c r="A928">
        <v>7896</v>
      </c>
      <c r="B928" t="s">
        <v>10799</v>
      </c>
      <c r="C928" t="s">
        <v>5043</v>
      </c>
      <c r="D928" t="s">
        <v>8401</v>
      </c>
    </row>
    <row r="929" spans="1:4" ht="15" x14ac:dyDescent="0.25">
      <c r="A929">
        <v>7899</v>
      </c>
      <c r="B929" t="s">
        <v>10799</v>
      </c>
      <c r="C929" t="s">
        <v>5043</v>
      </c>
      <c r="D929" t="s">
        <v>8401</v>
      </c>
    </row>
    <row r="930" spans="1:4" ht="15" x14ac:dyDescent="0.25">
      <c r="A930">
        <v>7903</v>
      </c>
      <c r="B930" t="s">
        <v>10799</v>
      </c>
      <c r="C930" t="s">
        <v>5043</v>
      </c>
      <c r="D930" t="s">
        <v>8401</v>
      </c>
    </row>
    <row r="931" spans="1:4" ht="15" x14ac:dyDescent="0.25">
      <c r="A931">
        <v>7910</v>
      </c>
      <c r="B931" t="s">
        <v>10799</v>
      </c>
      <c r="C931" t="s">
        <v>5043</v>
      </c>
      <c r="D931" t="s">
        <v>8401</v>
      </c>
    </row>
    <row r="932" spans="1:4" ht="15" x14ac:dyDescent="0.25">
      <c r="A932">
        <v>7914</v>
      </c>
      <c r="B932" t="s">
        <v>10799</v>
      </c>
      <c r="C932" t="s">
        <v>5043</v>
      </c>
      <c r="D932" t="s">
        <v>8401</v>
      </c>
    </row>
    <row r="933" spans="1:4" ht="15" x14ac:dyDescent="0.25">
      <c r="A933">
        <v>7926</v>
      </c>
      <c r="B933" t="s">
        <v>10799</v>
      </c>
      <c r="C933" t="s">
        <v>5043</v>
      </c>
      <c r="D933" t="s">
        <v>8401</v>
      </c>
    </row>
    <row r="934" spans="1:4" ht="15" x14ac:dyDescent="0.25">
      <c r="A934">
        <v>7928</v>
      </c>
      <c r="B934" t="s">
        <v>10799</v>
      </c>
      <c r="C934" t="s">
        <v>5043</v>
      </c>
      <c r="D934" t="s">
        <v>8401</v>
      </c>
    </row>
    <row r="935" spans="1:4" ht="15" x14ac:dyDescent="0.25">
      <c r="A935">
        <v>7931</v>
      </c>
      <c r="B935" t="s">
        <v>10799</v>
      </c>
      <c r="C935" t="s">
        <v>5043</v>
      </c>
      <c r="D935" t="s">
        <v>8401</v>
      </c>
    </row>
    <row r="936" spans="1:4" ht="15" x14ac:dyDescent="0.25">
      <c r="A936">
        <v>7933</v>
      </c>
      <c r="B936" t="s">
        <v>10799</v>
      </c>
      <c r="C936" t="s">
        <v>5043</v>
      </c>
      <c r="D936" t="s">
        <v>8401</v>
      </c>
    </row>
    <row r="937" spans="1:4" ht="15" x14ac:dyDescent="0.25">
      <c r="A937">
        <v>7935</v>
      </c>
      <c r="B937" t="s">
        <v>10799</v>
      </c>
      <c r="C937" t="s">
        <v>5043</v>
      </c>
      <c r="D937" t="s">
        <v>8401</v>
      </c>
    </row>
    <row r="938" spans="1:4" ht="15" x14ac:dyDescent="0.25">
      <c r="A938">
        <v>7937</v>
      </c>
      <c r="B938" t="s">
        <v>10799</v>
      </c>
      <c r="C938" t="s">
        <v>5043</v>
      </c>
      <c r="D938" t="s">
        <v>8401</v>
      </c>
    </row>
    <row r="939" spans="1:4" ht="15" x14ac:dyDescent="0.25">
      <c r="A939">
        <v>7938</v>
      </c>
      <c r="B939" t="s">
        <v>10799</v>
      </c>
      <c r="C939" t="s">
        <v>5043</v>
      </c>
      <c r="D939" t="s">
        <v>8401</v>
      </c>
    </row>
    <row r="940" spans="1:4" ht="15" x14ac:dyDescent="0.25">
      <c r="A940">
        <v>7939</v>
      </c>
      <c r="B940" t="s">
        <v>10799</v>
      </c>
      <c r="C940" t="s">
        <v>5043</v>
      </c>
      <c r="D940" t="s">
        <v>8401</v>
      </c>
    </row>
    <row r="941" spans="1:4" ht="15" x14ac:dyDescent="0.25">
      <c r="A941">
        <v>7941</v>
      </c>
      <c r="B941" t="s">
        <v>10799</v>
      </c>
      <c r="C941" t="s">
        <v>5043</v>
      </c>
      <c r="D941" t="s">
        <v>8401</v>
      </c>
    </row>
    <row r="942" spans="1:4" ht="15" x14ac:dyDescent="0.25">
      <c r="A942">
        <v>7948</v>
      </c>
      <c r="B942" t="s">
        <v>10799</v>
      </c>
      <c r="C942" t="s">
        <v>5043</v>
      </c>
      <c r="D942" t="s">
        <v>8401</v>
      </c>
    </row>
    <row r="943" spans="1:4" ht="15" x14ac:dyDescent="0.25">
      <c r="A943">
        <v>7951</v>
      </c>
      <c r="B943" t="s">
        <v>10799</v>
      </c>
      <c r="C943" t="s">
        <v>5043</v>
      </c>
      <c r="D943" t="s">
        <v>8401</v>
      </c>
    </row>
    <row r="944" spans="1:4" ht="15" x14ac:dyDescent="0.25">
      <c r="A944">
        <v>7953</v>
      </c>
      <c r="B944" t="s">
        <v>10799</v>
      </c>
      <c r="C944" t="s">
        <v>5043</v>
      </c>
      <c r="D944" t="s">
        <v>8401</v>
      </c>
    </row>
    <row r="945" spans="1:4" ht="15" x14ac:dyDescent="0.25">
      <c r="A945">
        <v>7955</v>
      </c>
      <c r="B945" t="s">
        <v>10799</v>
      </c>
      <c r="C945" t="s">
        <v>5043</v>
      </c>
      <c r="D945" t="s">
        <v>8401</v>
      </c>
    </row>
    <row r="946" spans="1:4" ht="15" x14ac:dyDescent="0.25">
      <c r="A946">
        <v>7960</v>
      </c>
      <c r="B946" t="s">
        <v>10799</v>
      </c>
      <c r="C946" t="s">
        <v>5043</v>
      </c>
      <c r="D946" t="s">
        <v>8401</v>
      </c>
    </row>
    <row r="947" spans="1:4" ht="15" x14ac:dyDescent="0.25">
      <c r="A947">
        <v>7965</v>
      </c>
      <c r="B947" t="s">
        <v>10799</v>
      </c>
      <c r="C947" t="s">
        <v>5043</v>
      </c>
      <c r="D947" t="s">
        <v>8401</v>
      </c>
    </row>
    <row r="948" spans="1:4" ht="15" x14ac:dyDescent="0.25">
      <c r="A948">
        <v>7972</v>
      </c>
      <c r="B948" t="s">
        <v>10799</v>
      </c>
      <c r="C948" t="s">
        <v>5043</v>
      </c>
      <c r="D948" t="s">
        <v>8401</v>
      </c>
    </row>
    <row r="949" spans="1:4" ht="15" x14ac:dyDescent="0.25">
      <c r="A949">
        <v>7979</v>
      </c>
      <c r="B949" t="s">
        <v>10799</v>
      </c>
      <c r="C949" t="s">
        <v>5043</v>
      </c>
      <c r="D949" t="s">
        <v>8401</v>
      </c>
    </row>
    <row r="950" spans="1:4" ht="15" x14ac:dyDescent="0.25">
      <c r="A950">
        <v>7983</v>
      </c>
      <c r="B950" t="s">
        <v>10799</v>
      </c>
      <c r="C950" t="s">
        <v>5043</v>
      </c>
      <c r="D950" t="s">
        <v>8401</v>
      </c>
    </row>
    <row r="951" spans="1:4" ht="15" x14ac:dyDescent="0.25">
      <c r="A951">
        <v>7991</v>
      </c>
      <c r="B951" t="s">
        <v>10799</v>
      </c>
      <c r="C951" t="s">
        <v>5043</v>
      </c>
      <c r="D951" t="s">
        <v>8401</v>
      </c>
    </row>
    <row r="952" spans="1:4" ht="15" x14ac:dyDescent="0.25">
      <c r="A952">
        <v>7992</v>
      </c>
      <c r="B952" t="s">
        <v>10799</v>
      </c>
      <c r="C952" t="s">
        <v>5043</v>
      </c>
      <c r="D952" t="s">
        <v>8401</v>
      </c>
    </row>
    <row r="953" spans="1:4" ht="15" x14ac:dyDescent="0.25">
      <c r="A953">
        <v>7999</v>
      </c>
      <c r="B953" t="s">
        <v>10799</v>
      </c>
      <c r="C953" t="s">
        <v>5043</v>
      </c>
      <c r="D953" t="s">
        <v>8401</v>
      </c>
    </row>
    <row r="954" spans="1:4" ht="15" x14ac:dyDescent="0.25">
      <c r="A954">
        <v>8008</v>
      </c>
      <c r="B954" t="s">
        <v>10799</v>
      </c>
      <c r="C954" t="s">
        <v>5043</v>
      </c>
      <c r="D954" t="s">
        <v>8401</v>
      </c>
    </row>
    <row r="955" spans="1:4" ht="15" x14ac:dyDescent="0.25">
      <c r="A955">
        <v>8009</v>
      </c>
      <c r="B955" t="s">
        <v>10799</v>
      </c>
      <c r="C955" t="s">
        <v>5043</v>
      </c>
      <c r="D955" t="s">
        <v>8401</v>
      </c>
    </row>
    <row r="956" spans="1:4" ht="15" x14ac:dyDescent="0.25">
      <c r="A956">
        <v>8011</v>
      </c>
      <c r="B956" t="s">
        <v>10799</v>
      </c>
      <c r="C956" t="s">
        <v>5043</v>
      </c>
      <c r="D956" t="s">
        <v>8401</v>
      </c>
    </row>
    <row r="957" spans="1:4" ht="15" x14ac:dyDescent="0.25">
      <c r="A957">
        <v>8012</v>
      </c>
      <c r="B957" t="s">
        <v>10799</v>
      </c>
      <c r="C957" t="s">
        <v>5043</v>
      </c>
      <c r="D957" t="s">
        <v>8401</v>
      </c>
    </row>
    <row r="958" spans="1:4" ht="15" x14ac:dyDescent="0.25">
      <c r="A958">
        <v>8014</v>
      </c>
      <c r="B958" t="s">
        <v>10799</v>
      </c>
      <c r="C958" t="s">
        <v>5043</v>
      </c>
      <c r="D958" t="s">
        <v>8401</v>
      </c>
    </row>
    <row r="959" spans="1:4" ht="15" x14ac:dyDescent="0.25">
      <c r="A959">
        <v>8018</v>
      </c>
      <c r="B959" t="s">
        <v>10799</v>
      </c>
      <c r="C959" t="s">
        <v>5043</v>
      </c>
      <c r="D959" t="s">
        <v>8401</v>
      </c>
    </row>
    <row r="960" spans="1:4" ht="15" x14ac:dyDescent="0.25">
      <c r="A960">
        <v>8019</v>
      </c>
      <c r="B960" t="s">
        <v>10799</v>
      </c>
      <c r="C960" t="s">
        <v>5043</v>
      </c>
      <c r="D960" t="s">
        <v>8401</v>
      </c>
    </row>
    <row r="961" spans="1:4" ht="15" x14ac:dyDescent="0.25">
      <c r="A961">
        <v>8022</v>
      </c>
      <c r="B961" t="s">
        <v>10799</v>
      </c>
      <c r="C961" t="s">
        <v>5043</v>
      </c>
      <c r="D961" t="s">
        <v>8401</v>
      </c>
    </row>
    <row r="962" spans="1:4" ht="15" x14ac:dyDescent="0.25">
      <c r="A962">
        <v>8028</v>
      </c>
      <c r="B962" t="s">
        <v>10799</v>
      </c>
      <c r="C962" t="s">
        <v>5043</v>
      </c>
      <c r="D962" t="s">
        <v>8401</v>
      </c>
    </row>
    <row r="963" spans="1:4" ht="15" x14ac:dyDescent="0.25">
      <c r="A963">
        <v>8032</v>
      </c>
      <c r="B963" t="s">
        <v>10799</v>
      </c>
      <c r="C963" t="s">
        <v>5043</v>
      </c>
      <c r="D963" t="s">
        <v>8401</v>
      </c>
    </row>
    <row r="964" spans="1:4" ht="15" x14ac:dyDescent="0.25">
      <c r="A964">
        <v>8033</v>
      </c>
      <c r="B964" t="s">
        <v>10799</v>
      </c>
      <c r="C964" t="s">
        <v>5043</v>
      </c>
      <c r="D964" t="s">
        <v>8401</v>
      </c>
    </row>
    <row r="965" spans="1:4" ht="15" x14ac:dyDescent="0.25">
      <c r="A965">
        <v>8034</v>
      </c>
      <c r="B965" t="s">
        <v>10799</v>
      </c>
      <c r="C965" t="s">
        <v>5043</v>
      </c>
      <c r="D965" t="s">
        <v>8401</v>
      </c>
    </row>
    <row r="966" spans="1:4" ht="15" x14ac:dyDescent="0.25">
      <c r="A966">
        <v>8039</v>
      </c>
      <c r="B966" t="s">
        <v>10799</v>
      </c>
      <c r="C966" t="s">
        <v>5043</v>
      </c>
      <c r="D966" t="s">
        <v>8401</v>
      </c>
    </row>
    <row r="967" spans="1:4" ht="15" x14ac:dyDescent="0.25">
      <c r="A967">
        <v>8048</v>
      </c>
      <c r="B967" t="s">
        <v>10799</v>
      </c>
      <c r="C967" t="s">
        <v>5043</v>
      </c>
      <c r="D967" t="s">
        <v>8401</v>
      </c>
    </row>
    <row r="968" spans="1:4" ht="15" x14ac:dyDescent="0.25">
      <c r="A968">
        <v>8051</v>
      </c>
      <c r="B968" t="s">
        <v>10799</v>
      </c>
      <c r="C968" t="s">
        <v>5043</v>
      </c>
      <c r="D968" t="s">
        <v>8401</v>
      </c>
    </row>
    <row r="969" spans="1:4" ht="15" x14ac:dyDescent="0.25">
      <c r="A969">
        <v>8055</v>
      </c>
      <c r="B969" t="s">
        <v>10799</v>
      </c>
      <c r="C969" t="s">
        <v>5043</v>
      </c>
      <c r="D969" t="s">
        <v>8401</v>
      </c>
    </row>
    <row r="970" spans="1:4" ht="15" x14ac:dyDescent="0.25">
      <c r="A970">
        <v>8056</v>
      </c>
      <c r="B970" t="s">
        <v>10799</v>
      </c>
      <c r="C970" t="s">
        <v>5043</v>
      </c>
      <c r="D970" t="s">
        <v>8401</v>
      </c>
    </row>
    <row r="971" spans="1:4" ht="15" x14ac:dyDescent="0.25">
      <c r="A971">
        <v>8063</v>
      </c>
      <c r="B971" t="s">
        <v>10799</v>
      </c>
      <c r="C971" t="s">
        <v>5043</v>
      </c>
      <c r="D971" t="s">
        <v>8401</v>
      </c>
    </row>
    <row r="972" spans="1:4" ht="15" x14ac:dyDescent="0.25">
      <c r="A972">
        <v>8066</v>
      </c>
      <c r="B972" t="s">
        <v>10799</v>
      </c>
      <c r="C972" t="s">
        <v>5043</v>
      </c>
      <c r="D972" t="s">
        <v>8401</v>
      </c>
    </row>
    <row r="973" spans="1:4" ht="15" x14ac:dyDescent="0.25">
      <c r="A973">
        <v>8077</v>
      </c>
      <c r="B973" t="s">
        <v>10799</v>
      </c>
      <c r="C973" t="s">
        <v>5043</v>
      </c>
      <c r="D973" t="s">
        <v>8401</v>
      </c>
    </row>
    <row r="974" spans="1:4" ht="15" x14ac:dyDescent="0.25">
      <c r="A974">
        <v>8085</v>
      </c>
      <c r="B974" t="s">
        <v>10799</v>
      </c>
      <c r="C974" t="s">
        <v>5043</v>
      </c>
      <c r="D974" t="s">
        <v>8401</v>
      </c>
    </row>
    <row r="975" spans="1:4" ht="15" x14ac:dyDescent="0.25">
      <c r="A975">
        <v>8101</v>
      </c>
      <c r="B975" t="s">
        <v>10799</v>
      </c>
      <c r="C975" t="s">
        <v>5043</v>
      </c>
      <c r="D975" t="s">
        <v>8401</v>
      </c>
    </row>
    <row r="976" spans="1:4" ht="15" x14ac:dyDescent="0.25">
      <c r="A976">
        <v>8104</v>
      </c>
      <c r="B976" t="s">
        <v>10799</v>
      </c>
      <c r="C976" t="s">
        <v>5043</v>
      </c>
      <c r="D976" t="s">
        <v>8401</v>
      </c>
    </row>
    <row r="977" spans="1:4" ht="15" x14ac:dyDescent="0.25">
      <c r="A977">
        <v>8108</v>
      </c>
      <c r="B977" t="s">
        <v>10799</v>
      </c>
      <c r="C977" t="s">
        <v>5043</v>
      </c>
      <c r="D977" t="s">
        <v>8401</v>
      </c>
    </row>
    <row r="978" spans="1:4" ht="15" x14ac:dyDescent="0.25">
      <c r="A978">
        <v>8117</v>
      </c>
      <c r="B978" t="s">
        <v>10799</v>
      </c>
      <c r="C978" t="s">
        <v>5043</v>
      </c>
      <c r="D978" t="s">
        <v>8401</v>
      </c>
    </row>
    <row r="979" spans="1:4" ht="15" x14ac:dyDescent="0.25">
      <c r="A979">
        <v>8122</v>
      </c>
      <c r="B979" t="s">
        <v>10799</v>
      </c>
      <c r="C979" t="s">
        <v>5043</v>
      </c>
      <c r="D979" t="s">
        <v>8401</v>
      </c>
    </row>
    <row r="980" spans="1:4" ht="15" x14ac:dyDescent="0.25">
      <c r="A980">
        <v>8123</v>
      </c>
      <c r="B980" t="s">
        <v>10799</v>
      </c>
      <c r="C980" t="s">
        <v>5043</v>
      </c>
      <c r="D980" t="s">
        <v>8401</v>
      </c>
    </row>
    <row r="981" spans="1:4" ht="15" x14ac:dyDescent="0.25">
      <c r="A981">
        <v>8139</v>
      </c>
      <c r="B981" t="s">
        <v>10799</v>
      </c>
      <c r="C981" t="s">
        <v>5043</v>
      </c>
      <c r="D981" t="s">
        <v>8401</v>
      </c>
    </row>
    <row r="982" spans="1:4" ht="15" x14ac:dyDescent="0.25">
      <c r="A982">
        <v>8140</v>
      </c>
      <c r="B982" t="s">
        <v>10799</v>
      </c>
      <c r="C982" t="s">
        <v>5043</v>
      </c>
      <c r="D982" t="s">
        <v>8401</v>
      </c>
    </row>
    <row r="983" spans="1:4" ht="15" x14ac:dyDescent="0.25">
      <c r="A983">
        <v>8141</v>
      </c>
      <c r="B983" t="s">
        <v>10799</v>
      </c>
      <c r="C983" t="s">
        <v>5043</v>
      </c>
      <c r="D983" t="s">
        <v>8401</v>
      </c>
    </row>
    <row r="984" spans="1:4" ht="15" x14ac:dyDescent="0.25">
      <c r="A984">
        <v>8147</v>
      </c>
      <c r="B984" t="s">
        <v>10799</v>
      </c>
      <c r="C984" t="s">
        <v>5043</v>
      </c>
      <c r="D984" t="s">
        <v>8401</v>
      </c>
    </row>
    <row r="985" spans="1:4" ht="15" x14ac:dyDescent="0.25">
      <c r="A985">
        <v>8152</v>
      </c>
      <c r="B985" t="s">
        <v>10799</v>
      </c>
      <c r="C985" t="s">
        <v>5043</v>
      </c>
      <c r="D985" t="s">
        <v>8401</v>
      </c>
    </row>
    <row r="986" spans="1:4" ht="15" x14ac:dyDescent="0.25">
      <c r="A986">
        <v>8154</v>
      </c>
      <c r="B986" t="s">
        <v>10799</v>
      </c>
      <c r="C986" t="s">
        <v>5043</v>
      </c>
      <c r="D986" t="s">
        <v>8401</v>
      </c>
    </row>
    <row r="987" spans="1:4" ht="15" x14ac:dyDescent="0.25">
      <c r="A987">
        <v>8159</v>
      </c>
      <c r="B987" t="s">
        <v>10799</v>
      </c>
      <c r="C987" t="s">
        <v>5043</v>
      </c>
      <c r="D987" t="s">
        <v>8401</v>
      </c>
    </row>
    <row r="988" spans="1:4" ht="15" x14ac:dyDescent="0.25">
      <c r="A988">
        <v>8172</v>
      </c>
      <c r="B988" t="s">
        <v>10799</v>
      </c>
      <c r="C988" t="s">
        <v>5043</v>
      </c>
      <c r="D988" t="s">
        <v>8401</v>
      </c>
    </row>
    <row r="989" spans="1:4" ht="15" x14ac:dyDescent="0.25">
      <c r="A989">
        <v>8173</v>
      </c>
      <c r="B989" t="s">
        <v>10799</v>
      </c>
      <c r="C989" t="s">
        <v>5043</v>
      </c>
      <c r="D989" t="s">
        <v>8401</v>
      </c>
    </row>
    <row r="990" spans="1:4" ht="15" x14ac:dyDescent="0.25">
      <c r="A990">
        <v>8175</v>
      </c>
      <c r="B990" t="s">
        <v>10799</v>
      </c>
      <c r="C990" t="s">
        <v>5043</v>
      </c>
      <c r="D990" t="s">
        <v>8401</v>
      </c>
    </row>
    <row r="991" spans="1:4" ht="15" x14ac:dyDescent="0.25">
      <c r="A991">
        <v>8178</v>
      </c>
      <c r="B991" t="s">
        <v>10799</v>
      </c>
      <c r="C991" t="s">
        <v>5043</v>
      </c>
      <c r="D991" t="s">
        <v>8401</v>
      </c>
    </row>
    <row r="992" spans="1:4" ht="15" x14ac:dyDescent="0.25">
      <c r="A992">
        <v>8179</v>
      </c>
      <c r="B992" t="s">
        <v>10799</v>
      </c>
      <c r="C992" t="s">
        <v>5043</v>
      </c>
      <c r="D992" t="s">
        <v>8401</v>
      </c>
    </row>
    <row r="993" spans="1:4" ht="15" x14ac:dyDescent="0.25">
      <c r="A993">
        <v>8182</v>
      </c>
      <c r="B993" t="s">
        <v>10799</v>
      </c>
      <c r="C993" t="s">
        <v>5043</v>
      </c>
      <c r="D993" t="s">
        <v>8401</v>
      </c>
    </row>
    <row r="994" spans="1:4" ht="15" x14ac:dyDescent="0.25">
      <c r="A994">
        <v>8202</v>
      </c>
      <c r="B994" t="s">
        <v>10799</v>
      </c>
      <c r="C994" t="s">
        <v>5043</v>
      </c>
      <c r="D994" t="s">
        <v>8401</v>
      </c>
    </row>
    <row r="995" spans="1:4" ht="15" x14ac:dyDescent="0.25">
      <c r="A995">
        <v>8205</v>
      </c>
      <c r="B995" t="s">
        <v>10799</v>
      </c>
      <c r="C995" t="s">
        <v>5043</v>
      </c>
      <c r="D995" t="s">
        <v>8401</v>
      </c>
    </row>
    <row r="996" spans="1:4" ht="15" x14ac:dyDescent="0.25">
      <c r="A996">
        <v>8209</v>
      </c>
      <c r="B996" t="s">
        <v>10799</v>
      </c>
      <c r="C996" t="s">
        <v>5043</v>
      </c>
      <c r="D996" t="s">
        <v>8401</v>
      </c>
    </row>
    <row r="997" spans="1:4" ht="15" x14ac:dyDescent="0.25">
      <c r="A997">
        <v>8215</v>
      </c>
      <c r="B997" t="s">
        <v>10799</v>
      </c>
      <c r="C997" t="s">
        <v>5043</v>
      </c>
      <c r="D997" t="s">
        <v>8401</v>
      </c>
    </row>
    <row r="998" spans="1:4" ht="15" x14ac:dyDescent="0.25">
      <c r="A998">
        <v>8218</v>
      </c>
      <c r="B998" t="s">
        <v>10799</v>
      </c>
      <c r="C998" t="s">
        <v>5043</v>
      </c>
      <c r="D998" t="s">
        <v>8401</v>
      </c>
    </row>
    <row r="999" spans="1:4" ht="15" x14ac:dyDescent="0.25">
      <c r="A999">
        <v>8222</v>
      </c>
      <c r="B999" t="s">
        <v>10799</v>
      </c>
      <c r="C999" t="s">
        <v>5043</v>
      </c>
      <c r="D999" t="s">
        <v>8401</v>
      </c>
    </row>
    <row r="1000" spans="1:4" ht="15" x14ac:dyDescent="0.25">
      <c r="A1000">
        <v>8223</v>
      </c>
      <c r="B1000" t="s">
        <v>10799</v>
      </c>
      <c r="C1000" t="s">
        <v>5043</v>
      </c>
      <c r="D1000" t="s">
        <v>8401</v>
      </c>
    </row>
    <row r="1001" spans="1:4" ht="15" x14ac:dyDescent="0.25">
      <c r="A1001">
        <v>8224</v>
      </c>
      <c r="B1001" t="s">
        <v>10799</v>
      </c>
      <c r="C1001" t="s">
        <v>5043</v>
      </c>
      <c r="D1001" t="s">
        <v>8401</v>
      </c>
    </row>
    <row r="1002" spans="1:4" ht="15" x14ac:dyDescent="0.25">
      <c r="A1002">
        <v>8226</v>
      </c>
      <c r="B1002" t="s">
        <v>10799</v>
      </c>
      <c r="C1002" t="s">
        <v>5043</v>
      </c>
      <c r="D1002" t="s">
        <v>8401</v>
      </c>
    </row>
    <row r="1003" spans="1:4" ht="15" x14ac:dyDescent="0.25">
      <c r="A1003">
        <v>8234</v>
      </c>
      <c r="B1003" t="s">
        <v>10799</v>
      </c>
      <c r="C1003" t="s">
        <v>5043</v>
      </c>
      <c r="D1003" t="s">
        <v>8401</v>
      </c>
    </row>
    <row r="1004" spans="1:4" ht="15" x14ac:dyDescent="0.25">
      <c r="A1004">
        <v>8240</v>
      </c>
      <c r="B1004" t="s">
        <v>10799</v>
      </c>
      <c r="C1004" t="s">
        <v>5043</v>
      </c>
      <c r="D1004" t="s">
        <v>8401</v>
      </c>
    </row>
    <row r="1005" spans="1:4" ht="15" x14ac:dyDescent="0.25">
      <c r="A1005">
        <v>8266</v>
      </c>
      <c r="B1005" t="s">
        <v>10799</v>
      </c>
      <c r="C1005" t="s">
        <v>5043</v>
      </c>
      <c r="D1005" t="s">
        <v>8401</v>
      </c>
    </row>
    <row r="1006" spans="1:4" ht="15" x14ac:dyDescent="0.25">
      <c r="A1006">
        <v>8273</v>
      </c>
      <c r="B1006" t="s">
        <v>10799</v>
      </c>
      <c r="C1006" t="s">
        <v>5043</v>
      </c>
      <c r="D1006" t="s">
        <v>8401</v>
      </c>
    </row>
    <row r="1007" spans="1:4" ht="15" x14ac:dyDescent="0.25">
      <c r="A1007">
        <v>8275</v>
      </c>
      <c r="B1007" t="s">
        <v>10799</v>
      </c>
      <c r="C1007" t="s">
        <v>5043</v>
      </c>
      <c r="D1007" t="s">
        <v>8401</v>
      </c>
    </row>
    <row r="1008" spans="1:4" ht="15" x14ac:dyDescent="0.25">
      <c r="A1008">
        <v>8279</v>
      </c>
      <c r="B1008" t="s">
        <v>10799</v>
      </c>
      <c r="C1008" t="s">
        <v>5043</v>
      </c>
      <c r="D1008" t="s">
        <v>8401</v>
      </c>
    </row>
    <row r="1009" spans="1:4" ht="15" x14ac:dyDescent="0.25">
      <c r="A1009">
        <v>8286</v>
      </c>
      <c r="B1009" t="s">
        <v>10799</v>
      </c>
      <c r="C1009" t="s">
        <v>5043</v>
      </c>
      <c r="D1009" t="s">
        <v>8401</v>
      </c>
    </row>
    <row r="1010" spans="1:4" ht="15" x14ac:dyDescent="0.25">
      <c r="A1010">
        <v>8289</v>
      </c>
      <c r="B1010" t="s">
        <v>10799</v>
      </c>
      <c r="C1010" t="s">
        <v>5043</v>
      </c>
      <c r="D1010" t="s">
        <v>8401</v>
      </c>
    </row>
    <row r="1011" spans="1:4" ht="15" x14ac:dyDescent="0.25">
      <c r="A1011">
        <v>8292</v>
      </c>
      <c r="B1011" t="s">
        <v>10799</v>
      </c>
      <c r="C1011" t="s">
        <v>5043</v>
      </c>
      <c r="D1011" t="s">
        <v>8401</v>
      </c>
    </row>
    <row r="1012" spans="1:4" ht="15" x14ac:dyDescent="0.25">
      <c r="A1012">
        <v>8300</v>
      </c>
      <c r="B1012" t="s">
        <v>10799</v>
      </c>
      <c r="C1012" t="s">
        <v>5043</v>
      </c>
      <c r="D1012" t="s">
        <v>8401</v>
      </c>
    </row>
    <row r="1013" spans="1:4" ht="15" x14ac:dyDescent="0.25">
      <c r="A1013">
        <v>8304</v>
      </c>
      <c r="B1013" t="s">
        <v>10799</v>
      </c>
      <c r="C1013" t="s">
        <v>5043</v>
      </c>
      <c r="D1013" t="s">
        <v>8401</v>
      </c>
    </row>
    <row r="1014" spans="1:4" ht="15" x14ac:dyDescent="0.25">
      <c r="A1014">
        <v>8307</v>
      </c>
      <c r="B1014" t="s">
        <v>10799</v>
      </c>
      <c r="C1014" t="s">
        <v>5043</v>
      </c>
      <c r="D1014" t="s">
        <v>8401</v>
      </c>
    </row>
    <row r="1015" spans="1:4" ht="15" x14ac:dyDescent="0.25">
      <c r="A1015">
        <v>8310</v>
      </c>
      <c r="B1015" t="s">
        <v>10799</v>
      </c>
      <c r="C1015" t="s">
        <v>5043</v>
      </c>
      <c r="D1015" t="s">
        <v>8401</v>
      </c>
    </row>
    <row r="1016" spans="1:4" ht="15" x14ac:dyDescent="0.25">
      <c r="A1016">
        <v>8318</v>
      </c>
      <c r="B1016" t="s">
        <v>10799</v>
      </c>
      <c r="C1016" t="s">
        <v>5043</v>
      </c>
      <c r="D1016" t="s">
        <v>8401</v>
      </c>
    </row>
    <row r="1017" spans="1:4" ht="15" x14ac:dyDescent="0.25">
      <c r="A1017">
        <v>8326</v>
      </c>
      <c r="B1017" t="s">
        <v>10799</v>
      </c>
      <c r="C1017" t="s">
        <v>5043</v>
      </c>
      <c r="D1017" t="s">
        <v>8401</v>
      </c>
    </row>
    <row r="1018" spans="1:4" ht="15" x14ac:dyDescent="0.25">
      <c r="A1018">
        <v>8338</v>
      </c>
      <c r="B1018" t="s">
        <v>10799</v>
      </c>
      <c r="C1018" t="s">
        <v>5043</v>
      </c>
      <c r="D1018" t="s">
        <v>8401</v>
      </c>
    </row>
    <row r="1019" spans="1:4" ht="15" x14ac:dyDescent="0.25">
      <c r="A1019">
        <v>8343</v>
      </c>
      <c r="B1019" t="s">
        <v>10799</v>
      </c>
      <c r="C1019" t="s">
        <v>5043</v>
      </c>
      <c r="D1019" t="s">
        <v>8401</v>
      </c>
    </row>
    <row r="1020" spans="1:4" ht="15" x14ac:dyDescent="0.25">
      <c r="A1020">
        <v>8350</v>
      </c>
      <c r="B1020" t="s">
        <v>10799</v>
      </c>
      <c r="C1020" t="s">
        <v>5043</v>
      </c>
      <c r="D1020" t="s">
        <v>8401</v>
      </c>
    </row>
    <row r="1021" spans="1:4" ht="15" x14ac:dyDescent="0.25">
      <c r="A1021">
        <v>8354</v>
      </c>
      <c r="B1021" t="s">
        <v>10799</v>
      </c>
      <c r="C1021" t="s">
        <v>5043</v>
      </c>
      <c r="D1021" t="s">
        <v>8401</v>
      </c>
    </row>
    <row r="1022" spans="1:4" ht="15" x14ac:dyDescent="0.25">
      <c r="A1022">
        <v>8355</v>
      </c>
      <c r="B1022" t="s">
        <v>10799</v>
      </c>
      <c r="C1022" t="s">
        <v>5043</v>
      </c>
      <c r="D1022" t="s">
        <v>8401</v>
      </c>
    </row>
    <row r="1023" spans="1:4" ht="15" x14ac:dyDescent="0.25">
      <c r="A1023">
        <v>8367</v>
      </c>
      <c r="B1023" t="s">
        <v>10799</v>
      </c>
      <c r="C1023" t="s">
        <v>5043</v>
      </c>
      <c r="D1023" t="s">
        <v>8401</v>
      </c>
    </row>
    <row r="1024" spans="1:4" ht="15" x14ac:dyDescent="0.25">
      <c r="A1024">
        <v>8370</v>
      </c>
      <c r="B1024" t="s">
        <v>10799</v>
      </c>
      <c r="C1024" t="s">
        <v>5043</v>
      </c>
      <c r="D1024" t="s">
        <v>8401</v>
      </c>
    </row>
    <row r="1025" spans="1:4" ht="15" x14ac:dyDescent="0.25">
      <c r="A1025">
        <v>8374</v>
      </c>
      <c r="B1025" t="s">
        <v>10799</v>
      </c>
      <c r="C1025" t="s">
        <v>5043</v>
      </c>
      <c r="D1025" t="s">
        <v>8401</v>
      </c>
    </row>
    <row r="1026" spans="1:4" ht="15" x14ac:dyDescent="0.25">
      <c r="A1026">
        <v>8376</v>
      </c>
      <c r="B1026" t="s">
        <v>10799</v>
      </c>
      <c r="C1026" t="s">
        <v>5043</v>
      </c>
      <c r="D1026" t="s">
        <v>8401</v>
      </c>
    </row>
    <row r="1027" spans="1:4" ht="15" x14ac:dyDescent="0.25">
      <c r="A1027">
        <v>8380</v>
      </c>
      <c r="B1027" t="s">
        <v>10799</v>
      </c>
      <c r="C1027" t="s">
        <v>5043</v>
      </c>
      <c r="D1027" t="s">
        <v>8401</v>
      </c>
    </row>
    <row r="1028" spans="1:4" ht="15" x14ac:dyDescent="0.25">
      <c r="A1028">
        <v>8382</v>
      </c>
      <c r="B1028" t="s">
        <v>10799</v>
      </c>
      <c r="C1028" t="s">
        <v>5043</v>
      </c>
      <c r="D1028" t="s">
        <v>8401</v>
      </c>
    </row>
    <row r="1029" spans="1:4" ht="15" x14ac:dyDescent="0.25">
      <c r="A1029">
        <v>8383</v>
      </c>
      <c r="B1029" t="s">
        <v>10799</v>
      </c>
      <c r="C1029" t="s">
        <v>5043</v>
      </c>
      <c r="D1029" t="s">
        <v>8401</v>
      </c>
    </row>
    <row r="1030" spans="1:4" ht="15" x14ac:dyDescent="0.25">
      <c r="A1030">
        <v>8384</v>
      </c>
      <c r="B1030" t="s">
        <v>10799</v>
      </c>
      <c r="C1030" t="s">
        <v>5043</v>
      </c>
      <c r="D1030" t="s">
        <v>8401</v>
      </c>
    </row>
    <row r="1031" spans="1:4" ht="15" x14ac:dyDescent="0.25">
      <c r="A1031">
        <v>8396</v>
      </c>
      <c r="B1031" t="s">
        <v>10799</v>
      </c>
      <c r="C1031" t="s">
        <v>5043</v>
      </c>
      <c r="D1031" t="s">
        <v>8401</v>
      </c>
    </row>
    <row r="1032" spans="1:4" ht="15" x14ac:dyDescent="0.25">
      <c r="A1032">
        <v>8401</v>
      </c>
      <c r="B1032" t="s">
        <v>10799</v>
      </c>
      <c r="C1032" t="s">
        <v>5043</v>
      </c>
      <c r="D1032" t="s">
        <v>8401</v>
      </c>
    </row>
    <row r="1033" spans="1:4" ht="15" x14ac:dyDescent="0.25">
      <c r="A1033">
        <v>8409</v>
      </c>
      <c r="B1033" t="s">
        <v>10799</v>
      </c>
      <c r="C1033" t="s">
        <v>5043</v>
      </c>
      <c r="D1033" t="s">
        <v>8401</v>
      </c>
    </row>
    <row r="1034" spans="1:4" ht="15" x14ac:dyDescent="0.25">
      <c r="A1034">
        <v>8412</v>
      </c>
      <c r="B1034" t="s">
        <v>10799</v>
      </c>
      <c r="C1034" t="s">
        <v>5043</v>
      </c>
      <c r="D1034" t="s">
        <v>8401</v>
      </c>
    </row>
    <row r="1035" spans="1:4" ht="15" x14ac:dyDescent="0.25">
      <c r="A1035">
        <v>8415</v>
      </c>
      <c r="B1035" t="s">
        <v>10799</v>
      </c>
      <c r="C1035" t="s">
        <v>5043</v>
      </c>
      <c r="D1035" t="s">
        <v>8401</v>
      </c>
    </row>
    <row r="1036" spans="1:4" ht="15" x14ac:dyDescent="0.25">
      <c r="A1036">
        <v>8418</v>
      </c>
      <c r="B1036" t="s">
        <v>10799</v>
      </c>
      <c r="C1036" t="s">
        <v>5043</v>
      </c>
      <c r="D1036" t="s">
        <v>8401</v>
      </c>
    </row>
    <row r="1037" spans="1:4" ht="15" x14ac:dyDescent="0.25">
      <c r="A1037">
        <v>8437</v>
      </c>
      <c r="B1037" t="s">
        <v>10799</v>
      </c>
      <c r="C1037" t="s">
        <v>5043</v>
      </c>
      <c r="D1037" t="s">
        <v>8401</v>
      </c>
    </row>
    <row r="1038" spans="1:4" ht="15" x14ac:dyDescent="0.25">
      <c r="A1038">
        <v>8453</v>
      </c>
      <c r="B1038" t="s">
        <v>10799</v>
      </c>
      <c r="C1038" t="s">
        <v>5043</v>
      </c>
      <c r="D1038" t="s">
        <v>8401</v>
      </c>
    </row>
    <row r="1039" spans="1:4" ht="15" x14ac:dyDescent="0.25">
      <c r="A1039">
        <v>8454</v>
      </c>
      <c r="B1039" t="s">
        <v>10799</v>
      </c>
      <c r="C1039" t="s">
        <v>5043</v>
      </c>
      <c r="D1039" t="s">
        <v>8401</v>
      </c>
    </row>
    <row r="1040" spans="1:4" ht="15" x14ac:dyDescent="0.25">
      <c r="A1040">
        <v>8459</v>
      </c>
      <c r="B1040" t="s">
        <v>10799</v>
      </c>
      <c r="C1040" t="s">
        <v>5043</v>
      </c>
      <c r="D1040" t="s">
        <v>8401</v>
      </c>
    </row>
    <row r="1041" spans="1:4" ht="15" x14ac:dyDescent="0.25">
      <c r="A1041">
        <v>8460</v>
      </c>
      <c r="B1041" t="s">
        <v>10799</v>
      </c>
      <c r="C1041" t="s">
        <v>5043</v>
      </c>
      <c r="D1041" t="s">
        <v>8401</v>
      </c>
    </row>
    <row r="1042" spans="1:4" ht="15" x14ac:dyDescent="0.25">
      <c r="A1042">
        <v>8462</v>
      </c>
      <c r="B1042" t="s">
        <v>10799</v>
      </c>
      <c r="C1042" t="s">
        <v>5043</v>
      </c>
      <c r="D1042" t="s">
        <v>8401</v>
      </c>
    </row>
    <row r="1043" spans="1:4" ht="15" x14ac:dyDescent="0.25">
      <c r="A1043">
        <v>8471</v>
      </c>
      <c r="B1043" t="s">
        <v>10799</v>
      </c>
      <c r="C1043" t="s">
        <v>5043</v>
      </c>
      <c r="D1043" t="s">
        <v>8401</v>
      </c>
    </row>
    <row r="1044" spans="1:4" ht="15" x14ac:dyDescent="0.25">
      <c r="A1044">
        <v>8479</v>
      </c>
      <c r="B1044" t="s">
        <v>10799</v>
      </c>
      <c r="C1044" t="s">
        <v>5043</v>
      </c>
      <c r="D1044" t="s">
        <v>8401</v>
      </c>
    </row>
    <row r="1045" spans="1:4" ht="15" x14ac:dyDescent="0.25">
      <c r="A1045">
        <v>8482</v>
      </c>
      <c r="B1045" t="s">
        <v>10799</v>
      </c>
      <c r="C1045" t="s">
        <v>5043</v>
      </c>
      <c r="D1045" t="s">
        <v>8401</v>
      </c>
    </row>
    <row r="1046" spans="1:4" ht="15" x14ac:dyDescent="0.25">
      <c r="A1046">
        <v>8488</v>
      </c>
      <c r="B1046" t="s">
        <v>10799</v>
      </c>
      <c r="C1046" t="s">
        <v>5043</v>
      </c>
      <c r="D1046" t="s">
        <v>8401</v>
      </c>
    </row>
    <row r="1047" spans="1:4" ht="15" x14ac:dyDescent="0.25">
      <c r="A1047">
        <v>8489</v>
      </c>
      <c r="B1047" t="s">
        <v>10799</v>
      </c>
      <c r="C1047" t="s">
        <v>5043</v>
      </c>
      <c r="D1047" t="s">
        <v>8401</v>
      </c>
    </row>
    <row r="1048" spans="1:4" ht="15" x14ac:dyDescent="0.25">
      <c r="A1048">
        <v>8492</v>
      </c>
      <c r="B1048" t="s">
        <v>10799</v>
      </c>
      <c r="C1048" t="s">
        <v>5043</v>
      </c>
      <c r="D1048" t="s">
        <v>8401</v>
      </c>
    </row>
    <row r="1049" spans="1:4" ht="15" x14ac:dyDescent="0.25">
      <c r="A1049">
        <v>8499</v>
      </c>
      <c r="B1049" t="s">
        <v>10799</v>
      </c>
      <c r="C1049" t="s">
        <v>5043</v>
      </c>
      <c r="D1049" t="s">
        <v>8401</v>
      </c>
    </row>
    <row r="1050" spans="1:4" ht="15" x14ac:dyDescent="0.25">
      <c r="A1050">
        <v>8500</v>
      </c>
      <c r="B1050" t="s">
        <v>10799</v>
      </c>
      <c r="C1050" t="s">
        <v>5043</v>
      </c>
      <c r="D1050" t="s">
        <v>8401</v>
      </c>
    </row>
    <row r="1051" spans="1:4" ht="15" x14ac:dyDescent="0.25">
      <c r="A1051">
        <v>8501</v>
      </c>
      <c r="B1051" t="s">
        <v>10799</v>
      </c>
      <c r="C1051" t="s">
        <v>5043</v>
      </c>
      <c r="D1051" t="s">
        <v>8401</v>
      </c>
    </row>
    <row r="1052" spans="1:4" ht="15" x14ac:dyDescent="0.25">
      <c r="A1052">
        <v>8503</v>
      </c>
      <c r="B1052" t="s">
        <v>10799</v>
      </c>
      <c r="C1052" t="s">
        <v>5043</v>
      </c>
      <c r="D1052" t="s">
        <v>8401</v>
      </c>
    </row>
    <row r="1053" spans="1:4" ht="15" x14ac:dyDescent="0.25">
      <c r="A1053">
        <v>8504</v>
      </c>
      <c r="B1053" t="s">
        <v>10799</v>
      </c>
      <c r="C1053" t="s">
        <v>5043</v>
      </c>
      <c r="D1053" t="s">
        <v>8401</v>
      </c>
    </row>
    <row r="1054" spans="1:4" ht="15" x14ac:dyDescent="0.25">
      <c r="A1054">
        <v>8508</v>
      </c>
      <c r="B1054" t="s">
        <v>10799</v>
      </c>
      <c r="C1054" t="s">
        <v>5043</v>
      </c>
      <c r="D1054" t="s">
        <v>8401</v>
      </c>
    </row>
    <row r="1055" spans="1:4" ht="15" x14ac:dyDescent="0.25">
      <c r="A1055">
        <v>8509</v>
      </c>
      <c r="B1055" t="s">
        <v>10799</v>
      </c>
      <c r="C1055" t="s">
        <v>5043</v>
      </c>
      <c r="D1055" t="s">
        <v>8401</v>
      </c>
    </row>
    <row r="1056" spans="1:4" ht="15" x14ac:dyDescent="0.25">
      <c r="A1056">
        <v>8517</v>
      </c>
      <c r="B1056" t="s">
        <v>10799</v>
      </c>
      <c r="C1056" t="s">
        <v>5043</v>
      </c>
      <c r="D1056" t="s">
        <v>8401</v>
      </c>
    </row>
    <row r="1057" spans="1:4" ht="15" x14ac:dyDescent="0.25">
      <c r="A1057">
        <v>8521</v>
      </c>
      <c r="B1057" t="s">
        <v>10799</v>
      </c>
      <c r="C1057" t="s">
        <v>5043</v>
      </c>
      <c r="D1057" t="s">
        <v>8401</v>
      </c>
    </row>
    <row r="1058" spans="1:4" ht="15" x14ac:dyDescent="0.25">
      <c r="A1058">
        <v>8526</v>
      </c>
      <c r="B1058" t="s">
        <v>10799</v>
      </c>
      <c r="C1058" t="s">
        <v>5043</v>
      </c>
      <c r="D1058" t="s">
        <v>8401</v>
      </c>
    </row>
    <row r="1059" spans="1:4" ht="15" x14ac:dyDescent="0.25">
      <c r="A1059">
        <v>8528</v>
      </c>
      <c r="B1059" t="s">
        <v>10799</v>
      </c>
      <c r="C1059" t="s">
        <v>5043</v>
      </c>
      <c r="D1059" t="s">
        <v>8401</v>
      </c>
    </row>
    <row r="1060" spans="1:4" ht="15" x14ac:dyDescent="0.25">
      <c r="A1060">
        <v>8540</v>
      </c>
      <c r="B1060" t="s">
        <v>10799</v>
      </c>
      <c r="C1060" t="s">
        <v>5043</v>
      </c>
      <c r="D1060" t="s">
        <v>8401</v>
      </c>
    </row>
    <row r="1061" spans="1:4" ht="15" x14ac:dyDescent="0.25">
      <c r="A1061">
        <v>8542</v>
      </c>
      <c r="B1061" t="s">
        <v>10799</v>
      </c>
      <c r="C1061" t="s">
        <v>5043</v>
      </c>
      <c r="D1061" t="s">
        <v>8401</v>
      </c>
    </row>
    <row r="1062" spans="1:4" ht="15" x14ac:dyDescent="0.25">
      <c r="A1062">
        <v>8548</v>
      </c>
      <c r="B1062" t="s">
        <v>10799</v>
      </c>
      <c r="C1062" t="s">
        <v>5043</v>
      </c>
      <c r="D1062" t="s">
        <v>8401</v>
      </c>
    </row>
    <row r="1063" spans="1:4" ht="15" x14ac:dyDescent="0.25">
      <c r="A1063">
        <v>8557</v>
      </c>
      <c r="B1063" t="s">
        <v>10799</v>
      </c>
      <c r="C1063" t="s">
        <v>5043</v>
      </c>
      <c r="D1063" t="s">
        <v>8401</v>
      </c>
    </row>
    <row r="1064" spans="1:4" ht="15" x14ac:dyDescent="0.25">
      <c r="A1064">
        <v>8563</v>
      </c>
      <c r="B1064" t="s">
        <v>10799</v>
      </c>
      <c r="C1064" t="s">
        <v>5043</v>
      </c>
      <c r="D1064" t="s">
        <v>8401</v>
      </c>
    </row>
    <row r="1065" spans="1:4" ht="15" x14ac:dyDescent="0.25">
      <c r="A1065">
        <v>8565</v>
      </c>
      <c r="B1065" t="s">
        <v>10799</v>
      </c>
      <c r="C1065" t="s">
        <v>5043</v>
      </c>
      <c r="D1065" t="s">
        <v>8401</v>
      </c>
    </row>
    <row r="1066" spans="1:4" ht="15" x14ac:dyDescent="0.25">
      <c r="A1066">
        <v>8580</v>
      </c>
      <c r="B1066" t="s">
        <v>10799</v>
      </c>
      <c r="C1066" t="s">
        <v>5043</v>
      </c>
      <c r="D1066" t="s">
        <v>8401</v>
      </c>
    </row>
    <row r="1067" spans="1:4" ht="15" x14ac:dyDescent="0.25">
      <c r="A1067">
        <v>8585</v>
      </c>
      <c r="B1067" t="s">
        <v>10799</v>
      </c>
      <c r="C1067" t="s">
        <v>5043</v>
      </c>
      <c r="D1067" t="s">
        <v>8401</v>
      </c>
    </row>
    <row r="1068" spans="1:4" ht="15" x14ac:dyDescent="0.25">
      <c r="A1068">
        <v>8592</v>
      </c>
      <c r="B1068" t="s">
        <v>10799</v>
      </c>
      <c r="C1068" t="s">
        <v>5043</v>
      </c>
      <c r="D1068" t="s">
        <v>8401</v>
      </c>
    </row>
    <row r="1069" spans="1:4" ht="15" x14ac:dyDescent="0.25">
      <c r="A1069">
        <v>8594</v>
      </c>
      <c r="B1069" t="s">
        <v>10799</v>
      </c>
      <c r="C1069" t="s">
        <v>5043</v>
      </c>
      <c r="D1069" t="s">
        <v>8401</v>
      </c>
    </row>
    <row r="1070" spans="1:4" ht="15" x14ac:dyDescent="0.25">
      <c r="A1070">
        <v>8596</v>
      </c>
      <c r="B1070" t="s">
        <v>10799</v>
      </c>
      <c r="C1070" t="s">
        <v>5043</v>
      </c>
      <c r="D1070" t="s">
        <v>8401</v>
      </c>
    </row>
    <row r="1071" spans="1:4" ht="15" x14ac:dyDescent="0.25">
      <c r="A1071">
        <v>8603</v>
      </c>
      <c r="B1071" t="s">
        <v>10799</v>
      </c>
      <c r="C1071" t="s">
        <v>5043</v>
      </c>
      <c r="D1071" t="s">
        <v>8401</v>
      </c>
    </row>
    <row r="1072" spans="1:4" ht="15" x14ac:dyDescent="0.25">
      <c r="A1072">
        <v>8608</v>
      </c>
      <c r="B1072" t="s">
        <v>10799</v>
      </c>
      <c r="C1072" t="s">
        <v>5043</v>
      </c>
      <c r="D1072" t="s">
        <v>8401</v>
      </c>
    </row>
    <row r="1073" spans="1:4" ht="15" x14ac:dyDescent="0.25">
      <c r="A1073">
        <v>8609</v>
      </c>
      <c r="B1073" t="s">
        <v>10799</v>
      </c>
      <c r="C1073" t="s">
        <v>5043</v>
      </c>
      <c r="D1073" t="s">
        <v>8401</v>
      </c>
    </row>
    <row r="1074" spans="1:4" ht="15" x14ac:dyDescent="0.25">
      <c r="A1074">
        <v>8614</v>
      </c>
      <c r="B1074" t="s">
        <v>10799</v>
      </c>
      <c r="C1074" t="s">
        <v>5043</v>
      </c>
      <c r="D1074" t="s">
        <v>8401</v>
      </c>
    </row>
    <row r="1075" spans="1:4" ht="15" x14ac:dyDescent="0.25">
      <c r="A1075">
        <v>8615</v>
      </c>
      <c r="B1075" t="s">
        <v>10799</v>
      </c>
      <c r="C1075" t="s">
        <v>5043</v>
      </c>
      <c r="D1075" t="s">
        <v>8401</v>
      </c>
    </row>
    <row r="1076" spans="1:4" ht="15" x14ac:dyDescent="0.25">
      <c r="A1076">
        <v>8617</v>
      </c>
      <c r="B1076" t="s">
        <v>10799</v>
      </c>
      <c r="C1076" t="s">
        <v>5043</v>
      </c>
      <c r="D1076" t="s">
        <v>8401</v>
      </c>
    </row>
    <row r="1077" spans="1:4" ht="15" x14ac:dyDescent="0.25">
      <c r="A1077">
        <v>8620</v>
      </c>
      <c r="B1077" t="s">
        <v>10799</v>
      </c>
      <c r="C1077" t="s">
        <v>5043</v>
      </c>
      <c r="D1077" t="s">
        <v>8401</v>
      </c>
    </row>
    <row r="1078" spans="1:4" ht="15" x14ac:dyDescent="0.25">
      <c r="A1078">
        <v>8628</v>
      </c>
      <c r="B1078" t="s">
        <v>10799</v>
      </c>
      <c r="C1078" t="s">
        <v>5043</v>
      </c>
      <c r="D1078" t="s">
        <v>8401</v>
      </c>
    </row>
    <row r="1079" spans="1:4" ht="15" x14ac:dyDescent="0.25">
      <c r="A1079">
        <v>8631</v>
      </c>
      <c r="B1079" t="s">
        <v>10799</v>
      </c>
      <c r="C1079" t="s">
        <v>5043</v>
      </c>
      <c r="D1079" t="s">
        <v>8401</v>
      </c>
    </row>
    <row r="1080" spans="1:4" ht="15" x14ac:dyDescent="0.25">
      <c r="A1080">
        <v>8633</v>
      </c>
      <c r="B1080" t="s">
        <v>10799</v>
      </c>
      <c r="C1080" t="s">
        <v>5043</v>
      </c>
      <c r="D1080" t="s">
        <v>8401</v>
      </c>
    </row>
    <row r="1081" spans="1:4" ht="15" x14ac:dyDescent="0.25">
      <c r="A1081">
        <v>8635</v>
      </c>
      <c r="B1081" t="s">
        <v>10799</v>
      </c>
      <c r="C1081" t="s">
        <v>5043</v>
      </c>
      <c r="D1081" t="s">
        <v>8401</v>
      </c>
    </row>
    <row r="1082" spans="1:4" ht="15" x14ac:dyDescent="0.25">
      <c r="A1082">
        <v>8647</v>
      </c>
      <c r="B1082" t="s">
        <v>10799</v>
      </c>
      <c r="C1082" t="s">
        <v>5043</v>
      </c>
      <c r="D1082" t="s">
        <v>8401</v>
      </c>
    </row>
    <row r="1083" spans="1:4" ht="15" x14ac:dyDescent="0.25">
      <c r="A1083">
        <v>8648</v>
      </c>
      <c r="B1083" t="s">
        <v>10799</v>
      </c>
      <c r="C1083" t="s">
        <v>5043</v>
      </c>
      <c r="D1083" t="s">
        <v>8401</v>
      </c>
    </row>
    <row r="1084" spans="1:4" ht="15" x14ac:dyDescent="0.25">
      <c r="A1084">
        <v>8651</v>
      </c>
      <c r="B1084" t="s">
        <v>10799</v>
      </c>
      <c r="C1084" t="s">
        <v>5043</v>
      </c>
      <c r="D1084" t="s">
        <v>8401</v>
      </c>
    </row>
    <row r="1085" spans="1:4" ht="15" x14ac:dyDescent="0.25">
      <c r="A1085">
        <v>8652</v>
      </c>
      <c r="B1085" t="s">
        <v>10799</v>
      </c>
      <c r="C1085" t="s">
        <v>5043</v>
      </c>
      <c r="D1085" t="s">
        <v>8401</v>
      </c>
    </row>
    <row r="1086" spans="1:4" ht="15" x14ac:dyDescent="0.25">
      <c r="A1086">
        <v>8653</v>
      </c>
      <c r="B1086" t="s">
        <v>10799</v>
      </c>
      <c r="C1086" t="s">
        <v>5043</v>
      </c>
      <c r="D1086" t="s">
        <v>8401</v>
      </c>
    </row>
    <row r="1087" spans="1:4" ht="15" x14ac:dyDescent="0.25">
      <c r="A1087">
        <v>8660</v>
      </c>
      <c r="B1087" t="s">
        <v>10799</v>
      </c>
      <c r="C1087" t="s">
        <v>5043</v>
      </c>
      <c r="D1087" t="s">
        <v>8401</v>
      </c>
    </row>
    <row r="1088" spans="1:4" ht="15" x14ac:dyDescent="0.25">
      <c r="A1088">
        <v>8667</v>
      </c>
      <c r="B1088" t="s">
        <v>10799</v>
      </c>
      <c r="C1088" t="s">
        <v>5043</v>
      </c>
      <c r="D1088" t="s">
        <v>8401</v>
      </c>
    </row>
    <row r="1089" spans="1:4" ht="15" x14ac:dyDescent="0.25">
      <c r="A1089">
        <v>8671</v>
      </c>
      <c r="B1089" t="s">
        <v>10799</v>
      </c>
      <c r="C1089" t="s">
        <v>5043</v>
      </c>
      <c r="D1089" t="s">
        <v>8401</v>
      </c>
    </row>
    <row r="1090" spans="1:4" ht="15" x14ac:dyDescent="0.25">
      <c r="A1090">
        <v>8678</v>
      </c>
      <c r="B1090" t="s">
        <v>10799</v>
      </c>
      <c r="C1090" t="s">
        <v>5043</v>
      </c>
      <c r="D1090" t="s">
        <v>8401</v>
      </c>
    </row>
    <row r="1091" spans="1:4" ht="15" x14ac:dyDescent="0.25">
      <c r="A1091">
        <v>8691</v>
      </c>
      <c r="B1091" t="s">
        <v>10799</v>
      </c>
      <c r="C1091" t="s">
        <v>5043</v>
      </c>
      <c r="D1091" t="s">
        <v>8401</v>
      </c>
    </row>
    <row r="1092" spans="1:4" ht="15" x14ac:dyDescent="0.25">
      <c r="A1092">
        <v>8693</v>
      </c>
      <c r="B1092" t="s">
        <v>10799</v>
      </c>
      <c r="C1092" t="s">
        <v>5043</v>
      </c>
      <c r="D1092" t="s">
        <v>8401</v>
      </c>
    </row>
    <row r="1093" spans="1:4" ht="15" x14ac:dyDescent="0.25">
      <c r="A1093">
        <v>8699</v>
      </c>
      <c r="B1093" t="s">
        <v>10799</v>
      </c>
      <c r="C1093" t="s">
        <v>5043</v>
      </c>
      <c r="D1093" t="s">
        <v>8401</v>
      </c>
    </row>
    <row r="1094" spans="1:4" ht="15" x14ac:dyDescent="0.25">
      <c r="A1094">
        <v>8700</v>
      </c>
      <c r="B1094" t="s">
        <v>10799</v>
      </c>
      <c r="C1094" t="s">
        <v>5043</v>
      </c>
      <c r="D1094" t="s">
        <v>8401</v>
      </c>
    </row>
    <row r="1095" spans="1:4" ht="15" x14ac:dyDescent="0.25">
      <c r="A1095">
        <v>8705</v>
      </c>
      <c r="B1095" t="s">
        <v>10799</v>
      </c>
      <c r="C1095" t="s">
        <v>5043</v>
      </c>
      <c r="D1095" t="s">
        <v>8401</v>
      </c>
    </row>
    <row r="1096" spans="1:4" ht="15" x14ac:dyDescent="0.25">
      <c r="A1096">
        <v>8707</v>
      </c>
      <c r="B1096" t="s">
        <v>10799</v>
      </c>
      <c r="C1096" t="s">
        <v>5043</v>
      </c>
      <c r="D1096" t="s">
        <v>8401</v>
      </c>
    </row>
    <row r="1097" spans="1:4" ht="15" x14ac:dyDescent="0.25">
      <c r="A1097">
        <v>8711</v>
      </c>
      <c r="B1097" t="s">
        <v>10799</v>
      </c>
      <c r="C1097" t="s">
        <v>5043</v>
      </c>
      <c r="D1097" t="s">
        <v>8401</v>
      </c>
    </row>
    <row r="1098" spans="1:4" ht="15" x14ac:dyDescent="0.25">
      <c r="A1098">
        <v>8720</v>
      </c>
      <c r="B1098" t="s">
        <v>10799</v>
      </c>
      <c r="C1098" t="s">
        <v>5043</v>
      </c>
      <c r="D1098" t="s">
        <v>8401</v>
      </c>
    </row>
    <row r="1099" spans="1:4" ht="15" x14ac:dyDescent="0.25">
      <c r="A1099">
        <v>8728</v>
      </c>
      <c r="B1099" t="s">
        <v>10799</v>
      </c>
      <c r="C1099" t="s">
        <v>5043</v>
      </c>
      <c r="D1099" t="s">
        <v>8401</v>
      </c>
    </row>
    <row r="1100" spans="1:4" ht="15" x14ac:dyDescent="0.25">
      <c r="A1100">
        <v>8733</v>
      </c>
      <c r="B1100" t="s">
        <v>10799</v>
      </c>
      <c r="C1100" t="s">
        <v>5043</v>
      </c>
      <c r="D1100" t="s">
        <v>8401</v>
      </c>
    </row>
    <row r="1101" spans="1:4" ht="15" x14ac:dyDescent="0.25">
      <c r="A1101">
        <v>8734</v>
      </c>
      <c r="B1101" t="s">
        <v>10799</v>
      </c>
      <c r="C1101" t="s">
        <v>5043</v>
      </c>
      <c r="D1101" t="s">
        <v>8401</v>
      </c>
    </row>
    <row r="1102" spans="1:4" ht="15" x14ac:dyDescent="0.25">
      <c r="A1102">
        <v>8735</v>
      </c>
      <c r="B1102" t="s">
        <v>10799</v>
      </c>
      <c r="C1102" t="s">
        <v>5043</v>
      </c>
      <c r="D1102" t="s">
        <v>8401</v>
      </c>
    </row>
    <row r="1103" spans="1:4" ht="15" x14ac:dyDescent="0.25">
      <c r="A1103">
        <v>8745</v>
      </c>
      <c r="B1103" t="s">
        <v>10799</v>
      </c>
      <c r="C1103" t="s">
        <v>5043</v>
      </c>
      <c r="D1103" t="s">
        <v>8401</v>
      </c>
    </row>
    <row r="1104" spans="1:4" ht="15" x14ac:dyDescent="0.25">
      <c r="A1104">
        <v>8751</v>
      </c>
      <c r="B1104" t="s">
        <v>10799</v>
      </c>
      <c r="C1104" t="s">
        <v>5043</v>
      </c>
      <c r="D1104" t="s">
        <v>8401</v>
      </c>
    </row>
    <row r="1105" spans="1:4" ht="15" x14ac:dyDescent="0.25">
      <c r="A1105">
        <v>8758</v>
      </c>
      <c r="B1105" t="s">
        <v>10799</v>
      </c>
      <c r="C1105" t="s">
        <v>5043</v>
      </c>
      <c r="D1105" t="s">
        <v>8401</v>
      </c>
    </row>
    <row r="1106" spans="1:4" ht="15" x14ac:dyDescent="0.25">
      <c r="A1106">
        <v>8762</v>
      </c>
      <c r="B1106" t="s">
        <v>10799</v>
      </c>
      <c r="C1106" t="s">
        <v>5043</v>
      </c>
      <c r="D1106" t="s">
        <v>8401</v>
      </c>
    </row>
    <row r="1107" spans="1:4" ht="15" x14ac:dyDescent="0.25">
      <c r="A1107">
        <v>8765</v>
      </c>
      <c r="B1107" t="s">
        <v>10799</v>
      </c>
      <c r="C1107" t="s">
        <v>5043</v>
      </c>
      <c r="D1107" t="s">
        <v>8401</v>
      </c>
    </row>
    <row r="1108" spans="1:4" ht="15" x14ac:dyDescent="0.25">
      <c r="A1108">
        <v>8767</v>
      </c>
      <c r="B1108" t="s">
        <v>10799</v>
      </c>
      <c r="C1108" t="s">
        <v>5043</v>
      </c>
      <c r="D1108" t="s">
        <v>8401</v>
      </c>
    </row>
    <row r="1109" spans="1:4" ht="15" x14ac:dyDescent="0.25">
      <c r="A1109">
        <v>8778</v>
      </c>
      <c r="B1109" t="s">
        <v>10799</v>
      </c>
      <c r="C1109" t="s">
        <v>5043</v>
      </c>
      <c r="D1109" t="s">
        <v>8401</v>
      </c>
    </row>
    <row r="1110" spans="1:4" ht="15" x14ac:dyDescent="0.25">
      <c r="A1110">
        <v>8780</v>
      </c>
      <c r="B1110" t="s">
        <v>10799</v>
      </c>
      <c r="C1110" t="s">
        <v>5043</v>
      </c>
      <c r="D1110" t="s">
        <v>8401</v>
      </c>
    </row>
    <row r="1111" spans="1:4" ht="15" x14ac:dyDescent="0.25">
      <c r="A1111">
        <v>8781</v>
      </c>
      <c r="B1111" t="s">
        <v>10799</v>
      </c>
      <c r="C1111" t="s">
        <v>5043</v>
      </c>
      <c r="D1111" t="s">
        <v>8401</v>
      </c>
    </row>
    <row r="1112" spans="1:4" ht="15" x14ac:dyDescent="0.25">
      <c r="A1112">
        <v>8785</v>
      </c>
      <c r="B1112" t="s">
        <v>10799</v>
      </c>
      <c r="C1112" t="s">
        <v>5043</v>
      </c>
      <c r="D1112" t="s">
        <v>8401</v>
      </c>
    </row>
    <row r="1113" spans="1:4" ht="15" x14ac:dyDescent="0.25">
      <c r="A1113">
        <v>8790</v>
      </c>
      <c r="B1113" t="s">
        <v>10799</v>
      </c>
      <c r="C1113" t="s">
        <v>5043</v>
      </c>
      <c r="D1113" t="s">
        <v>8401</v>
      </c>
    </row>
    <row r="1114" spans="1:4" ht="15" x14ac:dyDescent="0.25">
      <c r="A1114">
        <v>8794</v>
      </c>
      <c r="B1114" t="s">
        <v>10799</v>
      </c>
      <c r="C1114" t="s">
        <v>5043</v>
      </c>
      <c r="D1114" t="s">
        <v>8401</v>
      </c>
    </row>
    <row r="1115" spans="1:4" ht="15" x14ac:dyDescent="0.25">
      <c r="A1115">
        <v>8805</v>
      </c>
      <c r="B1115" t="s">
        <v>10799</v>
      </c>
      <c r="C1115" t="s">
        <v>5043</v>
      </c>
      <c r="D1115" t="s">
        <v>8401</v>
      </c>
    </row>
    <row r="1116" spans="1:4" ht="15" x14ac:dyDescent="0.25">
      <c r="A1116">
        <v>8812</v>
      </c>
      <c r="B1116" t="s">
        <v>10799</v>
      </c>
      <c r="C1116" t="s">
        <v>5043</v>
      </c>
      <c r="D1116" t="s">
        <v>8401</v>
      </c>
    </row>
    <row r="1117" spans="1:4" ht="15" x14ac:dyDescent="0.25">
      <c r="A1117">
        <v>8820</v>
      </c>
      <c r="B1117" t="s">
        <v>10799</v>
      </c>
      <c r="C1117" t="s">
        <v>5043</v>
      </c>
      <c r="D1117" t="s">
        <v>8401</v>
      </c>
    </row>
    <row r="1118" spans="1:4" ht="15" x14ac:dyDescent="0.25">
      <c r="A1118">
        <v>8822</v>
      </c>
      <c r="B1118" t="s">
        <v>10799</v>
      </c>
      <c r="C1118" t="s">
        <v>5043</v>
      </c>
      <c r="D1118" t="s">
        <v>8401</v>
      </c>
    </row>
    <row r="1119" spans="1:4" ht="15" x14ac:dyDescent="0.25">
      <c r="A1119">
        <v>8823</v>
      </c>
      <c r="B1119" t="s">
        <v>10799</v>
      </c>
      <c r="C1119" t="s">
        <v>5043</v>
      </c>
      <c r="D1119" t="s">
        <v>8401</v>
      </c>
    </row>
    <row r="1120" spans="1:4" ht="15" x14ac:dyDescent="0.25">
      <c r="A1120">
        <v>8824</v>
      </c>
      <c r="B1120" t="s">
        <v>10799</v>
      </c>
      <c r="C1120" t="s">
        <v>5043</v>
      </c>
      <c r="D1120" t="s">
        <v>8401</v>
      </c>
    </row>
    <row r="1121" spans="1:4" ht="15" x14ac:dyDescent="0.25">
      <c r="A1121">
        <v>8825</v>
      </c>
      <c r="B1121" t="s">
        <v>10799</v>
      </c>
      <c r="C1121" t="s">
        <v>5043</v>
      </c>
      <c r="D1121" t="s">
        <v>8401</v>
      </c>
    </row>
    <row r="1122" spans="1:4" ht="15" x14ac:dyDescent="0.25">
      <c r="A1122">
        <v>8833</v>
      </c>
      <c r="B1122" t="s">
        <v>10799</v>
      </c>
      <c r="C1122" t="s">
        <v>5043</v>
      </c>
      <c r="D1122" t="s">
        <v>8401</v>
      </c>
    </row>
    <row r="1123" spans="1:4" ht="15" x14ac:dyDescent="0.25">
      <c r="A1123">
        <v>8836</v>
      </c>
      <c r="B1123" t="s">
        <v>10799</v>
      </c>
      <c r="C1123" t="s">
        <v>5043</v>
      </c>
      <c r="D1123" t="s">
        <v>8401</v>
      </c>
    </row>
    <row r="1124" spans="1:4" ht="15" x14ac:dyDescent="0.25">
      <c r="A1124">
        <v>8847</v>
      </c>
      <c r="B1124" t="s">
        <v>10799</v>
      </c>
      <c r="C1124" t="s">
        <v>5043</v>
      </c>
      <c r="D1124" t="s">
        <v>8401</v>
      </c>
    </row>
    <row r="1125" spans="1:4" ht="15" x14ac:dyDescent="0.25">
      <c r="A1125">
        <v>8850</v>
      </c>
      <c r="B1125" t="s">
        <v>10799</v>
      </c>
      <c r="C1125" t="s">
        <v>5043</v>
      </c>
      <c r="D1125" t="s">
        <v>8401</v>
      </c>
    </row>
    <row r="1126" spans="1:4" ht="15" x14ac:dyDescent="0.25">
      <c r="A1126">
        <v>8852</v>
      </c>
      <c r="B1126" t="s">
        <v>10799</v>
      </c>
      <c r="C1126" t="s">
        <v>5043</v>
      </c>
      <c r="D1126" t="s">
        <v>8401</v>
      </c>
    </row>
    <row r="1127" spans="1:4" ht="15" x14ac:dyDescent="0.25">
      <c r="A1127">
        <v>8867</v>
      </c>
      <c r="B1127" t="s">
        <v>10799</v>
      </c>
      <c r="C1127" t="s">
        <v>5043</v>
      </c>
      <c r="D1127" t="s">
        <v>8401</v>
      </c>
    </row>
    <row r="1128" spans="1:4" ht="15" x14ac:dyDescent="0.25">
      <c r="A1128">
        <v>8889</v>
      </c>
      <c r="B1128" t="s">
        <v>10799</v>
      </c>
      <c r="C1128" t="s">
        <v>5043</v>
      </c>
      <c r="D1128" t="s">
        <v>8401</v>
      </c>
    </row>
    <row r="1129" spans="1:4" ht="15" x14ac:dyDescent="0.25">
      <c r="A1129">
        <v>8890</v>
      </c>
      <c r="B1129" t="s">
        <v>10799</v>
      </c>
      <c r="C1129" t="s">
        <v>5043</v>
      </c>
      <c r="D1129" t="s">
        <v>8401</v>
      </c>
    </row>
    <row r="1130" spans="1:4" ht="15" x14ac:dyDescent="0.25">
      <c r="A1130">
        <v>8897</v>
      </c>
      <c r="B1130" t="s">
        <v>10799</v>
      </c>
      <c r="C1130" t="s">
        <v>5043</v>
      </c>
      <c r="D1130" t="s">
        <v>8401</v>
      </c>
    </row>
    <row r="1131" spans="1:4" ht="15" x14ac:dyDescent="0.25">
      <c r="A1131">
        <v>8899</v>
      </c>
      <c r="B1131" t="s">
        <v>10799</v>
      </c>
      <c r="C1131" t="s">
        <v>5043</v>
      </c>
      <c r="D1131" t="s">
        <v>8401</v>
      </c>
    </row>
    <row r="1132" spans="1:4" ht="15" x14ac:dyDescent="0.25">
      <c r="A1132">
        <v>8900</v>
      </c>
      <c r="B1132" t="s">
        <v>10799</v>
      </c>
      <c r="C1132" t="s">
        <v>5043</v>
      </c>
      <c r="D1132" t="s">
        <v>8401</v>
      </c>
    </row>
    <row r="1133" spans="1:4" ht="15" x14ac:dyDescent="0.25">
      <c r="A1133">
        <v>8904</v>
      </c>
      <c r="B1133" t="s">
        <v>10799</v>
      </c>
      <c r="C1133" t="s">
        <v>5043</v>
      </c>
      <c r="D1133" t="s">
        <v>8401</v>
      </c>
    </row>
    <row r="1134" spans="1:4" ht="15" x14ac:dyDescent="0.25">
      <c r="A1134">
        <v>8907</v>
      </c>
      <c r="B1134" t="s">
        <v>10799</v>
      </c>
      <c r="C1134" t="s">
        <v>5043</v>
      </c>
      <c r="D1134" t="s">
        <v>8401</v>
      </c>
    </row>
    <row r="1135" spans="1:4" ht="15" x14ac:dyDescent="0.25">
      <c r="A1135">
        <v>8908</v>
      </c>
      <c r="B1135" t="s">
        <v>10799</v>
      </c>
      <c r="C1135" t="s">
        <v>5043</v>
      </c>
      <c r="D1135" t="s">
        <v>8401</v>
      </c>
    </row>
    <row r="1136" spans="1:4" ht="15" x14ac:dyDescent="0.25">
      <c r="A1136">
        <v>8909</v>
      </c>
      <c r="B1136" t="s">
        <v>10799</v>
      </c>
      <c r="C1136" t="s">
        <v>5043</v>
      </c>
      <c r="D1136" t="s">
        <v>8401</v>
      </c>
    </row>
    <row r="1137" spans="1:4" ht="15" x14ac:dyDescent="0.25">
      <c r="A1137">
        <v>8914</v>
      </c>
      <c r="B1137" t="s">
        <v>10799</v>
      </c>
      <c r="C1137" t="s">
        <v>5043</v>
      </c>
      <c r="D1137" t="s">
        <v>8401</v>
      </c>
    </row>
    <row r="1138" spans="1:4" ht="15" x14ac:dyDescent="0.25">
      <c r="A1138">
        <v>8915</v>
      </c>
      <c r="B1138" t="s">
        <v>10799</v>
      </c>
      <c r="C1138" t="s">
        <v>5043</v>
      </c>
      <c r="D1138" t="s">
        <v>8401</v>
      </c>
    </row>
    <row r="1139" spans="1:4" ht="15" x14ac:dyDescent="0.25">
      <c r="A1139">
        <v>8921</v>
      </c>
      <c r="B1139" t="s">
        <v>10799</v>
      </c>
      <c r="C1139" t="s">
        <v>5043</v>
      </c>
      <c r="D1139" t="s">
        <v>8401</v>
      </c>
    </row>
    <row r="1140" spans="1:4" ht="15" x14ac:dyDescent="0.25">
      <c r="A1140">
        <v>8922</v>
      </c>
      <c r="B1140" t="s">
        <v>10799</v>
      </c>
      <c r="C1140" t="s">
        <v>5043</v>
      </c>
      <c r="D1140" t="s">
        <v>8401</v>
      </c>
    </row>
    <row r="1141" spans="1:4" ht="15" x14ac:dyDescent="0.25">
      <c r="A1141">
        <v>8932</v>
      </c>
      <c r="B1141" t="s">
        <v>10799</v>
      </c>
      <c r="C1141" t="s">
        <v>5043</v>
      </c>
      <c r="D1141" t="s">
        <v>8401</v>
      </c>
    </row>
    <row r="1142" spans="1:4" ht="15" x14ac:dyDescent="0.25">
      <c r="A1142">
        <v>8936</v>
      </c>
      <c r="B1142" t="s">
        <v>10799</v>
      </c>
      <c r="C1142" t="s">
        <v>5043</v>
      </c>
      <c r="D1142" t="s">
        <v>8401</v>
      </c>
    </row>
    <row r="1143" spans="1:4" ht="15" x14ac:dyDescent="0.25">
      <c r="A1143">
        <v>8940</v>
      </c>
      <c r="B1143" t="s">
        <v>10799</v>
      </c>
      <c r="C1143" t="s">
        <v>5043</v>
      </c>
      <c r="D1143" t="s">
        <v>8401</v>
      </c>
    </row>
    <row r="1144" spans="1:4" ht="15" x14ac:dyDescent="0.25">
      <c r="A1144">
        <v>8956</v>
      </c>
      <c r="B1144" t="s">
        <v>10799</v>
      </c>
      <c r="C1144" t="s">
        <v>5043</v>
      </c>
      <c r="D1144" t="s">
        <v>8401</v>
      </c>
    </row>
    <row r="1145" spans="1:4" ht="15" x14ac:dyDescent="0.25">
      <c r="A1145">
        <v>8958</v>
      </c>
      <c r="B1145" t="s">
        <v>10799</v>
      </c>
      <c r="C1145" t="s">
        <v>5043</v>
      </c>
      <c r="D1145" t="s">
        <v>8401</v>
      </c>
    </row>
    <row r="1146" spans="1:4" ht="15" x14ac:dyDescent="0.25">
      <c r="A1146">
        <v>8970</v>
      </c>
      <c r="B1146" t="s">
        <v>10799</v>
      </c>
      <c r="C1146" t="s">
        <v>5043</v>
      </c>
      <c r="D1146" t="s">
        <v>8401</v>
      </c>
    </row>
    <row r="1147" spans="1:4" ht="15" x14ac:dyDescent="0.25">
      <c r="A1147">
        <v>8975</v>
      </c>
      <c r="B1147" t="s">
        <v>10799</v>
      </c>
      <c r="C1147" t="s">
        <v>5043</v>
      </c>
      <c r="D1147" t="s">
        <v>8401</v>
      </c>
    </row>
    <row r="1148" spans="1:4" ht="15" x14ac:dyDescent="0.25">
      <c r="A1148">
        <v>8990</v>
      </c>
      <c r="B1148" t="s">
        <v>10799</v>
      </c>
      <c r="C1148" t="s">
        <v>5043</v>
      </c>
      <c r="D1148" t="s">
        <v>8401</v>
      </c>
    </row>
    <row r="1149" spans="1:4" ht="15" x14ac:dyDescent="0.25">
      <c r="A1149">
        <v>8993</v>
      </c>
      <c r="B1149" t="s">
        <v>10799</v>
      </c>
      <c r="C1149" t="s">
        <v>5043</v>
      </c>
      <c r="D1149" t="s">
        <v>8401</v>
      </c>
    </row>
    <row r="1150" spans="1:4" ht="15" x14ac:dyDescent="0.25">
      <c r="A1150">
        <v>8996</v>
      </c>
      <c r="B1150" t="s">
        <v>10799</v>
      </c>
      <c r="C1150" t="s">
        <v>5043</v>
      </c>
      <c r="D1150" t="s">
        <v>8401</v>
      </c>
    </row>
    <row r="1151" spans="1:4" ht="15" x14ac:dyDescent="0.25">
      <c r="A1151">
        <v>9008</v>
      </c>
      <c r="B1151" t="s">
        <v>10799</v>
      </c>
      <c r="C1151" t="s">
        <v>5043</v>
      </c>
      <c r="D1151" t="s">
        <v>8401</v>
      </c>
    </row>
    <row r="1152" spans="1:4" ht="15" x14ac:dyDescent="0.25">
      <c r="A1152">
        <v>9013</v>
      </c>
      <c r="B1152" t="s">
        <v>10799</v>
      </c>
      <c r="C1152" t="s">
        <v>5043</v>
      </c>
      <c r="D1152" t="s">
        <v>8401</v>
      </c>
    </row>
    <row r="1153" spans="1:4" ht="15" x14ac:dyDescent="0.25">
      <c r="A1153">
        <v>9014</v>
      </c>
      <c r="B1153" t="s">
        <v>10799</v>
      </c>
      <c r="C1153" t="s">
        <v>5043</v>
      </c>
      <c r="D1153" t="s">
        <v>8401</v>
      </c>
    </row>
    <row r="1154" spans="1:4" ht="15" x14ac:dyDescent="0.25">
      <c r="A1154">
        <v>9019</v>
      </c>
      <c r="B1154" t="s">
        <v>10799</v>
      </c>
      <c r="C1154" t="s">
        <v>5043</v>
      </c>
      <c r="D1154" t="s">
        <v>8401</v>
      </c>
    </row>
    <row r="1155" spans="1:4" ht="15" x14ac:dyDescent="0.25">
      <c r="A1155">
        <v>9021</v>
      </c>
      <c r="B1155" t="s">
        <v>10799</v>
      </c>
      <c r="C1155" t="s">
        <v>5043</v>
      </c>
      <c r="D1155" t="s">
        <v>8401</v>
      </c>
    </row>
    <row r="1156" spans="1:4" ht="15" x14ac:dyDescent="0.25">
      <c r="A1156">
        <v>9023</v>
      </c>
      <c r="B1156" t="s">
        <v>10799</v>
      </c>
      <c r="C1156" t="s">
        <v>5043</v>
      </c>
      <c r="D1156" t="s">
        <v>8401</v>
      </c>
    </row>
    <row r="1157" spans="1:4" ht="15" x14ac:dyDescent="0.25">
      <c r="A1157">
        <v>9033</v>
      </c>
      <c r="B1157" t="s">
        <v>10799</v>
      </c>
      <c r="C1157" t="s">
        <v>5043</v>
      </c>
      <c r="D1157" t="s">
        <v>8401</v>
      </c>
    </row>
    <row r="1158" spans="1:4" ht="15" x14ac:dyDescent="0.25">
      <c r="A1158">
        <v>9034</v>
      </c>
      <c r="B1158" t="s">
        <v>10799</v>
      </c>
      <c r="C1158" t="s">
        <v>5043</v>
      </c>
      <c r="D1158" t="s">
        <v>8401</v>
      </c>
    </row>
    <row r="1159" spans="1:4" ht="15" x14ac:dyDescent="0.25">
      <c r="A1159">
        <v>9042</v>
      </c>
      <c r="B1159" t="s">
        <v>10799</v>
      </c>
      <c r="C1159" t="s">
        <v>5043</v>
      </c>
      <c r="D1159" t="s">
        <v>8401</v>
      </c>
    </row>
    <row r="1160" spans="1:4" ht="15" x14ac:dyDescent="0.25">
      <c r="A1160">
        <v>9043</v>
      </c>
      <c r="B1160" t="s">
        <v>10799</v>
      </c>
      <c r="C1160" t="s">
        <v>5043</v>
      </c>
      <c r="D1160" t="s">
        <v>8401</v>
      </c>
    </row>
    <row r="1161" spans="1:4" ht="15" x14ac:dyDescent="0.25">
      <c r="A1161">
        <v>9046</v>
      </c>
      <c r="B1161" t="s">
        <v>10799</v>
      </c>
      <c r="C1161" t="s">
        <v>5043</v>
      </c>
      <c r="D1161" t="s">
        <v>8401</v>
      </c>
    </row>
    <row r="1162" spans="1:4" ht="15" x14ac:dyDescent="0.25">
      <c r="A1162">
        <v>9058</v>
      </c>
      <c r="B1162" t="s">
        <v>10799</v>
      </c>
      <c r="C1162" t="s">
        <v>5043</v>
      </c>
      <c r="D1162" t="s">
        <v>8401</v>
      </c>
    </row>
    <row r="1163" spans="1:4" ht="15" x14ac:dyDescent="0.25">
      <c r="A1163">
        <v>9060</v>
      </c>
      <c r="B1163" t="s">
        <v>10799</v>
      </c>
      <c r="C1163" t="s">
        <v>5043</v>
      </c>
      <c r="D1163" t="s">
        <v>8401</v>
      </c>
    </row>
    <row r="1164" spans="1:4" ht="15" x14ac:dyDescent="0.25">
      <c r="A1164">
        <v>9063</v>
      </c>
      <c r="B1164" t="s">
        <v>10799</v>
      </c>
      <c r="C1164" t="s">
        <v>5043</v>
      </c>
      <c r="D1164" t="s">
        <v>8401</v>
      </c>
    </row>
    <row r="1165" spans="1:4" ht="15" x14ac:dyDescent="0.25">
      <c r="A1165">
        <v>9076</v>
      </c>
      <c r="B1165" t="s">
        <v>10799</v>
      </c>
      <c r="C1165" t="s">
        <v>5043</v>
      </c>
      <c r="D1165" t="s">
        <v>8401</v>
      </c>
    </row>
    <row r="1166" spans="1:4" ht="15" x14ac:dyDescent="0.25">
      <c r="A1166">
        <v>9080</v>
      </c>
      <c r="B1166" t="s">
        <v>10799</v>
      </c>
      <c r="C1166" t="s">
        <v>5043</v>
      </c>
      <c r="D1166" t="s">
        <v>8401</v>
      </c>
    </row>
    <row r="1167" spans="1:4" ht="15" x14ac:dyDescent="0.25">
      <c r="A1167">
        <v>9083</v>
      </c>
      <c r="B1167" t="s">
        <v>10799</v>
      </c>
      <c r="C1167" t="s">
        <v>5043</v>
      </c>
      <c r="D1167" t="s">
        <v>8401</v>
      </c>
    </row>
    <row r="1168" spans="1:4" ht="15" x14ac:dyDescent="0.25">
      <c r="A1168">
        <v>9086</v>
      </c>
      <c r="B1168" t="s">
        <v>10799</v>
      </c>
      <c r="C1168" t="s">
        <v>5043</v>
      </c>
      <c r="D1168" t="s">
        <v>8401</v>
      </c>
    </row>
    <row r="1169" spans="1:4" ht="15" x14ac:dyDescent="0.25">
      <c r="A1169">
        <v>9091</v>
      </c>
      <c r="B1169" t="s">
        <v>10799</v>
      </c>
      <c r="C1169" t="s">
        <v>5043</v>
      </c>
      <c r="D1169" t="s">
        <v>8401</v>
      </c>
    </row>
    <row r="1170" spans="1:4" ht="15" x14ac:dyDescent="0.25">
      <c r="A1170">
        <v>9092</v>
      </c>
      <c r="B1170" t="s">
        <v>10799</v>
      </c>
      <c r="C1170" t="s">
        <v>5043</v>
      </c>
      <c r="D1170" t="s">
        <v>8401</v>
      </c>
    </row>
    <row r="1171" spans="1:4" ht="15" x14ac:dyDescent="0.25">
      <c r="A1171">
        <v>9093</v>
      </c>
      <c r="B1171" t="s">
        <v>10799</v>
      </c>
      <c r="C1171" t="s">
        <v>5043</v>
      </c>
      <c r="D1171" t="s">
        <v>8401</v>
      </c>
    </row>
    <row r="1172" spans="1:4" ht="15" x14ac:dyDescent="0.25">
      <c r="A1172">
        <v>9096</v>
      </c>
      <c r="B1172" t="s">
        <v>10799</v>
      </c>
      <c r="C1172" t="s">
        <v>5043</v>
      </c>
      <c r="D1172" t="s">
        <v>8401</v>
      </c>
    </row>
    <row r="1173" spans="1:4" ht="15" x14ac:dyDescent="0.25">
      <c r="A1173">
        <v>9099</v>
      </c>
      <c r="B1173" t="s">
        <v>10799</v>
      </c>
      <c r="C1173" t="s">
        <v>5043</v>
      </c>
      <c r="D1173" t="s">
        <v>8401</v>
      </c>
    </row>
    <row r="1174" spans="1:4" ht="15" x14ac:dyDescent="0.25">
      <c r="A1174">
        <v>9112</v>
      </c>
      <c r="B1174" t="s">
        <v>10799</v>
      </c>
      <c r="C1174" t="s">
        <v>5043</v>
      </c>
      <c r="D1174" t="s">
        <v>8401</v>
      </c>
    </row>
    <row r="1175" spans="1:4" ht="15" x14ac:dyDescent="0.25">
      <c r="A1175">
        <v>9114</v>
      </c>
      <c r="B1175" t="s">
        <v>10799</v>
      </c>
      <c r="C1175" t="s">
        <v>5043</v>
      </c>
      <c r="D1175" t="s">
        <v>8401</v>
      </c>
    </row>
    <row r="1176" spans="1:4" ht="15" x14ac:dyDescent="0.25">
      <c r="A1176">
        <v>9118</v>
      </c>
      <c r="B1176" t="s">
        <v>10799</v>
      </c>
      <c r="C1176" t="s">
        <v>5043</v>
      </c>
      <c r="D1176" t="s">
        <v>8401</v>
      </c>
    </row>
    <row r="1177" spans="1:4" ht="15" x14ac:dyDescent="0.25">
      <c r="A1177">
        <v>9122</v>
      </c>
      <c r="B1177" t="s">
        <v>10799</v>
      </c>
      <c r="C1177" t="s">
        <v>5043</v>
      </c>
      <c r="D1177" t="s">
        <v>8401</v>
      </c>
    </row>
    <row r="1178" spans="1:4" ht="15" x14ac:dyDescent="0.25">
      <c r="A1178">
        <v>9123</v>
      </c>
      <c r="B1178" t="s">
        <v>10799</v>
      </c>
      <c r="C1178" t="s">
        <v>5043</v>
      </c>
      <c r="D1178" t="s">
        <v>8401</v>
      </c>
    </row>
    <row r="1179" spans="1:4" ht="15" x14ac:dyDescent="0.25">
      <c r="A1179">
        <v>9129</v>
      </c>
      <c r="B1179" t="s">
        <v>10799</v>
      </c>
      <c r="C1179" t="s">
        <v>5043</v>
      </c>
      <c r="D1179" t="s">
        <v>8401</v>
      </c>
    </row>
    <row r="1180" spans="1:4" ht="15" x14ac:dyDescent="0.25">
      <c r="A1180">
        <v>9139</v>
      </c>
      <c r="B1180" t="s">
        <v>10799</v>
      </c>
      <c r="C1180" t="s">
        <v>5043</v>
      </c>
      <c r="D1180" t="s">
        <v>8401</v>
      </c>
    </row>
    <row r="1181" spans="1:4" ht="15" x14ac:dyDescent="0.25">
      <c r="A1181">
        <v>9142</v>
      </c>
      <c r="B1181" t="s">
        <v>10799</v>
      </c>
      <c r="C1181" t="s">
        <v>5043</v>
      </c>
      <c r="D1181" t="s">
        <v>8401</v>
      </c>
    </row>
    <row r="1182" spans="1:4" ht="15" x14ac:dyDescent="0.25">
      <c r="A1182">
        <v>9144</v>
      </c>
      <c r="B1182" t="s">
        <v>10799</v>
      </c>
      <c r="C1182" t="s">
        <v>5043</v>
      </c>
      <c r="D1182" t="s">
        <v>8401</v>
      </c>
    </row>
    <row r="1183" spans="1:4" ht="15" x14ac:dyDescent="0.25">
      <c r="A1183">
        <v>9146</v>
      </c>
      <c r="B1183" t="s">
        <v>10799</v>
      </c>
      <c r="C1183" t="s">
        <v>5043</v>
      </c>
      <c r="D1183" t="s">
        <v>8401</v>
      </c>
    </row>
    <row r="1184" spans="1:4" ht="15" x14ac:dyDescent="0.25">
      <c r="A1184">
        <v>9149</v>
      </c>
      <c r="B1184" t="s">
        <v>10799</v>
      </c>
      <c r="C1184" t="s">
        <v>5043</v>
      </c>
      <c r="D1184" t="s">
        <v>8401</v>
      </c>
    </row>
    <row r="1185" spans="1:4" ht="15" x14ac:dyDescent="0.25">
      <c r="A1185">
        <v>9151</v>
      </c>
      <c r="B1185" t="s">
        <v>10799</v>
      </c>
      <c r="C1185" t="s">
        <v>5043</v>
      </c>
      <c r="D1185" t="s">
        <v>8401</v>
      </c>
    </row>
    <row r="1186" spans="1:4" ht="15" x14ac:dyDescent="0.25">
      <c r="A1186">
        <v>9152</v>
      </c>
      <c r="B1186" t="s">
        <v>10799</v>
      </c>
      <c r="C1186" t="s">
        <v>5043</v>
      </c>
      <c r="D1186" t="s">
        <v>8401</v>
      </c>
    </row>
    <row r="1187" spans="1:4" ht="15" x14ac:dyDescent="0.25">
      <c r="A1187">
        <v>9157</v>
      </c>
      <c r="B1187" t="s">
        <v>10799</v>
      </c>
      <c r="C1187" t="s">
        <v>5043</v>
      </c>
      <c r="D1187" t="s">
        <v>8401</v>
      </c>
    </row>
    <row r="1188" spans="1:4" ht="15" x14ac:dyDescent="0.25">
      <c r="A1188">
        <v>9158</v>
      </c>
      <c r="B1188" t="s">
        <v>10799</v>
      </c>
      <c r="C1188" t="s">
        <v>5043</v>
      </c>
      <c r="D1188" t="s">
        <v>8401</v>
      </c>
    </row>
    <row r="1189" spans="1:4" ht="15" x14ac:dyDescent="0.25">
      <c r="A1189">
        <v>9160</v>
      </c>
      <c r="B1189" t="s">
        <v>10799</v>
      </c>
      <c r="C1189" t="s">
        <v>5043</v>
      </c>
      <c r="D1189" t="s">
        <v>8401</v>
      </c>
    </row>
    <row r="1190" spans="1:4" ht="15" x14ac:dyDescent="0.25">
      <c r="A1190">
        <v>9161</v>
      </c>
      <c r="B1190" t="s">
        <v>10799</v>
      </c>
      <c r="C1190" t="s">
        <v>5043</v>
      </c>
      <c r="D1190" t="s">
        <v>8401</v>
      </c>
    </row>
    <row r="1191" spans="1:4" ht="15" x14ac:dyDescent="0.25">
      <c r="A1191">
        <v>9168</v>
      </c>
      <c r="B1191" t="s">
        <v>10799</v>
      </c>
      <c r="C1191" t="s">
        <v>5043</v>
      </c>
      <c r="D1191" t="s">
        <v>8401</v>
      </c>
    </row>
    <row r="1192" spans="1:4" ht="15" x14ac:dyDescent="0.25">
      <c r="A1192">
        <v>9170</v>
      </c>
      <c r="B1192" t="s">
        <v>10799</v>
      </c>
      <c r="C1192" t="s">
        <v>5043</v>
      </c>
      <c r="D1192" t="s">
        <v>8401</v>
      </c>
    </row>
    <row r="1193" spans="1:4" ht="15" x14ac:dyDescent="0.25">
      <c r="A1193">
        <v>9175</v>
      </c>
      <c r="B1193" t="s">
        <v>10799</v>
      </c>
      <c r="C1193" t="s">
        <v>5043</v>
      </c>
      <c r="D1193" t="s">
        <v>8401</v>
      </c>
    </row>
    <row r="1194" spans="1:4" ht="15" x14ac:dyDescent="0.25">
      <c r="A1194">
        <v>9176</v>
      </c>
      <c r="B1194" t="s">
        <v>10799</v>
      </c>
      <c r="C1194" t="s">
        <v>5043</v>
      </c>
      <c r="D1194" t="s">
        <v>8401</v>
      </c>
    </row>
    <row r="1195" spans="1:4" ht="15" x14ac:dyDescent="0.25">
      <c r="A1195">
        <v>9183</v>
      </c>
      <c r="B1195" t="s">
        <v>10799</v>
      </c>
      <c r="C1195" t="s">
        <v>5043</v>
      </c>
      <c r="D1195" t="s">
        <v>8401</v>
      </c>
    </row>
    <row r="1196" spans="1:4" ht="15" x14ac:dyDescent="0.25">
      <c r="A1196">
        <v>9188</v>
      </c>
      <c r="B1196" t="s">
        <v>10799</v>
      </c>
      <c r="C1196" t="s">
        <v>5043</v>
      </c>
      <c r="D1196" t="s">
        <v>8401</v>
      </c>
    </row>
    <row r="1197" spans="1:4" ht="15" x14ac:dyDescent="0.25">
      <c r="A1197">
        <v>9189</v>
      </c>
      <c r="B1197" t="s">
        <v>10799</v>
      </c>
      <c r="C1197" t="s">
        <v>5043</v>
      </c>
      <c r="D1197" t="s">
        <v>8401</v>
      </c>
    </row>
    <row r="1198" spans="1:4" ht="15" x14ac:dyDescent="0.25">
      <c r="A1198">
        <v>9201</v>
      </c>
      <c r="B1198" t="s">
        <v>10799</v>
      </c>
      <c r="C1198" t="s">
        <v>5043</v>
      </c>
      <c r="D1198" t="s">
        <v>8401</v>
      </c>
    </row>
    <row r="1199" spans="1:4" ht="15" x14ac:dyDescent="0.25">
      <c r="A1199">
        <v>9202</v>
      </c>
      <c r="B1199" t="s">
        <v>10799</v>
      </c>
      <c r="C1199" t="s">
        <v>5043</v>
      </c>
      <c r="D1199" t="s">
        <v>8401</v>
      </c>
    </row>
    <row r="1200" spans="1:4" ht="15" x14ac:dyDescent="0.25">
      <c r="A1200">
        <v>9207</v>
      </c>
      <c r="B1200" t="s">
        <v>10799</v>
      </c>
      <c r="C1200" t="s">
        <v>5043</v>
      </c>
      <c r="D1200" t="s">
        <v>8401</v>
      </c>
    </row>
    <row r="1201" spans="1:4" ht="15" x14ac:dyDescent="0.25">
      <c r="A1201">
        <v>9215</v>
      </c>
      <c r="B1201" t="s">
        <v>10799</v>
      </c>
      <c r="C1201" t="s">
        <v>5043</v>
      </c>
      <c r="D1201" t="s">
        <v>8401</v>
      </c>
    </row>
    <row r="1202" spans="1:4" ht="15" x14ac:dyDescent="0.25">
      <c r="A1202">
        <v>9217</v>
      </c>
      <c r="B1202" t="s">
        <v>10799</v>
      </c>
      <c r="C1202" t="s">
        <v>5043</v>
      </c>
      <c r="D1202" t="s">
        <v>8401</v>
      </c>
    </row>
    <row r="1203" spans="1:4" ht="15" x14ac:dyDescent="0.25">
      <c r="A1203">
        <v>9218</v>
      </c>
      <c r="B1203" t="s">
        <v>10799</v>
      </c>
      <c r="C1203" t="s">
        <v>5043</v>
      </c>
      <c r="D1203" t="s">
        <v>8401</v>
      </c>
    </row>
    <row r="1204" spans="1:4" ht="15" x14ac:dyDescent="0.25">
      <c r="A1204">
        <v>9228</v>
      </c>
      <c r="B1204" t="s">
        <v>10799</v>
      </c>
      <c r="C1204" t="s">
        <v>5043</v>
      </c>
      <c r="D1204" t="s">
        <v>8401</v>
      </c>
    </row>
    <row r="1205" spans="1:4" ht="15" x14ac:dyDescent="0.25">
      <c r="A1205">
        <v>9231</v>
      </c>
      <c r="B1205" t="s">
        <v>10799</v>
      </c>
      <c r="C1205" t="s">
        <v>5043</v>
      </c>
      <c r="D1205" t="s">
        <v>8401</v>
      </c>
    </row>
    <row r="1206" spans="1:4" ht="15" x14ac:dyDescent="0.25">
      <c r="A1206">
        <v>9235</v>
      </c>
      <c r="B1206" t="s">
        <v>10799</v>
      </c>
      <c r="C1206" t="s">
        <v>5043</v>
      </c>
      <c r="D1206" t="s">
        <v>8401</v>
      </c>
    </row>
    <row r="1207" spans="1:4" ht="15" x14ac:dyDescent="0.25">
      <c r="A1207">
        <v>9248</v>
      </c>
      <c r="B1207" t="s">
        <v>10799</v>
      </c>
      <c r="C1207" t="s">
        <v>5043</v>
      </c>
      <c r="D1207" t="s">
        <v>8401</v>
      </c>
    </row>
    <row r="1208" spans="1:4" ht="15" x14ac:dyDescent="0.25">
      <c r="A1208">
        <v>9250</v>
      </c>
      <c r="B1208" t="s">
        <v>10799</v>
      </c>
      <c r="C1208" t="s">
        <v>5043</v>
      </c>
      <c r="D1208" t="s">
        <v>8401</v>
      </c>
    </row>
    <row r="1209" spans="1:4" ht="15" x14ac:dyDescent="0.25">
      <c r="A1209">
        <v>9251</v>
      </c>
      <c r="B1209" t="s">
        <v>10799</v>
      </c>
      <c r="C1209" t="s">
        <v>5043</v>
      </c>
      <c r="D1209" t="s">
        <v>8401</v>
      </c>
    </row>
    <row r="1210" spans="1:4" ht="15" x14ac:dyDescent="0.25">
      <c r="A1210">
        <v>9253</v>
      </c>
      <c r="B1210" t="s">
        <v>10799</v>
      </c>
      <c r="C1210" t="s">
        <v>5043</v>
      </c>
      <c r="D1210" t="s">
        <v>8401</v>
      </c>
    </row>
    <row r="1211" spans="1:4" ht="15" x14ac:dyDescent="0.25">
      <c r="A1211">
        <v>9257</v>
      </c>
      <c r="B1211" t="s">
        <v>10799</v>
      </c>
      <c r="C1211" t="s">
        <v>5043</v>
      </c>
      <c r="D1211" t="s">
        <v>8401</v>
      </c>
    </row>
    <row r="1212" spans="1:4" ht="15" x14ac:dyDescent="0.25">
      <c r="A1212">
        <v>9259</v>
      </c>
      <c r="B1212" t="s">
        <v>10799</v>
      </c>
      <c r="C1212" t="s">
        <v>5043</v>
      </c>
      <c r="D1212" t="s">
        <v>8401</v>
      </c>
    </row>
    <row r="1213" spans="1:4" ht="15" x14ac:dyDescent="0.25">
      <c r="A1213">
        <v>9260</v>
      </c>
      <c r="B1213" t="s">
        <v>10799</v>
      </c>
      <c r="C1213" t="s">
        <v>5043</v>
      </c>
      <c r="D1213" t="s">
        <v>8401</v>
      </c>
    </row>
    <row r="1214" spans="1:4" ht="15" x14ac:dyDescent="0.25">
      <c r="A1214">
        <v>9261</v>
      </c>
      <c r="B1214" t="s">
        <v>10799</v>
      </c>
      <c r="C1214" t="s">
        <v>5043</v>
      </c>
      <c r="D1214" t="s">
        <v>8401</v>
      </c>
    </row>
    <row r="1215" spans="1:4" ht="15" x14ac:dyDescent="0.25">
      <c r="A1215">
        <v>9264</v>
      </c>
      <c r="B1215" t="s">
        <v>10799</v>
      </c>
      <c r="C1215" t="s">
        <v>5043</v>
      </c>
      <c r="D1215" t="s">
        <v>8401</v>
      </c>
    </row>
    <row r="1216" spans="1:4" ht="15" x14ac:dyDescent="0.25">
      <c r="A1216">
        <v>9268</v>
      </c>
      <c r="B1216" t="s">
        <v>10799</v>
      </c>
      <c r="C1216" t="s">
        <v>5043</v>
      </c>
      <c r="D1216" t="s">
        <v>8401</v>
      </c>
    </row>
    <row r="1217" spans="1:4" ht="15" x14ac:dyDescent="0.25">
      <c r="A1217">
        <v>9269</v>
      </c>
      <c r="B1217" t="s">
        <v>10799</v>
      </c>
      <c r="C1217" t="s">
        <v>5043</v>
      </c>
      <c r="D1217" t="s">
        <v>8401</v>
      </c>
    </row>
    <row r="1218" spans="1:4" ht="15" x14ac:dyDescent="0.25">
      <c r="A1218">
        <v>9276</v>
      </c>
      <c r="B1218" t="s">
        <v>10799</v>
      </c>
      <c r="C1218" t="s">
        <v>5043</v>
      </c>
      <c r="D1218" t="s">
        <v>8401</v>
      </c>
    </row>
    <row r="1219" spans="1:4" ht="15" x14ac:dyDescent="0.25">
      <c r="A1219">
        <v>9278</v>
      </c>
      <c r="B1219" t="s">
        <v>10799</v>
      </c>
      <c r="C1219" t="s">
        <v>5043</v>
      </c>
      <c r="D1219" t="s">
        <v>8401</v>
      </c>
    </row>
    <row r="1220" spans="1:4" ht="15" x14ac:dyDescent="0.25">
      <c r="A1220">
        <v>9280</v>
      </c>
      <c r="B1220" t="s">
        <v>10799</v>
      </c>
      <c r="C1220" t="s">
        <v>5043</v>
      </c>
      <c r="D1220" t="s">
        <v>8401</v>
      </c>
    </row>
    <row r="1221" spans="1:4" ht="15" x14ac:dyDescent="0.25">
      <c r="A1221">
        <v>9295</v>
      </c>
      <c r="B1221" t="s">
        <v>10799</v>
      </c>
      <c r="C1221" t="s">
        <v>5043</v>
      </c>
      <c r="D1221" t="s">
        <v>8401</v>
      </c>
    </row>
    <row r="1222" spans="1:4" ht="15" x14ac:dyDescent="0.25">
      <c r="A1222">
        <v>9301</v>
      </c>
      <c r="B1222" t="s">
        <v>10799</v>
      </c>
      <c r="C1222" t="s">
        <v>5043</v>
      </c>
      <c r="D1222" t="s">
        <v>8401</v>
      </c>
    </row>
    <row r="1223" spans="1:4" ht="15" x14ac:dyDescent="0.25">
      <c r="A1223">
        <v>9302</v>
      </c>
      <c r="B1223" t="s">
        <v>10799</v>
      </c>
      <c r="C1223" t="s">
        <v>5043</v>
      </c>
      <c r="D1223" t="s">
        <v>8401</v>
      </c>
    </row>
    <row r="1224" spans="1:4" ht="15" x14ac:dyDescent="0.25">
      <c r="A1224">
        <v>9307</v>
      </c>
      <c r="B1224" t="s">
        <v>10799</v>
      </c>
      <c r="C1224" t="s">
        <v>5043</v>
      </c>
      <c r="D1224" t="s">
        <v>8401</v>
      </c>
    </row>
    <row r="1225" spans="1:4" ht="15" x14ac:dyDescent="0.25">
      <c r="A1225">
        <v>9308</v>
      </c>
      <c r="B1225" t="s">
        <v>10799</v>
      </c>
      <c r="C1225" t="s">
        <v>5043</v>
      </c>
      <c r="D1225" t="s">
        <v>8401</v>
      </c>
    </row>
    <row r="1226" spans="1:4" ht="15" x14ac:dyDescent="0.25">
      <c r="A1226">
        <v>9331</v>
      </c>
      <c r="B1226" t="s">
        <v>10799</v>
      </c>
      <c r="C1226" t="s">
        <v>5043</v>
      </c>
      <c r="D1226" t="s">
        <v>8401</v>
      </c>
    </row>
    <row r="1227" spans="1:4" ht="15" x14ac:dyDescent="0.25">
      <c r="A1227">
        <v>9341</v>
      </c>
      <c r="B1227" t="s">
        <v>10799</v>
      </c>
      <c r="C1227" t="s">
        <v>5043</v>
      </c>
      <c r="D1227" t="s">
        <v>8401</v>
      </c>
    </row>
    <row r="1228" spans="1:4" ht="15" x14ac:dyDescent="0.25">
      <c r="A1228">
        <v>9346</v>
      </c>
      <c r="B1228" t="s">
        <v>10799</v>
      </c>
      <c r="C1228" t="s">
        <v>5043</v>
      </c>
      <c r="D1228" t="s">
        <v>8401</v>
      </c>
    </row>
    <row r="1229" spans="1:4" ht="15" x14ac:dyDescent="0.25">
      <c r="A1229">
        <v>9348</v>
      </c>
      <c r="B1229" t="s">
        <v>10799</v>
      </c>
      <c r="C1229" t="s">
        <v>5043</v>
      </c>
      <c r="D1229" t="s">
        <v>8401</v>
      </c>
    </row>
    <row r="1230" spans="1:4" ht="15" x14ac:dyDescent="0.25">
      <c r="A1230">
        <v>9349</v>
      </c>
      <c r="B1230" t="s">
        <v>10799</v>
      </c>
      <c r="C1230" t="s">
        <v>5043</v>
      </c>
      <c r="D1230" t="s">
        <v>8401</v>
      </c>
    </row>
    <row r="1231" spans="1:4" ht="15" x14ac:dyDescent="0.25">
      <c r="A1231">
        <v>9353</v>
      </c>
      <c r="B1231" t="s">
        <v>10799</v>
      </c>
      <c r="C1231" t="s">
        <v>5043</v>
      </c>
      <c r="D1231" t="s">
        <v>8401</v>
      </c>
    </row>
    <row r="1232" spans="1:4" ht="15" x14ac:dyDescent="0.25">
      <c r="A1232">
        <v>9364</v>
      </c>
      <c r="B1232" t="s">
        <v>10799</v>
      </c>
      <c r="C1232" t="s">
        <v>5043</v>
      </c>
      <c r="D1232" t="s">
        <v>8401</v>
      </c>
    </row>
    <row r="1233" spans="1:4" ht="15" x14ac:dyDescent="0.25">
      <c r="A1233">
        <v>9365</v>
      </c>
      <c r="B1233" t="s">
        <v>10799</v>
      </c>
      <c r="C1233" t="s">
        <v>5043</v>
      </c>
      <c r="D1233" t="s">
        <v>8401</v>
      </c>
    </row>
    <row r="1234" spans="1:4" ht="15" x14ac:dyDescent="0.25">
      <c r="A1234">
        <v>9366</v>
      </c>
      <c r="B1234" t="s">
        <v>10799</v>
      </c>
      <c r="C1234" t="s">
        <v>5043</v>
      </c>
      <c r="D1234" t="s">
        <v>8401</v>
      </c>
    </row>
    <row r="1235" spans="1:4" ht="15" x14ac:dyDescent="0.25">
      <c r="A1235">
        <v>9375</v>
      </c>
      <c r="B1235" t="s">
        <v>10799</v>
      </c>
      <c r="C1235" t="s">
        <v>5043</v>
      </c>
      <c r="D1235" t="s">
        <v>8401</v>
      </c>
    </row>
    <row r="1236" spans="1:4" ht="15" x14ac:dyDescent="0.25">
      <c r="A1236">
        <v>9377</v>
      </c>
      <c r="B1236" t="s">
        <v>10799</v>
      </c>
      <c r="C1236" t="s">
        <v>5043</v>
      </c>
      <c r="D1236" t="s">
        <v>8401</v>
      </c>
    </row>
    <row r="1237" spans="1:4" ht="15" x14ac:dyDescent="0.25">
      <c r="A1237">
        <v>9384</v>
      </c>
      <c r="B1237" t="s">
        <v>10799</v>
      </c>
      <c r="C1237" t="s">
        <v>5043</v>
      </c>
      <c r="D1237" t="s">
        <v>8401</v>
      </c>
    </row>
    <row r="1238" spans="1:4" ht="15" x14ac:dyDescent="0.25">
      <c r="A1238">
        <v>9387</v>
      </c>
      <c r="B1238" t="s">
        <v>10799</v>
      </c>
      <c r="C1238" t="s">
        <v>5043</v>
      </c>
      <c r="D1238" t="s">
        <v>8401</v>
      </c>
    </row>
    <row r="1239" spans="1:4" ht="15" x14ac:dyDescent="0.25">
      <c r="A1239">
        <v>9394</v>
      </c>
      <c r="B1239" t="s">
        <v>10799</v>
      </c>
      <c r="C1239" t="s">
        <v>5043</v>
      </c>
      <c r="D1239" t="s">
        <v>8401</v>
      </c>
    </row>
    <row r="1240" spans="1:4" ht="15" x14ac:dyDescent="0.25">
      <c r="A1240">
        <v>9395</v>
      </c>
      <c r="B1240" t="s">
        <v>10799</v>
      </c>
      <c r="C1240" t="s">
        <v>5043</v>
      </c>
      <c r="D1240" t="s">
        <v>8401</v>
      </c>
    </row>
    <row r="1241" spans="1:4" ht="15" x14ac:dyDescent="0.25">
      <c r="A1241">
        <v>9397</v>
      </c>
      <c r="B1241" t="s">
        <v>10799</v>
      </c>
      <c r="C1241" t="s">
        <v>5043</v>
      </c>
      <c r="D1241" t="s">
        <v>8401</v>
      </c>
    </row>
    <row r="1242" spans="1:4" ht="15" x14ac:dyDescent="0.25">
      <c r="A1242">
        <v>9408</v>
      </c>
      <c r="B1242" t="s">
        <v>10799</v>
      </c>
      <c r="C1242" t="s">
        <v>5043</v>
      </c>
      <c r="D1242" t="s">
        <v>8401</v>
      </c>
    </row>
    <row r="1243" spans="1:4" ht="15" x14ac:dyDescent="0.25">
      <c r="A1243">
        <v>9414</v>
      </c>
      <c r="B1243" t="s">
        <v>10799</v>
      </c>
      <c r="C1243" t="s">
        <v>5043</v>
      </c>
      <c r="D1243" t="s">
        <v>8401</v>
      </c>
    </row>
    <row r="1244" spans="1:4" ht="15" x14ac:dyDescent="0.25">
      <c r="A1244">
        <v>9415</v>
      </c>
      <c r="B1244" t="s">
        <v>10799</v>
      </c>
      <c r="C1244" t="s">
        <v>5043</v>
      </c>
      <c r="D1244" t="s">
        <v>8401</v>
      </c>
    </row>
    <row r="1245" spans="1:4" ht="15" x14ac:dyDescent="0.25">
      <c r="A1245">
        <v>9419</v>
      </c>
      <c r="B1245" t="s">
        <v>10799</v>
      </c>
      <c r="C1245" t="s">
        <v>5043</v>
      </c>
      <c r="D1245" t="s">
        <v>8401</v>
      </c>
    </row>
    <row r="1246" spans="1:4" ht="15" x14ac:dyDescent="0.25">
      <c r="A1246">
        <v>9430</v>
      </c>
      <c r="B1246" t="s">
        <v>10799</v>
      </c>
      <c r="C1246" t="s">
        <v>5043</v>
      </c>
      <c r="D1246" t="s">
        <v>8401</v>
      </c>
    </row>
    <row r="1247" spans="1:4" ht="15" x14ac:dyDescent="0.25">
      <c r="A1247">
        <v>9434</v>
      </c>
      <c r="B1247" t="s">
        <v>10799</v>
      </c>
      <c r="C1247" t="s">
        <v>5043</v>
      </c>
      <c r="D1247" t="s">
        <v>8401</v>
      </c>
    </row>
    <row r="1248" spans="1:4" ht="15" x14ac:dyDescent="0.25">
      <c r="A1248">
        <v>9446</v>
      </c>
      <c r="B1248" t="s">
        <v>10799</v>
      </c>
      <c r="C1248" t="s">
        <v>5043</v>
      </c>
      <c r="D1248" t="s">
        <v>8401</v>
      </c>
    </row>
    <row r="1249" spans="1:4" ht="15" x14ac:dyDescent="0.25">
      <c r="A1249">
        <v>9450</v>
      </c>
      <c r="B1249" t="s">
        <v>10799</v>
      </c>
      <c r="C1249" t="s">
        <v>5043</v>
      </c>
      <c r="D1249" t="s">
        <v>8401</v>
      </c>
    </row>
    <row r="1250" spans="1:4" ht="15" x14ac:dyDescent="0.25">
      <c r="A1250">
        <v>9453</v>
      </c>
      <c r="B1250" t="s">
        <v>10799</v>
      </c>
      <c r="C1250" t="s">
        <v>5043</v>
      </c>
      <c r="D1250" t="s">
        <v>8401</v>
      </c>
    </row>
    <row r="1251" spans="1:4" ht="15" x14ac:dyDescent="0.25">
      <c r="A1251">
        <v>9454</v>
      </c>
      <c r="B1251" t="s">
        <v>10799</v>
      </c>
      <c r="C1251" t="s">
        <v>5043</v>
      </c>
      <c r="D1251" t="s">
        <v>8401</v>
      </c>
    </row>
    <row r="1252" spans="1:4" ht="15" x14ac:dyDescent="0.25">
      <c r="A1252">
        <v>9459</v>
      </c>
      <c r="B1252" t="s">
        <v>10799</v>
      </c>
      <c r="C1252" t="s">
        <v>5043</v>
      </c>
      <c r="D1252" t="s">
        <v>8401</v>
      </c>
    </row>
    <row r="1253" spans="1:4" ht="15" x14ac:dyDescent="0.25">
      <c r="A1253">
        <v>9463</v>
      </c>
      <c r="B1253" t="s">
        <v>10799</v>
      </c>
      <c r="C1253" t="s">
        <v>5043</v>
      </c>
      <c r="D1253" t="s">
        <v>8401</v>
      </c>
    </row>
    <row r="1254" spans="1:4" ht="15" x14ac:dyDescent="0.25">
      <c r="A1254">
        <v>9465</v>
      </c>
      <c r="B1254" t="s">
        <v>10799</v>
      </c>
      <c r="C1254" t="s">
        <v>5043</v>
      </c>
      <c r="D1254" t="s">
        <v>8401</v>
      </c>
    </row>
    <row r="1255" spans="1:4" ht="15" x14ac:dyDescent="0.25">
      <c r="A1255">
        <v>9473</v>
      </c>
      <c r="B1255" t="s">
        <v>10799</v>
      </c>
      <c r="C1255" t="s">
        <v>5043</v>
      </c>
      <c r="D1255" t="s">
        <v>8401</v>
      </c>
    </row>
    <row r="1256" spans="1:4" ht="15" x14ac:dyDescent="0.25">
      <c r="A1256">
        <v>9476</v>
      </c>
      <c r="B1256" t="s">
        <v>10799</v>
      </c>
      <c r="C1256" t="s">
        <v>5043</v>
      </c>
      <c r="D1256" t="s">
        <v>8401</v>
      </c>
    </row>
    <row r="1257" spans="1:4" ht="15" x14ac:dyDescent="0.25">
      <c r="A1257">
        <v>9484</v>
      </c>
      <c r="B1257" t="s">
        <v>10799</v>
      </c>
      <c r="C1257" t="s">
        <v>5043</v>
      </c>
      <c r="D1257" t="s">
        <v>8401</v>
      </c>
    </row>
    <row r="1258" spans="1:4" ht="15" x14ac:dyDescent="0.25">
      <c r="A1258">
        <v>9485</v>
      </c>
      <c r="B1258" t="s">
        <v>10799</v>
      </c>
      <c r="C1258" t="s">
        <v>5043</v>
      </c>
      <c r="D1258" t="s">
        <v>8401</v>
      </c>
    </row>
    <row r="1259" spans="1:4" ht="15" x14ac:dyDescent="0.25">
      <c r="A1259">
        <v>9486</v>
      </c>
      <c r="B1259" t="s">
        <v>10799</v>
      </c>
      <c r="C1259" t="s">
        <v>5043</v>
      </c>
      <c r="D1259" t="s">
        <v>8401</v>
      </c>
    </row>
    <row r="1260" spans="1:4" ht="15" x14ac:dyDescent="0.25">
      <c r="A1260">
        <v>9491</v>
      </c>
      <c r="B1260" t="s">
        <v>10799</v>
      </c>
      <c r="C1260" t="s">
        <v>5043</v>
      </c>
      <c r="D1260" t="s">
        <v>8401</v>
      </c>
    </row>
    <row r="1261" spans="1:4" ht="15" x14ac:dyDescent="0.25">
      <c r="A1261">
        <v>9493</v>
      </c>
      <c r="B1261" t="s">
        <v>10799</v>
      </c>
      <c r="C1261" t="s">
        <v>5043</v>
      </c>
      <c r="D1261" t="s">
        <v>8401</v>
      </c>
    </row>
    <row r="1262" spans="1:4" ht="15" x14ac:dyDescent="0.25">
      <c r="A1262">
        <v>9497</v>
      </c>
      <c r="B1262" t="s">
        <v>10799</v>
      </c>
      <c r="C1262" t="s">
        <v>5043</v>
      </c>
      <c r="D1262" t="s">
        <v>8401</v>
      </c>
    </row>
    <row r="1263" spans="1:4" ht="15" x14ac:dyDescent="0.25">
      <c r="A1263">
        <v>9508</v>
      </c>
      <c r="B1263" t="s">
        <v>10799</v>
      </c>
      <c r="C1263" t="s">
        <v>5043</v>
      </c>
      <c r="D1263" t="s">
        <v>8401</v>
      </c>
    </row>
    <row r="1264" spans="1:4" ht="15" x14ac:dyDescent="0.25">
      <c r="A1264">
        <v>9510</v>
      </c>
      <c r="B1264" t="s">
        <v>10799</v>
      </c>
      <c r="C1264" t="s">
        <v>5043</v>
      </c>
      <c r="D1264" t="s">
        <v>8401</v>
      </c>
    </row>
    <row r="1265" spans="1:4" ht="15" x14ac:dyDescent="0.25">
      <c r="A1265">
        <v>9514</v>
      </c>
      <c r="B1265" t="s">
        <v>10799</v>
      </c>
      <c r="C1265" t="s">
        <v>5043</v>
      </c>
      <c r="D1265" t="s">
        <v>8401</v>
      </c>
    </row>
    <row r="1266" spans="1:4" ht="15" x14ac:dyDescent="0.25">
      <c r="A1266">
        <v>9524</v>
      </c>
      <c r="B1266" t="s">
        <v>10799</v>
      </c>
      <c r="C1266" t="s">
        <v>5043</v>
      </c>
      <c r="D1266" t="s">
        <v>8401</v>
      </c>
    </row>
    <row r="1267" spans="1:4" ht="15" x14ac:dyDescent="0.25">
      <c r="A1267">
        <v>9526</v>
      </c>
      <c r="B1267" t="s">
        <v>10799</v>
      </c>
      <c r="C1267" t="s">
        <v>5043</v>
      </c>
      <c r="D1267" t="s">
        <v>8401</v>
      </c>
    </row>
    <row r="1268" spans="1:4" ht="15" x14ac:dyDescent="0.25">
      <c r="A1268">
        <v>9533</v>
      </c>
      <c r="B1268" t="s">
        <v>10799</v>
      </c>
      <c r="C1268" t="s">
        <v>5043</v>
      </c>
      <c r="D1268" t="s">
        <v>8401</v>
      </c>
    </row>
    <row r="1269" spans="1:4" ht="15" x14ac:dyDescent="0.25">
      <c r="A1269">
        <v>9539</v>
      </c>
      <c r="B1269" t="s">
        <v>10799</v>
      </c>
      <c r="C1269" t="s">
        <v>5043</v>
      </c>
      <c r="D1269" t="s">
        <v>8401</v>
      </c>
    </row>
    <row r="1270" spans="1:4" ht="15" x14ac:dyDescent="0.25">
      <c r="A1270">
        <v>9547</v>
      </c>
      <c r="B1270" t="s">
        <v>10799</v>
      </c>
      <c r="C1270" t="s">
        <v>5043</v>
      </c>
      <c r="D1270" t="s">
        <v>8401</v>
      </c>
    </row>
    <row r="1271" spans="1:4" ht="15" x14ac:dyDescent="0.25">
      <c r="A1271">
        <v>9549</v>
      </c>
      <c r="B1271" t="s">
        <v>10799</v>
      </c>
      <c r="C1271" t="s">
        <v>5043</v>
      </c>
      <c r="D1271" t="s">
        <v>8401</v>
      </c>
    </row>
    <row r="1272" spans="1:4" ht="15" x14ac:dyDescent="0.25">
      <c r="A1272">
        <v>9556</v>
      </c>
      <c r="B1272" t="s">
        <v>10799</v>
      </c>
      <c r="C1272" t="s">
        <v>5043</v>
      </c>
      <c r="D1272" t="s">
        <v>8401</v>
      </c>
    </row>
    <row r="1273" spans="1:4" ht="15" x14ac:dyDescent="0.25">
      <c r="A1273">
        <v>9574</v>
      </c>
      <c r="B1273" t="s">
        <v>10799</v>
      </c>
      <c r="C1273" t="s">
        <v>5043</v>
      </c>
      <c r="D1273" t="s">
        <v>8401</v>
      </c>
    </row>
    <row r="1274" spans="1:4" ht="15" x14ac:dyDescent="0.25">
      <c r="A1274">
        <v>9576</v>
      </c>
      <c r="B1274" t="s">
        <v>10799</v>
      </c>
      <c r="C1274" t="s">
        <v>5043</v>
      </c>
      <c r="D1274" t="s">
        <v>8401</v>
      </c>
    </row>
    <row r="1275" spans="1:4" ht="15" x14ac:dyDescent="0.25">
      <c r="A1275">
        <v>9587</v>
      </c>
      <c r="B1275" t="s">
        <v>10799</v>
      </c>
      <c r="C1275" t="s">
        <v>5043</v>
      </c>
      <c r="D1275" t="s">
        <v>8401</v>
      </c>
    </row>
    <row r="1276" spans="1:4" ht="15" x14ac:dyDescent="0.25">
      <c r="A1276">
        <v>9593</v>
      </c>
      <c r="B1276" t="s">
        <v>10799</v>
      </c>
      <c r="C1276" t="s">
        <v>5043</v>
      </c>
      <c r="D1276" t="s">
        <v>8401</v>
      </c>
    </row>
    <row r="1277" spans="1:4" ht="15" x14ac:dyDescent="0.25">
      <c r="A1277">
        <v>9597</v>
      </c>
      <c r="B1277" t="s">
        <v>10799</v>
      </c>
      <c r="C1277" t="s">
        <v>5043</v>
      </c>
      <c r="D1277" t="s">
        <v>8401</v>
      </c>
    </row>
    <row r="1278" spans="1:4" ht="15" x14ac:dyDescent="0.25">
      <c r="A1278">
        <v>9620</v>
      </c>
      <c r="B1278" t="s">
        <v>10799</v>
      </c>
      <c r="C1278" t="s">
        <v>5043</v>
      </c>
      <c r="D1278" t="s">
        <v>8401</v>
      </c>
    </row>
    <row r="1279" spans="1:4" ht="15" x14ac:dyDescent="0.25">
      <c r="A1279">
        <v>9622</v>
      </c>
      <c r="B1279" t="s">
        <v>10799</v>
      </c>
      <c r="C1279" t="s">
        <v>5043</v>
      </c>
      <c r="D1279" t="s">
        <v>8401</v>
      </c>
    </row>
    <row r="1280" spans="1:4" ht="15" x14ac:dyDescent="0.25">
      <c r="A1280">
        <v>9624</v>
      </c>
      <c r="B1280" t="s">
        <v>10799</v>
      </c>
      <c r="C1280" t="s">
        <v>5043</v>
      </c>
      <c r="D1280" t="s">
        <v>8401</v>
      </c>
    </row>
    <row r="1281" spans="1:4" ht="15" x14ac:dyDescent="0.25">
      <c r="A1281">
        <v>9625</v>
      </c>
      <c r="B1281" t="s">
        <v>10799</v>
      </c>
      <c r="C1281" t="s">
        <v>5043</v>
      </c>
      <c r="D1281" t="s">
        <v>8401</v>
      </c>
    </row>
    <row r="1282" spans="1:4" ht="15" x14ac:dyDescent="0.25">
      <c r="A1282">
        <v>9632</v>
      </c>
      <c r="B1282" t="s">
        <v>10799</v>
      </c>
      <c r="C1282" t="s">
        <v>5043</v>
      </c>
      <c r="D1282" t="s">
        <v>8401</v>
      </c>
    </row>
    <row r="1283" spans="1:4" ht="15" x14ac:dyDescent="0.25">
      <c r="A1283">
        <v>9638</v>
      </c>
      <c r="B1283" t="s">
        <v>10799</v>
      </c>
      <c r="C1283" t="s">
        <v>5043</v>
      </c>
      <c r="D1283" t="s">
        <v>8401</v>
      </c>
    </row>
    <row r="1284" spans="1:4" ht="15" x14ac:dyDescent="0.25">
      <c r="A1284">
        <v>9643</v>
      </c>
      <c r="B1284" t="s">
        <v>10799</v>
      </c>
      <c r="C1284" t="s">
        <v>5043</v>
      </c>
      <c r="D1284" t="s">
        <v>8401</v>
      </c>
    </row>
    <row r="1285" spans="1:4" ht="15" x14ac:dyDescent="0.25">
      <c r="A1285">
        <v>9651</v>
      </c>
      <c r="B1285" t="s">
        <v>10799</v>
      </c>
      <c r="C1285" t="s">
        <v>5043</v>
      </c>
      <c r="D1285" t="s">
        <v>8401</v>
      </c>
    </row>
    <row r="1286" spans="1:4" ht="15" x14ac:dyDescent="0.25">
      <c r="A1286">
        <v>9657</v>
      </c>
      <c r="B1286" t="s">
        <v>10799</v>
      </c>
      <c r="C1286" t="s">
        <v>5043</v>
      </c>
      <c r="D1286" t="s">
        <v>8401</v>
      </c>
    </row>
    <row r="1287" spans="1:4" ht="15" x14ac:dyDescent="0.25">
      <c r="A1287">
        <v>9660</v>
      </c>
      <c r="B1287" t="s">
        <v>10799</v>
      </c>
      <c r="C1287" t="s">
        <v>5043</v>
      </c>
      <c r="D1287" t="s">
        <v>8401</v>
      </c>
    </row>
    <row r="1288" spans="1:4" ht="15" x14ac:dyDescent="0.25">
      <c r="A1288">
        <v>9663</v>
      </c>
      <c r="B1288" t="s">
        <v>10799</v>
      </c>
      <c r="C1288" t="s">
        <v>5043</v>
      </c>
      <c r="D1288" t="s">
        <v>8401</v>
      </c>
    </row>
    <row r="1289" spans="1:4" ht="15" x14ac:dyDescent="0.25">
      <c r="A1289">
        <v>9664</v>
      </c>
      <c r="B1289" t="s">
        <v>10799</v>
      </c>
      <c r="C1289" t="s">
        <v>5043</v>
      </c>
      <c r="D1289" t="s">
        <v>8401</v>
      </c>
    </row>
    <row r="1290" spans="1:4" ht="15" x14ac:dyDescent="0.25">
      <c r="A1290">
        <v>9666</v>
      </c>
      <c r="B1290" t="s">
        <v>10799</v>
      </c>
      <c r="C1290" t="s">
        <v>5043</v>
      </c>
      <c r="D1290" t="s">
        <v>8401</v>
      </c>
    </row>
    <row r="1291" spans="1:4" ht="15" x14ac:dyDescent="0.25">
      <c r="A1291">
        <v>9681</v>
      </c>
      <c r="B1291" t="s">
        <v>10799</v>
      </c>
      <c r="C1291" t="s">
        <v>5043</v>
      </c>
      <c r="D1291" t="s">
        <v>8401</v>
      </c>
    </row>
    <row r="1292" spans="1:4" ht="15" x14ac:dyDescent="0.25">
      <c r="A1292">
        <v>9685</v>
      </c>
      <c r="B1292" t="s">
        <v>10799</v>
      </c>
      <c r="C1292" t="s">
        <v>5043</v>
      </c>
      <c r="D1292" t="s">
        <v>8401</v>
      </c>
    </row>
    <row r="1293" spans="1:4" ht="15" x14ac:dyDescent="0.25">
      <c r="A1293">
        <v>9689</v>
      </c>
      <c r="B1293" t="s">
        <v>10799</v>
      </c>
      <c r="C1293" t="s">
        <v>5043</v>
      </c>
      <c r="D1293" t="s">
        <v>8401</v>
      </c>
    </row>
    <row r="1294" spans="1:4" ht="15" x14ac:dyDescent="0.25">
      <c r="A1294">
        <v>9691</v>
      </c>
      <c r="B1294" t="s">
        <v>10799</v>
      </c>
      <c r="C1294" t="s">
        <v>5043</v>
      </c>
      <c r="D1294" t="s">
        <v>8401</v>
      </c>
    </row>
    <row r="1295" spans="1:4" ht="15" x14ac:dyDescent="0.25">
      <c r="A1295">
        <v>9693</v>
      </c>
      <c r="B1295" t="s">
        <v>10799</v>
      </c>
      <c r="C1295" t="s">
        <v>5043</v>
      </c>
      <c r="D1295" t="s">
        <v>8401</v>
      </c>
    </row>
    <row r="1296" spans="1:4" ht="15" x14ac:dyDescent="0.25">
      <c r="A1296">
        <v>9696</v>
      </c>
      <c r="B1296" t="s">
        <v>10799</v>
      </c>
      <c r="C1296" t="s">
        <v>5043</v>
      </c>
      <c r="D1296" t="s">
        <v>8401</v>
      </c>
    </row>
    <row r="1297" spans="1:4" ht="15" x14ac:dyDescent="0.25">
      <c r="A1297">
        <v>9700</v>
      </c>
      <c r="B1297" t="s">
        <v>10799</v>
      </c>
      <c r="C1297" t="s">
        <v>5043</v>
      </c>
      <c r="D1297" t="s">
        <v>8401</v>
      </c>
    </row>
    <row r="1298" spans="1:4" ht="15" x14ac:dyDescent="0.25">
      <c r="A1298">
        <v>9707</v>
      </c>
      <c r="B1298" t="s">
        <v>10799</v>
      </c>
      <c r="C1298" t="s">
        <v>5043</v>
      </c>
      <c r="D1298" t="s">
        <v>8401</v>
      </c>
    </row>
    <row r="1299" spans="1:4" ht="15" x14ac:dyDescent="0.25">
      <c r="A1299">
        <v>9714</v>
      </c>
      <c r="B1299" t="s">
        <v>10799</v>
      </c>
      <c r="C1299" t="s">
        <v>5043</v>
      </c>
      <c r="D1299" t="s">
        <v>8401</v>
      </c>
    </row>
    <row r="1300" spans="1:4" ht="15" x14ac:dyDescent="0.25">
      <c r="A1300">
        <v>9715</v>
      </c>
      <c r="B1300" t="s">
        <v>10799</v>
      </c>
      <c r="C1300" t="s">
        <v>5043</v>
      </c>
      <c r="D1300" t="s">
        <v>8401</v>
      </c>
    </row>
    <row r="1301" spans="1:4" ht="15" x14ac:dyDescent="0.25">
      <c r="A1301">
        <v>9719</v>
      </c>
      <c r="B1301" t="s">
        <v>10799</v>
      </c>
      <c r="C1301" t="s">
        <v>5043</v>
      </c>
      <c r="D1301" t="s">
        <v>8401</v>
      </c>
    </row>
    <row r="1302" spans="1:4" ht="15" x14ac:dyDescent="0.25">
      <c r="A1302">
        <v>9721</v>
      </c>
      <c r="B1302" t="s">
        <v>10799</v>
      </c>
      <c r="C1302" t="s">
        <v>5043</v>
      </c>
      <c r="D1302" t="s">
        <v>8401</v>
      </c>
    </row>
    <row r="1303" spans="1:4" ht="15" x14ac:dyDescent="0.25">
      <c r="A1303">
        <v>9722</v>
      </c>
      <c r="B1303" t="s">
        <v>10799</v>
      </c>
      <c r="C1303" t="s">
        <v>5043</v>
      </c>
      <c r="D1303" t="s">
        <v>8401</v>
      </c>
    </row>
    <row r="1304" spans="1:4" ht="15" x14ac:dyDescent="0.25">
      <c r="A1304">
        <v>9724</v>
      </c>
      <c r="B1304" t="s">
        <v>10799</v>
      </c>
      <c r="C1304" t="s">
        <v>5043</v>
      </c>
      <c r="D1304" t="s">
        <v>8401</v>
      </c>
    </row>
    <row r="1305" spans="1:4" ht="15" x14ac:dyDescent="0.25">
      <c r="A1305">
        <v>9731</v>
      </c>
      <c r="B1305" t="s">
        <v>10799</v>
      </c>
      <c r="C1305" t="s">
        <v>5043</v>
      </c>
      <c r="D1305" t="s">
        <v>8401</v>
      </c>
    </row>
    <row r="1306" spans="1:4" ht="15" x14ac:dyDescent="0.25">
      <c r="A1306">
        <v>9733</v>
      </c>
      <c r="B1306" t="s">
        <v>10799</v>
      </c>
      <c r="C1306" t="s">
        <v>5043</v>
      </c>
      <c r="D1306" t="s">
        <v>8401</v>
      </c>
    </row>
    <row r="1307" spans="1:4" ht="15" x14ac:dyDescent="0.25">
      <c r="A1307">
        <v>9739</v>
      </c>
      <c r="B1307" t="s">
        <v>10799</v>
      </c>
      <c r="C1307" t="s">
        <v>5043</v>
      </c>
      <c r="D1307" t="s">
        <v>8401</v>
      </c>
    </row>
    <row r="1308" spans="1:4" ht="15" x14ac:dyDescent="0.25">
      <c r="A1308">
        <v>9741</v>
      </c>
      <c r="B1308" t="s">
        <v>10799</v>
      </c>
      <c r="C1308" t="s">
        <v>5043</v>
      </c>
      <c r="D1308" t="s">
        <v>8401</v>
      </c>
    </row>
    <row r="1309" spans="1:4" ht="15" x14ac:dyDescent="0.25">
      <c r="A1309">
        <v>9746</v>
      </c>
      <c r="B1309" t="s">
        <v>10799</v>
      </c>
      <c r="C1309" t="s">
        <v>5043</v>
      </c>
      <c r="D1309" t="s">
        <v>8401</v>
      </c>
    </row>
    <row r="1310" spans="1:4" ht="15" x14ac:dyDescent="0.25">
      <c r="A1310">
        <v>9753</v>
      </c>
      <c r="B1310" t="s">
        <v>10799</v>
      </c>
      <c r="C1310" t="s">
        <v>5043</v>
      </c>
      <c r="D1310" t="s">
        <v>8401</v>
      </c>
    </row>
    <row r="1311" spans="1:4" ht="15" x14ac:dyDescent="0.25">
      <c r="A1311">
        <v>9754</v>
      </c>
      <c r="B1311" t="s">
        <v>10799</v>
      </c>
      <c r="C1311" t="s">
        <v>5043</v>
      </c>
      <c r="D1311" t="s">
        <v>8401</v>
      </c>
    </row>
    <row r="1312" spans="1:4" ht="15" x14ac:dyDescent="0.25">
      <c r="A1312">
        <v>9757</v>
      </c>
      <c r="B1312" t="s">
        <v>10799</v>
      </c>
      <c r="C1312" t="s">
        <v>5043</v>
      </c>
      <c r="D1312" t="s">
        <v>8401</v>
      </c>
    </row>
    <row r="1313" spans="1:4" ht="15" x14ac:dyDescent="0.25">
      <c r="A1313">
        <v>9758</v>
      </c>
      <c r="B1313" t="s">
        <v>10799</v>
      </c>
      <c r="C1313" t="s">
        <v>5043</v>
      </c>
      <c r="D1313" t="s">
        <v>8401</v>
      </c>
    </row>
    <row r="1314" spans="1:4" ht="15" x14ac:dyDescent="0.25">
      <c r="A1314">
        <v>9763</v>
      </c>
      <c r="B1314" t="s">
        <v>10799</v>
      </c>
      <c r="C1314" t="s">
        <v>5043</v>
      </c>
      <c r="D1314" t="s">
        <v>8401</v>
      </c>
    </row>
    <row r="1315" spans="1:4" ht="15" x14ac:dyDescent="0.25">
      <c r="A1315">
        <v>9764</v>
      </c>
      <c r="B1315" t="s">
        <v>10799</v>
      </c>
      <c r="C1315" t="s">
        <v>5043</v>
      </c>
      <c r="D1315" t="s">
        <v>8401</v>
      </c>
    </row>
    <row r="1316" spans="1:4" ht="15" x14ac:dyDescent="0.25">
      <c r="A1316">
        <v>9765</v>
      </c>
      <c r="B1316" t="s">
        <v>10799</v>
      </c>
      <c r="C1316" t="s">
        <v>5043</v>
      </c>
      <c r="D1316" t="s">
        <v>8401</v>
      </c>
    </row>
    <row r="1317" spans="1:4" ht="15" x14ac:dyDescent="0.25">
      <c r="A1317">
        <v>9774</v>
      </c>
      <c r="B1317" t="s">
        <v>10799</v>
      </c>
      <c r="C1317" t="s">
        <v>5043</v>
      </c>
      <c r="D1317" t="s">
        <v>8401</v>
      </c>
    </row>
    <row r="1318" spans="1:4" ht="15" x14ac:dyDescent="0.25">
      <c r="A1318">
        <v>9784</v>
      </c>
      <c r="B1318" t="s">
        <v>10799</v>
      </c>
      <c r="C1318" t="s">
        <v>5043</v>
      </c>
      <c r="D1318" t="s">
        <v>8401</v>
      </c>
    </row>
    <row r="1319" spans="1:4" ht="15" x14ac:dyDescent="0.25">
      <c r="A1319">
        <v>9789</v>
      </c>
      <c r="B1319" t="s">
        <v>10799</v>
      </c>
      <c r="C1319" t="s">
        <v>5043</v>
      </c>
      <c r="D1319" t="s">
        <v>8401</v>
      </c>
    </row>
    <row r="1320" spans="1:4" ht="15" x14ac:dyDescent="0.25">
      <c r="A1320">
        <v>9791</v>
      </c>
      <c r="B1320" t="s">
        <v>10799</v>
      </c>
      <c r="C1320" t="s">
        <v>5043</v>
      </c>
      <c r="D1320" t="s">
        <v>8401</v>
      </c>
    </row>
    <row r="1321" spans="1:4" ht="15" x14ac:dyDescent="0.25">
      <c r="A1321">
        <v>9797</v>
      </c>
      <c r="B1321" t="s">
        <v>10799</v>
      </c>
      <c r="C1321" t="s">
        <v>5043</v>
      </c>
      <c r="D1321" t="s">
        <v>8401</v>
      </c>
    </row>
    <row r="1322" spans="1:4" ht="15" x14ac:dyDescent="0.25">
      <c r="A1322">
        <v>9798</v>
      </c>
      <c r="B1322" t="s">
        <v>10799</v>
      </c>
      <c r="C1322" t="s">
        <v>5043</v>
      </c>
      <c r="D1322" t="s">
        <v>8401</v>
      </c>
    </row>
    <row r="1323" spans="1:4" ht="15" x14ac:dyDescent="0.25">
      <c r="A1323">
        <v>9810</v>
      </c>
      <c r="B1323" t="s">
        <v>10799</v>
      </c>
      <c r="C1323" t="s">
        <v>5043</v>
      </c>
      <c r="D1323" t="s">
        <v>8401</v>
      </c>
    </row>
    <row r="1324" spans="1:4" ht="15" x14ac:dyDescent="0.25">
      <c r="A1324">
        <v>9814</v>
      </c>
      <c r="B1324" t="s">
        <v>10799</v>
      </c>
      <c r="C1324" t="s">
        <v>5043</v>
      </c>
      <c r="D1324" t="s">
        <v>8401</v>
      </c>
    </row>
    <row r="1325" spans="1:4" ht="15" x14ac:dyDescent="0.25">
      <c r="A1325">
        <v>9815</v>
      </c>
      <c r="B1325" t="s">
        <v>10799</v>
      </c>
      <c r="C1325" t="s">
        <v>5043</v>
      </c>
      <c r="D1325" t="s">
        <v>8401</v>
      </c>
    </row>
    <row r="1326" spans="1:4" ht="15" x14ac:dyDescent="0.25">
      <c r="A1326">
        <v>9816</v>
      </c>
      <c r="B1326" t="s">
        <v>10799</v>
      </c>
      <c r="C1326" t="s">
        <v>5043</v>
      </c>
      <c r="D1326" t="s">
        <v>8401</v>
      </c>
    </row>
    <row r="1327" spans="1:4" ht="15" x14ac:dyDescent="0.25">
      <c r="A1327">
        <v>9820</v>
      </c>
      <c r="B1327" t="s">
        <v>10799</v>
      </c>
      <c r="C1327" t="s">
        <v>5043</v>
      </c>
      <c r="D1327" t="s">
        <v>8401</v>
      </c>
    </row>
    <row r="1328" spans="1:4" ht="15" x14ac:dyDescent="0.25">
      <c r="A1328">
        <v>9823</v>
      </c>
      <c r="B1328" t="s">
        <v>10799</v>
      </c>
      <c r="C1328" t="s">
        <v>5043</v>
      </c>
      <c r="D1328" t="s">
        <v>8401</v>
      </c>
    </row>
    <row r="1329" spans="1:4" ht="15" x14ac:dyDescent="0.25">
      <c r="A1329">
        <v>9824</v>
      </c>
      <c r="B1329" t="s">
        <v>10799</v>
      </c>
      <c r="C1329" t="s">
        <v>5043</v>
      </c>
      <c r="D1329" t="s">
        <v>8401</v>
      </c>
    </row>
    <row r="1330" spans="1:4" ht="15" x14ac:dyDescent="0.25">
      <c r="A1330">
        <v>9833</v>
      </c>
      <c r="B1330" t="s">
        <v>10799</v>
      </c>
      <c r="C1330" t="s">
        <v>5043</v>
      </c>
      <c r="D1330" t="s">
        <v>8401</v>
      </c>
    </row>
    <row r="1331" spans="1:4" ht="15" x14ac:dyDescent="0.25">
      <c r="A1331">
        <v>9840</v>
      </c>
      <c r="B1331" t="s">
        <v>10799</v>
      </c>
      <c r="C1331" t="s">
        <v>5043</v>
      </c>
      <c r="D1331" t="s">
        <v>8401</v>
      </c>
    </row>
    <row r="1332" spans="1:4" ht="15" x14ac:dyDescent="0.25">
      <c r="A1332">
        <v>9857</v>
      </c>
      <c r="B1332" t="s">
        <v>10799</v>
      </c>
      <c r="C1332" t="s">
        <v>5043</v>
      </c>
      <c r="D1332" t="s">
        <v>8401</v>
      </c>
    </row>
    <row r="1333" spans="1:4" ht="15" x14ac:dyDescent="0.25">
      <c r="A1333">
        <v>9858</v>
      </c>
      <c r="B1333" t="s">
        <v>10799</v>
      </c>
      <c r="C1333" t="s">
        <v>5043</v>
      </c>
      <c r="D1333" t="s">
        <v>8401</v>
      </c>
    </row>
    <row r="1334" spans="1:4" ht="15" x14ac:dyDescent="0.25">
      <c r="A1334">
        <v>9862</v>
      </c>
      <c r="B1334" t="s">
        <v>10799</v>
      </c>
      <c r="C1334" t="s">
        <v>5043</v>
      </c>
      <c r="D1334" t="s">
        <v>8401</v>
      </c>
    </row>
    <row r="1335" spans="1:4" ht="15" x14ac:dyDescent="0.25">
      <c r="A1335">
        <v>9866</v>
      </c>
      <c r="B1335" t="s">
        <v>10799</v>
      </c>
      <c r="C1335" t="s">
        <v>5043</v>
      </c>
      <c r="D1335" t="s">
        <v>8401</v>
      </c>
    </row>
    <row r="1336" spans="1:4" ht="15" x14ac:dyDescent="0.25">
      <c r="A1336">
        <v>9876</v>
      </c>
      <c r="B1336" t="s">
        <v>10799</v>
      </c>
      <c r="C1336" t="s">
        <v>5043</v>
      </c>
      <c r="D1336" t="s">
        <v>8401</v>
      </c>
    </row>
    <row r="1337" spans="1:4" ht="15" x14ac:dyDescent="0.25">
      <c r="A1337">
        <v>9878</v>
      </c>
      <c r="B1337" t="s">
        <v>10799</v>
      </c>
      <c r="C1337" t="s">
        <v>5043</v>
      </c>
      <c r="D1337" t="s">
        <v>8401</v>
      </c>
    </row>
    <row r="1338" spans="1:4" ht="15" x14ac:dyDescent="0.25">
      <c r="A1338">
        <v>9879</v>
      </c>
      <c r="B1338" t="s">
        <v>10799</v>
      </c>
      <c r="C1338" t="s">
        <v>5043</v>
      </c>
      <c r="D1338" t="s">
        <v>8401</v>
      </c>
    </row>
    <row r="1339" spans="1:4" ht="15" x14ac:dyDescent="0.25">
      <c r="A1339">
        <v>9885</v>
      </c>
      <c r="B1339" t="s">
        <v>10799</v>
      </c>
      <c r="C1339" t="s">
        <v>5043</v>
      </c>
      <c r="D1339" t="s">
        <v>8401</v>
      </c>
    </row>
    <row r="1340" spans="1:4" ht="15" x14ac:dyDescent="0.25">
      <c r="A1340">
        <v>9887</v>
      </c>
      <c r="B1340" t="s">
        <v>10799</v>
      </c>
      <c r="C1340" t="s">
        <v>5043</v>
      </c>
      <c r="D1340" t="s">
        <v>8401</v>
      </c>
    </row>
    <row r="1341" spans="1:4" ht="15" x14ac:dyDescent="0.25">
      <c r="A1341">
        <v>9889</v>
      </c>
      <c r="B1341" t="s">
        <v>10799</v>
      </c>
      <c r="C1341" t="s">
        <v>5043</v>
      </c>
      <c r="D1341" t="s">
        <v>8401</v>
      </c>
    </row>
    <row r="1342" spans="1:4" ht="15" x14ac:dyDescent="0.25">
      <c r="A1342">
        <v>9890</v>
      </c>
      <c r="B1342" t="s">
        <v>10799</v>
      </c>
      <c r="C1342" t="s">
        <v>5043</v>
      </c>
      <c r="D1342" t="s">
        <v>8401</v>
      </c>
    </row>
    <row r="1343" spans="1:4" ht="15" x14ac:dyDescent="0.25">
      <c r="A1343">
        <v>9892</v>
      </c>
      <c r="B1343" t="s">
        <v>10799</v>
      </c>
      <c r="C1343" t="s">
        <v>5043</v>
      </c>
      <c r="D1343" t="s">
        <v>8401</v>
      </c>
    </row>
    <row r="1344" spans="1:4" ht="15" x14ac:dyDescent="0.25">
      <c r="A1344">
        <v>9896</v>
      </c>
      <c r="B1344" t="s">
        <v>10799</v>
      </c>
      <c r="C1344" t="s">
        <v>5043</v>
      </c>
      <c r="D1344" t="s">
        <v>8401</v>
      </c>
    </row>
    <row r="1345" spans="1:4" ht="15" x14ac:dyDescent="0.25">
      <c r="A1345">
        <v>9912</v>
      </c>
      <c r="B1345" t="s">
        <v>10799</v>
      </c>
      <c r="C1345" t="s">
        <v>5043</v>
      </c>
      <c r="D1345" t="s">
        <v>8401</v>
      </c>
    </row>
    <row r="1346" spans="1:4" ht="15" x14ac:dyDescent="0.25">
      <c r="A1346">
        <v>9917</v>
      </c>
      <c r="B1346" t="s">
        <v>10799</v>
      </c>
      <c r="C1346" t="s">
        <v>5043</v>
      </c>
      <c r="D1346" t="s">
        <v>8401</v>
      </c>
    </row>
    <row r="1347" spans="1:4" ht="15" x14ac:dyDescent="0.25">
      <c r="A1347">
        <v>9928</v>
      </c>
      <c r="B1347" t="s">
        <v>10799</v>
      </c>
      <c r="C1347" t="s">
        <v>5043</v>
      </c>
      <c r="D1347" t="s">
        <v>8401</v>
      </c>
    </row>
    <row r="1348" spans="1:4" ht="15" x14ac:dyDescent="0.25">
      <c r="A1348">
        <v>9935</v>
      </c>
      <c r="B1348" t="s">
        <v>10799</v>
      </c>
      <c r="C1348" t="s">
        <v>5043</v>
      </c>
      <c r="D1348" t="s">
        <v>8401</v>
      </c>
    </row>
    <row r="1349" spans="1:4" ht="15" x14ac:dyDescent="0.25">
      <c r="A1349">
        <v>9936</v>
      </c>
      <c r="B1349" t="s">
        <v>10799</v>
      </c>
      <c r="C1349" t="s">
        <v>5043</v>
      </c>
      <c r="D1349" t="s">
        <v>8401</v>
      </c>
    </row>
    <row r="1350" spans="1:4" ht="15" x14ac:dyDescent="0.25">
      <c r="A1350">
        <v>9937</v>
      </c>
      <c r="B1350" t="s">
        <v>10799</v>
      </c>
      <c r="C1350" t="s">
        <v>5043</v>
      </c>
      <c r="D1350" t="s">
        <v>8401</v>
      </c>
    </row>
    <row r="1351" spans="1:4" ht="15" x14ac:dyDescent="0.25">
      <c r="A1351">
        <v>9944</v>
      </c>
      <c r="B1351" t="s">
        <v>10799</v>
      </c>
      <c r="C1351" t="s">
        <v>5043</v>
      </c>
      <c r="D1351" t="s">
        <v>8401</v>
      </c>
    </row>
    <row r="1352" spans="1:4" ht="15" x14ac:dyDescent="0.25">
      <c r="A1352">
        <v>9946</v>
      </c>
      <c r="B1352" t="s">
        <v>10799</v>
      </c>
      <c r="C1352" t="s">
        <v>5043</v>
      </c>
      <c r="D1352" t="s">
        <v>8401</v>
      </c>
    </row>
    <row r="1353" spans="1:4" ht="15" x14ac:dyDescent="0.25">
      <c r="A1353">
        <v>9951</v>
      </c>
      <c r="B1353" t="s">
        <v>10799</v>
      </c>
      <c r="C1353" t="s">
        <v>5043</v>
      </c>
      <c r="D1353" t="s">
        <v>8401</v>
      </c>
    </row>
    <row r="1354" spans="1:4" ht="15" x14ac:dyDescent="0.25">
      <c r="A1354">
        <v>9969</v>
      </c>
      <c r="B1354" t="s">
        <v>10799</v>
      </c>
      <c r="C1354" t="s">
        <v>5043</v>
      </c>
      <c r="D1354" t="s">
        <v>8401</v>
      </c>
    </row>
    <row r="1355" spans="1:4" ht="15" x14ac:dyDescent="0.25">
      <c r="A1355">
        <v>9970</v>
      </c>
      <c r="B1355" t="s">
        <v>10799</v>
      </c>
      <c r="C1355" t="s">
        <v>5043</v>
      </c>
      <c r="D1355" t="s">
        <v>8401</v>
      </c>
    </row>
    <row r="1356" spans="1:4" ht="15" x14ac:dyDescent="0.25">
      <c r="A1356">
        <v>9974</v>
      </c>
      <c r="B1356" t="s">
        <v>10799</v>
      </c>
      <c r="C1356" t="s">
        <v>5043</v>
      </c>
      <c r="D1356" t="s">
        <v>8401</v>
      </c>
    </row>
    <row r="1357" spans="1:4" ht="15" x14ac:dyDescent="0.25">
      <c r="A1357">
        <v>9979</v>
      </c>
      <c r="B1357" t="s">
        <v>10799</v>
      </c>
      <c r="C1357" t="s">
        <v>5043</v>
      </c>
      <c r="D1357" t="s">
        <v>8401</v>
      </c>
    </row>
    <row r="1358" spans="1:4" ht="15" x14ac:dyDescent="0.25">
      <c r="A1358">
        <v>9980</v>
      </c>
      <c r="B1358" t="s">
        <v>10799</v>
      </c>
      <c r="C1358" t="s">
        <v>5043</v>
      </c>
      <c r="D1358" t="s">
        <v>8401</v>
      </c>
    </row>
    <row r="1359" spans="1:4" ht="15" x14ac:dyDescent="0.25">
      <c r="A1359">
        <v>9982</v>
      </c>
      <c r="B1359" t="s">
        <v>10799</v>
      </c>
      <c r="C1359" t="s">
        <v>5043</v>
      </c>
      <c r="D1359" t="s">
        <v>8401</v>
      </c>
    </row>
    <row r="1360" spans="1:4" ht="15" x14ac:dyDescent="0.25">
      <c r="A1360">
        <v>9986</v>
      </c>
      <c r="B1360" t="s">
        <v>10799</v>
      </c>
      <c r="C1360" t="s">
        <v>5043</v>
      </c>
      <c r="D1360" t="s">
        <v>8401</v>
      </c>
    </row>
    <row r="1361" spans="1:4" ht="15" x14ac:dyDescent="0.25">
      <c r="A1361">
        <v>9995</v>
      </c>
      <c r="B1361" t="s">
        <v>10799</v>
      </c>
      <c r="C1361" t="s">
        <v>5043</v>
      </c>
      <c r="D1361" t="s">
        <v>8401</v>
      </c>
    </row>
    <row r="1362" spans="1:4" ht="15" x14ac:dyDescent="0.25">
      <c r="A1362">
        <v>7276</v>
      </c>
      <c r="B1362" t="s">
        <v>10800</v>
      </c>
      <c r="C1362" t="s">
        <v>5043</v>
      </c>
      <c r="D1362" t="s">
        <v>8401</v>
      </c>
    </row>
    <row r="1363" spans="1:4" ht="15" x14ac:dyDescent="0.25">
      <c r="A1363">
        <v>8387</v>
      </c>
      <c r="B1363" t="s">
        <v>10800</v>
      </c>
      <c r="C1363" t="s">
        <v>5043</v>
      </c>
      <c r="D1363" t="s">
        <v>8401</v>
      </c>
    </row>
    <row r="1364" spans="1:4" ht="15" x14ac:dyDescent="0.25">
      <c r="A1364">
        <v>6805</v>
      </c>
      <c r="B1364" t="s">
        <v>10801</v>
      </c>
      <c r="C1364" t="s">
        <v>5043</v>
      </c>
      <c r="D1364" t="s">
        <v>8401</v>
      </c>
    </row>
    <row r="1365" spans="1:4" ht="15" x14ac:dyDescent="0.25">
      <c r="A1365">
        <v>7207</v>
      </c>
      <c r="B1365" t="s">
        <v>10801</v>
      </c>
      <c r="C1365" t="s">
        <v>5043</v>
      </c>
      <c r="D1365" t="s">
        <v>8401</v>
      </c>
    </row>
    <row r="1366" spans="1:4" ht="15" x14ac:dyDescent="0.25">
      <c r="A1366">
        <v>8560</v>
      </c>
      <c r="B1366" t="s">
        <v>10801</v>
      </c>
      <c r="C1366" t="s">
        <v>5043</v>
      </c>
      <c r="D1366" t="s">
        <v>8401</v>
      </c>
    </row>
    <row r="1367" spans="1:4" ht="15" x14ac:dyDescent="0.25">
      <c r="A1367">
        <v>10066</v>
      </c>
      <c r="B1367" t="s">
        <v>9038</v>
      </c>
      <c r="C1367" t="s">
        <v>5043</v>
      </c>
      <c r="D1367" t="s">
        <v>8401</v>
      </c>
    </row>
    <row r="1368" spans="1:4" ht="15" x14ac:dyDescent="0.25">
      <c r="A1368">
        <v>10155</v>
      </c>
      <c r="B1368" t="s">
        <v>9038</v>
      </c>
      <c r="C1368" t="s">
        <v>5043</v>
      </c>
      <c r="D1368" t="s">
        <v>8401</v>
      </c>
    </row>
    <row r="1369" spans="1:4" ht="15" x14ac:dyDescent="0.25">
      <c r="A1369">
        <v>10246</v>
      </c>
      <c r="B1369" t="s">
        <v>9038</v>
      </c>
      <c r="C1369" t="s">
        <v>5043</v>
      </c>
      <c r="D1369" t="s">
        <v>8401</v>
      </c>
    </row>
    <row r="1370" spans="1:4" ht="15" x14ac:dyDescent="0.25">
      <c r="A1370">
        <v>10338</v>
      </c>
      <c r="B1370" t="s">
        <v>9038</v>
      </c>
      <c r="C1370" t="s">
        <v>5043</v>
      </c>
      <c r="D1370" t="s">
        <v>8401</v>
      </c>
    </row>
    <row r="1371" spans="1:4" ht="15" x14ac:dyDescent="0.25">
      <c r="A1371">
        <v>10362</v>
      </c>
      <c r="B1371" t="s">
        <v>9038</v>
      </c>
      <c r="C1371" t="s">
        <v>5043</v>
      </c>
      <c r="D1371" t="s">
        <v>8401</v>
      </c>
    </row>
    <row r="1372" spans="1:4" ht="15" x14ac:dyDescent="0.25">
      <c r="A1372">
        <v>10554</v>
      </c>
      <c r="B1372" t="s">
        <v>9038</v>
      </c>
      <c r="C1372" t="s">
        <v>5043</v>
      </c>
      <c r="D1372" t="s">
        <v>8401</v>
      </c>
    </row>
    <row r="1373" spans="1:4" ht="15" x14ac:dyDescent="0.25">
      <c r="A1373">
        <v>10944</v>
      </c>
      <c r="B1373" t="s">
        <v>9038</v>
      </c>
      <c r="C1373" t="s">
        <v>5043</v>
      </c>
      <c r="D1373" t="s">
        <v>8401</v>
      </c>
    </row>
    <row r="1374" spans="1:4" ht="15" x14ac:dyDescent="0.25">
      <c r="A1374">
        <v>11019</v>
      </c>
      <c r="B1374" t="s">
        <v>9038</v>
      </c>
      <c r="C1374" t="s">
        <v>5043</v>
      </c>
      <c r="D1374" t="s">
        <v>8401</v>
      </c>
    </row>
    <row r="1375" spans="1:4" ht="15" x14ac:dyDescent="0.25">
      <c r="A1375">
        <v>11140</v>
      </c>
      <c r="B1375" t="s">
        <v>9038</v>
      </c>
      <c r="C1375" t="s">
        <v>5043</v>
      </c>
      <c r="D1375" t="s">
        <v>8401</v>
      </c>
    </row>
    <row r="1376" spans="1:4" ht="15" x14ac:dyDescent="0.25">
      <c r="A1376">
        <v>11342</v>
      </c>
      <c r="B1376" t="s">
        <v>9038</v>
      </c>
      <c r="C1376" t="s">
        <v>5043</v>
      </c>
      <c r="D1376" t="s">
        <v>8401</v>
      </c>
    </row>
    <row r="1377" spans="1:4" ht="15" x14ac:dyDescent="0.25">
      <c r="A1377">
        <v>11407</v>
      </c>
      <c r="B1377" t="s">
        <v>9038</v>
      </c>
      <c r="C1377" t="s">
        <v>5043</v>
      </c>
      <c r="D1377" t="s">
        <v>8401</v>
      </c>
    </row>
    <row r="1378" spans="1:4" ht="15" x14ac:dyDescent="0.25">
      <c r="A1378">
        <v>11618</v>
      </c>
      <c r="B1378" t="s">
        <v>9038</v>
      </c>
      <c r="C1378" t="s">
        <v>5043</v>
      </c>
      <c r="D1378" t="s">
        <v>8401</v>
      </c>
    </row>
    <row r="1379" spans="1:4" ht="15" x14ac:dyDescent="0.25">
      <c r="A1379">
        <v>11777</v>
      </c>
      <c r="B1379" t="s">
        <v>9038</v>
      </c>
      <c r="C1379" t="s">
        <v>5043</v>
      </c>
      <c r="D1379" t="s">
        <v>8401</v>
      </c>
    </row>
    <row r="1380" spans="1:4" ht="15" x14ac:dyDescent="0.25">
      <c r="A1380">
        <v>11791</v>
      </c>
      <c r="B1380" t="s">
        <v>9038</v>
      </c>
      <c r="C1380" t="s">
        <v>5043</v>
      </c>
      <c r="D1380" t="s">
        <v>8401</v>
      </c>
    </row>
    <row r="1381" spans="1:4" ht="15" x14ac:dyDescent="0.25">
      <c r="A1381">
        <v>12002</v>
      </c>
      <c r="B1381" t="s">
        <v>9038</v>
      </c>
      <c r="C1381" t="s">
        <v>5043</v>
      </c>
      <c r="D1381" t="s">
        <v>8401</v>
      </c>
    </row>
    <row r="1382" spans="1:4" ht="15" x14ac:dyDescent="0.25">
      <c r="A1382">
        <v>6726</v>
      </c>
      <c r="B1382" t="s">
        <v>9038</v>
      </c>
      <c r="C1382" t="s">
        <v>5043</v>
      </c>
      <c r="D1382" t="s">
        <v>8401</v>
      </c>
    </row>
    <row r="1383" spans="1:4" ht="15" x14ac:dyDescent="0.25">
      <c r="A1383">
        <v>7668</v>
      </c>
      <c r="B1383" t="s">
        <v>9038</v>
      </c>
      <c r="C1383" t="s">
        <v>5043</v>
      </c>
      <c r="D1383" t="s">
        <v>8401</v>
      </c>
    </row>
    <row r="1384" spans="1:4" ht="15" x14ac:dyDescent="0.25">
      <c r="A1384">
        <v>7915</v>
      </c>
      <c r="B1384" t="s">
        <v>9038</v>
      </c>
      <c r="C1384" t="s">
        <v>5043</v>
      </c>
      <c r="D1384" t="s">
        <v>8401</v>
      </c>
    </row>
    <row r="1385" spans="1:4" ht="15" x14ac:dyDescent="0.25">
      <c r="A1385">
        <v>8475</v>
      </c>
      <c r="B1385" t="s">
        <v>9038</v>
      </c>
      <c r="C1385" t="s">
        <v>5043</v>
      </c>
      <c r="D1385" t="s">
        <v>8401</v>
      </c>
    </row>
    <row r="1386" spans="1:4" ht="15" x14ac:dyDescent="0.25">
      <c r="A1386">
        <v>8506</v>
      </c>
      <c r="B1386" t="s">
        <v>9038</v>
      </c>
      <c r="C1386" t="s">
        <v>5043</v>
      </c>
      <c r="D1386" t="s">
        <v>8401</v>
      </c>
    </row>
    <row r="1387" spans="1:4" ht="15" x14ac:dyDescent="0.25">
      <c r="A1387">
        <v>8611</v>
      </c>
      <c r="B1387" t="s">
        <v>9038</v>
      </c>
      <c r="C1387" t="s">
        <v>5043</v>
      </c>
      <c r="D1387" t="s">
        <v>8401</v>
      </c>
    </row>
    <row r="1388" spans="1:4" ht="15" x14ac:dyDescent="0.25">
      <c r="A1388">
        <v>8694</v>
      </c>
      <c r="B1388" t="s">
        <v>9038</v>
      </c>
      <c r="C1388" t="s">
        <v>5043</v>
      </c>
      <c r="D1388" t="s">
        <v>8401</v>
      </c>
    </row>
    <row r="1389" spans="1:4" ht="15" x14ac:dyDescent="0.25">
      <c r="A1389">
        <v>8851</v>
      </c>
      <c r="B1389" t="s">
        <v>9038</v>
      </c>
      <c r="C1389" t="s">
        <v>5043</v>
      </c>
      <c r="D1389" t="s">
        <v>8401</v>
      </c>
    </row>
    <row r="1390" spans="1:4" ht="15" x14ac:dyDescent="0.25">
      <c r="A1390">
        <v>8881</v>
      </c>
      <c r="B1390" t="s">
        <v>9038</v>
      </c>
      <c r="C1390" t="s">
        <v>5043</v>
      </c>
      <c r="D1390" t="s">
        <v>8401</v>
      </c>
    </row>
    <row r="1391" spans="1:4" ht="15" x14ac:dyDescent="0.25">
      <c r="A1391">
        <v>8952</v>
      </c>
      <c r="B1391" t="s">
        <v>9038</v>
      </c>
      <c r="C1391" t="s">
        <v>5043</v>
      </c>
      <c r="D1391" t="s">
        <v>8401</v>
      </c>
    </row>
    <row r="1392" spans="1:4" ht="15" x14ac:dyDescent="0.25">
      <c r="A1392">
        <v>9085</v>
      </c>
      <c r="B1392" t="s">
        <v>9038</v>
      </c>
      <c r="C1392" t="s">
        <v>5043</v>
      </c>
      <c r="D1392" t="s">
        <v>8401</v>
      </c>
    </row>
    <row r="1393" spans="1:4" ht="15" x14ac:dyDescent="0.25">
      <c r="A1393">
        <v>9204</v>
      </c>
      <c r="B1393" t="s">
        <v>9038</v>
      </c>
      <c r="C1393" t="s">
        <v>5043</v>
      </c>
      <c r="D1393" t="s">
        <v>8401</v>
      </c>
    </row>
    <row r="1394" spans="1:4" ht="15" x14ac:dyDescent="0.25">
      <c r="A1394">
        <v>9368</v>
      </c>
      <c r="B1394" t="s">
        <v>9038</v>
      </c>
      <c r="C1394" t="s">
        <v>5043</v>
      </c>
      <c r="D1394" t="s">
        <v>8401</v>
      </c>
    </row>
    <row r="1395" spans="1:4" ht="15" x14ac:dyDescent="0.25">
      <c r="A1395">
        <v>9609</v>
      </c>
      <c r="B1395" t="s">
        <v>9038</v>
      </c>
      <c r="C1395" t="s">
        <v>5043</v>
      </c>
      <c r="D1395" t="s">
        <v>8401</v>
      </c>
    </row>
    <row r="1396" spans="1:4" ht="15" x14ac:dyDescent="0.25">
      <c r="A1396">
        <v>9649</v>
      </c>
      <c r="B1396" t="s">
        <v>9038</v>
      </c>
      <c r="C1396" t="s">
        <v>5043</v>
      </c>
      <c r="D1396" t="s">
        <v>8401</v>
      </c>
    </row>
    <row r="1397" spans="1:4" ht="15" x14ac:dyDescent="0.25">
      <c r="A1397">
        <v>9778</v>
      </c>
      <c r="B1397" t="s">
        <v>9038</v>
      </c>
      <c r="C1397" t="s">
        <v>5043</v>
      </c>
      <c r="D1397" t="s">
        <v>8401</v>
      </c>
    </row>
    <row r="1398" spans="1:4" ht="15" x14ac:dyDescent="0.25">
      <c r="A1398">
        <v>9907</v>
      </c>
      <c r="B1398" t="s">
        <v>9038</v>
      </c>
      <c r="C1398" t="s">
        <v>5043</v>
      </c>
      <c r="D1398" t="s">
        <v>8401</v>
      </c>
    </row>
    <row r="1399" spans="1:4" ht="15" x14ac:dyDescent="0.25">
      <c r="A1399">
        <v>10207</v>
      </c>
      <c r="B1399" t="s">
        <v>10802</v>
      </c>
      <c r="C1399" t="s">
        <v>5043</v>
      </c>
      <c r="D1399" t="s">
        <v>8401</v>
      </c>
    </row>
    <row r="1400" spans="1:4" ht="15" x14ac:dyDescent="0.25">
      <c r="A1400">
        <v>10582</v>
      </c>
      <c r="B1400" t="s">
        <v>10802</v>
      </c>
      <c r="C1400" t="s">
        <v>5043</v>
      </c>
      <c r="D1400" t="s">
        <v>8401</v>
      </c>
    </row>
    <row r="1401" spans="1:4" ht="15" x14ac:dyDescent="0.25">
      <c r="A1401">
        <v>10660</v>
      </c>
      <c r="B1401" t="s">
        <v>10802</v>
      </c>
      <c r="C1401" t="s">
        <v>5043</v>
      </c>
      <c r="D1401" t="s">
        <v>8401</v>
      </c>
    </row>
    <row r="1402" spans="1:4" ht="15" x14ac:dyDescent="0.25">
      <c r="A1402">
        <v>10881</v>
      </c>
      <c r="B1402" t="s">
        <v>10802</v>
      </c>
      <c r="C1402" t="s">
        <v>5043</v>
      </c>
      <c r="D1402" t="s">
        <v>8401</v>
      </c>
    </row>
    <row r="1403" spans="1:4" ht="15" x14ac:dyDescent="0.25">
      <c r="A1403">
        <v>11806</v>
      </c>
      <c r="B1403" t="s">
        <v>10802</v>
      </c>
      <c r="C1403" t="s">
        <v>5043</v>
      </c>
      <c r="D1403" t="s">
        <v>8401</v>
      </c>
    </row>
    <row r="1404" spans="1:4" ht="15" x14ac:dyDescent="0.25">
      <c r="A1404">
        <v>12118</v>
      </c>
      <c r="B1404" t="s">
        <v>10802</v>
      </c>
      <c r="C1404" t="s">
        <v>5043</v>
      </c>
      <c r="D1404" t="s">
        <v>8401</v>
      </c>
    </row>
    <row r="1405" spans="1:4" ht="15" x14ac:dyDescent="0.25">
      <c r="A1405">
        <v>6734</v>
      </c>
      <c r="B1405" t="s">
        <v>10802</v>
      </c>
      <c r="C1405" t="s">
        <v>5043</v>
      </c>
      <c r="D1405" t="s">
        <v>8401</v>
      </c>
    </row>
    <row r="1406" spans="1:4" ht="15" x14ac:dyDescent="0.25">
      <c r="A1406">
        <v>6742</v>
      </c>
      <c r="B1406" t="s">
        <v>10802</v>
      </c>
      <c r="C1406" t="s">
        <v>5043</v>
      </c>
      <c r="D1406" t="s">
        <v>8401</v>
      </c>
    </row>
    <row r="1407" spans="1:4" ht="15" x14ac:dyDescent="0.25">
      <c r="A1407">
        <v>7147</v>
      </c>
      <c r="B1407" t="s">
        <v>10802</v>
      </c>
      <c r="C1407" t="s">
        <v>5043</v>
      </c>
      <c r="D1407" t="s">
        <v>8401</v>
      </c>
    </row>
    <row r="1408" spans="1:4" ht="15" x14ac:dyDescent="0.25">
      <c r="A1408">
        <v>7270</v>
      </c>
      <c r="B1408" t="s">
        <v>10802</v>
      </c>
      <c r="C1408" t="s">
        <v>5043</v>
      </c>
      <c r="D1408" t="s">
        <v>8401</v>
      </c>
    </row>
    <row r="1409" spans="1:4" ht="15" x14ac:dyDescent="0.25">
      <c r="A1409">
        <v>7470</v>
      </c>
      <c r="B1409" t="s">
        <v>10802</v>
      </c>
      <c r="C1409" t="s">
        <v>5043</v>
      </c>
      <c r="D1409" t="s">
        <v>8401</v>
      </c>
    </row>
    <row r="1410" spans="1:4" ht="15" x14ac:dyDescent="0.25">
      <c r="A1410">
        <v>7802</v>
      </c>
      <c r="B1410" t="s">
        <v>10802</v>
      </c>
      <c r="C1410" t="s">
        <v>5043</v>
      </c>
      <c r="D1410" t="s">
        <v>8401</v>
      </c>
    </row>
    <row r="1411" spans="1:4" ht="15" x14ac:dyDescent="0.25">
      <c r="A1411">
        <v>8161</v>
      </c>
      <c r="B1411" t="s">
        <v>10802</v>
      </c>
      <c r="C1411" t="s">
        <v>5043</v>
      </c>
      <c r="D1411" t="s">
        <v>8401</v>
      </c>
    </row>
    <row r="1412" spans="1:4" ht="15" x14ac:dyDescent="0.25">
      <c r="A1412">
        <v>8960</v>
      </c>
      <c r="B1412" t="s">
        <v>10802</v>
      </c>
      <c r="C1412" t="s">
        <v>5043</v>
      </c>
      <c r="D1412" t="s">
        <v>8401</v>
      </c>
    </row>
    <row r="1413" spans="1:4" ht="15" x14ac:dyDescent="0.25">
      <c r="A1413">
        <v>9886</v>
      </c>
      <c r="B1413" t="s">
        <v>10802</v>
      </c>
      <c r="C1413" t="s">
        <v>5043</v>
      </c>
      <c r="D1413" t="s">
        <v>8401</v>
      </c>
    </row>
    <row r="1414" spans="1:4" ht="15" x14ac:dyDescent="0.25">
      <c r="A1414">
        <v>8696</v>
      </c>
      <c r="B1414" t="s">
        <v>10803</v>
      </c>
      <c r="C1414" t="s">
        <v>5043</v>
      </c>
      <c r="D1414" t="s">
        <v>8401</v>
      </c>
    </row>
    <row r="1415" spans="1:4" ht="15" x14ac:dyDescent="0.25">
      <c r="A1415">
        <v>9441</v>
      </c>
      <c r="B1415" t="s">
        <v>10803</v>
      </c>
      <c r="C1415" t="s">
        <v>5043</v>
      </c>
      <c r="D1415" t="s">
        <v>8401</v>
      </c>
    </row>
    <row r="1416" spans="1:4" ht="15" x14ac:dyDescent="0.25">
      <c r="A1416">
        <v>7561</v>
      </c>
      <c r="B1416" t="s">
        <v>10804</v>
      </c>
      <c r="C1416" t="s">
        <v>5043</v>
      </c>
      <c r="D1416" t="s">
        <v>8401</v>
      </c>
    </row>
    <row r="1417" spans="1:4" ht="15" x14ac:dyDescent="0.25">
      <c r="A1417">
        <v>9636</v>
      </c>
      <c r="B1417" t="s">
        <v>10804</v>
      </c>
      <c r="C1417" t="s">
        <v>5043</v>
      </c>
      <c r="D1417" t="s">
        <v>8401</v>
      </c>
    </row>
    <row r="1418" spans="1:4" ht="15" x14ac:dyDescent="0.25">
      <c r="A1418">
        <v>6988</v>
      </c>
      <c r="B1418" t="s">
        <v>10805</v>
      </c>
      <c r="C1418" t="s">
        <v>5043</v>
      </c>
      <c r="D1418" t="s">
        <v>8401</v>
      </c>
    </row>
    <row r="1419" spans="1:4" ht="15" x14ac:dyDescent="0.25">
      <c r="A1419">
        <v>9844</v>
      </c>
      <c r="B1419" t="s">
        <v>10805</v>
      </c>
      <c r="C1419" t="s">
        <v>5043</v>
      </c>
      <c r="D1419" t="s">
        <v>8401</v>
      </c>
    </row>
    <row r="1420" spans="1:4" ht="15" x14ac:dyDescent="0.25">
      <c r="A1420">
        <v>7296</v>
      </c>
      <c r="B1420" t="s">
        <v>9039</v>
      </c>
      <c r="C1420" t="s">
        <v>5043</v>
      </c>
      <c r="D1420" t="s">
        <v>8401</v>
      </c>
    </row>
    <row r="1421" spans="1:4" ht="15" x14ac:dyDescent="0.25">
      <c r="A1421">
        <v>9953</v>
      </c>
      <c r="B1421" t="s">
        <v>9039</v>
      </c>
      <c r="C1421" t="s">
        <v>5043</v>
      </c>
      <c r="D1421" t="s">
        <v>8401</v>
      </c>
    </row>
    <row r="1422" spans="1:4" ht="15" x14ac:dyDescent="0.25">
      <c r="A1422">
        <v>9522</v>
      </c>
      <c r="B1422" t="s">
        <v>9040</v>
      </c>
      <c r="C1422" t="s">
        <v>5043</v>
      </c>
      <c r="D1422" t="s">
        <v>8401</v>
      </c>
    </row>
    <row r="1423" spans="1:4" ht="15" x14ac:dyDescent="0.25">
      <c r="A1423">
        <v>10121</v>
      </c>
      <c r="B1423" t="s">
        <v>9041</v>
      </c>
      <c r="C1423" t="s">
        <v>5043</v>
      </c>
      <c r="D1423" t="s">
        <v>8401</v>
      </c>
    </row>
    <row r="1424" spans="1:4" ht="15" x14ac:dyDescent="0.25">
      <c r="A1424">
        <v>11807</v>
      </c>
      <c r="B1424" t="s">
        <v>9041</v>
      </c>
      <c r="C1424" t="s">
        <v>5043</v>
      </c>
      <c r="D1424" t="s">
        <v>8401</v>
      </c>
    </row>
    <row r="1425" spans="1:4" ht="15" x14ac:dyDescent="0.25">
      <c r="A1425">
        <v>11368</v>
      </c>
      <c r="B1425" t="s">
        <v>9042</v>
      </c>
      <c r="C1425" t="s">
        <v>5043</v>
      </c>
      <c r="D1425" t="s">
        <v>8401</v>
      </c>
    </row>
    <row r="1426" spans="1:4" ht="15" x14ac:dyDescent="0.25">
      <c r="A1426">
        <v>6762</v>
      </c>
      <c r="B1426" t="s">
        <v>9042</v>
      </c>
      <c r="C1426" t="s">
        <v>5043</v>
      </c>
      <c r="D1426" t="s">
        <v>8401</v>
      </c>
    </row>
    <row r="1427" spans="1:4" ht="15" x14ac:dyDescent="0.25">
      <c r="A1427">
        <v>6878</v>
      </c>
      <c r="B1427" t="s">
        <v>9042</v>
      </c>
      <c r="C1427" t="s">
        <v>5043</v>
      </c>
      <c r="D1427" t="s">
        <v>8401</v>
      </c>
    </row>
    <row r="1428" spans="1:4" ht="15" x14ac:dyDescent="0.25">
      <c r="A1428">
        <v>7997</v>
      </c>
      <c r="B1428" t="s">
        <v>9042</v>
      </c>
      <c r="C1428" t="s">
        <v>5043</v>
      </c>
      <c r="D1428" t="s">
        <v>8401</v>
      </c>
    </row>
    <row r="1429" spans="1:4" ht="15" x14ac:dyDescent="0.25">
      <c r="A1429">
        <v>8201</v>
      </c>
      <c r="B1429" t="s">
        <v>9042</v>
      </c>
      <c r="C1429" t="s">
        <v>5043</v>
      </c>
      <c r="D1429" t="s">
        <v>8401</v>
      </c>
    </row>
    <row r="1430" spans="1:4" ht="15" x14ac:dyDescent="0.25">
      <c r="A1430">
        <v>8514</v>
      </c>
      <c r="B1430" t="s">
        <v>9042</v>
      </c>
      <c r="C1430" t="s">
        <v>5043</v>
      </c>
      <c r="D1430" t="s">
        <v>8401</v>
      </c>
    </row>
    <row r="1431" spans="1:4" ht="15" x14ac:dyDescent="0.25">
      <c r="A1431">
        <v>8793</v>
      </c>
      <c r="B1431" t="s">
        <v>9042</v>
      </c>
      <c r="C1431" t="s">
        <v>5043</v>
      </c>
      <c r="D1431" t="s">
        <v>8401</v>
      </c>
    </row>
    <row r="1432" spans="1:4" ht="15" x14ac:dyDescent="0.25">
      <c r="A1432">
        <v>9052</v>
      </c>
      <c r="B1432" t="s">
        <v>9042</v>
      </c>
      <c r="C1432" t="s">
        <v>5043</v>
      </c>
      <c r="D1432" t="s">
        <v>8401</v>
      </c>
    </row>
    <row r="1433" spans="1:4" ht="15" x14ac:dyDescent="0.25">
      <c r="A1433">
        <v>9209</v>
      </c>
      <c r="B1433" t="s">
        <v>9042</v>
      </c>
      <c r="C1433" t="s">
        <v>5043</v>
      </c>
      <c r="D1433" t="s">
        <v>8401</v>
      </c>
    </row>
    <row r="1434" spans="1:4" ht="15" x14ac:dyDescent="0.25">
      <c r="A1434">
        <v>9517</v>
      </c>
      <c r="B1434" t="s">
        <v>9042</v>
      </c>
      <c r="C1434" t="s">
        <v>5043</v>
      </c>
      <c r="D1434" t="s">
        <v>8401</v>
      </c>
    </row>
    <row r="1435" spans="1:4" ht="15" x14ac:dyDescent="0.25">
      <c r="A1435">
        <v>11286</v>
      </c>
      <c r="B1435" t="s">
        <v>9043</v>
      </c>
      <c r="C1435" t="s">
        <v>5043</v>
      </c>
      <c r="D1435" t="s">
        <v>8401</v>
      </c>
    </row>
    <row r="1436" spans="1:4" ht="15" x14ac:dyDescent="0.25">
      <c r="A1436">
        <v>6963</v>
      </c>
      <c r="B1436" t="s">
        <v>9043</v>
      </c>
      <c r="C1436" t="s">
        <v>5043</v>
      </c>
      <c r="D1436" t="s">
        <v>8401</v>
      </c>
    </row>
    <row r="1437" spans="1:4" ht="15" x14ac:dyDescent="0.25">
      <c r="A1437">
        <v>7640</v>
      </c>
      <c r="B1437" t="s">
        <v>9043</v>
      </c>
      <c r="C1437" t="s">
        <v>5043</v>
      </c>
      <c r="D1437" t="s">
        <v>8401</v>
      </c>
    </row>
    <row r="1438" spans="1:4" ht="15" x14ac:dyDescent="0.25">
      <c r="A1438">
        <v>9602</v>
      </c>
      <c r="B1438" t="s">
        <v>9043</v>
      </c>
      <c r="C1438" t="s">
        <v>5043</v>
      </c>
      <c r="D1438" t="s">
        <v>8401</v>
      </c>
    </row>
    <row r="1439" spans="1:4" ht="15" x14ac:dyDescent="0.25">
      <c r="A1439">
        <v>9711</v>
      </c>
      <c r="B1439" t="s">
        <v>9043</v>
      </c>
      <c r="C1439" t="s">
        <v>5043</v>
      </c>
      <c r="D1439" t="s">
        <v>8401</v>
      </c>
    </row>
    <row r="1440" spans="1:4" ht="15" x14ac:dyDescent="0.25">
      <c r="A1440">
        <v>9957</v>
      </c>
      <c r="B1440" t="s">
        <v>9043</v>
      </c>
      <c r="C1440" t="s">
        <v>5043</v>
      </c>
      <c r="D1440" t="s">
        <v>8401</v>
      </c>
    </row>
    <row r="1441" spans="1:4" ht="15" x14ac:dyDescent="0.25">
      <c r="A1441">
        <v>7442</v>
      </c>
      <c r="B1441" t="s">
        <v>9044</v>
      </c>
      <c r="C1441" t="s">
        <v>5043</v>
      </c>
      <c r="D1441" t="s">
        <v>8401</v>
      </c>
    </row>
    <row r="1442" spans="1:4" ht="15" x14ac:dyDescent="0.25">
      <c r="A1442">
        <v>9856</v>
      </c>
      <c r="B1442" t="s">
        <v>9045</v>
      </c>
      <c r="C1442" t="s">
        <v>5043</v>
      </c>
      <c r="D1442" t="s">
        <v>8401</v>
      </c>
    </row>
    <row r="1443" spans="1:4" ht="15" x14ac:dyDescent="0.25">
      <c r="A1443">
        <v>10601</v>
      </c>
      <c r="B1443" t="s">
        <v>9046</v>
      </c>
      <c r="C1443" t="s">
        <v>5043</v>
      </c>
      <c r="D1443" t="s">
        <v>8401</v>
      </c>
    </row>
    <row r="1444" spans="1:4" ht="15" x14ac:dyDescent="0.25">
      <c r="A1444">
        <v>7465</v>
      </c>
      <c r="B1444" t="s">
        <v>9046</v>
      </c>
      <c r="C1444" t="s">
        <v>5043</v>
      </c>
      <c r="D1444" t="s">
        <v>8401</v>
      </c>
    </row>
    <row r="1445" spans="1:4" ht="15" x14ac:dyDescent="0.25">
      <c r="A1445">
        <v>7627</v>
      </c>
      <c r="B1445" t="s">
        <v>9046</v>
      </c>
      <c r="C1445" t="s">
        <v>5043</v>
      </c>
      <c r="D1445" t="s">
        <v>8401</v>
      </c>
    </row>
    <row r="1446" spans="1:4" ht="15" x14ac:dyDescent="0.25">
      <c r="A1446">
        <v>7665</v>
      </c>
      <c r="B1446" t="s">
        <v>9046</v>
      </c>
      <c r="C1446" t="s">
        <v>5043</v>
      </c>
      <c r="D1446" t="s">
        <v>8401</v>
      </c>
    </row>
    <row r="1447" spans="1:4" ht="15" x14ac:dyDescent="0.25">
      <c r="A1447">
        <v>8352</v>
      </c>
      <c r="B1447" t="s">
        <v>9046</v>
      </c>
      <c r="C1447" t="s">
        <v>5043</v>
      </c>
      <c r="D1447" t="s">
        <v>8401</v>
      </c>
    </row>
    <row r="1448" spans="1:4" ht="15" x14ac:dyDescent="0.25">
      <c r="A1448">
        <v>7278</v>
      </c>
      <c r="B1448" t="s">
        <v>10806</v>
      </c>
      <c r="C1448" t="s">
        <v>5043</v>
      </c>
      <c r="D1448" t="s">
        <v>8401</v>
      </c>
    </row>
    <row r="1449" spans="1:4" ht="15" x14ac:dyDescent="0.25">
      <c r="A1449">
        <v>11503</v>
      </c>
      <c r="B1449" t="s">
        <v>9047</v>
      </c>
      <c r="C1449" t="s">
        <v>5043</v>
      </c>
      <c r="D1449" t="s">
        <v>8401</v>
      </c>
    </row>
    <row r="1450" spans="1:4" ht="15" x14ac:dyDescent="0.25">
      <c r="A1450">
        <v>8371</v>
      </c>
      <c r="B1450" t="s">
        <v>9047</v>
      </c>
      <c r="C1450" t="s">
        <v>5043</v>
      </c>
      <c r="D1450" t="s">
        <v>8401</v>
      </c>
    </row>
    <row r="1451" spans="1:4" ht="15" x14ac:dyDescent="0.25">
      <c r="A1451">
        <v>10577</v>
      </c>
      <c r="B1451" t="s">
        <v>10807</v>
      </c>
      <c r="C1451" t="s">
        <v>5043</v>
      </c>
      <c r="D1451" t="s">
        <v>8401</v>
      </c>
    </row>
    <row r="1452" spans="1:4" ht="15" x14ac:dyDescent="0.25">
      <c r="A1452">
        <v>7824</v>
      </c>
      <c r="B1452" t="s">
        <v>10808</v>
      </c>
      <c r="C1452" t="s">
        <v>5043</v>
      </c>
      <c r="D1452" t="s">
        <v>8401</v>
      </c>
    </row>
    <row r="1453" spans="1:4" ht="15" x14ac:dyDescent="0.25">
      <c r="A1453">
        <v>9795</v>
      </c>
      <c r="B1453" t="s">
        <v>10809</v>
      </c>
      <c r="C1453" t="s">
        <v>5043</v>
      </c>
      <c r="D1453" t="s">
        <v>8401</v>
      </c>
    </row>
    <row r="1454" spans="1:4" ht="15" x14ac:dyDescent="0.25">
      <c r="A1454">
        <v>9482</v>
      </c>
      <c r="B1454" t="s">
        <v>10810</v>
      </c>
      <c r="C1454" t="s">
        <v>5043</v>
      </c>
      <c r="D1454" t="s">
        <v>8401</v>
      </c>
    </row>
    <row r="1455" spans="1:4" ht="15" x14ac:dyDescent="0.25">
      <c r="A1455">
        <v>251459</v>
      </c>
      <c r="B1455" t="s">
        <v>11574</v>
      </c>
      <c r="C1455" t="s">
        <v>5043</v>
      </c>
      <c r="D1455" t="s">
        <v>8401</v>
      </c>
    </row>
    <row r="1456" spans="1:4" ht="15" x14ac:dyDescent="0.25">
      <c r="A1456">
        <v>9848</v>
      </c>
      <c r="B1456" t="s">
        <v>10811</v>
      </c>
      <c r="C1456" t="s">
        <v>5043</v>
      </c>
      <c r="D1456" t="s">
        <v>8401</v>
      </c>
    </row>
    <row r="1457" spans="1:4" ht="15" x14ac:dyDescent="0.25">
      <c r="A1457">
        <v>8045</v>
      </c>
      <c r="B1457" t="s">
        <v>10812</v>
      </c>
      <c r="C1457" t="s">
        <v>5043</v>
      </c>
      <c r="D1457" t="s">
        <v>8401</v>
      </c>
    </row>
    <row r="1458" spans="1:4" ht="15" x14ac:dyDescent="0.25">
      <c r="A1458">
        <v>9474</v>
      </c>
      <c r="B1458" t="s">
        <v>10813</v>
      </c>
      <c r="C1458" t="s">
        <v>5043</v>
      </c>
      <c r="D1458" t="s">
        <v>8401</v>
      </c>
    </row>
    <row r="1459" spans="1:4" ht="15" x14ac:dyDescent="0.25">
      <c r="A1459">
        <v>10767</v>
      </c>
      <c r="B1459" t="s">
        <v>10814</v>
      </c>
      <c r="C1459" t="s">
        <v>5043</v>
      </c>
      <c r="D1459" t="s">
        <v>8401</v>
      </c>
    </row>
    <row r="1460" spans="1:4" ht="15" x14ac:dyDescent="0.25">
      <c r="A1460">
        <v>10094</v>
      </c>
      <c r="B1460" t="s">
        <v>9048</v>
      </c>
      <c r="C1460" t="s">
        <v>5043</v>
      </c>
      <c r="D1460" t="s">
        <v>8401</v>
      </c>
    </row>
    <row r="1461" spans="1:4" ht="15" x14ac:dyDescent="0.25">
      <c r="A1461">
        <v>11318</v>
      </c>
      <c r="B1461" t="s">
        <v>9048</v>
      </c>
      <c r="C1461" t="s">
        <v>5043</v>
      </c>
      <c r="D1461" t="s">
        <v>8401</v>
      </c>
    </row>
    <row r="1462" spans="1:4" ht="15" x14ac:dyDescent="0.25">
      <c r="A1462">
        <v>11515</v>
      </c>
      <c r="B1462" t="s">
        <v>9048</v>
      </c>
      <c r="C1462" t="s">
        <v>5043</v>
      </c>
      <c r="D1462" t="s">
        <v>8401</v>
      </c>
    </row>
    <row r="1463" spans="1:4" ht="15" x14ac:dyDescent="0.25">
      <c r="A1463">
        <v>7253</v>
      </c>
      <c r="B1463" t="s">
        <v>9048</v>
      </c>
      <c r="C1463" t="s">
        <v>5043</v>
      </c>
      <c r="D1463" t="s">
        <v>8401</v>
      </c>
    </row>
    <row r="1464" spans="1:4" ht="15" x14ac:dyDescent="0.25">
      <c r="A1464">
        <v>7831</v>
      </c>
      <c r="B1464" t="s">
        <v>9048</v>
      </c>
      <c r="C1464" t="s">
        <v>5043</v>
      </c>
      <c r="D1464" t="s">
        <v>8401</v>
      </c>
    </row>
    <row r="1465" spans="1:4" ht="15" x14ac:dyDescent="0.25">
      <c r="A1465">
        <v>8599</v>
      </c>
      <c r="B1465" t="s">
        <v>9048</v>
      </c>
      <c r="C1465" t="s">
        <v>5043</v>
      </c>
      <c r="D1465" t="s">
        <v>8401</v>
      </c>
    </row>
    <row r="1466" spans="1:4" ht="15" x14ac:dyDescent="0.25">
      <c r="A1466">
        <v>251458</v>
      </c>
      <c r="B1466" t="s">
        <v>11575</v>
      </c>
      <c r="C1466" t="s">
        <v>5043</v>
      </c>
      <c r="D1466" t="s">
        <v>8401</v>
      </c>
    </row>
    <row r="1467" spans="1:4" ht="15" x14ac:dyDescent="0.25">
      <c r="A1467">
        <v>6807</v>
      </c>
      <c r="B1467" t="s">
        <v>9049</v>
      </c>
      <c r="C1467" t="s">
        <v>5043</v>
      </c>
      <c r="D1467" t="s">
        <v>8401</v>
      </c>
    </row>
    <row r="1468" spans="1:4" ht="15" x14ac:dyDescent="0.25">
      <c r="A1468">
        <v>7848</v>
      </c>
      <c r="B1468" t="s">
        <v>9049</v>
      </c>
      <c r="C1468" t="s">
        <v>5043</v>
      </c>
      <c r="D1468" t="s">
        <v>8401</v>
      </c>
    </row>
    <row r="1469" spans="1:4" ht="15" x14ac:dyDescent="0.25">
      <c r="A1469">
        <v>7101</v>
      </c>
      <c r="B1469" t="s">
        <v>10815</v>
      </c>
      <c r="C1469" t="s">
        <v>5043</v>
      </c>
      <c r="D1469" t="s">
        <v>8401</v>
      </c>
    </row>
    <row r="1470" spans="1:4" ht="15" x14ac:dyDescent="0.25">
      <c r="A1470">
        <v>8131</v>
      </c>
      <c r="B1470" t="s">
        <v>10815</v>
      </c>
      <c r="C1470" t="s">
        <v>5043</v>
      </c>
      <c r="D1470" t="s">
        <v>8401</v>
      </c>
    </row>
    <row r="1471" spans="1:4" ht="15" x14ac:dyDescent="0.25">
      <c r="A1471">
        <v>8743</v>
      </c>
      <c r="B1471" t="s">
        <v>10815</v>
      </c>
      <c r="C1471" t="s">
        <v>5043</v>
      </c>
      <c r="D1471" t="s">
        <v>8401</v>
      </c>
    </row>
    <row r="1472" spans="1:4" ht="15" x14ac:dyDescent="0.25">
      <c r="A1472">
        <v>10256</v>
      </c>
      <c r="B1472" t="s">
        <v>10816</v>
      </c>
      <c r="C1472" t="s">
        <v>5043</v>
      </c>
      <c r="D1472" t="s">
        <v>8401</v>
      </c>
    </row>
    <row r="1473" spans="1:4" ht="15" x14ac:dyDescent="0.25">
      <c r="A1473">
        <v>10300</v>
      </c>
      <c r="B1473" t="s">
        <v>10816</v>
      </c>
      <c r="C1473" t="s">
        <v>5043</v>
      </c>
      <c r="D1473" t="s">
        <v>8401</v>
      </c>
    </row>
    <row r="1474" spans="1:4" ht="15" x14ac:dyDescent="0.25">
      <c r="A1474">
        <v>10883</v>
      </c>
      <c r="B1474" t="s">
        <v>10816</v>
      </c>
      <c r="C1474" t="s">
        <v>5043</v>
      </c>
      <c r="D1474" t="s">
        <v>8401</v>
      </c>
    </row>
    <row r="1475" spans="1:4" ht="15" x14ac:dyDescent="0.25">
      <c r="A1475">
        <v>10950</v>
      </c>
      <c r="B1475" t="s">
        <v>10816</v>
      </c>
      <c r="C1475" t="s">
        <v>5043</v>
      </c>
      <c r="D1475" t="s">
        <v>8401</v>
      </c>
    </row>
    <row r="1476" spans="1:4" ht="15" x14ac:dyDescent="0.25">
      <c r="A1476">
        <v>10998</v>
      </c>
      <c r="B1476" t="s">
        <v>10816</v>
      </c>
      <c r="C1476" t="s">
        <v>5043</v>
      </c>
      <c r="D1476" t="s">
        <v>8401</v>
      </c>
    </row>
    <row r="1477" spans="1:4" ht="15" x14ac:dyDescent="0.25">
      <c r="A1477">
        <v>11794</v>
      </c>
      <c r="B1477" t="s">
        <v>10816</v>
      </c>
      <c r="C1477" t="s">
        <v>5043</v>
      </c>
      <c r="D1477" t="s">
        <v>8401</v>
      </c>
    </row>
    <row r="1478" spans="1:4" ht="15" x14ac:dyDescent="0.25">
      <c r="A1478">
        <v>11974</v>
      </c>
      <c r="B1478" t="s">
        <v>10816</v>
      </c>
      <c r="C1478" t="s">
        <v>5043</v>
      </c>
      <c r="D1478" t="s">
        <v>8401</v>
      </c>
    </row>
    <row r="1479" spans="1:4" ht="15" x14ac:dyDescent="0.25">
      <c r="A1479">
        <v>6800</v>
      </c>
      <c r="B1479" t="s">
        <v>10816</v>
      </c>
      <c r="C1479" t="s">
        <v>5043</v>
      </c>
      <c r="D1479" t="s">
        <v>8401</v>
      </c>
    </row>
    <row r="1480" spans="1:4" ht="15" x14ac:dyDescent="0.25">
      <c r="A1480">
        <v>7123</v>
      </c>
      <c r="B1480" t="s">
        <v>10816</v>
      </c>
      <c r="C1480" t="s">
        <v>5043</v>
      </c>
      <c r="D1480" t="s">
        <v>8401</v>
      </c>
    </row>
    <row r="1481" spans="1:4" ht="15" x14ac:dyDescent="0.25">
      <c r="A1481">
        <v>7155</v>
      </c>
      <c r="B1481" t="s">
        <v>10816</v>
      </c>
      <c r="C1481" t="s">
        <v>5043</v>
      </c>
      <c r="D1481" t="s">
        <v>8401</v>
      </c>
    </row>
    <row r="1482" spans="1:4" ht="15" x14ac:dyDescent="0.25">
      <c r="A1482">
        <v>7261</v>
      </c>
      <c r="B1482" t="s">
        <v>10816</v>
      </c>
      <c r="C1482" t="s">
        <v>5043</v>
      </c>
      <c r="D1482" t="s">
        <v>8401</v>
      </c>
    </row>
    <row r="1483" spans="1:4" ht="15" x14ac:dyDescent="0.25">
      <c r="A1483">
        <v>7265</v>
      </c>
      <c r="B1483" t="s">
        <v>10816</v>
      </c>
      <c r="C1483" t="s">
        <v>5043</v>
      </c>
      <c r="D1483" t="s">
        <v>8401</v>
      </c>
    </row>
    <row r="1484" spans="1:4" ht="15" x14ac:dyDescent="0.25">
      <c r="A1484">
        <v>7789</v>
      </c>
      <c r="B1484" t="s">
        <v>10816</v>
      </c>
      <c r="C1484" t="s">
        <v>5043</v>
      </c>
      <c r="D1484" t="s">
        <v>8401</v>
      </c>
    </row>
    <row r="1485" spans="1:4" ht="15" x14ac:dyDescent="0.25">
      <c r="A1485">
        <v>8887</v>
      </c>
      <c r="B1485" t="s">
        <v>10816</v>
      </c>
      <c r="C1485" t="s">
        <v>5043</v>
      </c>
      <c r="D1485" t="s">
        <v>8401</v>
      </c>
    </row>
    <row r="1486" spans="1:4" ht="15" x14ac:dyDescent="0.25">
      <c r="A1486">
        <v>8923</v>
      </c>
      <c r="B1486" t="s">
        <v>10816</v>
      </c>
      <c r="C1486" t="s">
        <v>5043</v>
      </c>
      <c r="D1486" t="s">
        <v>8401</v>
      </c>
    </row>
    <row r="1487" spans="1:4" ht="15" x14ac:dyDescent="0.25">
      <c r="A1487">
        <v>8924</v>
      </c>
      <c r="B1487" t="s">
        <v>10816</v>
      </c>
      <c r="C1487" t="s">
        <v>5043</v>
      </c>
      <c r="D1487" t="s">
        <v>8401</v>
      </c>
    </row>
    <row r="1488" spans="1:4" ht="15" x14ac:dyDescent="0.25">
      <c r="A1488">
        <v>9173</v>
      </c>
      <c r="B1488" t="s">
        <v>10816</v>
      </c>
      <c r="C1488" t="s">
        <v>5043</v>
      </c>
      <c r="D1488" t="s">
        <v>8401</v>
      </c>
    </row>
    <row r="1489" spans="1:4" ht="15" x14ac:dyDescent="0.25">
      <c r="A1489">
        <v>9460</v>
      </c>
      <c r="B1489" t="s">
        <v>10816</v>
      </c>
      <c r="C1489" t="s">
        <v>5043</v>
      </c>
      <c r="D1489" t="s">
        <v>8401</v>
      </c>
    </row>
    <row r="1490" spans="1:4" ht="15" x14ac:dyDescent="0.25">
      <c r="A1490">
        <v>10954</v>
      </c>
      <c r="B1490" t="s">
        <v>9050</v>
      </c>
      <c r="C1490" t="s">
        <v>5043</v>
      </c>
      <c r="D1490" t="s">
        <v>8401</v>
      </c>
    </row>
    <row r="1491" spans="1:4" ht="15" x14ac:dyDescent="0.25">
      <c r="A1491">
        <v>11561</v>
      </c>
      <c r="B1491" t="s">
        <v>10817</v>
      </c>
      <c r="C1491" t="s">
        <v>5043</v>
      </c>
      <c r="D1491" t="s">
        <v>8401</v>
      </c>
    </row>
    <row r="1492" spans="1:4" ht="15" x14ac:dyDescent="0.25">
      <c r="A1492">
        <v>7695</v>
      </c>
      <c r="B1492" t="s">
        <v>10818</v>
      </c>
      <c r="C1492" t="s">
        <v>5043</v>
      </c>
      <c r="D1492" t="s">
        <v>8401</v>
      </c>
    </row>
    <row r="1493" spans="1:4" ht="15" x14ac:dyDescent="0.25">
      <c r="A1493">
        <v>7718</v>
      </c>
      <c r="B1493" t="s">
        <v>10818</v>
      </c>
      <c r="C1493" t="s">
        <v>5043</v>
      </c>
      <c r="D1493" t="s">
        <v>8401</v>
      </c>
    </row>
    <row r="1494" spans="1:4" ht="15" x14ac:dyDescent="0.25">
      <c r="A1494">
        <v>8158</v>
      </c>
      <c r="B1494" t="s">
        <v>10818</v>
      </c>
      <c r="C1494" t="s">
        <v>5043</v>
      </c>
      <c r="D1494" t="s">
        <v>8401</v>
      </c>
    </row>
    <row r="1495" spans="1:4" ht="15" x14ac:dyDescent="0.25">
      <c r="A1495">
        <v>8389</v>
      </c>
      <c r="B1495" t="s">
        <v>10818</v>
      </c>
      <c r="C1495" t="s">
        <v>5043</v>
      </c>
      <c r="D1495" t="s">
        <v>8401</v>
      </c>
    </row>
    <row r="1496" spans="1:4" ht="15" x14ac:dyDescent="0.25">
      <c r="A1496">
        <v>8732</v>
      </c>
      <c r="B1496" t="s">
        <v>9051</v>
      </c>
      <c r="C1496" t="s">
        <v>5043</v>
      </c>
      <c r="D1496" t="s">
        <v>8401</v>
      </c>
    </row>
    <row r="1497" spans="1:4" ht="15" x14ac:dyDescent="0.25">
      <c r="A1497">
        <v>11491</v>
      </c>
      <c r="B1497" t="s">
        <v>9052</v>
      </c>
      <c r="C1497" t="s">
        <v>5043</v>
      </c>
      <c r="D1497" t="s">
        <v>8401</v>
      </c>
    </row>
    <row r="1498" spans="1:4" ht="15" x14ac:dyDescent="0.25">
      <c r="A1498">
        <v>12015</v>
      </c>
      <c r="B1498" t="s">
        <v>9052</v>
      </c>
      <c r="C1498" t="s">
        <v>5043</v>
      </c>
      <c r="D1498" t="s">
        <v>8401</v>
      </c>
    </row>
    <row r="1499" spans="1:4" ht="15" x14ac:dyDescent="0.25">
      <c r="A1499">
        <v>7376</v>
      </c>
      <c r="B1499" t="s">
        <v>9052</v>
      </c>
      <c r="C1499" t="s">
        <v>5043</v>
      </c>
      <c r="D1499" t="s">
        <v>8401</v>
      </c>
    </row>
    <row r="1500" spans="1:4" ht="15" x14ac:dyDescent="0.25">
      <c r="A1500">
        <v>7446</v>
      </c>
      <c r="B1500" t="s">
        <v>9052</v>
      </c>
      <c r="C1500" t="s">
        <v>5043</v>
      </c>
      <c r="D1500" t="s">
        <v>8401</v>
      </c>
    </row>
    <row r="1501" spans="1:4" ht="15" x14ac:dyDescent="0.25">
      <c r="A1501">
        <v>8516</v>
      </c>
      <c r="B1501" t="s">
        <v>9052</v>
      </c>
      <c r="C1501" t="s">
        <v>5043</v>
      </c>
      <c r="D1501" t="s">
        <v>8401</v>
      </c>
    </row>
    <row r="1502" spans="1:4" ht="15" x14ac:dyDescent="0.25">
      <c r="A1502">
        <v>9443</v>
      </c>
      <c r="B1502" t="s">
        <v>9052</v>
      </c>
      <c r="C1502" t="s">
        <v>5043</v>
      </c>
      <c r="D1502" t="s">
        <v>8401</v>
      </c>
    </row>
    <row r="1503" spans="1:4" ht="15" x14ac:dyDescent="0.25">
      <c r="A1503">
        <v>10905</v>
      </c>
      <c r="B1503" t="s">
        <v>10819</v>
      </c>
      <c r="C1503" t="s">
        <v>5043</v>
      </c>
      <c r="D1503" t="s">
        <v>8401</v>
      </c>
    </row>
    <row r="1504" spans="1:4" ht="15" x14ac:dyDescent="0.25">
      <c r="A1504">
        <v>10277</v>
      </c>
      <c r="B1504" t="s">
        <v>9053</v>
      </c>
      <c r="C1504" t="s">
        <v>5043</v>
      </c>
      <c r="D1504" t="s">
        <v>8401</v>
      </c>
    </row>
    <row r="1505" spans="1:4" ht="15" x14ac:dyDescent="0.25">
      <c r="A1505">
        <v>10555</v>
      </c>
      <c r="B1505" t="s">
        <v>9053</v>
      </c>
      <c r="C1505" t="s">
        <v>5043</v>
      </c>
      <c r="D1505" t="s">
        <v>8401</v>
      </c>
    </row>
    <row r="1506" spans="1:4" ht="15" x14ac:dyDescent="0.25">
      <c r="A1506">
        <v>11882</v>
      </c>
      <c r="B1506" t="s">
        <v>9053</v>
      </c>
      <c r="C1506" t="s">
        <v>5043</v>
      </c>
      <c r="D1506" t="s">
        <v>8401</v>
      </c>
    </row>
    <row r="1507" spans="1:4" ht="15" x14ac:dyDescent="0.25">
      <c r="A1507">
        <v>7985</v>
      </c>
      <c r="B1507" t="s">
        <v>9053</v>
      </c>
      <c r="C1507" t="s">
        <v>5043</v>
      </c>
      <c r="D1507" t="s">
        <v>8401</v>
      </c>
    </row>
    <row r="1508" spans="1:4" ht="15" x14ac:dyDescent="0.25">
      <c r="A1508">
        <v>8718</v>
      </c>
      <c r="B1508" t="s">
        <v>9053</v>
      </c>
      <c r="C1508" t="s">
        <v>5043</v>
      </c>
      <c r="D1508" t="s">
        <v>8401</v>
      </c>
    </row>
    <row r="1509" spans="1:4" ht="15" x14ac:dyDescent="0.25">
      <c r="A1509">
        <v>9538</v>
      </c>
      <c r="B1509" t="s">
        <v>9053</v>
      </c>
      <c r="C1509" t="s">
        <v>5043</v>
      </c>
      <c r="D1509" t="s">
        <v>8401</v>
      </c>
    </row>
    <row r="1510" spans="1:4" ht="15" x14ac:dyDescent="0.25">
      <c r="A1510">
        <v>10168</v>
      </c>
      <c r="B1510" t="s">
        <v>9054</v>
      </c>
      <c r="C1510" t="s">
        <v>5043</v>
      </c>
      <c r="D1510" t="s">
        <v>8401</v>
      </c>
    </row>
    <row r="1511" spans="1:4" ht="15" x14ac:dyDescent="0.25">
      <c r="A1511">
        <v>11217</v>
      </c>
      <c r="B1511" t="s">
        <v>9054</v>
      </c>
      <c r="C1511" t="s">
        <v>5043</v>
      </c>
      <c r="D1511" t="s">
        <v>8401</v>
      </c>
    </row>
    <row r="1512" spans="1:4" ht="15" x14ac:dyDescent="0.25">
      <c r="A1512">
        <v>11393</v>
      </c>
      <c r="B1512" t="s">
        <v>9054</v>
      </c>
      <c r="C1512" t="s">
        <v>5043</v>
      </c>
      <c r="D1512" t="s">
        <v>8401</v>
      </c>
    </row>
    <row r="1513" spans="1:4" ht="15" x14ac:dyDescent="0.25">
      <c r="A1513">
        <v>11951</v>
      </c>
      <c r="B1513" t="s">
        <v>9054</v>
      </c>
      <c r="C1513" t="s">
        <v>5043</v>
      </c>
      <c r="D1513" t="s">
        <v>8401</v>
      </c>
    </row>
    <row r="1514" spans="1:4" ht="15" x14ac:dyDescent="0.25">
      <c r="A1514">
        <v>7099</v>
      </c>
      <c r="B1514" t="s">
        <v>9054</v>
      </c>
      <c r="C1514" t="s">
        <v>5043</v>
      </c>
      <c r="D1514" t="s">
        <v>8401</v>
      </c>
    </row>
    <row r="1515" spans="1:4" ht="15" x14ac:dyDescent="0.25">
      <c r="A1515">
        <v>10600</v>
      </c>
      <c r="B1515" t="s">
        <v>10820</v>
      </c>
      <c r="C1515" t="s">
        <v>5043</v>
      </c>
      <c r="D1515" t="s">
        <v>8401</v>
      </c>
    </row>
    <row r="1516" spans="1:4" ht="15" x14ac:dyDescent="0.25">
      <c r="A1516">
        <v>7404</v>
      </c>
      <c r="B1516" t="s">
        <v>10820</v>
      </c>
      <c r="C1516" t="s">
        <v>5043</v>
      </c>
      <c r="D1516" t="s">
        <v>8401</v>
      </c>
    </row>
    <row r="1517" spans="1:4" ht="15" x14ac:dyDescent="0.25">
      <c r="A1517">
        <v>11169</v>
      </c>
      <c r="B1517" t="s">
        <v>9055</v>
      </c>
      <c r="C1517" t="s">
        <v>5043</v>
      </c>
      <c r="D1517" t="s">
        <v>8401</v>
      </c>
    </row>
    <row r="1518" spans="1:4" ht="15" x14ac:dyDescent="0.25">
      <c r="A1518">
        <v>10196</v>
      </c>
      <c r="B1518" t="s">
        <v>9056</v>
      </c>
      <c r="C1518" t="s">
        <v>5043</v>
      </c>
      <c r="D1518" t="s">
        <v>8401</v>
      </c>
    </row>
    <row r="1519" spans="1:4" ht="15" x14ac:dyDescent="0.25">
      <c r="A1519">
        <v>6872</v>
      </c>
      <c r="B1519" t="s">
        <v>9056</v>
      </c>
      <c r="C1519" t="s">
        <v>5043</v>
      </c>
      <c r="D1519" t="s">
        <v>8401</v>
      </c>
    </row>
    <row r="1520" spans="1:4" ht="15" x14ac:dyDescent="0.25">
      <c r="A1520">
        <v>7689</v>
      </c>
      <c r="B1520" t="s">
        <v>9056</v>
      </c>
      <c r="C1520" t="s">
        <v>5043</v>
      </c>
      <c r="D1520" t="s">
        <v>8401</v>
      </c>
    </row>
    <row r="1521" spans="1:4" ht="15" x14ac:dyDescent="0.25">
      <c r="A1521">
        <v>9829</v>
      </c>
      <c r="B1521" t="s">
        <v>9056</v>
      </c>
      <c r="C1521" t="s">
        <v>5043</v>
      </c>
      <c r="D1521" t="s">
        <v>8401</v>
      </c>
    </row>
    <row r="1522" spans="1:4" ht="15" x14ac:dyDescent="0.25">
      <c r="A1522">
        <v>9925</v>
      </c>
      <c r="B1522" t="s">
        <v>9057</v>
      </c>
      <c r="C1522" t="s">
        <v>5043</v>
      </c>
      <c r="D1522" t="s">
        <v>8401</v>
      </c>
    </row>
    <row r="1523" spans="1:4" ht="15" x14ac:dyDescent="0.25">
      <c r="A1523">
        <v>10329</v>
      </c>
      <c r="B1523" t="s">
        <v>10821</v>
      </c>
      <c r="C1523" t="s">
        <v>5043</v>
      </c>
      <c r="D1523" t="s">
        <v>8401</v>
      </c>
    </row>
    <row r="1524" spans="1:4" ht="15" x14ac:dyDescent="0.25">
      <c r="A1524">
        <v>11072</v>
      </c>
      <c r="B1524" t="s">
        <v>9058</v>
      </c>
      <c r="C1524" t="s">
        <v>5043</v>
      </c>
      <c r="D1524" t="s">
        <v>8401</v>
      </c>
    </row>
    <row r="1525" spans="1:4" ht="15" x14ac:dyDescent="0.25">
      <c r="A1525">
        <v>7679</v>
      </c>
      <c r="B1525" t="s">
        <v>9058</v>
      </c>
      <c r="C1525" t="s">
        <v>5043</v>
      </c>
      <c r="D1525" t="s">
        <v>8401</v>
      </c>
    </row>
    <row r="1526" spans="1:4" ht="15" x14ac:dyDescent="0.25">
      <c r="A1526">
        <v>9373</v>
      </c>
      <c r="B1526" t="s">
        <v>10822</v>
      </c>
      <c r="C1526" t="s">
        <v>5043</v>
      </c>
      <c r="D1526" t="s">
        <v>8401</v>
      </c>
    </row>
    <row r="1527" spans="1:4" ht="15" x14ac:dyDescent="0.25">
      <c r="A1527">
        <v>6905</v>
      </c>
      <c r="B1527" t="s">
        <v>9059</v>
      </c>
      <c r="C1527" t="s">
        <v>5043</v>
      </c>
      <c r="D1527" t="s">
        <v>8401</v>
      </c>
    </row>
    <row r="1528" spans="1:4" ht="15" x14ac:dyDescent="0.25">
      <c r="A1528">
        <v>7365</v>
      </c>
      <c r="B1528" t="s">
        <v>9059</v>
      </c>
      <c r="C1528" t="s">
        <v>5043</v>
      </c>
      <c r="D1528" t="s">
        <v>8401</v>
      </c>
    </row>
    <row r="1529" spans="1:4" ht="15" x14ac:dyDescent="0.25">
      <c r="A1529">
        <v>9870</v>
      </c>
      <c r="B1529" t="s">
        <v>9059</v>
      </c>
      <c r="C1529" t="s">
        <v>5043</v>
      </c>
      <c r="D1529" t="s">
        <v>8401</v>
      </c>
    </row>
    <row r="1530" spans="1:4" ht="15" x14ac:dyDescent="0.25">
      <c r="A1530">
        <v>251476</v>
      </c>
      <c r="B1530" t="s">
        <v>11576</v>
      </c>
      <c r="C1530" t="s">
        <v>5043</v>
      </c>
      <c r="D1530" t="s">
        <v>8401</v>
      </c>
    </row>
    <row r="1531" spans="1:4" ht="15" x14ac:dyDescent="0.25">
      <c r="A1531">
        <v>251477</v>
      </c>
      <c r="B1531" t="s">
        <v>11576</v>
      </c>
      <c r="C1531" t="s">
        <v>5043</v>
      </c>
      <c r="D1531" t="s">
        <v>8401</v>
      </c>
    </row>
    <row r="1532" spans="1:4" ht="15" x14ac:dyDescent="0.25">
      <c r="A1532">
        <v>10717</v>
      </c>
      <c r="B1532" t="s">
        <v>10823</v>
      </c>
      <c r="C1532" t="s">
        <v>5043</v>
      </c>
      <c r="D1532" t="s">
        <v>8401</v>
      </c>
    </row>
    <row r="1533" spans="1:4" ht="15" x14ac:dyDescent="0.25">
      <c r="A1533">
        <v>10047</v>
      </c>
      <c r="B1533" t="s">
        <v>10824</v>
      </c>
      <c r="C1533" t="s">
        <v>5043</v>
      </c>
      <c r="D1533" t="s">
        <v>8401</v>
      </c>
    </row>
    <row r="1534" spans="1:4" ht="15" x14ac:dyDescent="0.25">
      <c r="A1534">
        <v>10580</v>
      </c>
      <c r="B1534" t="s">
        <v>10824</v>
      </c>
      <c r="C1534" t="s">
        <v>5043</v>
      </c>
      <c r="D1534" t="s">
        <v>8401</v>
      </c>
    </row>
    <row r="1535" spans="1:4" ht="15" x14ac:dyDescent="0.25">
      <c r="A1535">
        <v>10969</v>
      </c>
      <c r="B1535" t="s">
        <v>10824</v>
      </c>
      <c r="C1535" t="s">
        <v>5043</v>
      </c>
      <c r="D1535" t="s">
        <v>8401</v>
      </c>
    </row>
    <row r="1536" spans="1:4" ht="15" x14ac:dyDescent="0.25">
      <c r="A1536">
        <v>11735</v>
      </c>
      <c r="B1536" t="s">
        <v>10824</v>
      </c>
      <c r="C1536" t="s">
        <v>5043</v>
      </c>
      <c r="D1536" t="s">
        <v>8401</v>
      </c>
    </row>
    <row r="1537" spans="1:4" ht="15" x14ac:dyDescent="0.25">
      <c r="A1537">
        <v>12109</v>
      </c>
      <c r="B1537" t="s">
        <v>10824</v>
      </c>
      <c r="C1537" t="s">
        <v>5043</v>
      </c>
      <c r="D1537" t="s">
        <v>8401</v>
      </c>
    </row>
    <row r="1538" spans="1:4" ht="15" x14ac:dyDescent="0.25">
      <c r="A1538">
        <v>6788</v>
      </c>
      <c r="B1538" t="s">
        <v>10824</v>
      </c>
      <c r="C1538" t="s">
        <v>5043</v>
      </c>
      <c r="D1538" t="s">
        <v>8401</v>
      </c>
    </row>
    <row r="1539" spans="1:4" ht="15" x14ac:dyDescent="0.25">
      <c r="A1539">
        <v>7968</v>
      </c>
      <c r="B1539" t="s">
        <v>10824</v>
      </c>
      <c r="C1539" t="s">
        <v>5043</v>
      </c>
      <c r="D1539" t="s">
        <v>8401</v>
      </c>
    </row>
    <row r="1540" spans="1:4" ht="15" x14ac:dyDescent="0.25">
      <c r="A1540">
        <v>8642</v>
      </c>
      <c r="B1540" t="s">
        <v>10824</v>
      </c>
      <c r="C1540" t="s">
        <v>5043</v>
      </c>
      <c r="D1540" t="s">
        <v>8401</v>
      </c>
    </row>
    <row r="1541" spans="1:4" ht="15" x14ac:dyDescent="0.25">
      <c r="A1541">
        <v>9009</v>
      </c>
      <c r="B1541" t="s">
        <v>10824</v>
      </c>
      <c r="C1541" t="s">
        <v>5043</v>
      </c>
      <c r="D1541" t="s">
        <v>8401</v>
      </c>
    </row>
    <row r="1542" spans="1:4" ht="15" x14ac:dyDescent="0.25">
      <c r="A1542">
        <v>9841</v>
      </c>
      <c r="B1542" t="s">
        <v>10824</v>
      </c>
      <c r="C1542" t="s">
        <v>5043</v>
      </c>
      <c r="D1542" t="s">
        <v>8401</v>
      </c>
    </row>
    <row r="1543" spans="1:4" ht="15" x14ac:dyDescent="0.25">
      <c r="A1543">
        <v>9968</v>
      </c>
      <c r="B1543" t="s">
        <v>10824</v>
      </c>
      <c r="C1543" t="s">
        <v>5043</v>
      </c>
      <c r="D1543" t="s">
        <v>8401</v>
      </c>
    </row>
    <row r="1544" spans="1:4" ht="15" x14ac:dyDescent="0.25">
      <c r="A1544">
        <v>8440</v>
      </c>
      <c r="B1544" t="s">
        <v>10825</v>
      </c>
      <c r="C1544" t="s">
        <v>5043</v>
      </c>
      <c r="D1544" t="s">
        <v>8401</v>
      </c>
    </row>
    <row r="1545" spans="1:4" ht="15" x14ac:dyDescent="0.25">
      <c r="A1545">
        <v>11888</v>
      </c>
      <c r="B1545" t="s">
        <v>10826</v>
      </c>
      <c r="C1545" t="s">
        <v>5043</v>
      </c>
      <c r="D1545" t="s">
        <v>8401</v>
      </c>
    </row>
    <row r="1546" spans="1:4" ht="15" x14ac:dyDescent="0.25">
      <c r="A1546">
        <v>6707</v>
      </c>
      <c r="B1546" t="s">
        <v>10826</v>
      </c>
      <c r="C1546" t="s">
        <v>5043</v>
      </c>
      <c r="D1546" t="s">
        <v>8401</v>
      </c>
    </row>
    <row r="1547" spans="1:4" ht="15" x14ac:dyDescent="0.25">
      <c r="A1547">
        <v>7546</v>
      </c>
      <c r="B1547" t="s">
        <v>10826</v>
      </c>
      <c r="C1547" t="s">
        <v>5043</v>
      </c>
      <c r="D1547" t="s">
        <v>8401</v>
      </c>
    </row>
    <row r="1548" spans="1:4" ht="15" x14ac:dyDescent="0.25">
      <c r="A1548">
        <v>8723</v>
      </c>
      <c r="B1548" t="s">
        <v>10826</v>
      </c>
      <c r="C1548" t="s">
        <v>5043</v>
      </c>
      <c r="D1548" t="s">
        <v>8401</v>
      </c>
    </row>
    <row r="1549" spans="1:4" ht="15" x14ac:dyDescent="0.25">
      <c r="A1549">
        <v>11415</v>
      </c>
      <c r="B1549" t="s">
        <v>10827</v>
      </c>
      <c r="C1549" t="s">
        <v>5043</v>
      </c>
      <c r="D1549" t="s">
        <v>8401</v>
      </c>
    </row>
    <row r="1550" spans="1:4" ht="15" x14ac:dyDescent="0.25">
      <c r="A1550">
        <v>11805</v>
      </c>
      <c r="B1550" t="s">
        <v>10827</v>
      </c>
      <c r="C1550" t="s">
        <v>5043</v>
      </c>
      <c r="D1550" t="s">
        <v>8401</v>
      </c>
    </row>
    <row r="1551" spans="1:4" ht="15" x14ac:dyDescent="0.25">
      <c r="A1551">
        <v>8095</v>
      </c>
      <c r="B1551" t="s">
        <v>10827</v>
      </c>
      <c r="C1551" t="s">
        <v>5043</v>
      </c>
      <c r="D1551" t="s">
        <v>8401</v>
      </c>
    </row>
    <row r="1552" spans="1:4" ht="15" x14ac:dyDescent="0.25">
      <c r="A1552">
        <v>9185</v>
      </c>
      <c r="B1552" t="s">
        <v>10827</v>
      </c>
      <c r="C1552" t="s">
        <v>5043</v>
      </c>
      <c r="D1552" t="s">
        <v>8401</v>
      </c>
    </row>
    <row r="1553" spans="1:4" ht="15" x14ac:dyDescent="0.25">
      <c r="A1553">
        <v>9894</v>
      </c>
      <c r="B1553" t="s">
        <v>10827</v>
      </c>
      <c r="C1553" t="s">
        <v>5043</v>
      </c>
      <c r="D1553" t="s">
        <v>10828</v>
      </c>
    </row>
    <row r="1554" spans="1:4" ht="15" x14ac:dyDescent="0.25">
      <c r="A1554">
        <v>9903</v>
      </c>
      <c r="B1554" t="s">
        <v>10827</v>
      </c>
      <c r="C1554" t="s">
        <v>5043</v>
      </c>
      <c r="D1554" t="s">
        <v>8401</v>
      </c>
    </row>
    <row r="1555" spans="1:4" ht="15" x14ac:dyDescent="0.25">
      <c r="A1555">
        <v>10718</v>
      </c>
      <c r="B1555" t="s">
        <v>9060</v>
      </c>
      <c r="C1555" t="s">
        <v>5043</v>
      </c>
      <c r="D1555" t="s">
        <v>10828</v>
      </c>
    </row>
    <row r="1556" spans="1:4" ht="15" x14ac:dyDescent="0.25">
      <c r="A1556">
        <v>12340</v>
      </c>
      <c r="B1556" t="s">
        <v>9060</v>
      </c>
      <c r="C1556" t="s">
        <v>5043</v>
      </c>
      <c r="D1556" t="s">
        <v>8401</v>
      </c>
    </row>
    <row r="1557" spans="1:4" ht="15" x14ac:dyDescent="0.25">
      <c r="A1557">
        <v>12341</v>
      </c>
      <c r="B1557" t="s">
        <v>9060</v>
      </c>
      <c r="C1557" t="s">
        <v>5043</v>
      </c>
      <c r="D1557" t="s">
        <v>10828</v>
      </c>
    </row>
    <row r="1558" spans="1:4" ht="15" x14ac:dyDescent="0.25">
      <c r="A1558">
        <v>12402</v>
      </c>
      <c r="B1558" t="s">
        <v>9060</v>
      </c>
      <c r="C1558" t="s">
        <v>5043</v>
      </c>
      <c r="D1558" t="s">
        <v>8401</v>
      </c>
    </row>
    <row r="1559" spans="1:4" ht="15" x14ac:dyDescent="0.25">
      <c r="A1559">
        <v>12456</v>
      </c>
      <c r="B1559" t="s">
        <v>9060</v>
      </c>
      <c r="C1559" t="s">
        <v>5043</v>
      </c>
      <c r="D1559" t="s">
        <v>8401</v>
      </c>
    </row>
    <row r="1560" spans="1:4" ht="15" x14ac:dyDescent="0.25">
      <c r="A1560">
        <v>251596</v>
      </c>
      <c r="B1560" t="s">
        <v>9060</v>
      </c>
      <c r="C1560" t="s">
        <v>5043</v>
      </c>
      <c r="D1560" t="s">
        <v>8401</v>
      </c>
    </row>
    <row r="1561" spans="1:4" ht="15" x14ac:dyDescent="0.25">
      <c r="A1561">
        <v>251597</v>
      </c>
      <c r="B1561" t="s">
        <v>9060</v>
      </c>
      <c r="C1561" t="s">
        <v>5043</v>
      </c>
      <c r="D1561" t="s">
        <v>8401</v>
      </c>
    </row>
    <row r="1562" spans="1:4" ht="15" x14ac:dyDescent="0.25">
      <c r="A1562">
        <v>7244</v>
      </c>
      <c r="B1562" t="s">
        <v>9060</v>
      </c>
      <c r="C1562" t="s">
        <v>5043</v>
      </c>
      <c r="D1562" t="s">
        <v>10828</v>
      </c>
    </row>
    <row r="1563" spans="1:4" ht="15" x14ac:dyDescent="0.25">
      <c r="A1563">
        <v>8061</v>
      </c>
      <c r="B1563" t="s">
        <v>9060</v>
      </c>
      <c r="C1563" t="s">
        <v>5043</v>
      </c>
      <c r="D1563" t="s">
        <v>10828</v>
      </c>
    </row>
    <row r="1564" spans="1:4" ht="15" x14ac:dyDescent="0.25">
      <c r="A1564">
        <v>8080</v>
      </c>
      <c r="B1564" t="s">
        <v>9060</v>
      </c>
      <c r="C1564" t="s">
        <v>5043</v>
      </c>
      <c r="D1564" t="s">
        <v>10828</v>
      </c>
    </row>
    <row r="1565" spans="1:4" ht="15" x14ac:dyDescent="0.25">
      <c r="A1565">
        <v>8288</v>
      </c>
      <c r="B1565" t="s">
        <v>9060</v>
      </c>
      <c r="C1565" t="s">
        <v>5043</v>
      </c>
      <c r="D1565" t="s">
        <v>10828</v>
      </c>
    </row>
    <row r="1566" spans="1:4" ht="15" x14ac:dyDescent="0.25">
      <c r="A1566">
        <v>8577</v>
      </c>
      <c r="B1566" t="s">
        <v>9060</v>
      </c>
      <c r="C1566" t="s">
        <v>5043</v>
      </c>
      <c r="D1566" t="s">
        <v>10828</v>
      </c>
    </row>
    <row r="1567" spans="1:4" ht="15" x14ac:dyDescent="0.25">
      <c r="A1567">
        <v>9191</v>
      </c>
      <c r="B1567" t="s">
        <v>9060</v>
      </c>
      <c r="C1567" t="s">
        <v>5043</v>
      </c>
      <c r="D1567" t="s">
        <v>10828</v>
      </c>
    </row>
    <row r="1568" spans="1:4" ht="15" x14ac:dyDescent="0.25">
      <c r="A1568">
        <v>9732</v>
      </c>
      <c r="B1568" t="s">
        <v>9060</v>
      </c>
      <c r="C1568" t="s">
        <v>5043</v>
      </c>
      <c r="D1568" t="s">
        <v>10828</v>
      </c>
    </row>
    <row r="1569" spans="1:4" ht="15" x14ac:dyDescent="0.25">
      <c r="A1569">
        <v>9855</v>
      </c>
      <c r="B1569" t="s">
        <v>9060</v>
      </c>
      <c r="C1569" t="s">
        <v>5043</v>
      </c>
      <c r="D1569" t="s">
        <v>10828</v>
      </c>
    </row>
    <row r="1570" spans="1:4" ht="15" x14ac:dyDescent="0.25">
      <c r="A1570">
        <v>10154</v>
      </c>
      <c r="B1570" t="s">
        <v>10829</v>
      </c>
      <c r="C1570" t="s">
        <v>5043</v>
      </c>
      <c r="D1570" t="s">
        <v>10828</v>
      </c>
    </row>
    <row r="1571" spans="1:4" ht="15" x14ac:dyDescent="0.25">
      <c r="A1571">
        <v>11541</v>
      </c>
      <c r="B1571" t="s">
        <v>10829</v>
      </c>
      <c r="C1571" t="s">
        <v>5043</v>
      </c>
      <c r="D1571" t="s">
        <v>10828</v>
      </c>
    </row>
    <row r="1572" spans="1:4" ht="15" x14ac:dyDescent="0.25">
      <c r="A1572">
        <v>12296</v>
      </c>
      <c r="B1572" t="s">
        <v>10829</v>
      </c>
      <c r="C1572" t="s">
        <v>5043</v>
      </c>
      <c r="D1572" t="s">
        <v>10828</v>
      </c>
    </row>
    <row r="1573" spans="1:4" ht="15" x14ac:dyDescent="0.25">
      <c r="A1573">
        <v>12297</v>
      </c>
      <c r="B1573" t="s">
        <v>10829</v>
      </c>
      <c r="C1573" t="s">
        <v>5043</v>
      </c>
      <c r="D1573" t="s">
        <v>10828</v>
      </c>
    </row>
    <row r="1574" spans="1:4" ht="15" x14ac:dyDescent="0.25">
      <c r="A1574">
        <v>12300</v>
      </c>
      <c r="B1574" t="s">
        <v>10829</v>
      </c>
      <c r="C1574" t="s">
        <v>5043</v>
      </c>
      <c r="D1574" t="s">
        <v>10828</v>
      </c>
    </row>
    <row r="1575" spans="1:4" ht="15" x14ac:dyDescent="0.25">
      <c r="A1575">
        <v>7367</v>
      </c>
      <c r="B1575" t="s">
        <v>10829</v>
      </c>
      <c r="C1575" t="s">
        <v>5043</v>
      </c>
      <c r="D1575" t="s">
        <v>10828</v>
      </c>
    </row>
    <row r="1576" spans="1:4" ht="15" x14ac:dyDescent="0.25">
      <c r="A1576">
        <v>8262</v>
      </c>
      <c r="B1576" t="s">
        <v>10829</v>
      </c>
      <c r="C1576" t="s">
        <v>5043</v>
      </c>
      <c r="D1576" t="s">
        <v>10828</v>
      </c>
    </row>
    <row r="1577" spans="1:4" ht="15" x14ac:dyDescent="0.25">
      <c r="A1577">
        <v>8426</v>
      </c>
      <c r="B1577" t="s">
        <v>10829</v>
      </c>
      <c r="C1577" t="s">
        <v>5043</v>
      </c>
      <c r="D1577" t="s">
        <v>10828</v>
      </c>
    </row>
    <row r="1578" spans="1:4" ht="15" x14ac:dyDescent="0.25">
      <c r="A1578">
        <v>9656</v>
      </c>
      <c r="B1578" t="s">
        <v>10829</v>
      </c>
      <c r="C1578" t="s">
        <v>5043</v>
      </c>
      <c r="D1578" t="s">
        <v>10828</v>
      </c>
    </row>
    <row r="1579" spans="1:4" ht="15" x14ac:dyDescent="0.25">
      <c r="A1579">
        <v>9929</v>
      </c>
      <c r="B1579" t="s">
        <v>10829</v>
      </c>
      <c r="C1579" t="s">
        <v>5043</v>
      </c>
      <c r="D1579" t="s">
        <v>10828</v>
      </c>
    </row>
    <row r="1580" spans="1:4" ht="15" x14ac:dyDescent="0.25">
      <c r="A1580">
        <v>9068</v>
      </c>
      <c r="B1580" t="s">
        <v>10830</v>
      </c>
      <c r="C1580" t="s">
        <v>5043</v>
      </c>
      <c r="D1580" t="s">
        <v>10828</v>
      </c>
    </row>
    <row r="1581" spans="1:4" ht="15" x14ac:dyDescent="0.25">
      <c r="A1581">
        <v>11114</v>
      </c>
      <c r="B1581" t="s">
        <v>10831</v>
      </c>
      <c r="C1581" t="s">
        <v>5043</v>
      </c>
      <c r="D1581" t="s">
        <v>8401</v>
      </c>
    </row>
    <row r="1582" spans="1:4" ht="15" x14ac:dyDescent="0.25">
      <c r="A1582">
        <v>9232</v>
      </c>
      <c r="B1582" t="s">
        <v>10831</v>
      </c>
      <c r="C1582" t="s">
        <v>5043</v>
      </c>
      <c r="D1582" t="s">
        <v>8401</v>
      </c>
    </row>
    <row r="1583" spans="1:4" ht="15" x14ac:dyDescent="0.25">
      <c r="A1583">
        <v>8928</v>
      </c>
      <c r="B1583" t="s">
        <v>9061</v>
      </c>
      <c r="C1583" t="s">
        <v>5043</v>
      </c>
      <c r="D1583" t="s">
        <v>8401</v>
      </c>
    </row>
    <row r="1584" spans="1:4" ht="15" x14ac:dyDescent="0.25">
      <c r="A1584">
        <v>11478</v>
      </c>
      <c r="B1584" t="s">
        <v>10832</v>
      </c>
      <c r="C1584" t="s">
        <v>5043</v>
      </c>
      <c r="D1584" t="s">
        <v>8401</v>
      </c>
    </row>
    <row r="1585" spans="1:4" ht="15" x14ac:dyDescent="0.25">
      <c r="A1585">
        <v>7433</v>
      </c>
      <c r="B1585" t="s">
        <v>10832</v>
      </c>
      <c r="C1585" t="s">
        <v>5043</v>
      </c>
      <c r="D1585" t="s">
        <v>8401</v>
      </c>
    </row>
    <row r="1586" spans="1:4" ht="15" x14ac:dyDescent="0.25">
      <c r="A1586">
        <v>10131</v>
      </c>
      <c r="B1586" t="s">
        <v>9062</v>
      </c>
      <c r="C1586" t="s">
        <v>5043</v>
      </c>
      <c r="D1586" t="s">
        <v>8401</v>
      </c>
    </row>
    <row r="1587" spans="1:4" ht="15" x14ac:dyDescent="0.25">
      <c r="A1587">
        <v>10017</v>
      </c>
      <c r="B1587" t="s">
        <v>10833</v>
      </c>
      <c r="C1587" t="s">
        <v>5043</v>
      </c>
      <c r="D1587" t="s">
        <v>8401</v>
      </c>
    </row>
    <row r="1588" spans="1:4" ht="15" x14ac:dyDescent="0.25">
      <c r="A1588">
        <v>10773</v>
      </c>
      <c r="B1588" t="s">
        <v>10833</v>
      </c>
      <c r="C1588" t="s">
        <v>5043</v>
      </c>
      <c r="D1588" t="s">
        <v>8401</v>
      </c>
    </row>
    <row r="1589" spans="1:4" ht="15" x14ac:dyDescent="0.25">
      <c r="A1589">
        <v>11423</v>
      </c>
      <c r="B1589" t="s">
        <v>10833</v>
      </c>
      <c r="C1589" t="s">
        <v>5043</v>
      </c>
      <c r="D1589" t="s">
        <v>8401</v>
      </c>
    </row>
    <row r="1590" spans="1:4" ht="15" x14ac:dyDescent="0.25">
      <c r="A1590">
        <v>11525</v>
      </c>
      <c r="B1590" t="s">
        <v>10833</v>
      </c>
      <c r="C1590" t="s">
        <v>5043</v>
      </c>
      <c r="D1590" t="s">
        <v>8401</v>
      </c>
    </row>
    <row r="1591" spans="1:4" ht="15" x14ac:dyDescent="0.25">
      <c r="A1591">
        <v>11648</v>
      </c>
      <c r="B1591" t="s">
        <v>10833</v>
      </c>
      <c r="C1591" t="s">
        <v>5043</v>
      </c>
      <c r="D1591" t="s">
        <v>8401</v>
      </c>
    </row>
    <row r="1592" spans="1:4" ht="15" x14ac:dyDescent="0.25">
      <c r="A1592">
        <v>11998</v>
      </c>
      <c r="B1592" t="s">
        <v>10833</v>
      </c>
      <c r="C1592" t="s">
        <v>5043</v>
      </c>
      <c r="D1592" t="s">
        <v>8401</v>
      </c>
    </row>
    <row r="1593" spans="1:4" ht="15" x14ac:dyDescent="0.25">
      <c r="A1593">
        <v>7004</v>
      </c>
      <c r="B1593" t="s">
        <v>10833</v>
      </c>
      <c r="C1593" t="s">
        <v>5043</v>
      </c>
      <c r="D1593" t="s">
        <v>8401</v>
      </c>
    </row>
    <row r="1594" spans="1:4" ht="15" x14ac:dyDescent="0.25">
      <c r="A1594">
        <v>7317</v>
      </c>
      <c r="B1594" t="s">
        <v>10833</v>
      </c>
      <c r="C1594" t="s">
        <v>5043</v>
      </c>
      <c r="D1594" t="s">
        <v>8401</v>
      </c>
    </row>
    <row r="1595" spans="1:4" ht="15" x14ac:dyDescent="0.25">
      <c r="A1595">
        <v>7711</v>
      </c>
      <c r="B1595" t="s">
        <v>10833</v>
      </c>
      <c r="C1595" t="s">
        <v>5043</v>
      </c>
      <c r="D1595" t="s">
        <v>8401</v>
      </c>
    </row>
    <row r="1596" spans="1:4" ht="15" x14ac:dyDescent="0.25">
      <c r="A1596">
        <v>7768</v>
      </c>
      <c r="B1596" t="s">
        <v>10833</v>
      </c>
      <c r="C1596" t="s">
        <v>5043</v>
      </c>
      <c r="D1596" t="s">
        <v>8401</v>
      </c>
    </row>
    <row r="1597" spans="1:4" ht="15" x14ac:dyDescent="0.25">
      <c r="A1597">
        <v>7944</v>
      </c>
      <c r="B1597" t="s">
        <v>10833</v>
      </c>
      <c r="C1597" t="s">
        <v>5043</v>
      </c>
      <c r="D1597" t="s">
        <v>8401</v>
      </c>
    </row>
    <row r="1598" spans="1:4" ht="15" x14ac:dyDescent="0.25">
      <c r="A1598">
        <v>8530</v>
      </c>
      <c r="B1598" t="s">
        <v>10833</v>
      </c>
      <c r="C1598" t="s">
        <v>5043</v>
      </c>
      <c r="D1598" t="s">
        <v>8401</v>
      </c>
    </row>
    <row r="1599" spans="1:4" ht="15" x14ac:dyDescent="0.25">
      <c r="A1599">
        <v>8724</v>
      </c>
      <c r="B1599" t="s">
        <v>10833</v>
      </c>
      <c r="C1599" t="s">
        <v>5043</v>
      </c>
      <c r="D1599" t="s">
        <v>8401</v>
      </c>
    </row>
    <row r="1600" spans="1:4" ht="15" x14ac:dyDescent="0.25">
      <c r="A1600">
        <v>9069</v>
      </c>
      <c r="B1600" t="s">
        <v>10833</v>
      </c>
      <c r="C1600" t="s">
        <v>5043</v>
      </c>
      <c r="D1600" t="s">
        <v>8401</v>
      </c>
    </row>
    <row r="1601" spans="1:4" ht="15" x14ac:dyDescent="0.25">
      <c r="A1601">
        <v>9147</v>
      </c>
      <c r="B1601" t="s">
        <v>10833</v>
      </c>
      <c r="C1601" t="s">
        <v>5043</v>
      </c>
      <c r="D1601" t="s">
        <v>8401</v>
      </c>
    </row>
    <row r="1602" spans="1:4" ht="15" x14ac:dyDescent="0.25">
      <c r="A1602">
        <v>9606</v>
      </c>
      <c r="B1602" t="s">
        <v>10833</v>
      </c>
      <c r="C1602" t="s">
        <v>5043</v>
      </c>
      <c r="D1602" t="s">
        <v>8401</v>
      </c>
    </row>
    <row r="1603" spans="1:4" ht="15" x14ac:dyDescent="0.25">
      <c r="A1603">
        <v>9988</v>
      </c>
      <c r="B1603" t="s">
        <v>10833</v>
      </c>
      <c r="C1603" t="s">
        <v>5043</v>
      </c>
      <c r="D1603" t="s">
        <v>8401</v>
      </c>
    </row>
    <row r="1604" spans="1:4" ht="15" x14ac:dyDescent="0.25">
      <c r="A1604">
        <v>7083</v>
      </c>
      <c r="B1604" t="s">
        <v>10834</v>
      </c>
      <c r="C1604" t="s">
        <v>5043</v>
      </c>
      <c r="D1604" t="s">
        <v>8401</v>
      </c>
    </row>
    <row r="1605" spans="1:4" ht="15" x14ac:dyDescent="0.25">
      <c r="A1605">
        <v>9403</v>
      </c>
      <c r="B1605" t="s">
        <v>10834</v>
      </c>
      <c r="C1605" t="s">
        <v>5043</v>
      </c>
      <c r="D1605" t="s">
        <v>8401</v>
      </c>
    </row>
    <row r="1606" spans="1:4" ht="15" x14ac:dyDescent="0.25">
      <c r="A1606">
        <v>9776</v>
      </c>
      <c r="B1606" t="s">
        <v>10834</v>
      </c>
      <c r="C1606" t="s">
        <v>5043</v>
      </c>
      <c r="D1606" t="s">
        <v>8401</v>
      </c>
    </row>
    <row r="1607" spans="1:4" ht="15" x14ac:dyDescent="0.25">
      <c r="A1607">
        <v>7893</v>
      </c>
      <c r="B1607" t="s">
        <v>10835</v>
      </c>
      <c r="C1607" t="s">
        <v>5043</v>
      </c>
      <c r="D1607" t="s">
        <v>8401</v>
      </c>
    </row>
    <row r="1608" spans="1:4" ht="15" x14ac:dyDescent="0.25">
      <c r="A1608">
        <v>11881</v>
      </c>
      <c r="B1608" t="s">
        <v>10836</v>
      </c>
      <c r="C1608" t="s">
        <v>5043</v>
      </c>
      <c r="D1608" t="s">
        <v>8401</v>
      </c>
    </row>
    <row r="1609" spans="1:4" ht="15" x14ac:dyDescent="0.25">
      <c r="A1609">
        <v>8328</v>
      </c>
      <c r="B1609" t="s">
        <v>10836</v>
      </c>
      <c r="C1609" t="s">
        <v>5043</v>
      </c>
      <c r="D1609" t="s">
        <v>8401</v>
      </c>
    </row>
    <row r="1610" spans="1:4" ht="15" x14ac:dyDescent="0.25">
      <c r="A1610">
        <v>8353</v>
      </c>
      <c r="B1610" t="s">
        <v>10836</v>
      </c>
      <c r="C1610" t="s">
        <v>5043</v>
      </c>
      <c r="D1610" t="s">
        <v>8401</v>
      </c>
    </row>
    <row r="1611" spans="1:4" ht="15" x14ac:dyDescent="0.25">
      <c r="A1611">
        <v>9298</v>
      </c>
      <c r="B1611" t="s">
        <v>10836</v>
      </c>
      <c r="C1611" t="s">
        <v>5043</v>
      </c>
      <c r="D1611" t="s">
        <v>8401</v>
      </c>
    </row>
    <row r="1612" spans="1:4" ht="15" x14ac:dyDescent="0.25">
      <c r="A1612">
        <v>8293</v>
      </c>
      <c r="B1612" t="s">
        <v>10837</v>
      </c>
      <c r="C1612" t="s">
        <v>5043</v>
      </c>
      <c r="D1612" t="s">
        <v>8401</v>
      </c>
    </row>
    <row r="1613" spans="1:4" ht="15" x14ac:dyDescent="0.25">
      <c r="A1613">
        <v>10263</v>
      </c>
      <c r="B1613" t="s">
        <v>10838</v>
      </c>
      <c r="C1613" t="s">
        <v>5043</v>
      </c>
      <c r="D1613" t="s">
        <v>8401</v>
      </c>
    </row>
    <row r="1614" spans="1:4" ht="15" x14ac:dyDescent="0.25">
      <c r="A1614">
        <v>8021</v>
      </c>
      <c r="B1614" t="s">
        <v>10839</v>
      </c>
      <c r="C1614" t="s">
        <v>5043</v>
      </c>
      <c r="D1614" t="s">
        <v>8401</v>
      </c>
    </row>
    <row r="1615" spans="1:4" ht="15" x14ac:dyDescent="0.25">
      <c r="A1615">
        <v>8277</v>
      </c>
      <c r="B1615" t="s">
        <v>9063</v>
      </c>
      <c r="C1615" t="s">
        <v>5043</v>
      </c>
      <c r="D1615" t="s">
        <v>8401</v>
      </c>
    </row>
    <row r="1616" spans="1:4" ht="15" x14ac:dyDescent="0.25">
      <c r="A1616">
        <v>12470</v>
      </c>
      <c r="B1616" t="s">
        <v>11517</v>
      </c>
      <c r="C1616" t="s">
        <v>5043</v>
      </c>
      <c r="D1616" t="s">
        <v>8401</v>
      </c>
    </row>
    <row r="1617" spans="1:4" ht="15" x14ac:dyDescent="0.25">
      <c r="A1617">
        <v>7685</v>
      </c>
      <c r="B1617" t="s">
        <v>10840</v>
      </c>
      <c r="C1617" t="s">
        <v>5043</v>
      </c>
      <c r="D1617" t="s">
        <v>8401</v>
      </c>
    </row>
    <row r="1618" spans="1:4" ht="15" x14ac:dyDescent="0.25">
      <c r="A1618">
        <v>8046</v>
      </c>
      <c r="B1618" t="s">
        <v>10840</v>
      </c>
      <c r="C1618" t="s">
        <v>5043</v>
      </c>
      <c r="D1618" t="s">
        <v>8401</v>
      </c>
    </row>
    <row r="1619" spans="1:4" ht="15" x14ac:dyDescent="0.25">
      <c r="A1619">
        <v>8267</v>
      </c>
      <c r="B1619" t="s">
        <v>10840</v>
      </c>
      <c r="C1619" t="s">
        <v>5043</v>
      </c>
      <c r="D1619" t="s">
        <v>8401</v>
      </c>
    </row>
    <row r="1620" spans="1:4" ht="15" x14ac:dyDescent="0.25">
      <c r="A1620">
        <v>10127</v>
      </c>
      <c r="B1620" t="s">
        <v>10841</v>
      </c>
      <c r="C1620" t="s">
        <v>5043</v>
      </c>
      <c r="D1620" t="s">
        <v>8401</v>
      </c>
    </row>
    <row r="1621" spans="1:4" ht="15" x14ac:dyDescent="0.25">
      <c r="A1621">
        <v>10594</v>
      </c>
      <c r="B1621" t="s">
        <v>10841</v>
      </c>
      <c r="C1621" t="s">
        <v>5043</v>
      </c>
      <c r="D1621" t="s">
        <v>8401</v>
      </c>
    </row>
    <row r="1622" spans="1:4" ht="15" x14ac:dyDescent="0.25">
      <c r="A1622">
        <v>10967</v>
      </c>
      <c r="B1622" t="s">
        <v>10841</v>
      </c>
      <c r="C1622" t="s">
        <v>5043</v>
      </c>
      <c r="D1622" t="s">
        <v>8401</v>
      </c>
    </row>
    <row r="1623" spans="1:4" ht="15" x14ac:dyDescent="0.25">
      <c r="A1623">
        <v>11152</v>
      </c>
      <c r="B1623" t="s">
        <v>10841</v>
      </c>
      <c r="C1623" t="s">
        <v>5043</v>
      </c>
      <c r="D1623" t="s">
        <v>8401</v>
      </c>
    </row>
    <row r="1624" spans="1:4" ht="15" x14ac:dyDescent="0.25">
      <c r="A1624">
        <v>11155</v>
      </c>
      <c r="B1624" t="s">
        <v>10841</v>
      </c>
      <c r="C1624" t="s">
        <v>5043</v>
      </c>
      <c r="D1624" t="s">
        <v>8401</v>
      </c>
    </row>
    <row r="1625" spans="1:4" ht="15" x14ac:dyDescent="0.25">
      <c r="A1625">
        <v>11677</v>
      </c>
      <c r="B1625" t="s">
        <v>10841</v>
      </c>
      <c r="C1625" t="s">
        <v>5043</v>
      </c>
      <c r="D1625" t="s">
        <v>8401</v>
      </c>
    </row>
    <row r="1626" spans="1:4" ht="15" x14ac:dyDescent="0.25">
      <c r="A1626">
        <v>11865</v>
      </c>
      <c r="B1626" t="s">
        <v>10841</v>
      </c>
      <c r="C1626" t="s">
        <v>5043</v>
      </c>
      <c r="D1626" t="s">
        <v>8401</v>
      </c>
    </row>
    <row r="1627" spans="1:4" ht="15" x14ac:dyDescent="0.25">
      <c r="A1627">
        <v>11919</v>
      </c>
      <c r="B1627" t="s">
        <v>10841</v>
      </c>
      <c r="C1627" t="s">
        <v>5043</v>
      </c>
      <c r="D1627" t="s">
        <v>8401</v>
      </c>
    </row>
    <row r="1628" spans="1:4" ht="15" x14ac:dyDescent="0.25">
      <c r="A1628">
        <v>6687</v>
      </c>
      <c r="B1628" t="s">
        <v>10841</v>
      </c>
      <c r="C1628" t="s">
        <v>5043</v>
      </c>
      <c r="D1628" t="s">
        <v>8401</v>
      </c>
    </row>
    <row r="1629" spans="1:4" ht="15" x14ac:dyDescent="0.25">
      <c r="A1629">
        <v>8299</v>
      </c>
      <c r="B1629" t="s">
        <v>10841</v>
      </c>
      <c r="C1629" t="s">
        <v>5043</v>
      </c>
      <c r="D1629" t="s">
        <v>8401</v>
      </c>
    </row>
    <row r="1630" spans="1:4" ht="15" x14ac:dyDescent="0.25">
      <c r="A1630">
        <v>8423</v>
      </c>
      <c r="B1630" t="s">
        <v>10841</v>
      </c>
      <c r="C1630" t="s">
        <v>5043</v>
      </c>
      <c r="D1630" t="s">
        <v>8401</v>
      </c>
    </row>
    <row r="1631" spans="1:4" ht="15" x14ac:dyDescent="0.25">
      <c r="A1631">
        <v>8610</v>
      </c>
      <c r="B1631" t="s">
        <v>10841</v>
      </c>
      <c r="C1631" t="s">
        <v>5043</v>
      </c>
      <c r="D1631" t="s">
        <v>8401</v>
      </c>
    </row>
    <row r="1632" spans="1:4" ht="15" x14ac:dyDescent="0.25">
      <c r="A1632">
        <v>9396</v>
      </c>
      <c r="B1632" t="s">
        <v>10841</v>
      </c>
      <c r="C1632" t="s">
        <v>5043</v>
      </c>
      <c r="D1632" t="s">
        <v>8401</v>
      </c>
    </row>
    <row r="1633" spans="1:4" ht="15" x14ac:dyDescent="0.25">
      <c r="A1633">
        <v>9458</v>
      </c>
      <c r="B1633" t="s">
        <v>10841</v>
      </c>
      <c r="C1633" t="s">
        <v>5043</v>
      </c>
      <c r="D1633" t="s">
        <v>8401</v>
      </c>
    </row>
    <row r="1634" spans="1:4" ht="15" x14ac:dyDescent="0.25">
      <c r="A1634">
        <v>9548</v>
      </c>
      <c r="B1634" t="s">
        <v>10841</v>
      </c>
      <c r="C1634" t="s">
        <v>5043</v>
      </c>
      <c r="D1634" t="s">
        <v>8401</v>
      </c>
    </row>
    <row r="1635" spans="1:4" ht="15" x14ac:dyDescent="0.25">
      <c r="A1635">
        <v>9918</v>
      </c>
      <c r="B1635" t="s">
        <v>10841</v>
      </c>
      <c r="C1635" t="s">
        <v>5043</v>
      </c>
      <c r="D1635" t="s">
        <v>8401</v>
      </c>
    </row>
    <row r="1636" spans="1:4" ht="15" x14ac:dyDescent="0.25">
      <c r="A1636">
        <v>9921</v>
      </c>
      <c r="B1636" t="s">
        <v>10841</v>
      </c>
      <c r="C1636" t="s">
        <v>5043</v>
      </c>
      <c r="D1636" t="s">
        <v>8401</v>
      </c>
    </row>
    <row r="1637" spans="1:4" ht="15" x14ac:dyDescent="0.25">
      <c r="A1637">
        <v>9999</v>
      </c>
      <c r="B1637" t="s">
        <v>10841</v>
      </c>
      <c r="C1637" t="s">
        <v>5043</v>
      </c>
      <c r="D1637" t="s">
        <v>8401</v>
      </c>
    </row>
    <row r="1638" spans="1:4" ht="15" x14ac:dyDescent="0.25">
      <c r="A1638">
        <v>7900</v>
      </c>
      <c r="B1638" t="s">
        <v>9064</v>
      </c>
      <c r="C1638" t="s">
        <v>5043</v>
      </c>
      <c r="D1638" t="s">
        <v>8401</v>
      </c>
    </row>
    <row r="1639" spans="1:4" ht="15" x14ac:dyDescent="0.25">
      <c r="A1639">
        <v>8529</v>
      </c>
      <c r="B1639" t="s">
        <v>10842</v>
      </c>
      <c r="C1639" t="s">
        <v>5043</v>
      </c>
      <c r="D1639" t="s">
        <v>8401</v>
      </c>
    </row>
    <row r="1640" spans="1:4" ht="15" x14ac:dyDescent="0.25">
      <c r="A1640">
        <v>10651</v>
      </c>
      <c r="B1640" t="s">
        <v>10843</v>
      </c>
      <c r="C1640" t="s">
        <v>5043</v>
      </c>
      <c r="D1640" t="s">
        <v>8401</v>
      </c>
    </row>
    <row r="1641" spans="1:4" ht="15" x14ac:dyDescent="0.25">
      <c r="A1641">
        <v>11030</v>
      </c>
      <c r="B1641" t="s">
        <v>10843</v>
      </c>
      <c r="C1641" t="s">
        <v>5043</v>
      </c>
      <c r="D1641" t="s">
        <v>8401</v>
      </c>
    </row>
    <row r="1642" spans="1:4" ht="15" x14ac:dyDescent="0.25">
      <c r="A1642">
        <v>11355</v>
      </c>
      <c r="B1642" t="s">
        <v>10843</v>
      </c>
      <c r="C1642" t="s">
        <v>5043</v>
      </c>
      <c r="D1642" t="s">
        <v>8401</v>
      </c>
    </row>
    <row r="1643" spans="1:4" ht="15" x14ac:dyDescent="0.25">
      <c r="A1643">
        <v>11690</v>
      </c>
      <c r="B1643" t="s">
        <v>10843</v>
      </c>
      <c r="C1643" t="s">
        <v>5043</v>
      </c>
      <c r="D1643" t="s">
        <v>8401</v>
      </c>
    </row>
    <row r="1644" spans="1:4" ht="15" x14ac:dyDescent="0.25">
      <c r="A1644">
        <v>11781</v>
      </c>
      <c r="B1644" t="s">
        <v>10843</v>
      </c>
      <c r="C1644" t="s">
        <v>5043</v>
      </c>
      <c r="D1644" t="s">
        <v>8401</v>
      </c>
    </row>
    <row r="1645" spans="1:4" ht="15" x14ac:dyDescent="0.25">
      <c r="A1645">
        <v>11963</v>
      </c>
      <c r="B1645" t="s">
        <v>10843</v>
      </c>
      <c r="C1645" t="s">
        <v>5043</v>
      </c>
      <c r="D1645" t="s">
        <v>8401</v>
      </c>
    </row>
    <row r="1646" spans="1:4" ht="15" x14ac:dyDescent="0.25">
      <c r="A1646">
        <v>7504</v>
      </c>
      <c r="B1646" t="s">
        <v>10843</v>
      </c>
      <c r="C1646" t="s">
        <v>5043</v>
      </c>
      <c r="D1646" t="s">
        <v>8401</v>
      </c>
    </row>
    <row r="1647" spans="1:4" ht="15" x14ac:dyDescent="0.25">
      <c r="A1647">
        <v>8088</v>
      </c>
      <c r="B1647" t="s">
        <v>10843</v>
      </c>
      <c r="C1647" t="s">
        <v>5043</v>
      </c>
      <c r="D1647" t="s">
        <v>8401</v>
      </c>
    </row>
    <row r="1648" spans="1:4" ht="15" x14ac:dyDescent="0.25">
      <c r="A1648">
        <v>8148</v>
      </c>
      <c r="B1648" t="s">
        <v>10843</v>
      </c>
      <c r="C1648" t="s">
        <v>5043</v>
      </c>
      <c r="D1648" t="s">
        <v>8401</v>
      </c>
    </row>
    <row r="1649" spans="1:4" ht="15" x14ac:dyDescent="0.25">
      <c r="A1649">
        <v>9103</v>
      </c>
      <c r="B1649" t="s">
        <v>10843</v>
      </c>
      <c r="C1649" t="s">
        <v>5043</v>
      </c>
      <c r="D1649" t="s">
        <v>8401</v>
      </c>
    </row>
    <row r="1650" spans="1:4" ht="15" x14ac:dyDescent="0.25">
      <c r="A1650">
        <v>10128</v>
      </c>
      <c r="B1650" t="s">
        <v>9065</v>
      </c>
      <c r="C1650" t="s">
        <v>5043</v>
      </c>
      <c r="D1650" t="s">
        <v>8401</v>
      </c>
    </row>
    <row r="1651" spans="1:4" ht="15" x14ac:dyDescent="0.25">
      <c r="A1651">
        <v>10709</v>
      </c>
      <c r="B1651" t="s">
        <v>9065</v>
      </c>
      <c r="C1651" t="s">
        <v>5043</v>
      </c>
      <c r="D1651" t="s">
        <v>8401</v>
      </c>
    </row>
    <row r="1652" spans="1:4" ht="15" x14ac:dyDescent="0.25">
      <c r="A1652">
        <v>10923</v>
      </c>
      <c r="B1652" t="s">
        <v>9065</v>
      </c>
      <c r="C1652" t="s">
        <v>5043</v>
      </c>
      <c r="D1652" t="s">
        <v>8401</v>
      </c>
    </row>
    <row r="1653" spans="1:4" ht="15" x14ac:dyDescent="0.25">
      <c r="A1653">
        <v>7118</v>
      </c>
      <c r="B1653" t="s">
        <v>9065</v>
      </c>
      <c r="C1653" t="s">
        <v>5043</v>
      </c>
      <c r="D1653" t="s">
        <v>8401</v>
      </c>
    </row>
    <row r="1654" spans="1:4" ht="15" x14ac:dyDescent="0.25">
      <c r="A1654">
        <v>8356</v>
      </c>
      <c r="B1654" t="s">
        <v>9065</v>
      </c>
      <c r="C1654" t="s">
        <v>5043</v>
      </c>
      <c r="D1654" t="s">
        <v>8401</v>
      </c>
    </row>
    <row r="1655" spans="1:4" ht="15" x14ac:dyDescent="0.25">
      <c r="A1655">
        <v>9041</v>
      </c>
      <c r="B1655" t="s">
        <v>9065</v>
      </c>
      <c r="C1655" t="s">
        <v>5043</v>
      </c>
      <c r="D1655" t="s">
        <v>8401</v>
      </c>
    </row>
    <row r="1656" spans="1:4" ht="15" x14ac:dyDescent="0.25">
      <c r="A1656">
        <v>9389</v>
      </c>
      <c r="B1656" t="s">
        <v>9065</v>
      </c>
      <c r="C1656" t="s">
        <v>5043</v>
      </c>
      <c r="D1656" t="s">
        <v>8401</v>
      </c>
    </row>
    <row r="1657" spans="1:4" ht="15" x14ac:dyDescent="0.25">
      <c r="A1657">
        <v>10437</v>
      </c>
      <c r="B1657" t="s">
        <v>9066</v>
      </c>
      <c r="C1657" t="s">
        <v>5043</v>
      </c>
      <c r="D1657" t="s">
        <v>8401</v>
      </c>
    </row>
    <row r="1658" spans="1:4" ht="15" x14ac:dyDescent="0.25">
      <c r="A1658">
        <v>10240</v>
      </c>
      <c r="B1658" t="s">
        <v>10844</v>
      </c>
      <c r="C1658" t="s">
        <v>5043</v>
      </c>
      <c r="D1658" t="s">
        <v>8401</v>
      </c>
    </row>
    <row r="1659" spans="1:4" ht="15" x14ac:dyDescent="0.25">
      <c r="A1659">
        <v>11549</v>
      </c>
      <c r="B1659" t="s">
        <v>10844</v>
      </c>
      <c r="C1659" t="s">
        <v>5043</v>
      </c>
      <c r="D1659" t="s">
        <v>8401</v>
      </c>
    </row>
    <row r="1660" spans="1:4" ht="15" x14ac:dyDescent="0.25">
      <c r="A1660">
        <v>12334</v>
      </c>
      <c r="B1660" t="s">
        <v>10845</v>
      </c>
      <c r="C1660" t="s">
        <v>5043</v>
      </c>
      <c r="D1660" t="s">
        <v>8401</v>
      </c>
    </row>
    <row r="1661" spans="1:4" ht="15" x14ac:dyDescent="0.25">
      <c r="A1661">
        <v>8413</v>
      </c>
      <c r="B1661" t="s">
        <v>10845</v>
      </c>
      <c r="C1661" t="s">
        <v>5043</v>
      </c>
      <c r="D1661" t="s">
        <v>8401</v>
      </c>
    </row>
    <row r="1662" spans="1:4" ht="15" x14ac:dyDescent="0.25">
      <c r="A1662">
        <v>10205</v>
      </c>
      <c r="B1662" t="s">
        <v>10846</v>
      </c>
      <c r="C1662" t="s">
        <v>5043</v>
      </c>
      <c r="D1662" t="s">
        <v>8401</v>
      </c>
    </row>
    <row r="1663" spans="1:4" ht="15" x14ac:dyDescent="0.25">
      <c r="A1663">
        <v>10946</v>
      </c>
      <c r="B1663" t="s">
        <v>10846</v>
      </c>
      <c r="C1663" t="s">
        <v>5043</v>
      </c>
      <c r="D1663" t="s">
        <v>8401</v>
      </c>
    </row>
    <row r="1664" spans="1:4" ht="15" x14ac:dyDescent="0.25">
      <c r="A1664">
        <v>11680</v>
      </c>
      <c r="B1664" t="s">
        <v>10846</v>
      </c>
      <c r="C1664" t="s">
        <v>5043</v>
      </c>
      <c r="D1664" t="s">
        <v>8401</v>
      </c>
    </row>
    <row r="1665" spans="1:4" ht="15" x14ac:dyDescent="0.25">
      <c r="A1665">
        <v>6795</v>
      </c>
      <c r="B1665" t="s">
        <v>10846</v>
      </c>
      <c r="C1665" t="s">
        <v>5043</v>
      </c>
      <c r="D1665" t="s">
        <v>8401</v>
      </c>
    </row>
    <row r="1666" spans="1:4" ht="15" x14ac:dyDescent="0.25">
      <c r="A1666">
        <v>7162</v>
      </c>
      <c r="B1666" t="s">
        <v>10846</v>
      </c>
      <c r="C1666" t="s">
        <v>5043</v>
      </c>
      <c r="D1666" t="s">
        <v>8401</v>
      </c>
    </row>
    <row r="1667" spans="1:4" ht="15" x14ac:dyDescent="0.25">
      <c r="A1667">
        <v>7540</v>
      </c>
      <c r="B1667" t="s">
        <v>10846</v>
      </c>
      <c r="C1667" t="s">
        <v>5043</v>
      </c>
      <c r="D1667" t="s">
        <v>8401</v>
      </c>
    </row>
    <row r="1668" spans="1:4" ht="15" x14ac:dyDescent="0.25">
      <c r="A1668">
        <v>7658</v>
      </c>
      <c r="B1668" t="s">
        <v>10846</v>
      </c>
      <c r="C1668" t="s">
        <v>5043</v>
      </c>
      <c r="D1668" t="s">
        <v>8401</v>
      </c>
    </row>
    <row r="1669" spans="1:4" ht="15" x14ac:dyDescent="0.25">
      <c r="A1669">
        <v>8024</v>
      </c>
      <c r="B1669" t="s">
        <v>10846</v>
      </c>
      <c r="C1669" t="s">
        <v>5043</v>
      </c>
      <c r="D1669" t="s">
        <v>8401</v>
      </c>
    </row>
    <row r="1670" spans="1:4" ht="15" x14ac:dyDescent="0.25">
      <c r="A1670">
        <v>8410</v>
      </c>
      <c r="B1670" t="s">
        <v>10846</v>
      </c>
      <c r="C1670" t="s">
        <v>5043</v>
      </c>
      <c r="D1670" t="s">
        <v>8401</v>
      </c>
    </row>
    <row r="1671" spans="1:4" ht="15" x14ac:dyDescent="0.25">
      <c r="A1671">
        <v>8675</v>
      </c>
      <c r="B1671" t="s">
        <v>10846</v>
      </c>
      <c r="C1671" t="s">
        <v>5043</v>
      </c>
      <c r="D1671" t="s">
        <v>8401</v>
      </c>
    </row>
    <row r="1672" spans="1:4" ht="15" x14ac:dyDescent="0.25">
      <c r="A1672">
        <v>8871</v>
      </c>
      <c r="B1672" t="s">
        <v>10846</v>
      </c>
      <c r="C1672" t="s">
        <v>5043</v>
      </c>
      <c r="D1672" t="s">
        <v>8401</v>
      </c>
    </row>
    <row r="1673" spans="1:4" ht="15" x14ac:dyDescent="0.25">
      <c r="A1673">
        <v>9335</v>
      </c>
      <c r="B1673" t="s">
        <v>10846</v>
      </c>
      <c r="C1673" t="s">
        <v>5043</v>
      </c>
      <c r="D1673" t="s">
        <v>8401</v>
      </c>
    </row>
    <row r="1674" spans="1:4" ht="15" x14ac:dyDescent="0.25">
      <c r="A1674">
        <v>11409</v>
      </c>
      <c r="B1674" t="s">
        <v>10847</v>
      </c>
      <c r="C1674" t="s">
        <v>5043</v>
      </c>
      <c r="D1674" t="s">
        <v>8401</v>
      </c>
    </row>
    <row r="1675" spans="1:4" ht="15" x14ac:dyDescent="0.25">
      <c r="A1675">
        <v>251380</v>
      </c>
      <c r="B1675" t="s">
        <v>10848</v>
      </c>
      <c r="C1675" t="s">
        <v>5043</v>
      </c>
      <c r="D1675" t="s">
        <v>8401</v>
      </c>
    </row>
    <row r="1676" spans="1:4" ht="15" x14ac:dyDescent="0.25">
      <c r="A1676">
        <v>251411</v>
      </c>
      <c r="B1676" t="s">
        <v>10848</v>
      </c>
      <c r="C1676" t="s">
        <v>5043</v>
      </c>
      <c r="D1676" t="s">
        <v>8401</v>
      </c>
    </row>
    <row r="1677" spans="1:4" ht="15" x14ac:dyDescent="0.25">
      <c r="A1677">
        <v>251603</v>
      </c>
      <c r="B1677" t="s">
        <v>10848</v>
      </c>
      <c r="C1677" t="s">
        <v>5043</v>
      </c>
      <c r="D1677" t="s">
        <v>8401</v>
      </c>
    </row>
    <row r="1678" spans="1:4" ht="15" x14ac:dyDescent="0.25">
      <c r="A1678">
        <v>7450</v>
      </c>
      <c r="B1678" t="s">
        <v>10848</v>
      </c>
      <c r="C1678" t="s">
        <v>5043</v>
      </c>
      <c r="D1678" t="s">
        <v>8401</v>
      </c>
    </row>
    <row r="1679" spans="1:4" ht="15" x14ac:dyDescent="0.25">
      <c r="A1679">
        <v>7520</v>
      </c>
      <c r="B1679" t="s">
        <v>10848</v>
      </c>
      <c r="C1679" t="s">
        <v>5043</v>
      </c>
      <c r="D1679" t="s">
        <v>8401</v>
      </c>
    </row>
    <row r="1680" spans="1:4" ht="15" x14ac:dyDescent="0.25">
      <c r="A1680">
        <v>10656</v>
      </c>
      <c r="B1680" t="s">
        <v>10849</v>
      </c>
      <c r="C1680" t="s">
        <v>5043</v>
      </c>
      <c r="D1680" t="s">
        <v>8401</v>
      </c>
    </row>
    <row r="1681" spans="1:4" ht="15" x14ac:dyDescent="0.25">
      <c r="A1681">
        <v>11229</v>
      </c>
      <c r="B1681" t="s">
        <v>10849</v>
      </c>
      <c r="C1681" t="s">
        <v>5043</v>
      </c>
      <c r="D1681" t="s">
        <v>8401</v>
      </c>
    </row>
    <row r="1682" spans="1:4" ht="15" x14ac:dyDescent="0.25">
      <c r="A1682">
        <v>7680</v>
      </c>
      <c r="B1682" t="s">
        <v>10850</v>
      </c>
      <c r="C1682" t="s">
        <v>5043</v>
      </c>
      <c r="D1682" t="s">
        <v>8401</v>
      </c>
    </row>
    <row r="1683" spans="1:4" ht="15" x14ac:dyDescent="0.25">
      <c r="A1683">
        <v>10100</v>
      </c>
      <c r="B1683" t="s">
        <v>10851</v>
      </c>
      <c r="C1683" t="s">
        <v>5043</v>
      </c>
      <c r="D1683" t="s">
        <v>8401</v>
      </c>
    </row>
    <row r="1684" spans="1:4" ht="15" x14ac:dyDescent="0.25">
      <c r="A1684">
        <v>11743</v>
      </c>
      <c r="B1684" t="s">
        <v>10851</v>
      </c>
      <c r="C1684" t="s">
        <v>5043</v>
      </c>
      <c r="D1684" t="s">
        <v>8401</v>
      </c>
    </row>
    <row r="1685" spans="1:4" ht="15" x14ac:dyDescent="0.25">
      <c r="A1685">
        <v>7725</v>
      </c>
      <c r="B1685" t="s">
        <v>10851</v>
      </c>
      <c r="C1685" t="s">
        <v>5043</v>
      </c>
      <c r="D1685" t="s">
        <v>8401</v>
      </c>
    </row>
    <row r="1686" spans="1:4" ht="15" x14ac:dyDescent="0.25">
      <c r="A1686">
        <v>9981</v>
      </c>
      <c r="B1686" t="s">
        <v>10851</v>
      </c>
      <c r="C1686" t="s">
        <v>5043</v>
      </c>
      <c r="D1686" t="s">
        <v>8401</v>
      </c>
    </row>
    <row r="1687" spans="1:4" ht="15" x14ac:dyDescent="0.25">
      <c r="A1687">
        <v>10285</v>
      </c>
      <c r="B1687" t="s">
        <v>10852</v>
      </c>
      <c r="C1687" t="s">
        <v>5043</v>
      </c>
      <c r="D1687" t="s">
        <v>8401</v>
      </c>
    </row>
    <row r="1688" spans="1:4" ht="15" x14ac:dyDescent="0.25">
      <c r="A1688">
        <v>10746</v>
      </c>
      <c r="B1688" t="s">
        <v>10852</v>
      </c>
      <c r="C1688" t="s">
        <v>5043</v>
      </c>
      <c r="D1688" t="s">
        <v>8401</v>
      </c>
    </row>
    <row r="1689" spans="1:4" ht="15" x14ac:dyDescent="0.25">
      <c r="A1689">
        <v>11267</v>
      </c>
      <c r="B1689" t="s">
        <v>10852</v>
      </c>
      <c r="C1689" t="s">
        <v>5043</v>
      </c>
      <c r="D1689" t="s">
        <v>8401</v>
      </c>
    </row>
    <row r="1690" spans="1:4" ht="15" x14ac:dyDescent="0.25">
      <c r="A1690">
        <v>11340</v>
      </c>
      <c r="B1690" t="s">
        <v>10852</v>
      </c>
      <c r="C1690" t="s">
        <v>5043</v>
      </c>
      <c r="D1690" t="s">
        <v>8401</v>
      </c>
    </row>
    <row r="1691" spans="1:4" ht="15" x14ac:dyDescent="0.25">
      <c r="A1691">
        <v>7039</v>
      </c>
      <c r="B1691" t="s">
        <v>10852</v>
      </c>
      <c r="C1691" t="s">
        <v>5043</v>
      </c>
      <c r="D1691" t="s">
        <v>8401</v>
      </c>
    </row>
    <row r="1692" spans="1:4" ht="15" x14ac:dyDescent="0.25">
      <c r="A1692">
        <v>7805</v>
      </c>
      <c r="B1692" t="s">
        <v>10852</v>
      </c>
      <c r="C1692" t="s">
        <v>5043</v>
      </c>
      <c r="D1692" t="s">
        <v>8401</v>
      </c>
    </row>
    <row r="1693" spans="1:4" ht="15" x14ac:dyDescent="0.25">
      <c r="A1693">
        <v>8057</v>
      </c>
      <c r="B1693" t="s">
        <v>10852</v>
      </c>
      <c r="C1693" t="s">
        <v>5043</v>
      </c>
      <c r="D1693" t="s">
        <v>8401</v>
      </c>
    </row>
    <row r="1694" spans="1:4" ht="15" x14ac:dyDescent="0.25">
      <c r="A1694">
        <v>8135</v>
      </c>
      <c r="B1694" t="s">
        <v>10852</v>
      </c>
      <c r="C1694" t="s">
        <v>5043</v>
      </c>
      <c r="D1694" t="s">
        <v>8401</v>
      </c>
    </row>
    <row r="1695" spans="1:4" ht="15" x14ac:dyDescent="0.25">
      <c r="A1695">
        <v>8576</v>
      </c>
      <c r="B1695" t="s">
        <v>10852</v>
      </c>
      <c r="C1695" t="s">
        <v>5043</v>
      </c>
      <c r="D1695" t="s">
        <v>8401</v>
      </c>
    </row>
    <row r="1696" spans="1:4" ht="15" x14ac:dyDescent="0.25">
      <c r="A1696">
        <v>9108</v>
      </c>
      <c r="B1696" t="s">
        <v>10852</v>
      </c>
      <c r="C1696" t="s">
        <v>5043</v>
      </c>
      <c r="D1696" t="s">
        <v>8401</v>
      </c>
    </row>
    <row r="1697" spans="1:4" ht="15" x14ac:dyDescent="0.25">
      <c r="A1697">
        <v>9128</v>
      </c>
      <c r="B1697" t="s">
        <v>10852</v>
      </c>
      <c r="C1697" t="s">
        <v>5043</v>
      </c>
      <c r="D1697" t="s">
        <v>8401</v>
      </c>
    </row>
    <row r="1698" spans="1:4" ht="15" x14ac:dyDescent="0.25">
      <c r="A1698">
        <v>9725</v>
      </c>
      <c r="B1698" t="s">
        <v>10852</v>
      </c>
      <c r="C1698" t="s">
        <v>5043</v>
      </c>
      <c r="D1698" t="s">
        <v>8401</v>
      </c>
    </row>
    <row r="1699" spans="1:4" ht="15" x14ac:dyDescent="0.25">
      <c r="A1699">
        <v>10315</v>
      </c>
      <c r="B1699" t="s">
        <v>10853</v>
      </c>
      <c r="C1699" t="s">
        <v>5043</v>
      </c>
      <c r="D1699" t="s">
        <v>8401</v>
      </c>
    </row>
    <row r="1700" spans="1:4" ht="15" x14ac:dyDescent="0.25">
      <c r="A1700">
        <v>10530</v>
      </c>
      <c r="B1700" t="s">
        <v>10853</v>
      </c>
      <c r="C1700" t="s">
        <v>5043</v>
      </c>
      <c r="D1700" t="s">
        <v>8401</v>
      </c>
    </row>
    <row r="1701" spans="1:4" ht="15" x14ac:dyDescent="0.25">
      <c r="A1701">
        <v>10616</v>
      </c>
      <c r="B1701" t="s">
        <v>10853</v>
      </c>
      <c r="C1701" t="s">
        <v>5043</v>
      </c>
      <c r="D1701" t="s">
        <v>8401</v>
      </c>
    </row>
    <row r="1702" spans="1:4" ht="15" x14ac:dyDescent="0.25">
      <c r="A1702">
        <v>11101</v>
      </c>
      <c r="B1702" t="s">
        <v>10853</v>
      </c>
      <c r="C1702" t="s">
        <v>5043</v>
      </c>
      <c r="D1702" t="s">
        <v>8401</v>
      </c>
    </row>
    <row r="1703" spans="1:4" ht="15" x14ac:dyDescent="0.25">
      <c r="A1703">
        <v>11964</v>
      </c>
      <c r="B1703" t="s">
        <v>10853</v>
      </c>
      <c r="C1703" t="s">
        <v>5043</v>
      </c>
      <c r="D1703" t="s">
        <v>8401</v>
      </c>
    </row>
    <row r="1704" spans="1:4" ht="15" x14ac:dyDescent="0.25">
      <c r="A1704">
        <v>7243</v>
      </c>
      <c r="B1704" t="s">
        <v>10853</v>
      </c>
      <c r="C1704" t="s">
        <v>5043</v>
      </c>
      <c r="D1704" t="s">
        <v>8401</v>
      </c>
    </row>
    <row r="1705" spans="1:4" ht="15" x14ac:dyDescent="0.25">
      <c r="A1705">
        <v>8075</v>
      </c>
      <c r="B1705" t="s">
        <v>10853</v>
      </c>
      <c r="C1705" t="s">
        <v>5043</v>
      </c>
      <c r="D1705" t="s">
        <v>8401</v>
      </c>
    </row>
    <row r="1706" spans="1:4" ht="15" x14ac:dyDescent="0.25">
      <c r="A1706">
        <v>8639</v>
      </c>
      <c r="B1706" t="s">
        <v>10853</v>
      </c>
      <c r="C1706" t="s">
        <v>5043</v>
      </c>
      <c r="D1706" t="s">
        <v>8401</v>
      </c>
    </row>
    <row r="1707" spans="1:4" ht="15" x14ac:dyDescent="0.25">
      <c r="A1707">
        <v>8627</v>
      </c>
      <c r="B1707" t="s">
        <v>10854</v>
      </c>
      <c r="C1707" t="s">
        <v>5043</v>
      </c>
      <c r="D1707" t="s">
        <v>8401</v>
      </c>
    </row>
    <row r="1708" spans="1:4" ht="15" x14ac:dyDescent="0.25">
      <c r="A1708">
        <v>12088</v>
      </c>
      <c r="B1708" t="s">
        <v>10855</v>
      </c>
      <c r="C1708" t="s">
        <v>5043</v>
      </c>
      <c r="D1708" t="s">
        <v>8401</v>
      </c>
    </row>
    <row r="1709" spans="1:4" ht="15" x14ac:dyDescent="0.25">
      <c r="A1709">
        <v>9992</v>
      </c>
      <c r="B1709" t="s">
        <v>10855</v>
      </c>
      <c r="C1709" t="s">
        <v>5043</v>
      </c>
      <c r="D1709" t="s">
        <v>8401</v>
      </c>
    </row>
    <row r="1710" spans="1:4" ht="15" x14ac:dyDescent="0.25">
      <c r="A1710">
        <v>10222</v>
      </c>
      <c r="B1710" t="s">
        <v>10856</v>
      </c>
      <c r="C1710" t="s">
        <v>5043</v>
      </c>
      <c r="D1710" t="s">
        <v>8401</v>
      </c>
    </row>
    <row r="1711" spans="1:4" ht="15" x14ac:dyDescent="0.25">
      <c r="A1711">
        <v>9604</v>
      </c>
      <c r="B1711" t="s">
        <v>10856</v>
      </c>
      <c r="C1711" t="s">
        <v>5043</v>
      </c>
      <c r="D1711" t="s">
        <v>8401</v>
      </c>
    </row>
    <row r="1712" spans="1:4" ht="15" x14ac:dyDescent="0.25">
      <c r="A1712">
        <v>10760</v>
      </c>
      <c r="B1712" t="s">
        <v>10857</v>
      </c>
      <c r="C1712" t="s">
        <v>5043</v>
      </c>
      <c r="D1712" t="s">
        <v>8401</v>
      </c>
    </row>
    <row r="1713" spans="1:4" ht="15" x14ac:dyDescent="0.25">
      <c r="A1713">
        <v>7474</v>
      </c>
      <c r="B1713" t="s">
        <v>10857</v>
      </c>
      <c r="C1713" t="s">
        <v>5043</v>
      </c>
      <c r="D1713" t="s">
        <v>8401</v>
      </c>
    </row>
    <row r="1714" spans="1:4" ht="15" x14ac:dyDescent="0.25">
      <c r="A1714">
        <v>251509</v>
      </c>
      <c r="B1714" t="s">
        <v>11577</v>
      </c>
      <c r="C1714" t="s">
        <v>5043</v>
      </c>
      <c r="D1714" t="s">
        <v>8401</v>
      </c>
    </row>
    <row r="1715" spans="1:4" ht="15" x14ac:dyDescent="0.25">
      <c r="A1715">
        <v>8578</v>
      </c>
      <c r="B1715" t="s">
        <v>10858</v>
      </c>
      <c r="C1715" t="s">
        <v>5043</v>
      </c>
      <c r="D1715" t="s">
        <v>8401</v>
      </c>
    </row>
    <row r="1716" spans="1:4" ht="15" x14ac:dyDescent="0.25">
      <c r="A1716">
        <v>11281</v>
      </c>
      <c r="B1716" t="s">
        <v>10859</v>
      </c>
      <c r="C1716" t="s">
        <v>5043</v>
      </c>
      <c r="D1716" t="s">
        <v>8401</v>
      </c>
    </row>
    <row r="1717" spans="1:4" ht="15" x14ac:dyDescent="0.25">
      <c r="A1717">
        <v>10147</v>
      </c>
      <c r="B1717" t="s">
        <v>10860</v>
      </c>
      <c r="C1717" t="s">
        <v>5043</v>
      </c>
      <c r="D1717" t="s">
        <v>8401</v>
      </c>
    </row>
    <row r="1718" spans="1:4" ht="15" x14ac:dyDescent="0.25">
      <c r="A1718">
        <v>10583</v>
      </c>
      <c r="B1718" t="s">
        <v>10860</v>
      </c>
      <c r="C1718" t="s">
        <v>5043</v>
      </c>
      <c r="D1718" t="s">
        <v>8401</v>
      </c>
    </row>
    <row r="1719" spans="1:4" ht="15" x14ac:dyDescent="0.25">
      <c r="A1719">
        <v>9452</v>
      </c>
      <c r="B1719" t="s">
        <v>10860</v>
      </c>
      <c r="C1719" t="s">
        <v>5043</v>
      </c>
      <c r="D1719" t="s">
        <v>8401</v>
      </c>
    </row>
    <row r="1720" spans="1:4" ht="15" x14ac:dyDescent="0.25">
      <c r="A1720">
        <v>10564</v>
      </c>
      <c r="B1720" t="s">
        <v>10861</v>
      </c>
      <c r="C1720" t="s">
        <v>5043</v>
      </c>
      <c r="D1720" t="s">
        <v>8401</v>
      </c>
    </row>
    <row r="1721" spans="1:4" ht="15" x14ac:dyDescent="0.25">
      <c r="A1721">
        <v>11386</v>
      </c>
      <c r="B1721" t="s">
        <v>10861</v>
      </c>
      <c r="C1721" t="s">
        <v>5043</v>
      </c>
      <c r="D1721" t="s">
        <v>8401</v>
      </c>
    </row>
    <row r="1722" spans="1:4" ht="15" x14ac:dyDescent="0.25">
      <c r="A1722">
        <v>7946</v>
      </c>
      <c r="B1722" t="s">
        <v>10861</v>
      </c>
      <c r="C1722" t="s">
        <v>5043</v>
      </c>
      <c r="D1722" t="s">
        <v>8401</v>
      </c>
    </row>
    <row r="1723" spans="1:4" ht="15" x14ac:dyDescent="0.25">
      <c r="A1723">
        <v>12156</v>
      </c>
      <c r="B1723" t="s">
        <v>10862</v>
      </c>
      <c r="C1723" t="s">
        <v>5043</v>
      </c>
      <c r="D1723" t="s">
        <v>8401</v>
      </c>
    </row>
    <row r="1724" spans="1:4" ht="15" x14ac:dyDescent="0.25">
      <c r="A1724">
        <v>11121</v>
      </c>
      <c r="B1724" t="s">
        <v>10863</v>
      </c>
      <c r="C1724" t="s">
        <v>5043</v>
      </c>
      <c r="D1724" t="s">
        <v>8401</v>
      </c>
    </row>
    <row r="1725" spans="1:4" ht="15" x14ac:dyDescent="0.25">
      <c r="A1725">
        <v>7636</v>
      </c>
      <c r="B1725" t="s">
        <v>10864</v>
      </c>
      <c r="C1725" t="s">
        <v>5043</v>
      </c>
      <c r="D1725" t="s">
        <v>8401</v>
      </c>
    </row>
    <row r="1726" spans="1:4" ht="15" x14ac:dyDescent="0.25">
      <c r="A1726">
        <v>9977</v>
      </c>
      <c r="B1726" t="s">
        <v>10864</v>
      </c>
      <c r="C1726" t="s">
        <v>5043</v>
      </c>
      <c r="D1726" t="s">
        <v>8401</v>
      </c>
    </row>
    <row r="1727" spans="1:4" ht="15" x14ac:dyDescent="0.25">
      <c r="A1727">
        <v>12037</v>
      </c>
      <c r="B1727" t="s">
        <v>10865</v>
      </c>
      <c r="C1727" t="s">
        <v>5043</v>
      </c>
      <c r="D1727" t="s">
        <v>8401</v>
      </c>
    </row>
    <row r="1728" spans="1:4" ht="15" x14ac:dyDescent="0.25">
      <c r="A1728">
        <v>6812</v>
      </c>
      <c r="B1728" t="s">
        <v>10865</v>
      </c>
      <c r="C1728" t="s">
        <v>5043</v>
      </c>
      <c r="D1728" t="s">
        <v>8401</v>
      </c>
    </row>
    <row r="1729" spans="1:4" ht="15" x14ac:dyDescent="0.25">
      <c r="A1729">
        <v>8589</v>
      </c>
      <c r="B1729" t="s">
        <v>10865</v>
      </c>
      <c r="C1729" t="s">
        <v>5043</v>
      </c>
      <c r="D1729" t="s">
        <v>8401</v>
      </c>
    </row>
    <row r="1730" spans="1:4" ht="15" x14ac:dyDescent="0.25">
      <c r="A1730">
        <v>9525</v>
      </c>
      <c r="B1730" t="s">
        <v>10865</v>
      </c>
      <c r="C1730" t="s">
        <v>5043</v>
      </c>
      <c r="D1730" t="s">
        <v>8401</v>
      </c>
    </row>
    <row r="1731" spans="1:4" ht="15" x14ac:dyDescent="0.25">
      <c r="A1731">
        <v>7307</v>
      </c>
      <c r="B1731" t="s">
        <v>10866</v>
      </c>
      <c r="C1731" t="s">
        <v>5043</v>
      </c>
      <c r="D1731" t="s">
        <v>8401</v>
      </c>
    </row>
    <row r="1732" spans="1:4" ht="15" x14ac:dyDescent="0.25">
      <c r="A1732">
        <v>8167</v>
      </c>
      <c r="B1732" t="s">
        <v>10866</v>
      </c>
      <c r="C1732" t="s">
        <v>5043</v>
      </c>
      <c r="D1732" t="s">
        <v>8401</v>
      </c>
    </row>
    <row r="1733" spans="1:4" ht="15" x14ac:dyDescent="0.25">
      <c r="A1733">
        <v>10623</v>
      </c>
      <c r="B1733" t="s">
        <v>10867</v>
      </c>
      <c r="C1733" t="s">
        <v>5043</v>
      </c>
      <c r="D1733" t="s">
        <v>8401</v>
      </c>
    </row>
    <row r="1734" spans="1:4" ht="15" x14ac:dyDescent="0.25">
      <c r="A1734">
        <v>7087</v>
      </c>
      <c r="B1734" t="s">
        <v>10868</v>
      </c>
      <c r="C1734" t="s">
        <v>5043</v>
      </c>
      <c r="D1734" t="s">
        <v>8401</v>
      </c>
    </row>
    <row r="1735" spans="1:4" ht="15" x14ac:dyDescent="0.25">
      <c r="A1735">
        <v>10112</v>
      </c>
      <c r="B1735" t="s">
        <v>10869</v>
      </c>
      <c r="C1735" t="s">
        <v>5043</v>
      </c>
      <c r="D1735" t="s">
        <v>8401</v>
      </c>
    </row>
    <row r="1736" spans="1:4" ht="15" x14ac:dyDescent="0.25">
      <c r="A1736">
        <v>10247</v>
      </c>
      <c r="B1736" t="s">
        <v>10870</v>
      </c>
      <c r="C1736" t="s">
        <v>5043</v>
      </c>
      <c r="D1736" t="s">
        <v>8401</v>
      </c>
    </row>
    <row r="1737" spans="1:4" ht="15" x14ac:dyDescent="0.25">
      <c r="A1737">
        <v>10505</v>
      </c>
      <c r="B1737" t="s">
        <v>10871</v>
      </c>
      <c r="C1737" t="s">
        <v>5043</v>
      </c>
      <c r="D1737" t="s">
        <v>8401</v>
      </c>
    </row>
    <row r="1738" spans="1:4" ht="15" x14ac:dyDescent="0.25">
      <c r="A1738">
        <v>10264</v>
      </c>
      <c r="B1738" t="s">
        <v>10872</v>
      </c>
      <c r="C1738" t="s">
        <v>5043</v>
      </c>
      <c r="D1738" t="s">
        <v>8401</v>
      </c>
    </row>
    <row r="1739" spans="1:4" ht="15" x14ac:dyDescent="0.25">
      <c r="A1739">
        <v>8130</v>
      </c>
      <c r="B1739" t="s">
        <v>10872</v>
      </c>
      <c r="C1739" t="s">
        <v>5043</v>
      </c>
      <c r="D1739" t="s">
        <v>8401</v>
      </c>
    </row>
    <row r="1740" spans="1:4" ht="15" x14ac:dyDescent="0.25">
      <c r="A1740">
        <v>10764</v>
      </c>
      <c r="B1740" t="s">
        <v>10873</v>
      </c>
      <c r="C1740" t="s">
        <v>5043</v>
      </c>
      <c r="D1740" t="s">
        <v>8401</v>
      </c>
    </row>
    <row r="1741" spans="1:4" ht="15" x14ac:dyDescent="0.25">
      <c r="A1741">
        <v>8622</v>
      </c>
      <c r="B1741" t="s">
        <v>10873</v>
      </c>
      <c r="C1741" t="s">
        <v>5043</v>
      </c>
      <c r="D1741" t="s">
        <v>8401</v>
      </c>
    </row>
    <row r="1742" spans="1:4" ht="15" x14ac:dyDescent="0.25">
      <c r="A1742">
        <v>10170</v>
      </c>
      <c r="B1742" t="s">
        <v>10874</v>
      </c>
      <c r="C1742" t="s">
        <v>5043</v>
      </c>
      <c r="D1742" t="s">
        <v>8401</v>
      </c>
    </row>
    <row r="1743" spans="1:4" ht="15" x14ac:dyDescent="0.25">
      <c r="A1743">
        <v>10409</v>
      </c>
      <c r="B1743" t="s">
        <v>10874</v>
      </c>
      <c r="C1743" t="s">
        <v>5043</v>
      </c>
      <c r="D1743" t="s">
        <v>8401</v>
      </c>
    </row>
    <row r="1744" spans="1:4" ht="15" x14ac:dyDescent="0.25">
      <c r="A1744">
        <v>10734</v>
      </c>
      <c r="B1744" t="s">
        <v>10874</v>
      </c>
      <c r="C1744" t="s">
        <v>5043</v>
      </c>
      <c r="D1744" t="s">
        <v>8401</v>
      </c>
    </row>
    <row r="1745" spans="1:4" ht="15" x14ac:dyDescent="0.25">
      <c r="A1745">
        <v>251439</v>
      </c>
      <c r="B1745" t="s">
        <v>11578</v>
      </c>
      <c r="C1745" t="s">
        <v>5043</v>
      </c>
      <c r="D1745" t="s">
        <v>8401</v>
      </c>
    </row>
    <row r="1746" spans="1:4" ht="15" x14ac:dyDescent="0.25">
      <c r="A1746">
        <v>251440</v>
      </c>
      <c r="B1746" t="s">
        <v>11578</v>
      </c>
      <c r="C1746" t="s">
        <v>5043</v>
      </c>
      <c r="D1746" t="s">
        <v>8401</v>
      </c>
    </row>
    <row r="1747" spans="1:4" ht="15" x14ac:dyDescent="0.25">
      <c r="A1747">
        <v>251442</v>
      </c>
      <c r="B1747" t="s">
        <v>11578</v>
      </c>
      <c r="C1747" t="s">
        <v>5043</v>
      </c>
      <c r="D1747" t="s">
        <v>8401</v>
      </c>
    </row>
    <row r="1748" spans="1:4" ht="15" x14ac:dyDescent="0.25">
      <c r="A1748">
        <v>251443</v>
      </c>
      <c r="B1748" t="s">
        <v>11578</v>
      </c>
      <c r="C1748" t="s">
        <v>5043</v>
      </c>
      <c r="D1748" t="s">
        <v>8401</v>
      </c>
    </row>
    <row r="1749" spans="1:4" ht="15" x14ac:dyDescent="0.25">
      <c r="A1749">
        <v>251451</v>
      </c>
      <c r="B1749" t="s">
        <v>11578</v>
      </c>
      <c r="C1749" t="s">
        <v>5043</v>
      </c>
      <c r="D1749" t="s">
        <v>8401</v>
      </c>
    </row>
    <row r="1750" spans="1:4" ht="15" x14ac:dyDescent="0.25">
      <c r="A1750">
        <v>251594</v>
      </c>
      <c r="B1750" t="s">
        <v>11578</v>
      </c>
      <c r="C1750" t="s">
        <v>5043</v>
      </c>
      <c r="D1750" t="s">
        <v>8401</v>
      </c>
    </row>
    <row r="1751" spans="1:4" ht="15" x14ac:dyDescent="0.25">
      <c r="A1751">
        <v>251595</v>
      </c>
      <c r="B1751" t="s">
        <v>11578</v>
      </c>
      <c r="C1751" t="s">
        <v>5043</v>
      </c>
      <c r="D1751" t="s">
        <v>8401</v>
      </c>
    </row>
    <row r="1752" spans="1:4" ht="15" x14ac:dyDescent="0.25">
      <c r="A1752">
        <v>7726</v>
      </c>
      <c r="B1752" t="s">
        <v>10875</v>
      </c>
      <c r="C1752" t="s">
        <v>5043</v>
      </c>
      <c r="D1752" t="s">
        <v>8401</v>
      </c>
    </row>
    <row r="1753" spans="1:4" ht="15" x14ac:dyDescent="0.25">
      <c r="A1753">
        <v>9710</v>
      </c>
      <c r="B1753" t="s">
        <v>10875</v>
      </c>
      <c r="C1753" t="s">
        <v>5043</v>
      </c>
      <c r="D1753" t="s">
        <v>8401</v>
      </c>
    </row>
    <row r="1754" spans="1:4" ht="15" x14ac:dyDescent="0.25">
      <c r="A1754">
        <v>7722</v>
      </c>
      <c r="B1754" t="s">
        <v>10876</v>
      </c>
      <c r="C1754" t="s">
        <v>5043</v>
      </c>
      <c r="D1754" t="s">
        <v>8401</v>
      </c>
    </row>
    <row r="1755" spans="1:4" ht="15" x14ac:dyDescent="0.25">
      <c r="A1755">
        <v>10334</v>
      </c>
      <c r="B1755" t="s">
        <v>10877</v>
      </c>
      <c r="C1755" t="s">
        <v>5043</v>
      </c>
      <c r="D1755" t="s">
        <v>8401</v>
      </c>
    </row>
    <row r="1756" spans="1:4" ht="15" x14ac:dyDescent="0.25">
      <c r="A1756">
        <v>7091</v>
      </c>
      <c r="B1756" t="s">
        <v>10877</v>
      </c>
      <c r="C1756" t="s">
        <v>5043</v>
      </c>
      <c r="D1756" t="s">
        <v>8401</v>
      </c>
    </row>
    <row r="1757" spans="1:4" ht="15" x14ac:dyDescent="0.25">
      <c r="A1757">
        <v>10105</v>
      </c>
      <c r="B1757" t="s">
        <v>10878</v>
      </c>
      <c r="C1757" t="s">
        <v>5043</v>
      </c>
      <c r="D1757" t="s">
        <v>8401</v>
      </c>
    </row>
    <row r="1758" spans="1:4" ht="15" x14ac:dyDescent="0.25">
      <c r="A1758">
        <v>11085</v>
      </c>
      <c r="B1758" t="s">
        <v>10878</v>
      </c>
      <c r="C1758" t="s">
        <v>5043</v>
      </c>
      <c r="D1758" t="s">
        <v>8401</v>
      </c>
    </row>
    <row r="1759" spans="1:4" ht="15" x14ac:dyDescent="0.25">
      <c r="A1759">
        <v>9581</v>
      </c>
      <c r="B1759" t="s">
        <v>10878</v>
      </c>
      <c r="C1759" t="s">
        <v>5043</v>
      </c>
      <c r="D1759" t="s">
        <v>8401</v>
      </c>
    </row>
    <row r="1760" spans="1:4" ht="15" x14ac:dyDescent="0.25">
      <c r="A1760">
        <v>11866</v>
      </c>
      <c r="B1760" t="s">
        <v>10879</v>
      </c>
      <c r="C1760" t="s">
        <v>5043</v>
      </c>
      <c r="D1760" t="s">
        <v>8401</v>
      </c>
    </row>
    <row r="1761" spans="1:4" ht="15" x14ac:dyDescent="0.25">
      <c r="A1761">
        <v>8572</v>
      </c>
      <c r="B1761" t="s">
        <v>10879</v>
      </c>
      <c r="C1761" t="s">
        <v>5043</v>
      </c>
      <c r="D1761" t="s">
        <v>8401</v>
      </c>
    </row>
    <row r="1762" spans="1:4" ht="15" x14ac:dyDescent="0.25">
      <c r="A1762">
        <v>8870</v>
      </c>
      <c r="B1762" t="s">
        <v>10879</v>
      </c>
      <c r="C1762" t="s">
        <v>5043</v>
      </c>
      <c r="D1762" t="s">
        <v>8401</v>
      </c>
    </row>
    <row r="1763" spans="1:4" ht="15" x14ac:dyDescent="0.25">
      <c r="A1763">
        <v>11640</v>
      </c>
      <c r="B1763" t="s">
        <v>10880</v>
      </c>
      <c r="C1763" t="s">
        <v>5043</v>
      </c>
      <c r="D1763" t="s">
        <v>8401</v>
      </c>
    </row>
    <row r="1764" spans="1:4" ht="15" x14ac:dyDescent="0.25">
      <c r="A1764">
        <v>11878</v>
      </c>
      <c r="B1764" t="s">
        <v>10880</v>
      </c>
      <c r="C1764" t="s">
        <v>5043</v>
      </c>
      <c r="D1764" t="s">
        <v>8401</v>
      </c>
    </row>
    <row r="1765" spans="1:4" ht="15" x14ac:dyDescent="0.25">
      <c r="A1765">
        <v>10380</v>
      </c>
      <c r="B1765" t="s">
        <v>10881</v>
      </c>
      <c r="C1765" t="s">
        <v>5043</v>
      </c>
      <c r="D1765" t="s">
        <v>8401</v>
      </c>
    </row>
    <row r="1766" spans="1:4" ht="15" x14ac:dyDescent="0.25">
      <c r="A1766">
        <v>10741</v>
      </c>
      <c r="B1766" t="s">
        <v>10881</v>
      </c>
      <c r="C1766" t="s">
        <v>5043</v>
      </c>
      <c r="D1766" t="s">
        <v>8401</v>
      </c>
    </row>
    <row r="1767" spans="1:4" ht="15" x14ac:dyDescent="0.25">
      <c r="A1767">
        <v>10654</v>
      </c>
      <c r="B1767" t="s">
        <v>10882</v>
      </c>
      <c r="C1767" t="s">
        <v>5043</v>
      </c>
      <c r="D1767" t="s">
        <v>8401</v>
      </c>
    </row>
    <row r="1768" spans="1:4" ht="15" x14ac:dyDescent="0.25">
      <c r="A1768">
        <v>8546</v>
      </c>
      <c r="B1768" t="s">
        <v>10882</v>
      </c>
      <c r="C1768" t="s">
        <v>5043</v>
      </c>
      <c r="D1768" t="s">
        <v>8401</v>
      </c>
    </row>
    <row r="1769" spans="1:4" ht="15" x14ac:dyDescent="0.25">
      <c r="A1769">
        <v>11172</v>
      </c>
      <c r="B1769" t="s">
        <v>10883</v>
      </c>
      <c r="C1769" t="s">
        <v>5043</v>
      </c>
      <c r="D1769" t="s">
        <v>8401</v>
      </c>
    </row>
    <row r="1770" spans="1:4" ht="15" x14ac:dyDescent="0.25">
      <c r="A1770">
        <v>11988</v>
      </c>
      <c r="B1770" t="s">
        <v>10884</v>
      </c>
      <c r="C1770" t="s">
        <v>5043</v>
      </c>
      <c r="D1770" t="s">
        <v>8401</v>
      </c>
    </row>
    <row r="1771" spans="1:4" ht="15" x14ac:dyDescent="0.25">
      <c r="A1771">
        <v>12121</v>
      </c>
      <c r="B1771" t="s">
        <v>10884</v>
      </c>
      <c r="C1771" t="s">
        <v>5043</v>
      </c>
      <c r="D1771" t="s">
        <v>8401</v>
      </c>
    </row>
    <row r="1772" spans="1:4" ht="15" x14ac:dyDescent="0.25">
      <c r="A1772">
        <v>9273</v>
      </c>
      <c r="B1772" t="s">
        <v>10884</v>
      </c>
      <c r="C1772" t="s">
        <v>5043</v>
      </c>
      <c r="D1772" t="s">
        <v>8401</v>
      </c>
    </row>
    <row r="1773" spans="1:4" ht="15" x14ac:dyDescent="0.25">
      <c r="A1773">
        <v>9385</v>
      </c>
      <c r="B1773" t="s">
        <v>10884</v>
      </c>
      <c r="C1773" t="s">
        <v>5043</v>
      </c>
      <c r="D1773" t="s">
        <v>8401</v>
      </c>
    </row>
    <row r="1774" spans="1:4" ht="15" x14ac:dyDescent="0.25">
      <c r="A1774">
        <v>10427</v>
      </c>
      <c r="B1774" t="s">
        <v>10885</v>
      </c>
      <c r="C1774" t="s">
        <v>5043</v>
      </c>
      <c r="D1774" t="s">
        <v>8401</v>
      </c>
    </row>
    <row r="1775" spans="1:4" ht="15" x14ac:dyDescent="0.25">
      <c r="A1775">
        <v>8886</v>
      </c>
      <c r="B1775" t="s">
        <v>10886</v>
      </c>
      <c r="C1775" t="s">
        <v>5043</v>
      </c>
      <c r="D1775" t="s">
        <v>8401</v>
      </c>
    </row>
    <row r="1776" spans="1:4" ht="15" x14ac:dyDescent="0.25">
      <c r="A1776">
        <v>7284</v>
      </c>
      <c r="B1776" t="s">
        <v>10887</v>
      </c>
      <c r="C1776" t="s">
        <v>5043</v>
      </c>
      <c r="D1776" t="s">
        <v>8401</v>
      </c>
    </row>
    <row r="1777" spans="1:4" ht="15" x14ac:dyDescent="0.25">
      <c r="A1777">
        <v>9607</v>
      </c>
      <c r="B1777" t="s">
        <v>10887</v>
      </c>
      <c r="C1777" t="s">
        <v>5043</v>
      </c>
      <c r="D1777" t="s">
        <v>8401</v>
      </c>
    </row>
    <row r="1778" spans="1:4" ht="15" x14ac:dyDescent="0.25">
      <c r="A1778">
        <v>8393</v>
      </c>
      <c r="B1778" t="s">
        <v>10888</v>
      </c>
      <c r="C1778" t="s">
        <v>5043</v>
      </c>
      <c r="D1778" t="s">
        <v>8401</v>
      </c>
    </row>
    <row r="1779" spans="1:4" ht="15" x14ac:dyDescent="0.25">
      <c r="A1779">
        <v>9106</v>
      </c>
      <c r="B1779" t="s">
        <v>10889</v>
      </c>
      <c r="C1779" t="s">
        <v>5043</v>
      </c>
      <c r="D1779" t="s">
        <v>8401</v>
      </c>
    </row>
    <row r="1780" spans="1:4" ht="15" x14ac:dyDescent="0.25">
      <c r="A1780">
        <v>9808</v>
      </c>
      <c r="B1780" t="s">
        <v>10889</v>
      </c>
      <c r="C1780" t="s">
        <v>5043</v>
      </c>
      <c r="D1780" t="s">
        <v>8401</v>
      </c>
    </row>
    <row r="1781" spans="1:4" ht="15" x14ac:dyDescent="0.25">
      <c r="A1781">
        <v>11674</v>
      </c>
      <c r="B1781" t="s">
        <v>10890</v>
      </c>
      <c r="C1781" t="s">
        <v>5043</v>
      </c>
      <c r="D1781" t="s">
        <v>8401</v>
      </c>
    </row>
    <row r="1782" spans="1:4" ht="15" x14ac:dyDescent="0.25">
      <c r="A1782">
        <v>11771</v>
      </c>
      <c r="B1782" t="s">
        <v>10890</v>
      </c>
      <c r="C1782" t="s">
        <v>5043</v>
      </c>
      <c r="D1782" t="s">
        <v>8401</v>
      </c>
    </row>
    <row r="1783" spans="1:4" ht="15" x14ac:dyDescent="0.25">
      <c r="A1783">
        <v>7150</v>
      </c>
      <c r="B1783" t="s">
        <v>10891</v>
      </c>
      <c r="C1783" t="s">
        <v>5043</v>
      </c>
      <c r="D1783" t="s">
        <v>8401</v>
      </c>
    </row>
    <row r="1784" spans="1:4" ht="15" x14ac:dyDescent="0.25">
      <c r="A1784">
        <v>9282</v>
      </c>
      <c r="B1784" t="s">
        <v>10891</v>
      </c>
      <c r="C1784" t="s">
        <v>5043</v>
      </c>
      <c r="D1784" t="s">
        <v>8401</v>
      </c>
    </row>
    <row r="1785" spans="1:4" ht="15" x14ac:dyDescent="0.25">
      <c r="A1785">
        <v>12065</v>
      </c>
      <c r="B1785" t="s">
        <v>10892</v>
      </c>
      <c r="C1785" t="s">
        <v>5043</v>
      </c>
      <c r="D1785" t="s">
        <v>8401</v>
      </c>
    </row>
    <row r="1786" spans="1:4" ht="15" x14ac:dyDescent="0.25">
      <c r="A1786">
        <v>6983</v>
      </c>
      <c r="B1786" t="s">
        <v>10892</v>
      </c>
      <c r="C1786" t="s">
        <v>5043</v>
      </c>
      <c r="D1786" t="s">
        <v>8401</v>
      </c>
    </row>
    <row r="1787" spans="1:4" ht="15" x14ac:dyDescent="0.25">
      <c r="A1787">
        <v>10688</v>
      </c>
      <c r="B1787" t="s">
        <v>10893</v>
      </c>
      <c r="C1787" t="s">
        <v>5043</v>
      </c>
      <c r="D1787" t="s">
        <v>8401</v>
      </c>
    </row>
    <row r="1788" spans="1:4" ht="15" x14ac:dyDescent="0.25">
      <c r="A1788">
        <v>10284</v>
      </c>
      <c r="B1788" t="s">
        <v>9067</v>
      </c>
      <c r="C1788" t="s">
        <v>5043</v>
      </c>
      <c r="D1788" t="s">
        <v>8401</v>
      </c>
    </row>
    <row r="1789" spans="1:4" ht="15" x14ac:dyDescent="0.25">
      <c r="A1789">
        <v>10462</v>
      </c>
      <c r="B1789" t="s">
        <v>9067</v>
      </c>
      <c r="C1789" t="s">
        <v>5043</v>
      </c>
      <c r="D1789" t="s">
        <v>8401</v>
      </c>
    </row>
    <row r="1790" spans="1:4" ht="15" x14ac:dyDescent="0.25">
      <c r="A1790">
        <v>12495</v>
      </c>
      <c r="B1790" t="s">
        <v>11579</v>
      </c>
      <c r="C1790" t="s">
        <v>5043</v>
      </c>
      <c r="D1790" t="s">
        <v>8401</v>
      </c>
    </row>
    <row r="1791" spans="1:4" ht="15" x14ac:dyDescent="0.25">
      <c r="A1791">
        <v>7594</v>
      </c>
      <c r="B1791" t="s">
        <v>10894</v>
      </c>
      <c r="C1791" t="s">
        <v>5043</v>
      </c>
      <c r="D1791" t="s">
        <v>8401</v>
      </c>
    </row>
    <row r="1792" spans="1:4" ht="15" x14ac:dyDescent="0.25">
      <c r="A1792">
        <v>7735</v>
      </c>
      <c r="B1792" t="s">
        <v>10894</v>
      </c>
      <c r="C1792" t="s">
        <v>5043</v>
      </c>
      <c r="D1792" t="s">
        <v>8401</v>
      </c>
    </row>
    <row r="1793" spans="1:4" ht="15" x14ac:dyDescent="0.25">
      <c r="A1793">
        <v>11364</v>
      </c>
      <c r="B1793" t="s">
        <v>10895</v>
      </c>
      <c r="C1793" t="s">
        <v>5043</v>
      </c>
      <c r="D1793" t="s">
        <v>8401</v>
      </c>
    </row>
    <row r="1794" spans="1:4" ht="15" x14ac:dyDescent="0.25">
      <c r="A1794">
        <v>11831</v>
      </c>
      <c r="B1794" t="s">
        <v>10895</v>
      </c>
      <c r="C1794" t="s">
        <v>5043</v>
      </c>
      <c r="D1794" t="s">
        <v>8401</v>
      </c>
    </row>
    <row r="1795" spans="1:4" ht="15" x14ac:dyDescent="0.25">
      <c r="A1795">
        <v>8309</v>
      </c>
      <c r="B1795" t="s">
        <v>10895</v>
      </c>
      <c r="C1795" t="s">
        <v>5043</v>
      </c>
      <c r="D1795" t="s">
        <v>8401</v>
      </c>
    </row>
    <row r="1796" spans="1:4" ht="15" x14ac:dyDescent="0.25">
      <c r="A1796">
        <v>9007</v>
      </c>
      <c r="B1796" t="s">
        <v>10895</v>
      </c>
      <c r="C1796" t="s">
        <v>5043</v>
      </c>
      <c r="D1796" t="s">
        <v>8401</v>
      </c>
    </row>
    <row r="1797" spans="1:4" ht="15" x14ac:dyDescent="0.25">
      <c r="A1797">
        <v>11636</v>
      </c>
      <c r="B1797" t="s">
        <v>10896</v>
      </c>
      <c r="C1797" t="s">
        <v>5043</v>
      </c>
      <c r="D1797" t="s">
        <v>8401</v>
      </c>
    </row>
    <row r="1798" spans="1:4" ht="15" x14ac:dyDescent="0.25">
      <c r="A1798">
        <v>7631</v>
      </c>
      <c r="B1798" t="s">
        <v>10896</v>
      </c>
      <c r="C1798" t="s">
        <v>5043</v>
      </c>
      <c r="D1798" t="s">
        <v>8401</v>
      </c>
    </row>
    <row r="1799" spans="1:4" ht="15" x14ac:dyDescent="0.25">
      <c r="A1799">
        <v>6845</v>
      </c>
      <c r="B1799" t="s">
        <v>10897</v>
      </c>
      <c r="C1799" t="s">
        <v>5043</v>
      </c>
      <c r="D1799" t="s">
        <v>8401</v>
      </c>
    </row>
    <row r="1800" spans="1:4" ht="15" x14ac:dyDescent="0.25">
      <c r="A1800">
        <v>7524</v>
      </c>
      <c r="B1800" t="s">
        <v>10898</v>
      </c>
      <c r="C1800" t="s">
        <v>5043</v>
      </c>
      <c r="D1800" t="s">
        <v>8401</v>
      </c>
    </row>
    <row r="1801" spans="1:4" ht="15" x14ac:dyDescent="0.25">
      <c r="A1801">
        <v>8839</v>
      </c>
      <c r="B1801" t="s">
        <v>10898</v>
      </c>
      <c r="C1801" t="s">
        <v>5043</v>
      </c>
      <c r="D1801" t="s">
        <v>8401</v>
      </c>
    </row>
    <row r="1802" spans="1:4" ht="15" x14ac:dyDescent="0.25">
      <c r="A1802">
        <v>10143</v>
      </c>
      <c r="B1802" t="s">
        <v>10899</v>
      </c>
      <c r="C1802" t="s">
        <v>5043</v>
      </c>
      <c r="D1802" t="s">
        <v>8401</v>
      </c>
    </row>
    <row r="1803" spans="1:4" ht="15" x14ac:dyDescent="0.25">
      <c r="A1803">
        <v>7538</v>
      </c>
      <c r="B1803" t="s">
        <v>10899</v>
      </c>
      <c r="C1803" t="s">
        <v>5043</v>
      </c>
      <c r="D1803" t="s">
        <v>8401</v>
      </c>
    </row>
    <row r="1804" spans="1:4" ht="15" x14ac:dyDescent="0.25">
      <c r="A1804">
        <v>12191</v>
      </c>
      <c r="B1804" t="s">
        <v>11580</v>
      </c>
      <c r="C1804" t="s">
        <v>5043</v>
      </c>
      <c r="D1804" t="s">
        <v>8401</v>
      </c>
    </row>
    <row r="1805" spans="1:4" ht="15" x14ac:dyDescent="0.25">
      <c r="A1805">
        <v>12192</v>
      </c>
      <c r="B1805" t="s">
        <v>11580</v>
      </c>
      <c r="C1805" t="s">
        <v>5043</v>
      </c>
      <c r="D1805" t="s">
        <v>8401</v>
      </c>
    </row>
    <row r="1806" spans="1:4" ht="15" x14ac:dyDescent="0.25">
      <c r="A1806">
        <v>12196</v>
      </c>
      <c r="B1806" t="s">
        <v>11580</v>
      </c>
      <c r="C1806" t="s">
        <v>5043</v>
      </c>
      <c r="D1806" t="s">
        <v>8401</v>
      </c>
    </row>
    <row r="1807" spans="1:4" ht="15" x14ac:dyDescent="0.25">
      <c r="A1807">
        <v>12198</v>
      </c>
      <c r="B1807" t="s">
        <v>11580</v>
      </c>
      <c r="C1807" t="s">
        <v>5043</v>
      </c>
      <c r="D1807" t="s">
        <v>8401</v>
      </c>
    </row>
    <row r="1808" spans="1:4" ht="15" x14ac:dyDescent="0.25">
      <c r="A1808">
        <v>12188</v>
      </c>
      <c r="B1808" t="s">
        <v>11581</v>
      </c>
      <c r="C1808" t="s">
        <v>5043</v>
      </c>
      <c r="D1808" t="s">
        <v>8401</v>
      </c>
    </row>
    <row r="1809" spans="1:4" ht="15" x14ac:dyDescent="0.25">
      <c r="A1809">
        <v>12187</v>
      </c>
      <c r="B1809" t="s">
        <v>11582</v>
      </c>
      <c r="C1809" t="s">
        <v>5043</v>
      </c>
      <c r="D1809" t="s">
        <v>8401</v>
      </c>
    </row>
    <row r="1810" spans="1:4" ht="15" x14ac:dyDescent="0.25">
      <c r="A1810">
        <v>12194</v>
      </c>
      <c r="B1810" t="s">
        <v>11582</v>
      </c>
      <c r="C1810" t="s">
        <v>5043</v>
      </c>
      <c r="D1810" t="s">
        <v>8401</v>
      </c>
    </row>
    <row r="1811" spans="1:4" ht="15" x14ac:dyDescent="0.25">
      <c r="A1811">
        <v>12195</v>
      </c>
      <c r="B1811" t="s">
        <v>11582</v>
      </c>
      <c r="C1811" t="s">
        <v>5043</v>
      </c>
      <c r="D1811" t="s">
        <v>8401</v>
      </c>
    </row>
    <row r="1812" spans="1:4" ht="15" x14ac:dyDescent="0.25">
      <c r="A1812">
        <v>10098</v>
      </c>
      <c r="B1812" t="s">
        <v>10900</v>
      </c>
      <c r="C1812" t="s">
        <v>5043</v>
      </c>
      <c r="D1812" t="s">
        <v>8401</v>
      </c>
    </row>
    <row r="1813" spans="1:4" ht="15" x14ac:dyDescent="0.25">
      <c r="A1813">
        <v>10111</v>
      </c>
      <c r="B1813" t="s">
        <v>10900</v>
      </c>
      <c r="C1813" t="s">
        <v>5043</v>
      </c>
      <c r="D1813" t="s">
        <v>8401</v>
      </c>
    </row>
    <row r="1814" spans="1:4" ht="15" x14ac:dyDescent="0.25">
      <c r="A1814">
        <v>10194</v>
      </c>
      <c r="B1814" t="s">
        <v>10900</v>
      </c>
      <c r="C1814" t="s">
        <v>5043</v>
      </c>
      <c r="D1814" t="s">
        <v>8401</v>
      </c>
    </row>
    <row r="1815" spans="1:4" ht="15" x14ac:dyDescent="0.25">
      <c r="A1815">
        <v>10317</v>
      </c>
      <c r="B1815" t="s">
        <v>10900</v>
      </c>
      <c r="C1815" t="s">
        <v>5043</v>
      </c>
      <c r="D1815" t="s">
        <v>8401</v>
      </c>
    </row>
    <row r="1816" spans="1:4" ht="15" x14ac:dyDescent="0.25">
      <c r="A1816">
        <v>10668</v>
      </c>
      <c r="B1816" t="s">
        <v>10900</v>
      </c>
      <c r="C1816" t="s">
        <v>5043</v>
      </c>
      <c r="D1816" t="s">
        <v>8401</v>
      </c>
    </row>
    <row r="1817" spans="1:4" ht="15" x14ac:dyDescent="0.25">
      <c r="A1817">
        <v>10720</v>
      </c>
      <c r="B1817" t="s">
        <v>10900</v>
      </c>
      <c r="C1817" t="s">
        <v>5043</v>
      </c>
      <c r="D1817" t="s">
        <v>8401</v>
      </c>
    </row>
    <row r="1818" spans="1:4" ht="15" x14ac:dyDescent="0.25">
      <c r="A1818">
        <v>10794</v>
      </c>
      <c r="B1818" t="s">
        <v>10900</v>
      </c>
      <c r="C1818" t="s">
        <v>5043</v>
      </c>
      <c r="D1818" t="s">
        <v>8401</v>
      </c>
    </row>
    <row r="1819" spans="1:4" ht="15" x14ac:dyDescent="0.25">
      <c r="A1819">
        <v>10807</v>
      </c>
      <c r="B1819" t="s">
        <v>10900</v>
      </c>
      <c r="C1819" t="s">
        <v>5043</v>
      </c>
      <c r="D1819" t="s">
        <v>8401</v>
      </c>
    </row>
    <row r="1820" spans="1:4" ht="15" x14ac:dyDescent="0.25">
      <c r="A1820">
        <v>10962</v>
      </c>
      <c r="B1820" t="s">
        <v>10900</v>
      </c>
      <c r="C1820" t="s">
        <v>5043</v>
      </c>
      <c r="D1820" t="s">
        <v>8401</v>
      </c>
    </row>
    <row r="1821" spans="1:4" ht="15" x14ac:dyDescent="0.25">
      <c r="A1821">
        <v>11044</v>
      </c>
      <c r="B1821" t="s">
        <v>10900</v>
      </c>
      <c r="C1821" t="s">
        <v>5043</v>
      </c>
      <c r="D1821" t="s">
        <v>8401</v>
      </c>
    </row>
    <row r="1822" spans="1:4" ht="15" x14ac:dyDescent="0.25">
      <c r="A1822">
        <v>11078</v>
      </c>
      <c r="B1822" t="s">
        <v>10900</v>
      </c>
      <c r="C1822" t="s">
        <v>5043</v>
      </c>
      <c r="D1822" t="s">
        <v>8401</v>
      </c>
    </row>
    <row r="1823" spans="1:4" ht="15" x14ac:dyDescent="0.25">
      <c r="A1823">
        <v>11104</v>
      </c>
      <c r="B1823" t="s">
        <v>10900</v>
      </c>
      <c r="C1823" t="s">
        <v>5043</v>
      </c>
      <c r="D1823" t="s">
        <v>8401</v>
      </c>
    </row>
    <row r="1824" spans="1:4" ht="15" x14ac:dyDescent="0.25">
      <c r="A1824">
        <v>11123</v>
      </c>
      <c r="B1824" t="s">
        <v>10900</v>
      </c>
      <c r="C1824" t="s">
        <v>5043</v>
      </c>
      <c r="D1824" t="s">
        <v>8401</v>
      </c>
    </row>
    <row r="1825" spans="1:4" ht="15" x14ac:dyDescent="0.25">
      <c r="A1825">
        <v>11293</v>
      </c>
      <c r="B1825" t="s">
        <v>10900</v>
      </c>
      <c r="C1825" t="s">
        <v>5043</v>
      </c>
      <c r="D1825" t="s">
        <v>8401</v>
      </c>
    </row>
    <row r="1826" spans="1:4" ht="15" x14ac:dyDescent="0.25">
      <c r="A1826">
        <v>11417</v>
      </c>
      <c r="B1826" t="s">
        <v>10900</v>
      </c>
      <c r="C1826" t="s">
        <v>5043</v>
      </c>
      <c r="D1826" t="s">
        <v>8401</v>
      </c>
    </row>
    <row r="1827" spans="1:4" ht="15" x14ac:dyDescent="0.25">
      <c r="A1827">
        <v>11460</v>
      </c>
      <c r="B1827" t="s">
        <v>10900</v>
      </c>
      <c r="C1827" t="s">
        <v>5043</v>
      </c>
      <c r="D1827" t="s">
        <v>8401</v>
      </c>
    </row>
    <row r="1828" spans="1:4" ht="15" x14ac:dyDescent="0.25">
      <c r="A1828">
        <v>11580</v>
      </c>
      <c r="B1828" t="s">
        <v>10900</v>
      </c>
      <c r="C1828" t="s">
        <v>5043</v>
      </c>
      <c r="D1828" t="s">
        <v>8401</v>
      </c>
    </row>
    <row r="1829" spans="1:4" ht="15" x14ac:dyDescent="0.25">
      <c r="A1829">
        <v>11641</v>
      </c>
      <c r="B1829" t="s">
        <v>10900</v>
      </c>
      <c r="C1829" t="s">
        <v>5043</v>
      </c>
      <c r="D1829" t="s">
        <v>8401</v>
      </c>
    </row>
    <row r="1830" spans="1:4" ht="15" x14ac:dyDescent="0.25">
      <c r="A1830">
        <v>11684</v>
      </c>
      <c r="B1830" t="s">
        <v>10900</v>
      </c>
      <c r="C1830" t="s">
        <v>5043</v>
      </c>
      <c r="D1830" t="s">
        <v>8401</v>
      </c>
    </row>
    <row r="1831" spans="1:4" ht="15" x14ac:dyDescent="0.25">
      <c r="A1831">
        <v>11740</v>
      </c>
      <c r="B1831" t="s">
        <v>10900</v>
      </c>
      <c r="C1831" t="s">
        <v>5043</v>
      </c>
      <c r="D1831" t="s">
        <v>8401</v>
      </c>
    </row>
    <row r="1832" spans="1:4" ht="15" x14ac:dyDescent="0.25">
      <c r="A1832">
        <v>11859</v>
      </c>
      <c r="B1832" t="s">
        <v>10900</v>
      </c>
      <c r="C1832" t="s">
        <v>5043</v>
      </c>
      <c r="D1832" t="s">
        <v>8401</v>
      </c>
    </row>
    <row r="1833" spans="1:4" ht="15" x14ac:dyDescent="0.25">
      <c r="A1833">
        <v>12018</v>
      </c>
      <c r="B1833" t="s">
        <v>10900</v>
      </c>
      <c r="C1833" t="s">
        <v>5043</v>
      </c>
      <c r="D1833" t="s">
        <v>8401</v>
      </c>
    </row>
    <row r="1834" spans="1:4" ht="15" x14ac:dyDescent="0.25">
      <c r="A1834">
        <v>12021</v>
      </c>
      <c r="B1834" t="s">
        <v>10900</v>
      </c>
      <c r="C1834" t="s">
        <v>5043</v>
      </c>
      <c r="D1834" t="s">
        <v>8401</v>
      </c>
    </row>
    <row r="1835" spans="1:4" ht="15" x14ac:dyDescent="0.25">
      <c r="A1835">
        <v>12056</v>
      </c>
      <c r="B1835" t="s">
        <v>10900</v>
      </c>
      <c r="C1835" t="s">
        <v>5043</v>
      </c>
      <c r="D1835" t="s">
        <v>8401</v>
      </c>
    </row>
    <row r="1836" spans="1:4" ht="15" x14ac:dyDescent="0.25">
      <c r="A1836">
        <v>12070</v>
      </c>
      <c r="B1836" t="s">
        <v>10900</v>
      </c>
      <c r="C1836" t="s">
        <v>5043</v>
      </c>
      <c r="D1836" t="s">
        <v>8401</v>
      </c>
    </row>
    <row r="1837" spans="1:4" ht="15" x14ac:dyDescent="0.25">
      <c r="A1837">
        <v>7112</v>
      </c>
      <c r="B1837" t="s">
        <v>10900</v>
      </c>
      <c r="C1837" t="s">
        <v>5043</v>
      </c>
      <c r="D1837" t="s">
        <v>8401</v>
      </c>
    </row>
    <row r="1838" spans="1:4" ht="15" x14ac:dyDescent="0.25">
      <c r="A1838">
        <v>7384</v>
      </c>
      <c r="B1838" t="s">
        <v>10900</v>
      </c>
      <c r="C1838" t="s">
        <v>5043</v>
      </c>
      <c r="D1838" t="s">
        <v>8401</v>
      </c>
    </row>
    <row r="1839" spans="1:4" ht="15" x14ac:dyDescent="0.25">
      <c r="A1839">
        <v>7457</v>
      </c>
      <c r="B1839" t="s">
        <v>10900</v>
      </c>
      <c r="C1839" t="s">
        <v>5043</v>
      </c>
      <c r="D1839" t="s">
        <v>8401</v>
      </c>
    </row>
    <row r="1840" spans="1:4" ht="15" x14ac:dyDescent="0.25">
      <c r="A1840">
        <v>7597</v>
      </c>
      <c r="B1840" t="s">
        <v>10900</v>
      </c>
      <c r="C1840" t="s">
        <v>5043</v>
      </c>
      <c r="D1840" t="s">
        <v>8401</v>
      </c>
    </row>
    <row r="1841" spans="1:4" ht="15" x14ac:dyDescent="0.25">
      <c r="A1841">
        <v>7637</v>
      </c>
      <c r="B1841" t="s">
        <v>10900</v>
      </c>
      <c r="C1841" t="s">
        <v>5043</v>
      </c>
      <c r="D1841" t="s">
        <v>8401</v>
      </c>
    </row>
    <row r="1842" spans="1:4" ht="15" x14ac:dyDescent="0.25">
      <c r="A1842">
        <v>7649</v>
      </c>
      <c r="B1842" t="s">
        <v>10900</v>
      </c>
      <c r="C1842" t="s">
        <v>5043</v>
      </c>
      <c r="D1842" t="s">
        <v>8401</v>
      </c>
    </row>
    <row r="1843" spans="1:4" ht="15" x14ac:dyDescent="0.25">
      <c r="A1843">
        <v>8203</v>
      </c>
      <c r="B1843" t="s">
        <v>10900</v>
      </c>
      <c r="C1843" t="s">
        <v>5043</v>
      </c>
      <c r="D1843" t="s">
        <v>8401</v>
      </c>
    </row>
    <row r="1844" spans="1:4" ht="15" x14ac:dyDescent="0.25">
      <c r="A1844">
        <v>8231</v>
      </c>
      <c r="B1844" t="s">
        <v>10900</v>
      </c>
      <c r="C1844" t="s">
        <v>5043</v>
      </c>
      <c r="D1844" t="s">
        <v>8401</v>
      </c>
    </row>
    <row r="1845" spans="1:4" ht="15" x14ac:dyDescent="0.25">
      <c r="A1845">
        <v>8725</v>
      </c>
      <c r="B1845" t="s">
        <v>10900</v>
      </c>
      <c r="C1845" t="s">
        <v>5043</v>
      </c>
      <c r="D1845" t="s">
        <v>8401</v>
      </c>
    </row>
    <row r="1846" spans="1:4" ht="15" x14ac:dyDescent="0.25">
      <c r="A1846">
        <v>8818</v>
      </c>
      <c r="B1846" t="s">
        <v>10900</v>
      </c>
      <c r="C1846" t="s">
        <v>5043</v>
      </c>
      <c r="D1846" t="s">
        <v>8401</v>
      </c>
    </row>
    <row r="1847" spans="1:4" ht="15" x14ac:dyDescent="0.25">
      <c r="A1847">
        <v>8834</v>
      </c>
      <c r="B1847" t="s">
        <v>10900</v>
      </c>
      <c r="C1847" t="s">
        <v>5043</v>
      </c>
      <c r="D1847" t="s">
        <v>8401</v>
      </c>
    </row>
    <row r="1848" spans="1:4" ht="15" x14ac:dyDescent="0.25">
      <c r="A1848">
        <v>8868</v>
      </c>
      <c r="B1848" t="s">
        <v>10900</v>
      </c>
      <c r="C1848" t="s">
        <v>5043</v>
      </c>
      <c r="D1848" t="s">
        <v>8401</v>
      </c>
    </row>
    <row r="1849" spans="1:4" ht="15" x14ac:dyDescent="0.25">
      <c r="A1849">
        <v>9098</v>
      </c>
      <c r="B1849" t="s">
        <v>10900</v>
      </c>
      <c r="C1849" t="s">
        <v>5043</v>
      </c>
      <c r="D1849" t="s">
        <v>8401</v>
      </c>
    </row>
    <row r="1850" spans="1:4" ht="15" x14ac:dyDescent="0.25">
      <c r="A1850">
        <v>9184</v>
      </c>
      <c r="B1850" t="s">
        <v>10900</v>
      </c>
      <c r="C1850" t="s">
        <v>5043</v>
      </c>
      <c r="D1850" t="s">
        <v>8401</v>
      </c>
    </row>
    <row r="1851" spans="1:4" ht="15" x14ac:dyDescent="0.25">
      <c r="A1851">
        <v>9292</v>
      </c>
      <c r="B1851" t="s">
        <v>10900</v>
      </c>
      <c r="C1851" t="s">
        <v>5043</v>
      </c>
      <c r="D1851" t="s">
        <v>8401</v>
      </c>
    </row>
    <row r="1852" spans="1:4" ht="15" x14ac:dyDescent="0.25">
      <c r="A1852">
        <v>9631</v>
      </c>
      <c r="B1852" t="s">
        <v>10900</v>
      </c>
      <c r="C1852" t="s">
        <v>5043</v>
      </c>
      <c r="D1852" t="s">
        <v>8401</v>
      </c>
    </row>
    <row r="1853" spans="1:4" ht="15" x14ac:dyDescent="0.25">
      <c r="A1853">
        <v>9676</v>
      </c>
      <c r="B1853" t="s">
        <v>10900</v>
      </c>
      <c r="C1853" t="s">
        <v>5043</v>
      </c>
      <c r="D1853" t="s">
        <v>8401</v>
      </c>
    </row>
    <row r="1854" spans="1:4" ht="15" x14ac:dyDescent="0.25">
      <c r="A1854">
        <v>9766</v>
      </c>
      <c r="B1854" t="s">
        <v>10900</v>
      </c>
      <c r="C1854" t="s">
        <v>5043</v>
      </c>
      <c r="D1854" t="s">
        <v>8401</v>
      </c>
    </row>
    <row r="1855" spans="1:4" ht="15" x14ac:dyDescent="0.25">
      <c r="A1855">
        <v>9783</v>
      </c>
      <c r="B1855" t="s">
        <v>10900</v>
      </c>
      <c r="C1855" t="s">
        <v>5043</v>
      </c>
      <c r="D1855" t="s">
        <v>8401</v>
      </c>
    </row>
    <row r="1856" spans="1:4" ht="15" x14ac:dyDescent="0.25">
      <c r="A1856">
        <v>8365</v>
      </c>
      <c r="B1856" t="s">
        <v>10901</v>
      </c>
      <c r="C1856" t="s">
        <v>5043</v>
      </c>
      <c r="D1856" t="s">
        <v>8401</v>
      </c>
    </row>
    <row r="1857" spans="1:4" ht="15" x14ac:dyDescent="0.25">
      <c r="A1857">
        <v>7303</v>
      </c>
      <c r="B1857" t="s">
        <v>10902</v>
      </c>
      <c r="C1857" t="s">
        <v>5043</v>
      </c>
      <c r="D1857" t="s">
        <v>8401</v>
      </c>
    </row>
    <row r="1858" spans="1:4" ht="15" x14ac:dyDescent="0.25">
      <c r="A1858">
        <v>9266</v>
      </c>
      <c r="B1858" t="s">
        <v>10903</v>
      </c>
      <c r="C1858" t="s">
        <v>5043</v>
      </c>
      <c r="D1858" t="s">
        <v>8401</v>
      </c>
    </row>
    <row r="1859" spans="1:4" ht="15" x14ac:dyDescent="0.25">
      <c r="A1859">
        <v>11699</v>
      </c>
      <c r="B1859" t="s">
        <v>10904</v>
      </c>
      <c r="C1859" t="s">
        <v>5043</v>
      </c>
      <c r="D1859" t="s">
        <v>8401</v>
      </c>
    </row>
    <row r="1860" spans="1:4" ht="15" x14ac:dyDescent="0.25">
      <c r="A1860">
        <v>8977</v>
      </c>
      <c r="B1860" t="s">
        <v>10905</v>
      </c>
      <c r="C1860" t="s">
        <v>5043</v>
      </c>
      <c r="D1860" t="s">
        <v>8401</v>
      </c>
    </row>
    <row r="1861" spans="1:4" ht="15" x14ac:dyDescent="0.25">
      <c r="A1861">
        <v>9788</v>
      </c>
      <c r="B1861" t="s">
        <v>10906</v>
      </c>
      <c r="C1861" t="s">
        <v>5043</v>
      </c>
      <c r="D1861" t="s">
        <v>8401</v>
      </c>
    </row>
    <row r="1862" spans="1:4" ht="15" x14ac:dyDescent="0.25">
      <c r="A1862">
        <v>7600</v>
      </c>
      <c r="B1862" t="s">
        <v>10907</v>
      </c>
      <c r="C1862" t="s">
        <v>5043</v>
      </c>
      <c r="D1862" t="s">
        <v>8401</v>
      </c>
    </row>
    <row r="1863" spans="1:4" ht="15" x14ac:dyDescent="0.25">
      <c r="A1863">
        <v>9240</v>
      </c>
      <c r="B1863" t="s">
        <v>10907</v>
      </c>
      <c r="C1863" t="s">
        <v>5043</v>
      </c>
      <c r="D1863" t="s">
        <v>8401</v>
      </c>
    </row>
    <row r="1864" spans="1:4" ht="15" x14ac:dyDescent="0.25">
      <c r="A1864">
        <v>9568</v>
      </c>
      <c r="B1864" t="s">
        <v>10907</v>
      </c>
      <c r="C1864" t="s">
        <v>5043</v>
      </c>
      <c r="D1864" t="s">
        <v>8401</v>
      </c>
    </row>
    <row r="1865" spans="1:4" ht="15" x14ac:dyDescent="0.25">
      <c r="A1865">
        <v>11498</v>
      </c>
      <c r="B1865" t="s">
        <v>10908</v>
      </c>
      <c r="C1865" t="s">
        <v>5043</v>
      </c>
      <c r="D1865" t="s">
        <v>8401</v>
      </c>
    </row>
    <row r="1866" spans="1:4" ht="15" x14ac:dyDescent="0.25">
      <c r="A1866">
        <v>9071</v>
      </c>
      <c r="B1866" t="s">
        <v>10908</v>
      </c>
      <c r="C1866" t="s">
        <v>5043</v>
      </c>
      <c r="D1866" t="s">
        <v>8401</v>
      </c>
    </row>
    <row r="1867" spans="1:4" ht="15" x14ac:dyDescent="0.25">
      <c r="A1867">
        <v>9125</v>
      </c>
      <c r="B1867" t="s">
        <v>10908</v>
      </c>
      <c r="C1867" t="s">
        <v>5043</v>
      </c>
      <c r="D1867" t="s">
        <v>8401</v>
      </c>
    </row>
    <row r="1868" spans="1:4" ht="15" x14ac:dyDescent="0.25">
      <c r="A1868">
        <v>10929</v>
      </c>
      <c r="B1868" t="s">
        <v>10909</v>
      </c>
      <c r="C1868" t="s">
        <v>5043</v>
      </c>
      <c r="D1868" t="s">
        <v>8401</v>
      </c>
    </row>
    <row r="1869" spans="1:4" ht="15" x14ac:dyDescent="0.25">
      <c r="A1869">
        <v>11110</v>
      </c>
      <c r="B1869" t="s">
        <v>10909</v>
      </c>
      <c r="C1869" t="s">
        <v>5043</v>
      </c>
      <c r="D1869" t="s">
        <v>8401</v>
      </c>
    </row>
    <row r="1870" spans="1:4" ht="15" x14ac:dyDescent="0.25">
      <c r="A1870">
        <v>11487</v>
      </c>
      <c r="B1870" t="s">
        <v>10909</v>
      </c>
      <c r="C1870" t="s">
        <v>5043</v>
      </c>
      <c r="D1870" t="s">
        <v>8401</v>
      </c>
    </row>
    <row r="1871" spans="1:4" ht="15" x14ac:dyDescent="0.25">
      <c r="A1871">
        <v>9413</v>
      </c>
      <c r="B1871" t="s">
        <v>10909</v>
      </c>
      <c r="C1871" t="s">
        <v>5043</v>
      </c>
      <c r="D1871" t="s">
        <v>8401</v>
      </c>
    </row>
    <row r="1872" spans="1:4" ht="15" x14ac:dyDescent="0.25">
      <c r="A1872">
        <v>10272</v>
      </c>
      <c r="B1872" t="s">
        <v>9068</v>
      </c>
      <c r="C1872" t="s">
        <v>5043</v>
      </c>
      <c r="D1872" t="s">
        <v>8401</v>
      </c>
    </row>
    <row r="1873" spans="1:4" ht="15" x14ac:dyDescent="0.25">
      <c r="A1873">
        <v>10355</v>
      </c>
      <c r="B1873" t="s">
        <v>9068</v>
      </c>
      <c r="C1873" t="s">
        <v>5043</v>
      </c>
      <c r="D1873" t="s">
        <v>8401</v>
      </c>
    </row>
    <row r="1874" spans="1:4" ht="15" x14ac:dyDescent="0.25">
      <c r="A1874">
        <v>11314</v>
      </c>
      <c r="B1874" t="s">
        <v>10910</v>
      </c>
      <c r="C1874" t="s">
        <v>5043</v>
      </c>
      <c r="D1874" t="s">
        <v>8401</v>
      </c>
    </row>
    <row r="1875" spans="1:4" ht="15" x14ac:dyDescent="0.25">
      <c r="A1875">
        <v>6741</v>
      </c>
      <c r="B1875" t="s">
        <v>10910</v>
      </c>
      <c r="C1875" t="s">
        <v>5043</v>
      </c>
      <c r="D1875" t="s">
        <v>8401</v>
      </c>
    </row>
    <row r="1876" spans="1:4" ht="15" x14ac:dyDescent="0.25">
      <c r="A1876">
        <v>11546</v>
      </c>
      <c r="B1876" t="s">
        <v>10911</v>
      </c>
      <c r="C1876" t="s">
        <v>5043</v>
      </c>
      <c r="D1876" t="s">
        <v>8401</v>
      </c>
    </row>
    <row r="1877" spans="1:4" ht="15" x14ac:dyDescent="0.25">
      <c r="A1877">
        <v>12079</v>
      </c>
      <c r="B1877" t="s">
        <v>10912</v>
      </c>
      <c r="C1877" t="s">
        <v>5043</v>
      </c>
      <c r="D1877" t="s">
        <v>8401</v>
      </c>
    </row>
    <row r="1878" spans="1:4" ht="15" x14ac:dyDescent="0.25">
      <c r="A1878">
        <v>8283</v>
      </c>
      <c r="B1878" t="s">
        <v>10912</v>
      </c>
      <c r="C1878" t="s">
        <v>5043</v>
      </c>
      <c r="D1878" t="s">
        <v>8401</v>
      </c>
    </row>
    <row r="1879" spans="1:4" ht="15" x14ac:dyDescent="0.25">
      <c r="A1879">
        <v>8400</v>
      </c>
      <c r="B1879" t="s">
        <v>9069</v>
      </c>
      <c r="C1879" t="s">
        <v>5043</v>
      </c>
      <c r="D1879" t="s">
        <v>8401</v>
      </c>
    </row>
    <row r="1880" spans="1:4" ht="15" x14ac:dyDescent="0.25">
      <c r="A1880">
        <v>11556</v>
      </c>
      <c r="B1880" t="s">
        <v>10913</v>
      </c>
      <c r="C1880" t="s">
        <v>5043</v>
      </c>
      <c r="D1880" t="s">
        <v>8401</v>
      </c>
    </row>
    <row r="1881" spans="1:4" ht="15" x14ac:dyDescent="0.25">
      <c r="A1881">
        <v>9874</v>
      </c>
      <c r="B1881" t="s">
        <v>10913</v>
      </c>
      <c r="C1881" t="s">
        <v>5043</v>
      </c>
      <c r="D1881" t="s">
        <v>8401</v>
      </c>
    </row>
    <row r="1882" spans="1:4" ht="15" x14ac:dyDescent="0.25">
      <c r="A1882">
        <v>8227</v>
      </c>
      <c r="B1882" t="s">
        <v>10914</v>
      </c>
      <c r="C1882" t="s">
        <v>5043</v>
      </c>
      <c r="D1882" t="s">
        <v>8401</v>
      </c>
    </row>
    <row r="1883" spans="1:4" ht="15" x14ac:dyDescent="0.25">
      <c r="A1883">
        <v>11344</v>
      </c>
      <c r="B1883" t="s">
        <v>10915</v>
      </c>
      <c r="C1883" t="s">
        <v>5043</v>
      </c>
      <c r="D1883" t="s">
        <v>8401</v>
      </c>
    </row>
    <row r="1884" spans="1:4" ht="15" x14ac:dyDescent="0.25">
      <c r="A1884">
        <v>6915</v>
      </c>
      <c r="B1884" t="s">
        <v>10916</v>
      </c>
      <c r="C1884" t="s">
        <v>5043</v>
      </c>
      <c r="D1884" t="s">
        <v>8401</v>
      </c>
    </row>
    <row r="1885" spans="1:4" ht="15" x14ac:dyDescent="0.25">
      <c r="A1885">
        <v>9002</v>
      </c>
      <c r="B1885" t="s">
        <v>10916</v>
      </c>
      <c r="C1885" t="s">
        <v>5043</v>
      </c>
      <c r="D1885" t="s">
        <v>8401</v>
      </c>
    </row>
    <row r="1886" spans="1:4" ht="15" x14ac:dyDescent="0.25">
      <c r="A1886">
        <v>9744</v>
      </c>
      <c r="B1886" t="s">
        <v>10916</v>
      </c>
      <c r="C1886" t="s">
        <v>5043</v>
      </c>
      <c r="D1886" t="s">
        <v>8401</v>
      </c>
    </row>
    <row r="1887" spans="1:4" ht="15" x14ac:dyDescent="0.25">
      <c r="A1887">
        <v>10687</v>
      </c>
      <c r="B1887" t="s">
        <v>9070</v>
      </c>
      <c r="C1887" t="s">
        <v>5043</v>
      </c>
      <c r="D1887" t="s">
        <v>8401</v>
      </c>
    </row>
    <row r="1888" spans="1:4" ht="15" x14ac:dyDescent="0.25">
      <c r="A1888">
        <v>10364</v>
      </c>
      <c r="B1888" t="s">
        <v>9071</v>
      </c>
      <c r="C1888" t="s">
        <v>5043</v>
      </c>
      <c r="D1888" t="s">
        <v>8401</v>
      </c>
    </row>
    <row r="1889" spans="1:4" ht="15" x14ac:dyDescent="0.25">
      <c r="A1889">
        <v>11068</v>
      </c>
      <c r="B1889" t="s">
        <v>9071</v>
      </c>
      <c r="C1889" t="s">
        <v>5043</v>
      </c>
      <c r="D1889" t="s">
        <v>8401</v>
      </c>
    </row>
    <row r="1890" spans="1:4" ht="15" x14ac:dyDescent="0.25">
      <c r="A1890">
        <v>11472</v>
      </c>
      <c r="B1890" t="s">
        <v>9071</v>
      </c>
      <c r="C1890" t="s">
        <v>5043</v>
      </c>
      <c r="D1890" t="s">
        <v>8401</v>
      </c>
    </row>
    <row r="1891" spans="1:4" ht="15" x14ac:dyDescent="0.25">
      <c r="A1891">
        <v>11518</v>
      </c>
      <c r="B1891" t="s">
        <v>9071</v>
      </c>
      <c r="C1891" t="s">
        <v>5043</v>
      </c>
      <c r="D1891" t="s">
        <v>8401</v>
      </c>
    </row>
    <row r="1892" spans="1:4" ht="15" x14ac:dyDescent="0.25">
      <c r="A1892">
        <v>11701</v>
      </c>
      <c r="B1892" t="s">
        <v>9071</v>
      </c>
      <c r="C1892" t="s">
        <v>5043</v>
      </c>
      <c r="D1892" t="s">
        <v>8401</v>
      </c>
    </row>
    <row r="1893" spans="1:4" ht="15" x14ac:dyDescent="0.25">
      <c r="A1893">
        <v>6753</v>
      </c>
      <c r="B1893" t="s">
        <v>9071</v>
      </c>
      <c r="C1893" t="s">
        <v>5043</v>
      </c>
      <c r="D1893" t="s">
        <v>8401</v>
      </c>
    </row>
    <row r="1894" spans="1:4" ht="15" x14ac:dyDescent="0.25">
      <c r="A1894">
        <v>6940</v>
      </c>
      <c r="B1894" t="s">
        <v>9071</v>
      </c>
      <c r="C1894" t="s">
        <v>5043</v>
      </c>
      <c r="D1894" t="s">
        <v>8401</v>
      </c>
    </row>
    <row r="1895" spans="1:4" ht="15" x14ac:dyDescent="0.25">
      <c r="A1895">
        <v>7072</v>
      </c>
      <c r="B1895" t="s">
        <v>9071</v>
      </c>
      <c r="C1895" t="s">
        <v>5043</v>
      </c>
      <c r="D1895" t="s">
        <v>8401</v>
      </c>
    </row>
    <row r="1896" spans="1:4" ht="15" x14ac:dyDescent="0.25">
      <c r="A1896">
        <v>7501</v>
      </c>
      <c r="B1896" t="s">
        <v>9071</v>
      </c>
      <c r="C1896" t="s">
        <v>5043</v>
      </c>
      <c r="D1896" t="s">
        <v>8401</v>
      </c>
    </row>
    <row r="1897" spans="1:4" ht="15" x14ac:dyDescent="0.25">
      <c r="A1897">
        <v>7606</v>
      </c>
      <c r="B1897" t="s">
        <v>9071</v>
      </c>
      <c r="C1897" t="s">
        <v>5043</v>
      </c>
      <c r="D1897" t="s">
        <v>8401</v>
      </c>
    </row>
    <row r="1898" spans="1:4" ht="15" x14ac:dyDescent="0.25">
      <c r="A1898">
        <v>7677</v>
      </c>
      <c r="B1898" t="s">
        <v>9071</v>
      </c>
      <c r="C1898" t="s">
        <v>5043</v>
      </c>
      <c r="D1898" t="s">
        <v>8401</v>
      </c>
    </row>
    <row r="1899" spans="1:4" ht="15" x14ac:dyDescent="0.25">
      <c r="A1899">
        <v>8316</v>
      </c>
      <c r="B1899" t="s">
        <v>9071</v>
      </c>
      <c r="C1899" t="s">
        <v>5043</v>
      </c>
      <c r="D1899" t="s">
        <v>8401</v>
      </c>
    </row>
    <row r="1900" spans="1:4" ht="15" x14ac:dyDescent="0.25">
      <c r="A1900">
        <v>8435</v>
      </c>
      <c r="B1900" t="s">
        <v>9071</v>
      </c>
      <c r="C1900" t="s">
        <v>5043</v>
      </c>
      <c r="D1900" t="s">
        <v>8401</v>
      </c>
    </row>
    <row r="1901" spans="1:4" ht="15" x14ac:dyDescent="0.25">
      <c r="A1901">
        <v>8533</v>
      </c>
      <c r="B1901" t="s">
        <v>9071</v>
      </c>
      <c r="C1901" t="s">
        <v>5043</v>
      </c>
      <c r="D1901" t="s">
        <v>8401</v>
      </c>
    </row>
    <row r="1902" spans="1:4" ht="15" x14ac:dyDescent="0.25">
      <c r="A1902">
        <v>8722</v>
      </c>
      <c r="B1902" t="s">
        <v>9071</v>
      </c>
      <c r="C1902" t="s">
        <v>5043</v>
      </c>
      <c r="D1902" t="s">
        <v>8401</v>
      </c>
    </row>
    <row r="1903" spans="1:4" ht="15" x14ac:dyDescent="0.25">
      <c r="A1903">
        <v>8810</v>
      </c>
      <c r="B1903" t="s">
        <v>9071</v>
      </c>
      <c r="C1903" t="s">
        <v>5043</v>
      </c>
      <c r="D1903" t="s">
        <v>8401</v>
      </c>
    </row>
    <row r="1904" spans="1:4" ht="15" x14ac:dyDescent="0.25">
      <c r="A1904">
        <v>8863</v>
      </c>
      <c r="B1904" t="s">
        <v>9071</v>
      </c>
      <c r="C1904" t="s">
        <v>5043</v>
      </c>
      <c r="D1904" t="s">
        <v>8401</v>
      </c>
    </row>
    <row r="1905" spans="1:4" ht="15" x14ac:dyDescent="0.25">
      <c r="A1905">
        <v>9286</v>
      </c>
      <c r="B1905" t="s">
        <v>9071</v>
      </c>
      <c r="C1905" t="s">
        <v>5043</v>
      </c>
      <c r="D1905" t="s">
        <v>8401</v>
      </c>
    </row>
    <row r="1906" spans="1:4" ht="15" x14ac:dyDescent="0.25">
      <c r="A1906">
        <v>9457</v>
      </c>
      <c r="B1906" t="s">
        <v>9071</v>
      </c>
      <c r="C1906" t="s">
        <v>5043</v>
      </c>
      <c r="D1906" t="s">
        <v>8401</v>
      </c>
    </row>
    <row r="1907" spans="1:4" ht="15" x14ac:dyDescent="0.25">
      <c r="A1907">
        <v>9610</v>
      </c>
      <c r="B1907" t="s">
        <v>9071</v>
      </c>
      <c r="C1907" t="s">
        <v>5043</v>
      </c>
      <c r="D1907" t="s">
        <v>8401</v>
      </c>
    </row>
    <row r="1908" spans="1:4" ht="15" x14ac:dyDescent="0.25">
      <c r="A1908">
        <v>9639</v>
      </c>
      <c r="B1908" t="s">
        <v>9071</v>
      </c>
      <c r="C1908" t="s">
        <v>5043</v>
      </c>
      <c r="D1908" t="s">
        <v>8401</v>
      </c>
    </row>
    <row r="1909" spans="1:4" ht="15" x14ac:dyDescent="0.25">
      <c r="A1909">
        <v>9659</v>
      </c>
      <c r="B1909" t="s">
        <v>9071</v>
      </c>
      <c r="C1909" t="s">
        <v>5043</v>
      </c>
      <c r="D1909" t="s">
        <v>8401</v>
      </c>
    </row>
    <row r="1910" spans="1:4" ht="15" x14ac:dyDescent="0.25">
      <c r="A1910">
        <v>9875</v>
      </c>
      <c r="B1910" t="s">
        <v>9071</v>
      </c>
      <c r="C1910" t="s">
        <v>5043</v>
      </c>
      <c r="D1910" t="s">
        <v>8401</v>
      </c>
    </row>
    <row r="1911" spans="1:4" ht="15" x14ac:dyDescent="0.25">
      <c r="A1911">
        <v>10534</v>
      </c>
      <c r="B1911" t="s">
        <v>9072</v>
      </c>
      <c r="C1911" t="s">
        <v>5043</v>
      </c>
      <c r="D1911" t="s">
        <v>8401</v>
      </c>
    </row>
    <row r="1912" spans="1:4" ht="15" x14ac:dyDescent="0.25">
      <c r="A1912">
        <v>10945</v>
      </c>
      <c r="B1912" t="s">
        <v>9072</v>
      </c>
      <c r="C1912" t="s">
        <v>5043</v>
      </c>
      <c r="D1912" t="s">
        <v>8401</v>
      </c>
    </row>
    <row r="1913" spans="1:4" ht="15" x14ac:dyDescent="0.25">
      <c r="A1913">
        <v>11015</v>
      </c>
      <c r="B1913" t="s">
        <v>9072</v>
      </c>
      <c r="C1913" t="s">
        <v>5043</v>
      </c>
      <c r="D1913" t="s">
        <v>8401</v>
      </c>
    </row>
    <row r="1914" spans="1:4" ht="15" x14ac:dyDescent="0.25">
      <c r="A1914">
        <v>11272</v>
      </c>
      <c r="B1914" t="s">
        <v>9072</v>
      </c>
      <c r="C1914" t="s">
        <v>5043</v>
      </c>
      <c r="D1914" t="s">
        <v>8401</v>
      </c>
    </row>
    <row r="1915" spans="1:4" ht="15" x14ac:dyDescent="0.25">
      <c r="A1915">
        <v>11300</v>
      </c>
      <c r="B1915" t="s">
        <v>9072</v>
      </c>
      <c r="C1915" t="s">
        <v>5043</v>
      </c>
      <c r="D1915" t="s">
        <v>8401</v>
      </c>
    </row>
    <row r="1916" spans="1:4" ht="15" x14ac:dyDescent="0.25">
      <c r="A1916">
        <v>11426</v>
      </c>
      <c r="B1916" t="s">
        <v>9072</v>
      </c>
      <c r="C1916" t="s">
        <v>5043</v>
      </c>
      <c r="D1916" t="s">
        <v>8401</v>
      </c>
    </row>
    <row r="1917" spans="1:4" ht="15" x14ac:dyDescent="0.25">
      <c r="A1917">
        <v>7160</v>
      </c>
      <c r="B1917" t="s">
        <v>9072</v>
      </c>
      <c r="C1917" t="s">
        <v>5043</v>
      </c>
      <c r="D1917" t="s">
        <v>8401</v>
      </c>
    </row>
    <row r="1918" spans="1:4" ht="15" x14ac:dyDescent="0.25">
      <c r="A1918">
        <v>7616</v>
      </c>
      <c r="B1918" t="s">
        <v>9072</v>
      </c>
      <c r="C1918" t="s">
        <v>5043</v>
      </c>
      <c r="D1918" t="s">
        <v>8401</v>
      </c>
    </row>
    <row r="1919" spans="1:4" ht="15" x14ac:dyDescent="0.25">
      <c r="A1919">
        <v>8406</v>
      </c>
      <c r="B1919" t="s">
        <v>9072</v>
      </c>
      <c r="C1919" t="s">
        <v>5043</v>
      </c>
      <c r="D1919" t="s">
        <v>8401</v>
      </c>
    </row>
    <row r="1920" spans="1:4" ht="15" x14ac:dyDescent="0.25">
      <c r="A1920">
        <v>8659</v>
      </c>
      <c r="B1920" t="s">
        <v>9072</v>
      </c>
      <c r="C1920" t="s">
        <v>5043</v>
      </c>
      <c r="D1920" t="s">
        <v>8401</v>
      </c>
    </row>
    <row r="1921" spans="1:4" ht="15" x14ac:dyDescent="0.25">
      <c r="A1921">
        <v>8775</v>
      </c>
      <c r="B1921" t="s">
        <v>9072</v>
      </c>
      <c r="C1921" t="s">
        <v>5043</v>
      </c>
      <c r="D1921" t="s">
        <v>8401</v>
      </c>
    </row>
    <row r="1922" spans="1:4" ht="15" x14ac:dyDescent="0.25">
      <c r="A1922">
        <v>8789</v>
      </c>
      <c r="B1922" t="s">
        <v>9072</v>
      </c>
      <c r="C1922" t="s">
        <v>5043</v>
      </c>
      <c r="D1922" t="s">
        <v>8401</v>
      </c>
    </row>
    <row r="1923" spans="1:4" ht="15" x14ac:dyDescent="0.25">
      <c r="A1923">
        <v>8797</v>
      </c>
      <c r="B1923" t="s">
        <v>9072</v>
      </c>
      <c r="C1923" t="s">
        <v>5043</v>
      </c>
      <c r="D1923" t="s">
        <v>8401</v>
      </c>
    </row>
    <row r="1924" spans="1:4" ht="15" x14ac:dyDescent="0.25">
      <c r="A1924">
        <v>9164</v>
      </c>
      <c r="B1924" t="s">
        <v>9072</v>
      </c>
      <c r="C1924" t="s">
        <v>5043</v>
      </c>
      <c r="D1924" t="s">
        <v>8401</v>
      </c>
    </row>
    <row r="1925" spans="1:4" ht="15" x14ac:dyDescent="0.25">
      <c r="A1925">
        <v>9243</v>
      </c>
      <c r="B1925" t="s">
        <v>9072</v>
      </c>
      <c r="C1925" t="s">
        <v>5043</v>
      </c>
      <c r="D1925" t="s">
        <v>8401</v>
      </c>
    </row>
    <row r="1926" spans="1:4" ht="15" x14ac:dyDescent="0.25">
      <c r="A1926">
        <v>9291</v>
      </c>
      <c r="B1926" t="s">
        <v>9073</v>
      </c>
      <c r="C1926" t="s">
        <v>5043</v>
      </c>
      <c r="D1926" t="s">
        <v>8401</v>
      </c>
    </row>
    <row r="1927" spans="1:4" ht="15" x14ac:dyDescent="0.25">
      <c r="A1927">
        <v>8739</v>
      </c>
      <c r="B1927" t="s">
        <v>10917</v>
      </c>
      <c r="C1927" t="s">
        <v>5043</v>
      </c>
      <c r="D1927" t="s">
        <v>8401</v>
      </c>
    </row>
    <row r="1928" spans="1:4" ht="15" x14ac:dyDescent="0.25">
      <c r="A1928">
        <v>10216</v>
      </c>
      <c r="B1928" t="s">
        <v>10918</v>
      </c>
      <c r="C1928" t="s">
        <v>5043</v>
      </c>
      <c r="D1928" t="s">
        <v>8401</v>
      </c>
    </row>
    <row r="1929" spans="1:4" ht="15" x14ac:dyDescent="0.25">
      <c r="A1929">
        <v>11857</v>
      </c>
      <c r="B1929" t="s">
        <v>10918</v>
      </c>
      <c r="C1929" t="s">
        <v>5043</v>
      </c>
      <c r="D1929" t="s">
        <v>8401</v>
      </c>
    </row>
    <row r="1930" spans="1:4" ht="15" x14ac:dyDescent="0.25">
      <c r="A1930">
        <v>6798</v>
      </c>
      <c r="B1930" t="s">
        <v>10918</v>
      </c>
      <c r="C1930" t="s">
        <v>5043</v>
      </c>
      <c r="D1930" t="s">
        <v>8401</v>
      </c>
    </row>
    <row r="1931" spans="1:4" ht="15" x14ac:dyDescent="0.25">
      <c r="A1931">
        <v>8360</v>
      </c>
      <c r="B1931" t="s">
        <v>10918</v>
      </c>
      <c r="C1931" t="s">
        <v>5043</v>
      </c>
      <c r="D1931" t="s">
        <v>8401</v>
      </c>
    </row>
    <row r="1932" spans="1:4" ht="15" x14ac:dyDescent="0.25">
      <c r="A1932">
        <v>9748</v>
      </c>
      <c r="B1932" t="s">
        <v>10918</v>
      </c>
      <c r="C1932" t="s">
        <v>5043</v>
      </c>
      <c r="D1932" t="s">
        <v>8401</v>
      </c>
    </row>
    <row r="1933" spans="1:4" ht="15" x14ac:dyDescent="0.25">
      <c r="A1933">
        <v>9920</v>
      </c>
      <c r="B1933" t="s">
        <v>10918</v>
      </c>
      <c r="C1933" t="s">
        <v>5043</v>
      </c>
      <c r="D1933" t="s">
        <v>8401</v>
      </c>
    </row>
    <row r="1934" spans="1:4" ht="15" x14ac:dyDescent="0.25">
      <c r="A1934">
        <v>9786</v>
      </c>
      <c r="B1934" t="s">
        <v>10919</v>
      </c>
      <c r="C1934" t="s">
        <v>5043</v>
      </c>
      <c r="D1934" t="s">
        <v>8401</v>
      </c>
    </row>
    <row r="1935" spans="1:4" ht="15" x14ac:dyDescent="0.25">
      <c r="A1935">
        <v>8969</v>
      </c>
      <c r="B1935" t="s">
        <v>10920</v>
      </c>
      <c r="C1935" t="s">
        <v>5043</v>
      </c>
      <c r="D1935" t="s">
        <v>8401</v>
      </c>
    </row>
    <row r="1936" spans="1:4" ht="15" x14ac:dyDescent="0.25">
      <c r="A1936">
        <v>11255</v>
      </c>
      <c r="B1936" t="s">
        <v>10921</v>
      </c>
      <c r="C1936" t="s">
        <v>5043</v>
      </c>
      <c r="D1936" t="s">
        <v>8401</v>
      </c>
    </row>
    <row r="1937" spans="1:4" ht="15" x14ac:dyDescent="0.25">
      <c r="A1937">
        <v>10195</v>
      </c>
      <c r="B1937" t="s">
        <v>10922</v>
      </c>
      <c r="C1937" t="s">
        <v>5043</v>
      </c>
      <c r="D1937" t="s">
        <v>8401</v>
      </c>
    </row>
    <row r="1938" spans="1:4" ht="15" x14ac:dyDescent="0.25">
      <c r="A1938">
        <v>7454</v>
      </c>
      <c r="B1938" t="s">
        <v>10922</v>
      </c>
      <c r="C1938" t="s">
        <v>5043</v>
      </c>
      <c r="D1938" t="s">
        <v>8401</v>
      </c>
    </row>
    <row r="1939" spans="1:4" ht="15" x14ac:dyDescent="0.25">
      <c r="A1939">
        <v>11353</v>
      </c>
      <c r="B1939" t="s">
        <v>10923</v>
      </c>
      <c r="C1939" t="s">
        <v>5043</v>
      </c>
      <c r="D1939" t="s">
        <v>8401</v>
      </c>
    </row>
    <row r="1940" spans="1:4" ht="15" x14ac:dyDescent="0.25">
      <c r="A1940">
        <v>8390</v>
      </c>
      <c r="B1940" t="s">
        <v>10923</v>
      </c>
      <c r="C1940" t="s">
        <v>5043</v>
      </c>
      <c r="D1940" t="s">
        <v>8401</v>
      </c>
    </row>
    <row r="1941" spans="1:4" ht="15" x14ac:dyDescent="0.25">
      <c r="A1941">
        <v>10631</v>
      </c>
      <c r="B1941" t="s">
        <v>9074</v>
      </c>
      <c r="C1941" t="s">
        <v>5043</v>
      </c>
      <c r="D1941" t="s">
        <v>8401</v>
      </c>
    </row>
    <row r="1942" spans="1:4" ht="15" x14ac:dyDescent="0.25">
      <c r="A1942">
        <v>11198</v>
      </c>
      <c r="B1942" t="s">
        <v>9074</v>
      </c>
      <c r="C1942" t="s">
        <v>5043</v>
      </c>
      <c r="D1942" t="s">
        <v>8401</v>
      </c>
    </row>
    <row r="1943" spans="1:4" ht="15" x14ac:dyDescent="0.25">
      <c r="A1943">
        <v>12034</v>
      </c>
      <c r="B1943" t="s">
        <v>9074</v>
      </c>
      <c r="C1943" t="s">
        <v>5043</v>
      </c>
      <c r="D1943" t="s">
        <v>8401</v>
      </c>
    </row>
    <row r="1944" spans="1:4" ht="15" x14ac:dyDescent="0.25">
      <c r="A1944">
        <v>7362</v>
      </c>
      <c r="B1944" t="s">
        <v>9074</v>
      </c>
      <c r="C1944" t="s">
        <v>5043</v>
      </c>
      <c r="D1944" t="s">
        <v>8401</v>
      </c>
    </row>
    <row r="1945" spans="1:4" ht="15" x14ac:dyDescent="0.25">
      <c r="A1945">
        <v>7603</v>
      </c>
      <c r="B1945" t="s">
        <v>9074</v>
      </c>
      <c r="C1945" t="s">
        <v>5043</v>
      </c>
      <c r="D1945" t="s">
        <v>8401</v>
      </c>
    </row>
    <row r="1946" spans="1:4" ht="15" x14ac:dyDescent="0.25">
      <c r="A1946">
        <v>8297</v>
      </c>
      <c r="B1946" t="s">
        <v>9074</v>
      </c>
      <c r="C1946" t="s">
        <v>5043</v>
      </c>
      <c r="D1946" t="s">
        <v>8401</v>
      </c>
    </row>
    <row r="1947" spans="1:4" ht="15" x14ac:dyDescent="0.25">
      <c r="A1947">
        <v>8486</v>
      </c>
      <c r="B1947" t="s">
        <v>9074</v>
      </c>
      <c r="C1947" t="s">
        <v>5043</v>
      </c>
      <c r="D1947" t="s">
        <v>8401</v>
      </c>
    </row>
    <row r="1948" spans="1:4" ht="15" x14ac:dyDescent="0.25">
      <c r="A1948">
        <v>9557</v>
      </c>
      <c r="B1948" t="s">
        <v>9074</v>
      </c>
      <c r="C1948" t="s">
        <v>5043</v>
      </c>
      <c r="D1948" t="s">
        <v>8401</v>
      </c>
    </row>
    <row r="1949" spans="1:4" ht="15" x14ac:dyDescent="0.25">
      <c r="A1949">
        <v>11589</v>
      </c>
      <c r="B1949" t="s">
        <v>10924</v>
      </c>
      <c r="C1949" t="s">
        <v>5043</v>
      </c>
      <c r="D1949" t="s">
        <v>8401</v>
      </c>
    </row>
    <row r="1950" spans="1:4" ht="15" x14ac:dyDescent="0.25">
      <c r="A1950">
        <v>7010</v>
      </c>
      <c r="B1950" t="s">
        <v>10924</v>
      </c>
      <c r="C1950" t="s">
        <v>5043</v>
      </c>
      <c r="D1950" t="s">
        <v>8401</v>
      </c>
    </row>
    <row r="1951" spans="1:4" ht="15" x14ac:dyDescent="0.25">
      <c r="A1951">
        <v>6776</v>
      </c>
      <c r="B1951" t="s">
        <v>9075</v>
      </c>
      <c r="C1951" t="s">
        <v>5043</v>
      </c>
      <c r="D1951" t="s">
        <v>8401</v>
      </c>
    </row>
    <row r="1952" spans="1:4" ht="15" x14ac:dyDescent="0.25">
      <c r="A1952">
        <v>9062</v>
      </c>
      <c r="B1952" t="s">
        <v>9075</v>
      </c>
      <c r="C1952" t="s">
        <v>5043</v>
      </c>
      <c r="D1952" t="s">
        <v>8401</v>
      </c>
    </row>
    <row r="1953" spans="1:4" ht="15" x14ac:dyDescent="0.25">
      <c r="A1953">
        <v>10512</v>
      </c>
      <c r="B1953" t="s">
        <v>9076</v>
      </c>
      <c r="C1953" t="s">
        <v>5043</v>
      </c>
      <c r="D1953" t="s">
        <v>8401</v>
      </c>
    </row>
    <row r="1954" spans="1:4" ht="15" x14ac:dyDescent="0.25">
      <c r="A1954">
        <v>9932</v>
      </c>
      <c r="B1954" t="s">
        <v>9076</v>
      </c>
      <c r="C1954" t="s">
        <v>5043</v>
      </c>
      <c r="D1954" t="s">
        <v>8401</v>
      </c>
    </row>
    <row r="1955" spans="1:4" ht="15" x14ac:dyDescent="0.25">
      <c r="A1955">
        <v>10349</v>
      </c>
      <c r="B1955" t="s">
        <v>9077</v>
      </c>
      <c r="C1955" t="s">
        <v>5043</v>
      </c>
      <c r="D1955" t="s">
        <v>8401</v>
      </c>
    </row>
    <row r="1956" spans="1:4" ht="15" x14ac:dyDescent="0.25">
      <c r="A1956">
        <v>10747</v>
      </c>
      <c r="B1956" t="s">
        <v>9077</v>
      </c>
      <c r="C1956" t="s">
        <v>5043</v>
      </c>
      <c r="D1956" t="s">
        <v>8401</v>
      </c>
    </row>
    <row r="1957" spans="1:4" ht="15" x14ac:dyDescent="0.25">
      <c r="A1957">
        <v>11543</v>
      </c>
      <c r="B1957" t="s">
        <v>9077</v>
      </c>
      <c r="C1957" t="s">
        <v>5043</v>
      </c>
      <c r="D1957" t="s">
        <v>8401</v>
      </c>
    </row>
    <row r="1958" spans="1:4" ht="15" x14ac:dyDescent="0.25">
      <c r="A1958">
        <v>12111</v>
      </c>
      <c r="B1958" t="s">
        <v>9077</v>
      </c>
      <c r="C1958" t="s">
        <v>5043</v>
      </c>
      <c r="D1958" t="s">
        <v>8401</v>
      </c>
    </row>
    <row r="1959" spans="1:4" ht="15" x14ac:dyDescent="0.25">
      <c r="A1959">
        <v>8340</v>
      </c>
      <c r="B1959" t="s">
        <v>9077</v>
      </c>
      <c r="C1959" t="s">
        <v>5043</v>
      </c>
      <c r="D1959" t="s">
        <v>8401</v>
      </c>
    </row>
    <row r="1960" spans="1:4" ht="15" x14ac:dyDescent="0.25">
      <c r="A1960">
        <v>8636</v>
      </c>
      <c r="B1960" t="s">
        <v>9077</v>
      </c>
      <c r="C1960" t="s">
        <v>5043</v>
      </c>
      <c r="D1960" t="s">
        <v>8401</v>
      </c>
    </row>
    <row r="1961" spans="1:4" ht="15" x14ac:dyDescent="0.25">
      <c r="A1961">
        <v>8666</v>
      </c>
      <c r="B1961" t="s">
        <v>9077</v>
      </c>
      <c r="C1961" t="s">
        <v>5043</v>
      </c>
      <c r="D1961" t="s">
        <v>8401</v>
      </c>
    </row>
    <row r="1962" spans="1:4" ht="15" x14ac:dyDescent="0.25">
      <c r="A1962">
        <v>9860</v>
      </c>
      <c r="B1962" t="s">
        <v>10925</v>
      </c>
      <c r="C1962" t="s">
        <v>5043</v>
      </c>
      <c r="D1962" t="s">
        <v>8401</v>
      </c>
    </row>
    <row r="1963" spans="1:4" ht="15" x14ac:dyDescent="0.25">
      <c r="A1963">
        <v>11232</v>
      </c>
      <c r="B1963" t="s">
        <v>10926</v>
      </c>
      <c r="C1963" t="s">
        <v>5043</v>
      </c>
      <c r="D1963" t="s">
        <v>8401</v>
      </c>
    </row>
    <row r="1964" spans="1:4" ht="15" x14ac:dyDescent="0.25">
      <c r="A1964">
        <v>7245</v>
      </c>
      <c r="B1964" t="s">
        <v>10926</v>
      </c>
      <c r="C1964" t="s">
        <v>5043</v>
      </c>
      <c r="D1964" t="s">
        <v>8401</v>
      </c>
    </row>
    <row r="1965" spans="1:4" ht="15" x14ac:dyDescent="0.25">
      <c r="A1965">
        <v>10203</v>
      </c>
      <c r="B1965" t="s">
        <v>10927</v>
      </c>
      <c r="C1965" t="s">
        <v>5043</v>
      </c>
      <c r="D1965" t="s">
        <v>8401</v>
      </c>
    </row>
    <row r="1966" spans="1:4" ht="15" x14ac:dyDescent="0.25">
      <c r="A1966">
        <v>9767</v>
      </c>
      <c r="B1966" t="s">
        <v>10927</v>
      </c>
      <c r="C1966" t="s">
        <v>5043</v>
      </c>
      <c r="D1966" t="s">
        <v>8401</v>
      </c>
    </row>
    <row r="1967" spans="1:4" ht="15" x14ac:dyDescent="0.25">
      <c r="A1967">
        <v>8669</v>
      </c>
      <c r="B1967" t="s">
        <v>9078</v>
      </c>
      <c r="C1967" t="s">
        <v>5043</v>
      </c>
      <c r="D1967" t="s">
        <v>8401</v>
      </c>
    </row>
    <row r="1968" spans="1:4" ht="15" x14ac:dyDescent="0.25">
      <c r="A1968">
        <v>10878</v>
      </c>
      <c r="B1968" t="s">
        <v>10928</v>
      </c>
      <c r="C1968" t="s">
        <v>5043</v>
      </c>
      <c r="D1968" t="s">
        <v>8401</v>
      </c>
    </row>
    <row r="1969" spans="1:4" ht="15" x14ac:dyDescent="0.25">
      <c r="A1969">
        <v>11921</v>
      </c>
      <c r="B1969" t="s">
        <v>10928</v>
      </c>
      <c r="C1969" t="s">
        <v>5043</v>
      </c>
      <c r="D1969" t="s">
        <v>8401</v>
      </c>
    </row>
    <row r="1970" spans="1:4" ht="15" x14ac:dyDescent="0.25">
      <c r="A1970">
        <v>11942</v>
      </c>
      <c r="B1970" t="s">
        <v>10928</v>
      </c>
      <c r="C1970" t="s">
        <v>5043</v>
      </c>
      <c r="D1970" t="s">
        <v>8401</v>
      </c>
    </row>
    <row r="1971" spans="1:4" ht="15" x14ac:dyDescent="0.25">
      <c r="A1971">
        <v>7200</v>
      </c>
      <c r="B1971" t="s">
        <v>10928</v>
      </c>
      <c r="C1971" t="s">
        <v>5043</v>
      </c>
      <c r="D1971" t="s">
        <v>8401</v>
      </c>
    </row>
    <row r="1972" spans="1:4" ht="15" x14ac:dyDescent="0.25">
      <c r="A1972">
        <v>7774</v>
      </c>
      <c r="B1972" t="s">
        <v>10928</v>
      </c>
      <c r="C1972" t="s">
        <v>5043</v>
      </c>
      <c r="D1972" t="s">
        <v>8401</v>
      </c>
    </row>
    <row r="1973" spans="1:4" ht="15" x14ac:dyDescent="0.25">
      <c r="A1973">
        <v>8974</v>
      </c>
      <c r="B1973" t="s">
        <v>10928</v>
      </c>
      <c r="C1973" t="s">
        <v>5043</v>
      </c>
      <c r="D1973" t="s">
        <v>8401</v>
      </c>
    </row>
    <row r="1974" spans="1:4" ht="15" x14ac:dyDescent="0.25">
      <c r="A1974">
        <v>9535</v>
      </c>
      <c r="B1974" t="s">
        <v>10928</v>
      </c>
      <c r="C1974" t="s">
        <v>5043</v>
      </c>
      <c r="D1974" t="s">
        <v>8401</v>
      </c>
    </row>
    <row r="1975" spans="1:4" ht="15" x14ac:dyDescent="0.25">
      <c r="A1975">
        <v>9543</v>
      </c>
      <c r="B1975" t="s">
        <v>10928</v>
      </c>
      <c r="C1975" t="s">
        <v>5043</v>
      </c>
      <c r="D1975" t="s">
        <v>8401</v>
      </c>
    </row>
    <row r="1976" spans="1:4" ht="15" x14ac:dyDescent="0.25">
      <c r="A1976">
        <v>9940</v>
      </c>
      <c r="B1976" t="s">
        <v>10928</v>
      </c>
      <c r="C1976" t="s">
        <v>5043</v>
      </c>
      <c r="D1976" t="s">
        <v>8401</v>
      </c>
    </row>
    <row r="1977" spans="1:4" ht="15" x14ac:dyDescent="0.25">
      <c r="A1977">
        <v>10460</v>
      </c>
      <c r="B1977" t="s">
        <v>10929</v>
      </c>
      <c r="C1977" t="s">
        <v>5043</v>
      </c>
      <c r="D1977" t="s">
        <v>8401</v>
      </c>
    </row>
    <row r="1978" spans="1:4" ht="15" x14ac:dyDescent="0.25">
      <c r="A1978">
        <v>8425</v>
      </c>
      <c r="B1978" t="s">
        <v>10930</v>
      </c>
      <c r="C1978" t="s">
        <v>5043</v>
      </c>
      <c r="D1978" t="s">
        <v>8401</v>
      </c>
    </row>
    <row r="1979" spans="1:4" ht="15" x14ac:dyDescent="0.25">
      <c r="A1979">
        <v>10547</v>
      </c>
      <c r="B1979" t="s">
        <v>9079</v>
      </c>
      <c r="C1979" t="s">
        <v>5043</v>
      </c>
      <c r="D1979" t="s">
        <v>8401</v>
      </c>
    </row>
    <row r="1980" spans="1:4" ht="15" x14ac:dyDescent="0.25">
      <c r="A1980">
        <v>8607</v>
      </c>
      <c r="B1980" t="s">
        <v>9079</v>
      </c>
      <c r="C1980" t="s">
        <v>5043</v>
      </c>
      <c r="D1980" t="s">
        <v>8401</v>
      </c>
    </row>
    <row r="1981" spans="1:4" ht="15" x14ac:dyDescent="0.25">
      <c r="A1981">
        <v>9677</v>
      </c>
      <c r="B1981" t="s">
        <v>10931</v>
      </c>
      <c r="C1981" t="s">
        <v>5043</v>
      </c>
      <c r="D1981" t="s">
        <v>8401</v>
      </c>
    </row>
    <row r="1982" spans="1:4" ht="15" x14ac:dyDescent="0.25">
      <c r="A1982">
        <v>10087</v>
      </c>
      <c r="B1982" t="s">
        <v>10932</v>
      </c>
      <c r="C1982" t="s">
        <v>5043</v>
      </c>
      <c r="D1982" t="s">
        <v>8401</v>
      </c>
    </row>
    <row r="1983" spans="1:4" ht="15" x14ac:dyDescent="0.25">
      <c r="A1983">
        <v>251599</v>
      </c>
      <c r="B1983" t="s">
        <v>10932</v>
      </c>
      <c r="C1983" t="s">
        <v>5043</v>
      </c>
      <c r="D1983" t="s">
        <v>8401</v>
      </c>
    </row>
    <row r="1984" spans="1:4" ht="15" x14ac:dyDescent="0.25">
      <c r="A1984">
        <v>6756</v>
      </c>
      <c r="B1984" t="s">
        <v>10932</v>
      </c>
      <c r="C1984" t="s">
        <v>5043</v>
      </c>
      <c r="D1984" t="s">
        <v>8401</v>
      </c>
    </row>
    <row r="1985" spans="1:4" ht="15" x14ac:dyDescent="0.25">
      <c r="A1985">
        <v>8764</v>
      </c>
      <c r="B1985" t="s">
        <v>10932</v>
      </c>
      <c r="C1985" t="s">
        <v>5043</v>
      </c>
      <c r="D1985" t="s">
        <v>8401</v>
      </c>
    </row>
    <row r="1986" spans="1:4" ht="15" x14ac:dyDescent="0.25">
      <c r="A1986">
        <v>11151</v>
      </c>
      <c r="B1986" t="s">
        <v>10933</v>
      </c>
      <c r="C1986" t="s">
        <v>5043</v>
      </c>
      <c r="D1986" t="s">
        <v>8401</v>
      </c>
    </row>
    <row r="1987" spans="1:4" ht="15" x14ac:dyDescent="0.25">
      <c r="A1987">
        <v>12071</v>
      </c>
      <c r="B1987" t="s">
        <v>10933</v>
      </c>
      <c r="C1987" t="s">
        <v>5043</v>
      </c>
      <c r="D1987" t="s">
        <v>8401</v>
      </c>
    </row>
    <row r="1988" spans="1:4" ht="15" x14ac:dyDescent="0.25">
      <c r="A1988">
        <v>7287</v>
      </c>
      <c r="B1988" t="s">
        <v>10933</v>
      </c>
      <c r="C1988" t="s">
        <v>5043</v>
      </c>
      <c r="D1988" t="s">
        <v>8401</v>
      </c>
    </row>
    <row r="1989" spans="1:4" ht="15" x14ac:dyDescent="0.25">
      <c r="A1989">
        <v>7681</v>
      </c>
      <c r="B1989" t="s">
        <v>10933</v>
      </c>
      <c r="C1989" t="s">
        <v>5043</v>
      </c>
      <c r="D1989" t="s">
        <v>8401</v>
      </c>
    </row>
    <row r="1990" spans="1:4" ht="15" x14ac:dyDescent="0.25">
      <c r="A1990">
        <v>9073</v>
      </c>
      <c r="B1990" t="s">
        <v>10933</v>
      </c>
      <c r="C1990" t="s">
        <v>5043</v>
      </c>
      <c r="D1990" t="s">
        <v>8401</v>
      </c>
    </row>
    <row r="1991" spans="1:4" ht="15" x14ac:dyDescent="0.25">
      <c r="A1991">
        <v>9911</v>
      </c>
      <c r="B1991" t="s">
        <v>10933</v>
      </c>
      <c r="C1991" t="s">
        <v>5043</v>
      </c>
      <c r="D1991" t="s">
        <v>8401</v>
      </c>
    </row>
    <row r="1992" spans="1:4" ht="15" x14ac:dyDescent="0.25">
      <c r="A1992">
        <v>12012</v>
      </c>
      <c r="B1992" t="s">
        <v>9080</v>
      </c>
      <c r="C1992" t="s">
        <v>5043</v>
      </c>
      <c r="D1992" t="s">
        <v>8401</v>
      </c>
    </row>
    <row r="1993" spans="1:4" ht="15" x14ac:dyDescent="0.25">
      <c r="A1993">
        <v>12022</v>
      </c>
      <c r="B1993" t="s">
        <v>9080</v>
      </c>
      <c r="C1993" t="s">
        <v>5043</v>
      </c>
      <c r="D1993" t="s">
        <v>8401</v>
      </c>
    </row>
    <row r="1994" spans="1:4" ht="15" x14ac:dyDescent="0.25">
      <c r="A1994">
        <v>12086</v>
      </c>
      <c r="B1994" t="s">
        <v>9080</v>
      </c>
      <c r="C1994" t="s">
        <v>5043</v>
      </c>
      <c r="D1994" t="s">
        <v>8401</v>
      </c>
    </row>
    <row r="1995" spans="1:4" ht="15" x14ac:dyDescent="0.25">
      <c r="A1995">
        <v>7634</v>
      </c>
      <c r="B1995" t="s">
        <v>9080</v>
      </c>
      <c r="C1995" t="s">
        <v>5043</v>
      </c>
      <c r="D1995" t="s">
        <v>8401</v>
      </c>
    </row>
    <row r="1996" spans="1:4" ht="15" x14ac:dyDescent="0.25">
      <c r="A1996">
        <v>8979</v>
      </c>
      <c r="B1996" t="s">
        <v>9080</v>
      </c>
      <c r="C1996" t="s">
        <v>5043</v>
      </c>
      <c r="D1996" t="s">
        <v>8401</v>
      </c>
    </row>
    <row r="1997" spans="1:4" ht="15" x14ac:dyDescent="0.25">
      <c r="A1997">
        <v>9242</v>
      </c>
      <c r="B1997" t="s">
        <v>9080</v>
      </c>
      <c r="C1997" t="s">
        <v>5043</v>
      </c>
      <c r="D1997" t="s">
        <v>8401</v>
      </c>
    </row>
    <row r="1998" spans="1:4" ht="15" x14ac:dyDescent="0.25">
      <c r="A1998">
        <v>9198</v>
      </c>
      <c r="B1998" t="s">
        <v>10934</v>
      </c>
      <c r="C1998" t="s">
        <v>5043</v>
      </c>
      <c r="D1998" t="s">
        <v>8401</v>
      </c>
    </row>
    <row r="1999" spans="1:4" ht="15" x14ac:dyDescent="0.25">
      <c r="A1999">
        <v>10439</v>
      </c>
      <c r="B1999" t="s">
        <v>10935</v>
      </c>
      <c r="C1999" t="s">
        <v>5043</v>
      </c>
      <c r="D1999" t="s">
        <v>8401</v>
      </c>
    </row>
    <row r="2000" spans="1:4" ht="15" x14ac:dyDescent="0.25">
      <c r="A2000">
        <v>9728</v>
      </c>
      <c r="B2000" t="s">
        <v>10936</v>
      </c>
      <c r="C2000" t="s">
        <v>5043</v>
      </c>
      <c r="D2000" t="s">
        <v>8401</v>
      </c>
    </row>
    <row r="2001" spans="1:4" ht="15" x14ac:dyDescent="0.25">
      <c r="A2001">
        <v>7424</v>
      </c>
      <c r="B2001" t="s">
        <v>10937</v>
      </c>
      <c r="C2001" t="s">
        <v>5043</v>
      </c>
      <c r="D2001" t="s">
        <v>8401</v>
      </c>
    </row>
    <row r="2002" spans="1:4" ht="15" x14ac:dyDescent="0.25">
      <c r="A2002">
        <v>8138</v>
      </c>
      <c r="B2002" t="s">
        <v>10938</v>
      </c>
      <c r="C2002" t="s">
        <v>5043</v>
      </c>
      <c r="D2002" t="s">
        <v>8401</v>
      </c>
    </row>
    <row r="2003" spans="1:4" ht="15" x14ac:dyDescent="0.25">
      <c r="A2003">
        <v>11036</v>
      </c>
      <c r="B2003" t="s">
        <v>9081</v>
      </c>
      <c r="C2003" t="s">
        <v>5043</v>
      </c>
      <c r="D2003" t="s">
        <v>8401</v>
      </c>
    </row>
    <row r="2004" spans="1:4" ht="15" x14ac:dyDescent="0.25">
      <c r="A2004">
        <v>11177</v>
      </c>
      <c r="B2004" t="s">
        <v>9081</v>
      </c>
      <c r="C2004" t="s">
        <v>5043</v>
      </c>
      <c r="D2004" t="s">
        <v>8401</v>
      </c>
    </row>
    <row r="2005" spans="1:4" ht="15" x14ac:dyDescent="0.25">
      <c r="A2005">
        <v>8247</v>
      </c>
      <c r="B2005" t="s">
        <v>9081</v>
      </c>
      <c r="C2005" t="s">
        <v>5043</v>
      </c>
      <c r="D2005" t="s">
        <v>8401</v>
      </c>
    </row>
    <row r="2006" spans="1:4" ht="15" x14ac:dyDescent="0.25">
      <c r="A2006">
        <v>9690</v>
      </c>
      <c r="B2006" t="s">
        <v>9081</v>
      </c>
      <c r="C2006" t="s">
        <v>5043</v>
      </c>
      <c r="D2006" t="s">
        <v>8401</v>
      </c>
    </row>
    <row r="2007" spans="1:4" ht="15" x14ac:dyDescent="0.25">
      <c r="A2007">
        <v>9222</v>
      </c>
      <c r="B2007" t="s">
        <v>9082</v>
      </c>
      <c r="C2007" t="s">
        <v>5043</v>
      </c>
      <c r="D2007" t="s">
        <v>8401</v>
      </c>
    </row>
    <row r="2008" spans="1:4" ht="15" x14ac:dyDescent="0.25">
      <c r="A2008">
        <v>10383</v>
      </c>
      <c r="B2008" t="s">
        <v>9083</v>
      </c>
      <c r="C2008" t="s">
        <v>5043</v>
      </c>
      <c r="D2008" t="s">
        <v>8401</v>
      </c>
    </row>
    <row r="2009" spans="1:4" ht="15" x14ac:dyDescent="0.25">
      <c r="A2009">
        <v>9551</v>
      </c>
      <c r="B2009" t="s">
        <v>9083</v>
      </c>
      <c r="C2009" t="s">
        <v>5043</v>
      </c>
      <c r="D2009" t="s">
        <v>8401</v>
      </c>
    </row>
    <row r="2010" spans="1:4" ht="15" x14ac:dyDescent="0.25">
      <c r="A2010">
        <v>9914</v>
      </c>
      <c r="B2010" t="s">
        <v>9083</v>
      </c>
      <c r="C2010" t="s">
        <v>5043</v>
      </c>
      <c r="D2010" t="s">
        <v>8401</v>
      </c>
    </row>
    <row r="2011" spans="1:4" ht="15" x14ac:dyDescent="0.25">
      <c r="A2011">
        <v>8866</v>
      </c>
      <c r="B2011" t="s">
        <v>9084</v>
      </c>
      <c r="C2011" t="s">
        <v>5043</v>
      </c>
      <c r="D2011" t="s">
        <v>8401</v>
      </c>
    </row>
    <row r="2012" spans="1:4" ht="15" x14ac:dyDescent="0.25">
      <c r="A2012">
        <v>9644</v>
      </c>
      <c r="B2012" t="s">
        <v>9084</v>
      </c>
      <c r="C2012" t="s">
        <v>5043</v>
      </c>
      <c r="D2012" t="s">
        <v>8401</v>
      </c>
    </row>
    <row r="2013" spans="1:4" ht="15" x14ac:dyDescent="0.25">
      <c r="A2013">
        <v>7204</v>
      </c>
      <c r="B2013" t="s">
        <v>10939</v>
      </c>
      <c r="C2013" t="s">
        <v>5043</v>
      </c>
      <c r="D2013" t="s">
        <v>8401</v>
      </c>
    </row>
    <row r="2014" spans="1:4" ht="15" x14ac:dyDescent="0.25">
      <c r="A2014">
        <v>7609</v>
      </c>
      <c r="B2014" t="s">
        <v>10940</v>
      </c>
      <c r="C2014" t="s">
        <v>5043</v>
      </c>
      <c r="D2014" t="s">
        <v>8401</v>
      </c>
    </row>
    <row r="2015" spans="1:4" ht="15" x14ac:dyDescent="0.25">
      <c r="A2015">
        <v>9943</v>
      </c>
      <c r="B2015" t="s">
        <v>10940</v>
      </c>
      <c r="C2015" t="s">
        <v>5043</v>
      </c>
      <c r="D2015" t="s">
        <v>8401</v>
      </c>
    </row>
    <row r="2016" spans="1:4" ht="15" x14ac:dyDescent="0.25">
      <c r="A2016">
        <v>8749</v>
      </c>
      <c r="B2016" t="s">
        <v>9085</v>
      </c>
      <c r="C2016" t="s">
        <v>5043</v>
      </c>
      <c r="D2016" t="s">
        <v>8401</v>
      </c>
    </row>
    <row r="2017" spans="1:4" ht="15" x14ac:dyDescent="0.25">
      <c r="A2017">
        <v>10049</v>
      </c>
      <c r="B2017" t="s">
        <v>9086</v>
      </c>
      <c r="C2017" t="s">
        <v>5043</v>
      </c>
      <c r="D2017" t="s">
        <v>8401</v>
      </c>
    </row>
    <row r="2018" spans="1:4" ht="15" x14ac:dyDescent="0.25">
      <c r="A2018">
        <v>10503</v>
      </c>
      <c r="B2018" t="s">
        <v>9086</v>
      </c>
      <c r="C2018" t="s">
        <v>5043</v>
      </c>
      <c r="D2018" t="s">
        <v>8401</v>
      </c>
    </row>
    <row r="2019" spans="1:4" ht="15" x14ac:dyDescent="0.25">
      <c r="A2019">
        <v>11223</v>
      </c>
      <c r="B2019" t="s">
        <v>9086</v>
      </c>
      <c r="C2019" t="s">
        <v>5043</v>
      </c>
      <c r="D2019" t="s">
        <v>8401</v>
      </c>
    </row>
    <row r="2020" spans="1:4" ht="15" x14ac:dyDescent="0.25">
      <c r="A2020">
        <v>11274</v>
      </c>
      <c r="B2020" t="s">
        <v>9086</v>
      </c>
      <c r="C2020" t="s">
        <v>5043</v>
      </c>
      <c r="D2020" t="s">
        <v>8401</v>
      </c>
    </row>
    <row r="2021" spans="1:4" ht="15" x14ac:dyDescent="0.25">
      <c r="A2021">
        <v>11408</v>
      </c>
      <c r="B2021" t="s">
        <v>9086</v>
      </c>
      <c r="C2021" t="s">
        <v>5043</v>
      </c>
      <c r="D2021" t="s">
        <v>8401</v>
      </c>
    </row>
    <row r="2022" spans="1:4" ht="15" x14ac:dyDescent="0.25">
      <c r="A2022">
        <v>6841</v>
      </c>
      <c r="B2022" t="s">
        <v>9086</v>
      </c>
      <c r="C2022" t="s">
        <v>5043</v>
      </c>
      <c r="D2022" t="s">
        <v>8401</v>
      </c>
    </row>
    <row r="2023" spans="1:4" ht="15" x14ac:dyDescent="0.25">
      <c r="A2023">
        <v>7022</v>
      </c>
      <c r="B2023" t="s">
        <v>9086</v>
      </c>
      <c r="C2023" t="s">
        <v>5043</v>
      </c>
      <c r="D2023" t="s">
        <v>8401</v>
      </c>
    </row>
    <row r="2024" spans="1:4" ht="15" x14ac:dyDescent="0.25">
      <c r="A2024">
        <v>7113</v>
      </c>
      <c r="B2024" t="s">
        <v>9086</v>
      </c>
      <c r="C2024" t="s">
        <v>5043</v>
      </c>
      <c r="D2024" t="s">
        <v>8401</v>
      </c>
    </row>
    <row r="2025" spans="1:4" ht="15" x14ac:dyDescent="0.25">
      <c r="A2025">
        <v>7187</v>
      </c>
      <c r="B2025" t="s">
        <v>9086</v>
      </c>
      <c r="C2025" t="s">
        <v>5043</v>
      </c>
      <c r="D2025" t="s">
        <v>8401</v>
      </c>
    </row>
    <row r="2026" spans="1:4" ht="15" x14ac:dyDescent="0.25">
      <c r="A2026">
        <v>7401</v>
      </c>
      <c r="B2026" t="s">
        <v>9086</v>
      </c>
      <c r="C2026" t="s">
        <v>5043</v>
      </c>
      <c r="D2026" t="s">
        <v>8401</v>
      </c>
    </row>
    <row r="2027" spans="1:4" ht="15" x14ac:dyDescent="0.25">
      <c r="A2027">
        <v>8029</v>
      </c>
      <c r="B2027" t="s">
        <v>9086</v>
      </c>
      <c r="C2027" t="s">
        <v>5043</v>
      </c>
      <c r="D2027" t="s">
        <v>8401</v>
      </c>
    </row>
    <row r="2028" spans="1:4" ht="15" x14ac:dyDescent="0.25">
      <c r="A2028">
        <v>9030</v>
      </c>
      <c r="B2028" t="s">
        <v>9086</v>
      </c>
      <c r="C2028" t="s">
        <v>5043</v>
      </c>
      <c r="D2028" t="s">
        <v>8401</v>
      </c>
    </row>
    <row r="2029" spans="1:4" ht="15" x14ac:dyDescent="0.25">
      <c r="A2029">
        <v>9300</v>
      </c>
      <c r="B2029" t="s">
        <v>9086</v>
      </c>
      <c r="C2029" t="s">
        <v>5043</v>
      </c>
      <c r="D2029" t="s">
        <v>8401</v>
      </c>
    </row>
    <row r="2030" spans="1:4" ht="15" x14ac:dyDescent="0.25">
      <c r="A2030">
        <v>9734</v>
      </c>
      <c r="B2030" t="s">
        <v>9086</v>
      </c>
      <c r="C2030" t="s">
        <v>5043</v>
      </c>
      <c r="D2030" t="s">
        <v>8401</v>
      </c>
    </row>
    <row r="2031" spans="1:4" ht="15" x14ac:dyDescent="0.25">
      <c r="A2031">
        <v>9872</v>
      </c>
      <c r="B2031" t="s">
        <v>9086</v>
      </c>
      <c r="C2031" t="s">
        <v>5043</v>
      </c>
      <c r="D2031" t="s">
        <v>8401</v>
      </c>
    </row>
    <row r="2032" spans="1:4" ht="15" x14ac:dyDescent="0.25">
      <c r="A2032">
        <v>9910</v>
      </c>
      <c r="B2032" t="s">
        <v>9086</v>
      </c>
      <c r="C2032" t="s">
        <v>5043</v>
      </c>
      <c r="D2032" t="s">
        <v>8401</v>
      </c>
    </row>
    <row r="2033" spans="1:4" ht="15" x14ac:dyDescent="0.25">
      <c r="A2033">
        <v>11260</v>
      </c>
      <c r="B2033" t="s">
        <v>10941</v>
      </c>
      <c r="C2033" t="s">
        <v>5043</v>
      </c>
      <c r="D2033" t="s">
        <v>8401</v>
      </c>
    </row>
    <row r="2034" spans="1:4" ht="15" x14ac:dyDescent="0.25">
      <c r="A2034">
        <v>12075</v>
      </c>
      <c r="B2034" t="s">
        <v>10941</v>
      </c>
      <c r="C2034" t="s">
        <v>5043</v>
      </c>
      <c r="D2034" t="s">
        <v>8401</v>
      </c>
    </row>
    <row r="2035" spans="1:4" ht="15" x14ac:dyDescent="0.25">
      <c r="A2035">
        <v>7581</v>
      </c>
      <c r="B2035" t="s">
        <v>10941</v>
      </c>
      <c r="C2035" t="s">
        <v>5043</v>
      </c>
      <c r="D2035" t="s">
        <v>8401</v>
      </c>
    </row>
    <row r="2036" spans="1:4" ht="15" x14ac:dyDescent="0.25">
      <c r="A2036">
        <v>9249</v>
      </c>
      <c r="B2036" t="s">
        <v>10941</v>
      </c>
      <c r="C2036" t="s">
        <v>5043</v>
      </c>
      <c r="D2036" t="s">
        <v>8401</v>
      </c>
    </row>
    <row r="2037" spans="1:4" ht="15" x14ac:dyDescent="0.25">
      <c r="A2037">
        <v>9923</v>
      </c>
      <c r="B2037" t="s">
        <v>10941</v>
      </c>
      <c r="C2037" t="s">
        <v>5043</v>
      </c>
      <c r="D2037" t="s">
        <v>8401</v>
      </c>
    </row>
    <row r="2038" spans="1:4" ht="15" x14ac:dyDescent="0.25">
      <c r="A2038">
        <v>10235</v>
      </c>
      <c r="B2038" t="s">
        <v>9087</v>
      </c>
      <c r="C2038" t="s">
        <v>5043</v>
      </c>
      <c r="D2038" t="s">
        <v>8401</v>
      </c>
    </row>
    <row r="2039" spans="1:4" ht="15" x14ac:dyDescent="0.25">
      <c r="A2039">
        <v>11520</v>
      </c>
      <c r="B2039" t="s">
        <v>9087</v>
      </c>
      <c r="C2039" t="s">
        <v>5043</v>
      </c>
      <c r="D2039" t="s">
        <v>8401</v>
      </c>
    </row>
    <row r="2040" spans="1:4" ht="15" x14ac:dyDescent="0.25">
      <c r="A2040">
        <v>11523</v>
      </c>
      <c r="B2040" t="s">
        <v>9087</v>
      </c>
      <c r="C2040" t="s">
        <v>5043</v>
      </c>
      <c r="D2040" t="s">
        <v>8401</v>
      </c>
    </row>
    <row r="2041" spans="1:4" ht="15" x14ac:dyDescent="0.25">
      <c r="A2041">
        <v>7363</v>
      </c>
      <c r="B2041" t="s">
        <v>9087</v>
      </c>
      <c r="C2041" t="s">
        <v>5043</v>
      </c>
      <c r="D2041" t="s">
        <v>8401</v>
      </c>
    </row>
    <row r="2042" spans="1:4" ht="15" x14ac:dyDescent="0.25">
      <c r="A2042">
        <v>9133</v>
      </c>
      <c r="B2042" t="s">
        <v>9087</v>
      </c>
      <c r="C2042" t="s">
        <v>5043</v>
      </c>
      <c r="D2042" t="s">
        <v>8401</v>
      </c>
    </row>
    <row r="2043" spans="1:4" ht="15" x14ac:dyDescent="0.25">
      <c r="A2043">
        <v>10260</v>
      </c>
      <c r="B2043" t="s">
        <v>9088</v>
      </c>
      <c r="C2043" t="s">
        <v>5043</v>
      </c>
      <c r="D2043" t="s">
        <v>8401</v>
      </c>
    </row>
    <row r="2044" spans="1:4" ht="15" x14ac:dyDescent="0.25">
      <c r="A2044">
        <v>11758</v>
      </c>
      <c r="B2044" t="s">
        <v>10942</v>
      </c>
      <c r="C2044" t="s">
        <v>5043</v>
      </c>
      <c r="D2044" t="s">
        <v>8401</v>
      </c>
    </row>
    <row r="2045" spans="1:4" ht="15" x14ac:dyDescent="0.25">
      <c r="A2045">
        <v>6715</v>
      </c>
      <c r="B2045" t="s">
        <v>10942</v>
      </c>
      <c r="C2045" t="s">
        <v>5043</v>
      </c>
      <c r="D2045" t="s">
        <v>8401</v>
      </c>
    </row>
    <row r="2046" spans="1:4" ht="15" x14ac:dyDescent="0.25">
      <c r="A2046">
        <v>10561</v>
      </c>
      <c r="B2046" t="s">
        <v>9089</v>
      </c>
      <c r="C2046" t="s">
        <v>5043</v>
      </c>
      <c r="D2046" t="s">
        <v>8401</v>
      </c>
    </row>
    <row r="2047" spans="1:4" ht="15" x14ac:dyDescent="0.25">
      <c r="A2047">
        <v>7913</v>
      </c>
      <c r="B2047" t="s">
        <v>9089</v>
      </c>
      <c r="C2047" t="s">
        <v>5043</v>
      </c>
      <c r="D2047" t="s">
        <v>8401</v>
      </c>
    </row>
    <row r="2048" spans="1:4" ht="15" x14ac:dyDescent="0.25">
      <c r="A2048">
        <v>9233</v>
      </c>
      <c r="B2048" t="s">
        <v>9089</v>
      </c>
      <c r="C2048" t="s">
        <v>5043</v>
      </c>
      <c r="D2048" t="s">
        <v>8401</v>
      </c>
    </row>
    <row r="2049" spans="1:4" ht="15" x14ac:dyDescent="0.25">
      <c r="A2049">
        <v>10598</v>
      </c>
      <c r="B2049" t="s">
        <v>9090</v>
      </c>
      <c r="C2049" t="s">
        <v>5043</v>
      </c>
      <c r="D2049" t="s">
        <v>8401</v>
      </c>
    </row>
    <row r="2050" spans="1:4" ht="15" x14ac:dyDescent="0.25">
      <c r="A2050">
        <v>10659</v>
      </c>
      <c r="B2050" t="s">
        <v>9090</v>
      </c>
      <c r="C2050" t="s">
        <v>5043</v>
      </c>
      <c r="D2050" t="s">
        <v>8401</v>
      </c>
    </row>
    <row r="2051" spans="1:4" ht="15" x14ac:dyDescent="0.25">
      <c r="A2051">
        <v>10766</v>
      </c>
      <c r="B2051" t="s">
        <v>9090</v>
      </c>
      <c r="C2051" t="s">
        <v>5043</v>
      </c>
      <c r="D2051" t="s">
        <v>8401</v>
      </c>
    </row>
    <row r="2052" spans="1:4" ht="15" x14ac:dyDescent="0.25">
      <c r="A2052">
        <v>11113</v>
      </c>
      <c r="B2052" t="s">
        <v>9090</v>
      </c>
      <c r="C2052" t="s">
        <v>5043</v>
      </c>
      <c r="D2052" t="s">
        <v>8401</v>
      </c>
    </row>
    <row r="2053" spans="1:4" ht="15" x14ac:dyDescent="0.25">
      <c r="A2053">
        <v>11528</v>
      </c>
      <c r="B2053" t="s">
        <v>9090</v>
      </c>
      <c r="C2053" t="s">
        <v>5043</v>
      </c>
      <c r="D2053" t="s">
        <v>8401</v>
      </c>
    </row>
    <row r="2054" spans="1:4" ht="15" x14ac:dyDescent="0.25">
      <c r="A2054">
        <v>11836</v>
      </c>
      <c r="B2054" t="s">
        <v>9090</v>
      </c>
      <c r="C2054" t="s">
        <v>5043</v>
      </c>
      <c r="D2054" t="s">
        <v>8401</v>
      </c>
    </row>
    <row r="2055" spans="1:4" ht="15" x14ac:dyDescent="0.25">
      <c r="A2055">
        <v>6771</v>
      </c>
      <c r="B2055" t="s">
        <v>9090</v>
      </c>
      <c r="C2055" t="s">
        <v>5043</v>
      </c>
      <c r="D2055" t="s">
        <v>8401</v>
      </c>
    </row>
    <row r="2056" spans="1:4" ht="15" x14ac:dyDescent="0.25">
      <c r="A2056">
        <v>7240</v>
      </c>
      <c r="B2056" t="s">
        <v>9090</v>
      </c>
      <c r="C2056" t="s">
        <v>5043</v>
      </c>
      <c r="D2056" t="s">
        <v>8401</v>
      </c>
    </row>
    <row r="2057" spans="1:4" ht="15" x14ac:dyDescent="0.25">
      <c r="A2057">
        <v>7242</v>
      </c>
      <c r="B2057" t="s">
        <v>9090</v>
      </c>
      <c r="C2057" t="s">
        <v>5043</v>
      </c>
      <c r="D2057" t="s">
        <v>8401</v>
      </c>
    </row>
    <row r="2058" spans="1:4" ht="15" x14ac:dyDescent="0.25">
      <c r="A2058">
        <v>7760</v>
      </c>
      <c r="B2058" t="s">
        <v>9090</v>
      </c>
      <c r="C2058" t="s">
        <v>5043</v>
      </c>
      <c r="D2058" t="s">
        <v>8401</v>
      </c>
    </row>
    <row r="2059" spans="1:4" ht="15" x14ac:dyDescent="0.25">
      <c r="A2059">
        <v>8156</v>
      </c>
      <c r="B2059" t="s">
        <v>9090</v>
      </c>
      <c r="C2059" t="s">
        <v>5043</v>
      </c>
      <c r="D2059" t="s">
        <v>8401</v>
      </c>
    </row>
    <row r="2060" spans="1:4" ht="15" x14ac:dyDescent="0.25">
      <c r="A2060">
        <v>8372</v>
      </c>
      <c r="B2060" t="s">
        <v>9090</v>
      </c>
      <c r="C2060" t="s">
        <v>5043</v>
      </c>
      <c r="D2060" t="s">
        <v>8401</v>
      </c>
    </row>
    <row r="2061" spans="1:4" ht="15" x14ac:dyDescent="0.25">
      <c r="A2061">
        <v>8665</v>
      </c>
      <c r="B2061" t="s">
        <v>9090</v>
      </c>
      <c r="C2061" t="s">
        <v>5043</v>
      </c>
      <c r="D2061" t="s">
        <v>8401</v>
      </c>
    </row>
    <row r="2062" spans="1:4" ht="15" x14ac:dyDescent="0.25">
      <c r="A2062">
        <v>8692</v>
      </c>
      <c r="B2062" t="s">
        <v>9090</v>
      </c>
      <c r="C2062" t="s">
        <v>5043</v>
      </c>
      <c r="D2062" t="s">
        <v>8401</v>
      </c>
    </row>
    <row r="2063" spans="1:4" ht="15" x14ac:dyDescent="0.25">
      <c r="A2063">
        <v>9271</v>
      </c>
      <c r="B2063" t="s">
        <v>9090</v>
      </c>
      <c r="C2063" t="s">
        <v>5043</v>
      </c>
      <c r="D2063" t="s">
        <v>8401</v>
      </c>
    </row>
    <row r="2064" spans="1:4" ht="15" x14ac:dyDescent="0.25">
      <c r="A2064">
        <v>9469</v>
      </c>
      <c r="B2064" t="s">
        <v>9090</v>
      </c>
      <c r="C2064" t="s">
        <v>5043</v>
      </c>
      <c r="D2064" t="s">
        <v>8401</v>
      </c>
    </row>
    <row r="2065" spans="1:4" ht="15" x14ac:dyDescent="0.25">
      <c r="A2065">
        <v>9496</v>
      </c>
      <c r="B2065" t="s">
        <v>9090</v>
      </c>
      <c r="C2065" t="s">
        <v>5043</v>
      </c>
      <c r="D2065" t="s">
        <v>8401</v>
      </c>
    </row>
    <row r="2066" spans="1:4" ht="15" x14ac:dyDescent="0.25">
      <c r="A2066">
        <v>9637</v>
      </c>
      <c r="B2066" t="s">
        <v>9090</v>
      </c>
      <c r="C2066" t="s">
        <v>5043</v>
      </c>
      <c r="D2066" t="s">
        <v>8401</v>
      </c>
    </row>
    <row r="2067" spans="1:4" ht="15" x14ac:dyDescent="0.25">
      <c r="A2067">
        <v>9821</v>
      </c>
      <c r="B2067" t="s">
        <v>9090</v>
      </c>
      <c r="C2067" t="s">
        <v>5043</v>
      </c>
      <c r="D2067" t="s">
        <v>8401</v>
      </c>
    </row>
    <row r="2068" spans="1:4" ht="15" x14ac:dyDescent="0.25">
      <c r="A2068">
        <v>11158</v>
      </c>
      <c r="B2068" t="s">
        <v>9091</v>
      </c>
      <c r="C2068" t="s">
        <v>5043</v>
      </c>
      <c r="D2068" t="s">
        <v>8401</v>
      </c>
    </row>
    <row r="2069" spans="1:4" ht="15" x14ac:dyDescent="0.25">
      <c r="A2069">
        <v>11257</v>
      </c>
      <c r="B2069" t="s">
        <v>9091</v>
      </c>
      <c r="C2069" t="s">
        <v>5043</v>
      </c>
      <c r="D2069" t="s">
        <v>8401</v>
      </c>
    </row>
    <row r="2070" spans="1:4" ht="15" x14ac:dyDescent="0.25">
      <c r="A2070">
        <v>12040</v>
      </c>
      <c r="B2070" t="s">
        <v>9091</v>
      </c>
      <c r="C2070" t="s">
        <v>5043</v>
      </c>
      <c r="D2070" t="s">
        <v>8401</v>
      </c>
    </row>
    <row r="2071" spans="1:4" ht="15" x14ac:dyDescent="0.25">
      <c r="A2071">
        <v>7115</v>
      </c>
      <c r="B2071" t="s">
        <v>9091</v>
      </c>
      <c r="C2071" t="s">
        <v>5043</v>
      </c>
      <c r="D2071" t="s">
        <v>8401</v>
      </c>
    </row>
    <row r="2072" spans="1:4" ht="15" x14ac:dyDescent="0.25">
      <c r="A2072">
        <v>8285</v>
      </c>
      <c r="B2072" t="s">
        <v>9091</v>
      </c>
      <c r="C2072" t="s">
        <v>5043</v>
      </c>
      <c r="D2072" t="s">
        <v>8401</v>
      </c>
    </row>
    <row r="2073" spans="1:4" ht="15" x14ac:dyDescent="0.25">
      <c r="A2073">
        <v>8877</v>
      </c>
      <c r="B2073" t="s">
        <v>9091</v>
      </c>
      <c r="C2073" t="s">
        <v>5043</v>
      </c>
      <c r="D2073" t="s">
        <v>8401</v>
      </c>
    </row>
    <row r="2074" spans="1:4" ht="15" x14ac:dyDescent="0.25">
      <c r="A2074">
        <v>9011</v>
      </c>
      <c r="B2074" t="s">
        <v>9091</v>
      </c>
      <c r="C2074" t="s">
        <v>5043</v>
      </c>
      <c r="D2074" t="s">
        <v>8401</v>
      </c>
    </row>
    <row r="2075" spans="1:4" ht="15" x14ac:dyDescent="0.25">
      <c r="A2075">
        <v>9166</v>
      </c>
      <c r="B2075" t="s">
        <v>9091</v>
      </c>
      <c r="C2075" t="s">
        <v>5043</v>
      </c>
      <c r="D2075" t="s">
        <v>8401</v>
      </c>
    </row>
    <row r="2076" spans="1:4" ht="15" x14ac:dyDescent="0.25">
      <c r="A2076">
        <v>11598</v>
      </c>
      <c r="B2076" t="s">
        <v>9092</v>
      </c>
      <c r="C2076" t="s">
        <v>5043</v>
      </c>
      <c r="D2076" t="s">
        <v>8401</v>
      </c>
    </row>
    <row r="2077" spans="1:4" ht="15" x14ac:dyDescent="0.25">
      <c r="A2077">
        <v>6700</v>
      </c>
      <c r="B2077" t="s">
        <v>9092</v>
      </c>
      <c r="C2077" t="s">
        <v>5043</v>
      </c>
      <c r="D2077" t="s">
        <v>8401</v>
      </c>
    </row>
    <row r="2078" spans="1:4" ht="15" x14ac:dyDescent="0.25">
      <c r="A2078">
        <v>6979</v>
      </c>
      <c r="B2078" t="s">
        <v>9092</v>
      </c>
      <c r="C2078" t="s">
        <v>5043</v>
      </c>
      <c r="D2078" t="s">
        <v>8401</v>
      </c>
    </row>
    <row r="2079" spans="1:4" ht="15" x14ac:dyDescent="0.25">
      <c r="A2079">
        <v>7719</v>
      </c>
      <c r="B2079" t="s">
        <v>9092</v>
      </c>
      <c r="C2079" t="s">
        <v>5043</v>
      </c>
      <c r="D2079" t="s">
        <v>8401</v>
      </c>
    </row>
    <row r="2080" spans="1:4" ht="15" x14ac:dyDescent="0.25">
      <c r="A2080">
        <v>8091</v>
      </c>
      <c r="B2080" t="s">
        <v>9092</v>
      </c>
      <c r="C2080" t="s">
        <v>5043</v>
      </c>
      <c r="D2080" t="s">
        <v>8401</v>
      </c>
    </row>
    <row r="2081" spans="1:4" ht="15" x14ac:dyDescent="0.25">
      <c r="A2081">
        <v>11276</v>
      </c>
      <c r="B2081" t="s">
        <v>9093</v>
      </c>
      <c r="C2081" t="s">
        <v>5043</v>
      </c>
      <c r="D2081" t="s">
        <v>8401</v>
      </c>
    </row>
    <row r="2082" spans="1:4" ht="15" x14ac:dyDescent="0.25">
      <c r="A2082">
        <v>7143</v>
      </c>
      <c r="B2082" t="s">
        <v>9093</v>
      </c>
      <c r="C2082" t="s">
        <v>5043</v>
      </c>
      <c r="D2082" t="s">
        <v>8401</v>
      </c>
    </row>
    <row r="2083" spans="1:4" ht="15" x14ac:dyDescent="0.25">
      <c r="A2083">
        <v>9088</v>
      </c>
      <c r="B2083" t="s">
        <v>9093</v>
      </c>
      <c r="C2083" t="s">
        <v>5043</v>
      </c>
      <c r="D2083" t="s">
        <v>8401</v>
      </c>
    </row>
    <row r="2084" spans="1:4" ht="15" x14ac:dyDescent="0.25">
      <c r="A2084">
        <v>10876</v>
      </c>
      <c r="B2084" t="s">
        <v>9094</v>
      </c>
      <c r="C2084" t="s">
        <v>5043</v>
      </c>
      <c r="D2084" t="s">
        <v>8401</v>
      </c>
    </row>
    <row r="2085" spans="1:4" ht="15" x14ac:dyDescent="0.25">
      <c r="A2085">
        <v>11285</v>
      </c>
      <c r="B2085" t="s">
        <v>9094</v>
      </c>
      <c r="C2085" t="s">
        <v>5043</v>
      </c>
      <c r="D2085" t="s">
        <v>8401</v>
      </c>
    </row>
    <row r="2086" spans="1:4" ht="15" x14ac:dyDescent="0.25">
      <c r="A2086">
        <v>9737</v>
      </c>
      <c r="B2086" t="s">
        <v>9094</v>
      </c>
      <c r="C2086" t="s">
        <v>5043</v>
      </c>
      <c r="D2086" t="s">
        <v>8401</v>
      </c>
    </row>
    <row r="2087" spans="1:4" ht="15" x14ac:dyDescent="0.25">
      <c r="A2087">
        <v>10250</v>
      </c>
      <c r="B2087" t="s">
        <v>9095</v>
      </c>
      <c r="C2087" t="s">
        <v>5043</v>
      </c>
      <c r="D2087" t="s">
        <v>8401</v>
      </c>
    </row>
    <row r="2088" spans="1:4" ht="15" x14ac:dyDescent="0.25">
      <c r="A2088">
        <v>10465</v>
      </c>
      <c r="B2088" t="s">
        <v>9095</v>
      </c>
      <c r="C2088" t="s">
        <v>5043</v>
      </c>
      <c r="D2088" t="s">
        <v>8401</v>
      </c>
    </row>
    <row r="2089" spans="1:4" ht="15" x14ac:dyDescent="0.25">
      <c r="A2089">
        <v>10548</v>
      </c>
      <c r="B2089" t="s">
        <v>9095</v>
      </c>
      <c r="C2089" t="s">
        <v>5043</v>
      </c>
      <c r="D2089" t="s">
        <v>8401</v>
      </c>
    </row>
    <row r="2090" spans="1:4" ht="15" x14ac:dyDescent="0.25">
      <c r="A2090">
        <v>10817</v>
      </c>
      <c r="B2090" t="s">
        <v>9095</v>
      </c>
      <c r="C2090" t="s">
        <v>5043</v>
      </c>
      <c r="D2090" t="s">
        <v>8401</v>
      </c>
    </row>
    <row r="2091" spans="1:4" ht="15" x14ac:dyDescent="0.25">
      <c r="A2091">
        <v>10886</v>
      </c>
      <c r="B2091" t="s">
        <v>9095</v>
      </c>
      <c r="C2091" t="s">
        <v>5043</v>
      </c>
      <c r="D2091" t="s">
        <v>8401</v>
      </c>
    </row>
    <row r="2092" spans="1:4" ht="15" x14ac:dyDescent="0.25">
      <c r="A2092">
        <v>11536</v>
      </c>
      <c r="B2092" t="s">
        <v>9095</v>
      </c>
      <c r="C2092" t="s">
        <v>5043</v>
      </c>
      <c r="D2092" t="s">
        <v>8401</v>
      </c>
    </row>
    <row r="2093" spans="1:4" ht="15" x14ac:dyDescent="0.25">
      <c r="A2093">
        <v>11620</v>
      </c>
      <c r="B2093" t="s">
        <v>9095</v>
      </c>
      <c r="C2093" t="s">
        <v>5043</v>
      </c>
      <c r="D2093" t="s">
        <v>8401</v>
      </c>
    </row>
    <row r="2094" spans="1:4" ht="15" x14ac:dyDescent="0.25">
      <c r="A2094">
        <v>7093</v>
      </c>
      <c r="B2094" t="s">
        <v>9095</v>
      </c>
      <c r="C2094" t="s">
        <v>5043</v>
      </c>
      <c r="D2094" t="s">
        <v>8401</v>
      </c>
    </row>
    <row r="2095" spans="1:4" ht="15" x14ac:dyDescent="0.25">
      <c r="A2095">
        <v>7485</v>
      </c>
      <c r="B2095" t="s">
        <v>9095</v>
      </c>
      <c r="C2095" t="s">
        <v>5043</v>
      </c>
      <c r="D2095" t="s">
        <v>8401</v>
      </c>
    </row>
    <row r="2096" spans="1:4" ht="15" x14ac:dyDescent="0.25">
      <c r="A2096">
        <v>7670</v>
      </c>
      <c r="B2096" t="s">
        <v>9095</v>
      </c>
      <c r="C2096" t="s">
        <v>5043</v>
      </c>
      <c r="D2096" t="s">
        <v>8401</v>
      </c>
    </row>
    <row r="2097" spans="1:4" ht="15" x14ac:dyDescent="0.25">
      <c r="A2097">
        <v>8058</v>
      </c>
      <c r="B2097" t="s">
        <v>9095</v>
      </c>
      <c r="C2097" t="s">
        <v>5043</v>
      </c>
      <c r="D2097" t="s">
        <v>8401</v>
      </c>
    </row>
    <row r="2098" spans="1:4" ht="15" x14ac:dyDescent="0.25">
      <c r="A2098">
        <v>8125</v>
      </c>
      <c r="B2098" t="s">
        <v>9095</v>
      </c>
      <c r="C2098" t="s">
        <v>5043</v>
      </c>
      <c r="D2098" t="s">
        <v>8401</v>
      </c>
    </row>
    <row r="2099" spans="1:4" ht="15" x14ac:dyDescent="0.25">
      <c r="A2099">
        <v>8769</v>
      </c>
      <c r="B2099" t="s">
        <v>9095</v>
      </c>
      <c r="C2099" t="s">
        <v>5043</v>
      </c>
      <c r="D2099" t="s">
        <v>8401</v>
      </c>
    </row>
    <row r="2100" spans="1:4" ht="15" x14ac:dyDescent="0.25">
      <c r="A2100">
        <v>8943</v>
      </c>
      <c r="B2100" t="s">
        <v>9095</v>
      </c>
      <c r="C2100" t="s">
        <v>5043</v>
      </c>
      <c r="D2100" t="s">
        <v>8401</v>
      </c>
    </row>
    <row r="2101" spans="1:4" ht="15" x14ac:dyDescent="0.25">
      <c r="A2101">
        <v>9277</v>
      </c>
      <c r="B2101" t="s">
        <v>9095</v>
      </c>
      <c r="C2101" t="s">
        <v>5043</v>
      </c>
      <c r="D2101" t="s">
        <v>8401</v>
      </c>
    </row>
    <row r="2102" spans="1:4" ht="15" x14ac:dyDescent="0.25">
      <c r="A2102">
        <v>9433</v>
      </c>
      <c r="B2102" t="s">
        <v>9095</v>
      </c>
      <c r="C2102" t="s">
        <v>5043</v>
      </c>
      <c r="D2102" t="s">
        <v>8401</v>
      </c>
    </row>
    <row r="2103" spans="1:4" ht="15" x14ac:dyDescent="0.25">
      <c r="A2103">
        <v>9490</v>
      </c>
      <c r="B2103" t="s">
        <v>9095</v>
      </c>
      <c r="C2103" t="s">
        <v>5043</v>
      </c>
      <c r="D2103" t="s">
        <v>8401</v>
      </c>
    </row>
    <row r="2104" spans="1:4" ht="15" x14ac:dyDescent="0.25">
      <c r="A2104">
        <v>9950</v>
      </c>
      <c r="B2104" t="s">
        <v>9095</v>
      </c>
      <c r="C2104" t="s">
        <v>5043</v>
      </c>
      <c r="D2104" t="s">
        <v>8401</v>
      </c>
    </row>
    <row r="2105" spans="1:4" ht="15" x14ac:dyDescent="0.25">
      <c r="A2105">
        <v>8466</v>
      </c>
      <c r="B2105" t="s">
        <v>10943</v>
      </c>
      <c r="C2105" t="s">
        <v>5043</v>
      </c>
      <c r="D2105" t="s">
        <v>8401</v>
      </c>
    </row>
    <row r="2106" spans="1:4" ht="15" x14ac:dyDescent="0.25">
      <c r="A2106">
        <v>9817</v>
      </c>
      <c r="B2106" t="s">
        <v>10944</v>
      </c>
      <c r="C2106" t="s">
        <v>5043</v>
      </c>
      <c r="D2106" t="s">
        <v>8401</v>
      </c>
    </row>
    <row r="2107" spans="1:4" ht="15" x14ac:dyDescent="0.25">
      <c r="A2107">
        <v>6873</v>
      </c>
      <c r="B2107" t="s">
        <v>9096</v>
      </c>
      <c r="C2107" t="s">
        <v>5043</v>
      </c>
      <c r="D2107" t="s">
        <v>8401</v>
      </c>
    </row>
    <row r="2108" spans="1:4" ht="15" x14ac:dyDescent="0.25">
      <c r="A2108">
        <v>9566</v>
      </c>
      <c r="B2108" t="s">
        <v>9096</v>
      </c>
      <c r="C2108" t="s">
        <v>5043</v>
      </c>
      <c r="D2108" t="s">
        <v>8401</v>
      </c>
    </row>
    <row r="2109" spans="1:4" ht="15" x14ac:dyDescent="0.25">
      <c r="A2109">
        <v>11107</v>
      </c>
      <c r="B2109" t="s">
        <v>9097</v>
      </c>
      <c r="C2109" t="s">
        <v>5043</v>
      </c>
      <c r="D2109" t="s">
        <v>8401</v>
      </c>
    </row>
    <row r="2110" spans="1:4" ht="15" x14ac:dyDescent="0.25">
      <c r="A2110">
        <v>11124</v>
      </c>
      <c r="B2110" t="s">
        <v>9097</v>
      </c>
      <c r="C2110" t="s">
        <v>5043</v>
      </c>
      <c r="D2110" t="s">
        <v>8401</v>
      </c>
    </row>
    <row r="2111" spans="1:4" ht="15" x14ac:dyDescent="0.25">
      <c r="A2111">
        <v>8153</v>
      </c>
      <c r="B2111" t="s">
        <v>9097</v>
      </c>
      <c r="C2111" t="s">
        <v>5043</v>
      </c>
      <c r="D2111" t="s">
        <v>8401</v>
      </c>
    </row>
    <row r="2112" spans="1:4" ht="15" x14ac:dyDescent="0.25">
      <c r="A2112">
        <v>10120</v>
      </c>
      <c r="B2112" t="s">
        <v>9098</v>
      </c>
      <c r="C2112" t="s">
        <v>5043</v>
      </c>
      <c r="D2112" t="s">
        <v>8401</v>
      </c>
    </row>
    <row r="2113" spans="1:4" ht="15" x14ac:dyDescent="0.25">
      <c r="A2113">
        <v>10234</v>
      </c>
      <c r="B2113" t="s">
        <v>9098</v>
      </c>
      <c r="C2113" t="s">
        <v>5043</v>
      </c>
      <c r="D2113" t="s">
        <v>8401</v>
      </c>
    </row>
    <row r="2114" spans="1:4" ht="15" x14ac:dyDescent="0.25">
      <c r="A2114">
        <v>10705</v>
      </c>
      <c r="B2114" t="s">
        <v>9098</v>
      </c>
      <c r="C2114" t="s">
        <v>5043</v>
      </c>
      <c r="D2114" t="s">
        <v>8401</v>
      </c>
    </row>
    <row r="2115" spans="1:4" ht="15" x14ac:dyDescent="0.25">
      <c r="A2115">
        <v>10974</v>
      </c>
      <c r="B2115" t="s">
        <v>9098</v>
      </c>
      <c r="C2115" t="s">
        <v>5043</v>
      </c>
      <c r="D2115" t="s">
        <v>8401</v>
      </c>
    </row>
    <row r="2116" spans="1:4" ht="15" x14ac:dyDescent="0.25">
      <c r="A2116">
        <v>11500</v>
      </c>
      <c r="B2116" t="s">
        <v>9098</v>
      </c>
      <c r="C2116" t="s">
        <v>5043</v>
      </c>
      <c r="D2116" t="s">
        <v>8401</v>
      </c>
    </row>
    <row r="2117" spans="1:4" ht="15" x14ac:dyDescent="0.25">
      <c r="A2117">
        <v>11514</v>
      </c>
      <c r="B2117" t="s">
        <v>9098</v>
      </c>
      <c r="C2117" t="s">
        <v>5043</v>
      </c>
      <c r="D2117" t="s">
        <v>8401</v>
      </c>
    </row>
    <row r="2118" spans="1:4" ht="15" x14ac:dyDescent="0.25">
      <c r="A2118">
        <v>12085</v>
      </c>
      <c r="B2118" t="s">
        <v>9098</v>
      </c>
      <c r="C2118" t="s">
        <v>5043</v>
      </c>
      <c r="D2118" t="s">
        <v>8401</v>
      </c>
    </row>
    <row r="2119" spans="1:4" ht="15" x14ac:dyDescent="0.25">
      <c r="A2119">
        <v>6785</v>
      </c>
      <c r="B2119" t="s">
        <v>9098</v>
      </c>
      <c r="C2119" t="s">
        <v>5043</v>
      </c>
      <c r="D2119" t="s">
        <v>8401</v>
      </c>
    </row>
    <row r="2120" spans="1:4" ht="15" x14ac:dyDescent="0.25">
      <c r="A2120">
        <v>6808</v>
      </c>
      <c r="B2120" t="s">
        <v>9098</v>
      </c>
      <c r="C2120" t="s">
        <v>5043</v>
      </c>
      <c r="D2120" t="s">
        <v>8401</v>
      </c>
    </row>
    <row r="2121" spans="1:4" ht="15" x14ac:dyDescent="0.25">
      <c r="A2121">
        <v>6816</v>
      </c>
      <c r="B2121" t="s">
        <v>9098</v>
      </c>
      <c r="C2121" t="s">
        <v>5043</v>
      </c>
      <c r="D2121" t="s">
        <v>8401</v>
      </c>
    </row>
    <row r="2122" spans="1:4" ht="15" x14ac:dyDescent="0.25">
      <c r="A2122">
        <v>6844</v>
      </c>
      <c r="B2122" t="s">
        <v>9098</v>
      </c>
      <c r="C2122" t="s">
        <v>5043</v>
      </c>
      <c r="D2122" t="s">
        <v>8401</v>
      </c>
    </row>
    <row r="2123" spans="1:4" ht="15" x14ac:dyDescent="0.25">
      <c r="A2123">
        <v>7259</v>
      </c>
      <c r="B2123" t="s">
        <v>9098</v>
      </c>
      <c r="C2123" t="s">
        <v>5043</v>
      </c>
      <c r="D2123" t="s">
        <v>8401</v>
      </c>
    </row>
    <row r="2124" spans="1:4" ht="15" x14ac:dyDescent="0.25">
      <c r="A2124">
        <v>7500</v>
      </c>
      <c r="B2124" t="s">
        <v>9098</v>
      </c>
      <c r="C2124" t="s">
        <v>5043</v>
      </c>
      <c r="D2124" t="s">
        <v>8401</v>
      </c>
    </row>
    <row r="2125" spans="1:4" ht="15" x14ac:dyDescent="0.25">
      <c r="A2125">
        <v>7522</v>
      </c>
      <c r="B2125" t="s">
        <v>9098</v>
      </c>
      <c r="C2125" t="s">
        <v>5043</v>
      </c>
      <c r="D2125" t="s">
        <v>8401</v>
      </c>
    </row>
    <row r="2126" spans="1:4" ht="15" x14ac:dyDescent="0.25">
      <c r="A2126">
        <v>7766</v>
      </c>
      <c r="B2126" t="s">
        <v>9098</v>
      </c>
      <c r="C2126" t="s">
        <v>5043</v>
      </c>
      <c r="D2126" t="s">
        <v>8401</v>
      </c>
    </row>
    <row r="2127" spans="1:4" ht="15" x14ac:dyDescent="0.25">
      <c r="A2127">
        <v>7958</v>
      </c>
      <c r="B2127" t="s">
        <v>9098</v>
      </c>
      <c r="C2127" t="s">
        <v>5043</v>
      </c>
      <c r="D2127" t="s">
        <v>8401</v>
      </c>
    </row>
    <row r="2128" spans="1:4" ht="15" x14ac:dyDescent="0.25">
      <c r="A2128">
        <v>8375</v>
      </c>
      <c r="B2128" t="s">
        <v>9098</v>
      </c>
      <c r="C2128" t="s">
        <v>5043</v>
      </c>
      <c r="D2128" t="s">
        <v>8401</v>
      </c>
    </row>
    <row r="2129" spans="1:4" ht="15" x14ac:dyDescent="0.25">
      <c r="A2129">
        <v>8917</v>
      </c>
      <c r="B2129" t="s">
        <v>9098</v>
      </c>
      <c r="C2129" t="s">
        <v>5043</v>
      </c>
      <c r="D2129" t="s">
        <v>8401</v>
      </c>
    </row>
    <row r="2130" spans="1:4" ht="15" x14ac:dyDescent="0.25">
      <c r="A2130">
        <v>9527</v>
      </c>
      <c r="B2130" t="s">
        <v>9098</v>
      </c>
      <c r="C2130" t="s">
        <v>5043</v>
      </c>
      <c r="D2130" t="s">
        <v>8401</v>
      </c>
    </row>
    <row r="2131" spans="1:4" ht="15" x14ac:dyDescent="0.25">
      <c r="A2131">
        <v>9572</v>
      </c>
      <c r="B2131" t="s">
        <v>9098</v>
      </c>
      <c r="C2131" t="s">
        <v>5043</v>
      </c>
      <c r="D2131" t="s">
        <v>8401</v>
      </c>
    </row>
    <row r="2132" spans="1:4" ht="15" x14ac:dyDescent="0.25">
      <c r="A2132">
        <v>9629</v>
      </c>
      <c r="B2132" t="s">
        <v>9098</v>
      </c>
      <c r="C2132" t="s">
        <v>5043</v>
      </c>
      <c r="D2132" t="s">
        <v>8401</v>
      </c>
    </row>
    <row r="2133" spans="1:4" ht="15" x14ac:dyDescent="0.25">
      <c r="A2133">
        <v>9740</v>
      </c>
      <c r="B2133" t="s">
        <v>9098</v>
      </c>
      <c r="C2133" t="s">
        <v>5043</v>
      </c>
      <c r="D2133" t="s">
        <v>8401</v>
      </c>
    </row>
    <row r="2134" spans="1:4" ht="15" x14ac:dyDescent="0.25">
      <c r="A2134">
        <v>9003</v>
      </c>
      <c r="B2134" t="s">
        <v>9099</v>
      </c>
      <c r="C2134" t="s">
        <v>5043</v>
      </c>
      <c r="D2134" t="s">
        <v>8401</v>
      </c>
    </row>
    <row r="2135" spans="1:4" ht="15" x14ac:dyDescent="0.25">
      <c r="A2135">
        <v>9448</v>
      </c>
      <c r="B2135" t="s">
        <v>9099</v>
      </c>
      <c r="C2135" t="s">
        <v>5043</v>
      </c>
      <c r="D2135" t="s">
        <v>8401</v>
      </c>
    </row>
    <row r="2136" spans="1:4" ht="15" x14ac:dyDescent="0.25">
      <c r="A2136">
        <v>9782</v>
      </c>
      <c r="B2136" t="s">
        <v>9099</v>
      </c>
      <c r="C2136" t="s">
        <v>5043</v>
      </c>
      <c r="D2136" t="s">
        <v>8401</v>
      </c>
    </row>
    <row r="2137" spans="1:4" ht="15" x14ac:dyDescent="0.25">
      <c r="A2137">
        <v>10602</v>
      </c>
      <c r="B2137" t="s">
        <v>10945</v>
      </c>
      <c r="C2137" t="s">
        <v>5043</v>
      </c>
      <c r="D2137" t="s">
        <v>8401</v>
      </c>
    </row>
    <row r="2138" spans="1:4" ht="15" x14ac:dyDescent="0.25">
      <c r="A2138">
        <v>11176</v>
      </c>
      <c r="B2138" t="s">
        <v>10945</v>
      </c>
      <c r="C2138" t="s">
        <v>5043</v>
      </c>
      <c r="D2138" t="s">
        <v>8401</v>
      </c>
    </row>
    <row r="2139" spans="1:4" ht="15" x14ac:dyDescent="0.25">
      <c r="A2139">
        <v>11188</v>
      </c>
      <c r="B2139" t="s">
        <v>10945</v>
      </c>
      <c r="C2139" t="s">
        <v>5043</v>
      </c>
      <c r="D2139" t="s">
        <v>8401</v>
      </c>
    </row>
    <row r="2140" spans="1:4" ht="15" x14ac:dyDescent="0.25">
      <c r="A2140">
        <v>12073</v>
      </c>
      <c r="B2140" t="s">
        <v>10945</v>
      </c>
      <c r="C2140" t="s">
        <v>5043</v>
      </c>
      <c r="D2140" t="s">
        <v>8401</v>
      </c>
    </row>
    <row r="2141" spans="1:4" ht="15" x14ac:dyDescent="0.25">
      <c r="A2141">
        <v>7612</v>
      </c>
      <c r="B2141" t="s">
        <v>10945</v>
      </c>
      <c r="C2141" t="s">
        <v>5043</v>
      </c>
      <c r="D2141" t="s">
        <v>8401</v>
      </c>
    </row>
    <row r="2142" spans="1:4" ht="15" x14ac:dyDescent="0.25">
      <c r="A2142">
        <v>8321</v>
      </c>
      <c r="B2142" t="s">
        <v>10945</v>
      </c>
      <c r="C2142" t="s">
        <v>5043</v>
      </c>
      <c r="D2142" t="s">
        <v>8401</v>
      </c>
    </row>
    <row r="2143" spans="1:4" ht="15" x14ac:dyDescent="0.25">
      <c r="A2143">
        <v>8807</v>
      </c>
      <c r="B2143" t="s">
        <v>10945</v>
      </c>
      <c r="C2143" t="s">
        <v>5043</v>
      </c>
      <c r="D2143" t="s">
        <v>8401</v>
      </c>
    </row>
    <row r="2144" spans="1:4" ht="15" x14ac:dyDescent="0.25">
      <c r="A2144">
        <v>10085</v>
      </c>
      <c r="B2144" t="s">
        <v>10946</v>
      </c>
      <c r="C2144" t="s">
        <v>5043</v>
      </c>
      <c r="D2144" t="s">
        <v>8401</v>
      </c>
    </row>
    <row r="2145" spans="1:4" ht="15" x14ac:dyDescent="0.25">
      <c r="A2145">
        <v>10744</v>
      </c>
      <c r="B2145" t="s">
        <v>10946</v>
      </c>
      <c r="C2145" t="s">
        <v>5043</v>
      </c>
      <c r="D2145" t="s">
        <v>8401</v>
      </c>
    </row>
    <row r="2146" spans="1:4" ht="15" x14ac:dyDescent="0.25">
      <c r="A2146">
        <v>11007</v>
      </c>
      <c r="B2146" t="s">
        <v>10946</v>
      </c>
      <c r="C2146" t="s">
        <v>5043</v>
      </c>
      <c r="D2146" t="s">
        <v>8401</v>
      </c>
    </row>
    <row r="2147" spans="1:4" ht="15" x14ac:dyDescent="0.25">
      <c r="A2147">
        <v>11832</v>
      </c>
      <c r="B2147" t="s">
        <v>10946</v>
      </c>
      <c r="C2147" t="s">
        <v>5043</v>
      </c>
      <c r="D2147" t="s">
        <v>8401</v>
      </c>
    </row>
    <row r="2148" spans="1:4" ht="15" x14ac:dyDescent="0.25">
      <c r="A2148">
        <v>7069</v>
      </c>
      <c r="B2148" t="s">
        <v>10946</v>
      </c>
      <c r="C2148" t="s">
        <v>5043</v>
      </c>
      <c r="D2148" t="s">
        <v>8401</v>
      </c>
    </row>
    <row r="2149" spans="1:4" ht="15" x14ac:dyDescent="0.25">
      <c r="A2149">
        <v>8368</v>
      </c>
      <c r="B2149" t="s">
        <v>10946</v>
      </c>
      <c r="C2149" t="s">
        <v>5043</v>
      </c>
      <c r="D2149" t="s">
        <v>8401</v>
      </c>
    </row>
    <row r="2150" spans="1:4" ht="15" x14ac:dyDescent="0.25">
      <c r="A2150">
        <v>9031</v>
      </c>
      <c r="B2150" t="s">
        <v>10946</v>
      </c>
      <c r="C2150" t="s">
        <v>5043</v>
      </c>
      <c r="D2150" t="s">
        <v>8401</v>
      </c>
    </row>
    <row r="2151" spans="1:4" ht="15" x14ac:dyDescent="0.25">
      <c r="A2151">
        <v>9467</v>
      </c>
      <c r="B2151" t="s">
        <v>10946</v>
      </c>
      <c r="C2151" t="s">
        <v>5043</v>
      </c>
      <c r="D2151" t="s">
        <v>8401</v>
      </c>
    </row>
    <row r="2152" spans="1:4" ht="15" x14ac:dyDescent="0.25">
      <c r="A2152">
        <v>9592</v>
      </c>
      <c r="B2152" t="s">
        <v>10946</v>
      </c>
      <c r="C2152" t="s">
        <v>5043</v>
      </c>
      <c r="D2152" t="s">
        <v>8401</v>
      </c>
    </row>
    <row r="2153" spans="1:4" ht="15" x14ac:dyDescent="0.25">
      <c r="A2153">
        <v>9813</v>
      </c>
      <c r="B2153" t="s">
        <v>10946</v>
      </c>
      <c r="C2153" t="s">
        <v>5043</v>
      </c>
      <c r="D2153" t="s">
        <v>8401</v>
      </c>
    </row>
    <row r="2154" spans="1:4" ht="15" x14ac:dyDescent="0.25">
      <c r="A2154">
        <v>9990</v>
      </c>
      <c r="B2154" t="s">
        <v>10946</v>
      </c>
      <c r="C2154" t="s">
        <v>5043</v>
      </c>
      <c r="D2154" t="s">
        <v>8401</v>
      </c>
    </row>
    <row r="2155" spans="1:4" ht="15" x14ac:dyDescent="0.25">
      <c r="A2155">
        <v>10030</v>
      </c>
      <c r="B2155" t="s">
        <v>10947</v>
      </c>
      <c r="C2155" t="s">
        <v>5043</v>
      </c>
      <c r="D2155" t="s">
        <v>8401</v>
      </c>
    </row>
    <row r="2156" spans="1:4" ht="15" x14ac:dyDescent="0.25">
      <c r="A2156">
        <v>7125</v>
      </c>
      <c r="B2156" t="s">
        <v>10947</v>
      </c>
      <c r="C2156" t="s">
        <v>5043</v>
      </c>
      <c r="D2156" t="s">
        <v>8401</v>
      </c>
    </row>
    <row r="2157" spans="1:4" ht="15" x14ac:dyDescent="0.25">
      <c r="A2157">
        <v>8798</v>
      </c>
      <c r="B2157" t="s">
        <v>10947</v>
      </c>
      <c r="C2157" t="s">
        <v>5043</v>
      </c>
      <c r="D2157" t="s">
        <v>8401</v>
      </c>
    </row>
    <row r="2158" spans="1:4" ht="15" x14ac:dyDescent="0.25">
      <c r="A2158">
        <v>9329</v>
      </c>
      <c r="B2158" t="s">
        <v>10947</v>
      </c>
      <c r="C2158" t="s">
        <v>5043</v>
      </c>
      <c r="D2158" t="s">
        <v>8401</v>
      </c>
    </row>
    <row r="2159" spans="1:4" ht="15" x14ac:dyDescent="0.25">
      <c r="A2159">
        <v>10735</v>
      </c>
      <c r="B2159" t="s">
        <v>10948</v>
      </c>
      <c r="C2159" t="s">
        <v>5043</v>
      </c>
      <c r="D2159" t="s">
        <v>8401</v>
      </c>
    </row>
    <row r="2160" spans="1:4" ht="15" x14ac:dyDescent="0.25">
      <c r="A2160">
        <v>10926</v>
      </c>
      <c r="B2160" t="s">
        <v>10948</v>
      </c>
      <c r="C2160" t="s">
        <v>5043</v>
      </c>
      <c r="D2160" t="s">
        <v>8401</v>
      </c>
    </row>
    <row r="2161" spans="1:4" ht="15" x14ac:dyDescent="0.25">
      <c r="A2161">
        <v>11626</v>
      </c>
      <c r="B2161" t="s">
        <v>10948</v>
      </c>
      <c r="C2161" t="s">
        <v>5043</v>
      </c>
      <c r="D2161" t="s">
        <v>8401</v>
      </c>
    </row>
    <row r="2162" spans="1:4" ht="15" x14ac:dyDescent="0.25">
      <c r="A2162">
        <v>11876</v>
      </c>
      <c r="B2162" t="s">
        <v>10949</v>
      </c>
      <c r="C2162" t="s">
        <v>5043</v>
      </c>
      <c r="D2162" t="s">
        <v>8401</v>
      </c>
    </row>
    <row r="2163" spans="1:4" ht="15" x14ac:dyDescent="0.25">
      <c r="A2163">
        <v>7146</v>
      </c>
      <c r="B2163" t="s">
        <v>10949</v>
      </c>
      <c r="C2163" t="s">
        <v>5043</v>
      </c>
      <c r="D2163" t="s">
        <v>8401</v>
      </c>
    </row>
    <row r="2164" spans="1:4" ht="15" x14ac:dyDescent="0.25">
      <c r="A2164">
        <v>7183</v>
      </c>
      <c r="B2164" t="s">
        <v>10949</v>
      </c>
      <c r="C2164" t="s">
        <v>5043</v>
      </c>
      <c r="D2164" t="s">
        <v>8401</v>
      </c>
    </row>
    <row r="2165" spans="1:4" ht="15" x14ac:dyDescent="0.25">
      <c r="A2165">
        <v>11247</v>
      </c>
      <c r="B2165" t="s">
        <v>9100</v>
      </c>
      <c r="C2165" t="s">
        <v>5043</v>
      </c>
      <c r="D2165" t="s">
        <v>8401</v>
      </c>
    </row>
    <row r="2166" spans="1:4" ht="15" x14ac:dyDescent="0.25">
      <c r="A2166">
        <v>10869</v>
      </c>
      <c r="B2166" t="s">
        <v>10950</v>
      </c>
      <c r="C2166" t="s">
        <v>5043</v>
      </c>
      <c r="D2166" t="s">
        <v>8401</v>
      </c>
    </row>
    <row r="2167" spans="1:4" ht="15" x14ac:dyDescent="0.25">
      <c r="A2167">
        <v>8646</v>
      </c>
      <c r="B2167" t="s">
        <v>10950</v>
      </c>
      <c r="C2167" t="s">
        <v>5043</v>
      </c>
      <c r="D2167" t="s">
        <v>8401</v>
      </c>
    </row>
    <row r="2168" spans="1:4" ht="15" x14ac:dyDescent="0.25">
      <c r="A2168">
        <v>10167</v>
      </c>
      <c r="B2168" t="s">
        <v>9101</v>
      </c>
      <c r="C2168" t="s">
        <v>5043</v>
      </c>
      <c r="D2168" t="s">
        <v>8401</v>
      </c>
    </row>
    <row r="2169" spans="1:4" ht="15" x14ac:dyDescent="0.25">
      <c r="A2169">
        <v>7254</v>
      </c>
      <c r="B2169" t="s">
        <v>9101</v>
      </c>
      <c r="C2169" t="s">
        <v>5043</v>
      </c>
      <c r="D2169" t="s">
        <v>8401</v>
      </c>
    </row>
    <row r="2170" spans="1:4" ht="15" x14ac:dyDescent="0.25">
      <c r="A2170">
        <v>8912</v>
      </c>
      <c r="B2170" t="s">
        <v>9101</v>
      </c>
      <c r="C2170" t="s">
        <v>5043</v>
      </c>
      <c r="D2170" t="s">
        <v>8401</v>
      </c>
    </row>
    <row r="2171" spans="1:4" ht="15" x14ac:dyDescent="0.25">
      <c r="A2171">
        <v>8217</v>
      </c>
      <c r="B2171" t="s">
        <v>9102</v>
      </c>
      <c r="C2171" t="s">
        <v>5043</v>
      </c>
      <c r="D2171" t="s">
        <v>8401</v>
      </c>
    </row>
    <row r="2172" spans="1:4" ht="15" x14ac:dyDescent="0.25">
      <c r="A2172">
        <v>8695</v>
      </c>
      <c r="B2172" t="s">
        <v>9102</v>
      </c>
      <c r="C2172" t="s">
        <v>5043</v>
      </c>
      <c r="D2172" t="s">
        <v>8401</v>
      </c>
    </row>
    <row r="2173" spans="1:4" ht="15" x14ac:dyDescent="0.25">
      <c r="A2173">
        <v>11184</v>
      </c>
      <c r="B2173" t="s">
        <v>9103</v>
      </c>
      <c r="C2173" t="s">
        <v>5043</v>
      </c>
      <c r="D2173" t="s">
        <v>8401</v>
      </c>
    </row>
    <row r="2174" spans="1:4" ht="15" x14ac:dyDescent="0.25">
      <c r="A2174">
        <v>11313</v>
      </c>
      <c r="B2174" t="s">
        <v>9103</v>
      </c>
      <c r="C2174" t="s">
        <v>5043</v>
      </c>
      <c r="D2174" t="s">
        <v>8401</v>
      </c>
    </row>
    <row r="2175" spans="1:4" ht="15" x14ac:dyDescent="0.25">
      <c r="A2175">
        <v>6836</v>
      </c>
      <c r="B2175" t="s">
        <v>9103</v>
      </c>
      <c r="C2175" t="s">
        <v>5043</v>
      </c>
      <c r="D2175" t="s">
        <v>8401</v>
      </c>
    </row>
    <row r="2176" spans="1:4" ht="15" x14ac:dyDescent="0.25">
      <c r="A2176">
        <v>10384</v>
      </c>
      <c r="B2176" t="s">
        <v>10951</v>
      </c>
      <c r="C2176" t="s">
        <v>5043</v>
      </c>
      <c r="D2176" t="s">
        <v>8401</v>
      </c>
    </row>
    <row r="2177" spans="1:4" ht="15" x14ac:dyDescent="0.25">
      <c r="A2177">
        <v>10447</v>
      </c>
      <c r="B2177" t="s">
        <v>10951</v>
      </c>
      <c r="C2177" t="s">
        <v>5043</v>
      </c>
      <c r="D2177" t="s">
        <v>8401</v>
      </c>
    </row>
    <row r="2178" spans="1:4" ht="15" x14ac:dyDescent="0.25">
      <c r="A2178">
        <v>10742</v>
      </c>
      <c r="B2178" t="s">
        <v>10951</v>
      </c>
      <c r="C2178" t="s">
        <v>5043</v>
      </c>
      <c r="D2178" t="s">
        <v>8401</v>
      </c>
    </row>
    <row r="2179" spans="1:4" ht="15" x14ac:dyDescent="0.25">
      <c r="A2179">
        <v>10947</v>
      </c>
      <c r="B2179" t="s">
        <v>10951</v>
      </c>
      <c r="C2179" t="s">
        <v>5043</v>
      </c>
      <c r="D2179" t="s">
        <v>8401</v>
      </c>
    </row>
    <row r="2180" spans="1:4" ht="15" x14ac:dyDescent="0.25">
      <c r="A2180">
        <v>11495</v>
      </c>
      <c r="B2180" t="s">
        <v>10951</v>
      </c>
      <c r="C2180" t="s">
        <v>5043</v>
      </c>
      <c r="D2180" t="s">
        <v>8401</v>
      </c>
    </row>
    <row r="2181" spans="1:4" ht="15" x14ac:dyDescent="0.25">
      <c r="A2181">
        <v>6912</v>
      </c>
      <c r="B2181" t="s">
        <v>10951</v>
      </c>
      <c r="C2181" t="s">
        <v>5043</v>
      </c>
      <c r="D2181" t="s">
        <v>8401</v>
      </c>
    </row>
    <row r="2182" spans="1:4" ht="15" x14ac:dyDescent="0.25">
      <c r="A2182">
        <v>8657</v>
      </c>
      <c r="B2182" t="s">
        <v>10951</v>
      </c>
      <c r="C2182" t="s">
        <v>5043</v>
      </c>
      <c r="D2182" t="s">
        <v>8401</v>
      </c>
    </row>
    <row r="2183" spans="1:4" ht="15" x14ac:dyDescent="0.25">
      <c r="A2183">
        <v>8679</v>
      </c>
      <c r="B2183" t="s">
        <v>10951</v>
      </c>
      <c r="C2183" t="s">
        <v>5043</v>
      </c>
      <c r="D2183" t="s">
        <v>8401</v>
      </c>
    </row>
    <row r="2184" spans="1:4" ht="15" x14ac:dyDescent="0.25">
      <c r="A2184">
        <v>8856</v>
      </c>
      <c r="B2184" t="s">
        <v>10951</v>
      </c>
      <c r="C2184" t="s">
        <v>5043</v>
      </c>
      <c r="D2184" t="s">
        <v>8401</v>
      </c>
    </row>
    <row r="2185" spans="1:4" ht="15" x14ac:dyDescent="0.25">
      <c r="A2185">
        <v>8858</v>
      </c>
      <c r="B2185" t="s">
        <v>10951</v>
      </c>
      <c r="C2185" t="s">
        <v>5043</v>
      </c>
      <c r="D2185" t="s">
        <v>8401</v>
      </c>
    </row>
    <row r="2186" spans="1:4" ht="15" x14ac:dyDescent="0.25">
      <c r="A2186">
        <v>9219</v>
      </c>
      <c r="B2186" t="s">
        <v>10951</v>
      </c>
      <c r="C2186" t="s">
        <v>5043</v>
      </c>
      <c r="D2186" t="s">
        <v>8401</v>
      </c>
    </row>
    <row r="2187" spans="1:4" ht="15" x14ac:dyDescent="0.25">
      <c r="A2187">
        <v>9272</v>
      </c>
      <c r="B2187" t="s">
        <v>10951</v>
      </c>
      <c r="C2187" t="s">
        <v>5043</v>
      </c>
      <c r="D2187" t="s">
        <v>8401</v>
      </c>
    </row>
    <row r="2188" spans="1:4" ht="15" x14ac:dyDescent="0.25">
      <c r="A2188">
        <v>9617</v>
      </c>
      <c r="B2188" t="s">
        <v>10951</v>
      </c>
      <c r="C2188" t="s">
        <v>5043</v>
      </c>
      <c r="D2188" t="s">
        <v>8401</v>
      </c>
    </row>
    <row r="2189" spans="1:4" ht="15" x14ac:dyDescent="0.25">
      <c r="A2189">
        <v>11411</v>
      </c>
      <c r="B2189" t="s">
        <v>10952</v>
      </c>
      <c r="C2189" t="s">
        <v>5043</v>
      </c>
      <c r="D2189" t="s">
        <v>8401</v>
      </c>
    </row>
    <row r="2190" spans="1:4" ht="15" x14ac:dyDescent="0.25">
      <c r="A2190">
        <v>7206</v>
      </c>
      <c r="B2190" t="s">
        <v>10952</v>
      </c>
      <c r="C2190" t="s">
        <v>5043</v>
      </c>
      <c r="D2190" t="s">
        <v>8401</v>
      </c>
    </row>
    <row r="2191" spans="1:4" ht="15" x14ac:dyDescent="0.25">
      <c r="A2191">
        <v>9422</v>
      </c>
      <c r="B2191" t="s">
        <v>10952</v>
      </c>
      <c r="C2191" t="s">
        <v>5043</v>
      </c>
      <c r="D2191" t="s">
        <v>8401</v>
      </c>
    </row>
    <row r="2192" spans="1:4" ht="15" x14ac:dyDescent="0.25">
      <c r="A2192">
        <v>9583</v>
      </c>
      <c r="B2192" t="s">
        <v>10952</v>
      </c>
      <c r="C2192" t="s">
        <v>5043</v>
      </c>
      <c r="D2192" t="s">
        <v>8401</v>
      </c>
    </row>
    <row r="2193" spans="1:4" ht="15" x14ac:dyDescent="0.25">
      <c r="A2193">
        <v>11824</v>
      </c>
      <c r="B2193" t="s">
        <v>9104</v>
      </c>
      <c r="C2193" t="s">
        <v>5043</v>
      </c>
      <c r="D2193" t="s">
        <v>8401</v>
      </c>
    </row>
    <row r="2194" spans="1:4" ht="15" x14ac:dyDescent="0.25">
      <c r="A2194">
        <v>10257</v>
      </c>
      <c r="B2194" t="s">
        <v>10953</v>
      </c>
      <c r="C2194" t="s">
        <v>5043</v>
      </c>
      <c r="D2194" t="s">
        <v>8401</v>
      </c>
    </row>
    <row r="2195" spans="1:4" ht="15" x14ac:dyDescent="0.25">
      <c r="A2195">
        <v>10866</v>
      </c>
      <c r="B2195" t="s">
        <v>10953</v>
      </c>
      <c r="C2195" t="s">
        <v>5043</v>
      </c>
      <c r="D2195" t="s">
        <v>8401</v>
      </c>
    </row>
    <row r="2196" spans="1:4" ht="15" x14ac:dyDescent="0.25">
      <c r="A2196">
        <v>10966</v>
      </c>
      <c r="B2196" t="s">
        <v>10953</v>
      </c>
      <c r="C2196" t="s">
        <v>5043</v>
      </c>
      <c r="D2196" t="s">
        <v>8401</v>
      </c>
    </row>
    <row r="2197" spans="1:4" ht="15" x14ac:dyDescent="0.25">
      <c r="A2197">
        <v>8081</v>
      </c>
      <c r="B2197" t="s">
        <v>10953</v>
      </c>
      <c r="C2197" t="s">
        <v>5043</v>
      </c>
      <c r="D2197" t="s">
        <v>8401</v>
      </c>
    </row>
    <row r="2198" spans="1:4" ht="15" x14ac:dyDescent="0.25">
      <c r="A2198">
        <v>8525</v>
      </c>
      <c r="B2198" t="s">
        <v>10953</v>
      </c>
      <c r="C2198" t="s">
        <v>5043</v>
      </c>
      <c r="D2198" t="s">
        <v>8401</v>
      </c>
    </row>
    <row r="2199" spans="1:4" ht="15" x14ac:dyDescent="0.25">
      <c r="A2199">
        <v>8792</v>
      </c>
      <c r="B2199" t="s">
        <v>10953</v>
      </c>
      <c r="C2199" t="s">
        <v>5043</v>
      </c>
      <c r="D2199" t="s">
        <v>8401</v>
      </c>
    </row>
    <row r="2200" spans="1:4" ht="15" x14ac:dyDescent="0.25">
      <c r="A2200">
        <v>9145</v>
      </c>
      <c r="B2200" t="s">
        <v>10953</v>
      </c>
      <c r="C2200" t="s">
        <v>5043</v>
      </c>
      <c r="D2200" t="s">
        <v>8401</v>
      </c>
    </row>
    <row r="2201" spans="1:4" ht="15" x14ac:dyDescent="0.25">
      <c r="A2201">
        <v>9515</v>
      </c>
      <c r="B2201" t="s">
        <v>10953</v>
      </c>
      <c r="C2201" t="s">
        <v>5043</v>
      </c>
      <c r="D2201" t="s">
        <v>8401</v>
      </c>
    </row>
    <row r="2202" spans="1:4" ht="15" x14ac:dyDescent="0.25">
      <c r="A2202">
        <v>9532</v>
      </c>
      <c r="B2202" t="s">
        <v>10953</v>
      </c>
      <c r="C2202" t="s">
        <v>5043</v>
      </c>
      <c r="D2202" t="s">
        <v>8401</v>
      </c>
    </row>
    <row r="2203" spans="1:4" ht="15" x14ac:dyDescent="0.25">
      <c r="A2203">
        <v>9975</v>
      </c>
      <c r="B2203" t="s">
        <v>10953</v>
      </c>
      <c r="C2203" t="s">
        <v>5043</v>
      </c>
      <c r="D2203" t="s">
        <v>8401</v>
      </c>
    </row>
    <row r="2204" spans="1:4" ht="15" x14ac:dyDescent="0.25">
      <c r="A2204">
        <v>10729</v>
      </c>
      <c r="B2204" t="s">
        <v>10954</v>
      </c>
      <c r="C2204" t="s">
        <v>5043</v>
      </c>
      <c r="D2204" t="s">
        <v>8401</v>
      </c>
    </row>
    <row r="2205" spans="1:4" ht="15" x14ac:dyDescent="0.25">
      <c r="A2205">
        <v>11256</v>
      </c>
      <c r="B2205" t="s">
        <v>10954</v>
      </c>
      <c r="C2205" t="s">
        <v>5043</v>
      </c>
      <c r="D2205" t="s">
        <v>8401</v>
      </c>
    </row>
    <row r="2206" spans="1:4" ht="15" x14ac:dyDescent="0.25">
      <c r="A2206">
        <v>11575</v>
      </c>
      <c r="B2206" t="s">
        <v>10954</v>
      </c>
      <c r="C2206" t="s">
        <v>5043</v>
      </c>
      <c r="D2206" t="s">
        <v>8401</v>
      </c>
    </row>
    <row r="2207" spans="1:4" ht="15" x14ac:dyDescent="0.25">
      <c r="A2207">
        <v>8668</v>
      </c>
      <c r="B2207" t="s">
        <v>10954</v>
      </c>
      <c r="C2207" t="s">
        <v>5043</v>
      </c>
      <c r="D2207" t="s">
        <v>8401</v>
      </c>
    </row>
    <row r="2208" spans="1:4" ht="15" x14ac:dyDescent="0.25">
      <c r="A2208">
        <v>9908</v>
      </c>
      <c r="B2208" t="s">
        <v>10954</v>
      </c>
      <c r="C2208" t="s">
        <v>5043</v>
      </c>
      <c r="D2208" t="s">
        <v>8401</v>
      </c>
    </row>
    <row r="2209" spans="1:4" ht="15" x14ac:dyDescent="0.25">
      <c r="A2209">
        <v>10173</v>
      </c>
      <c r="B2209" t="s">
        <v>9105</v>
      </c>
      <c r="C2209" t="s">
        <v>5043</v>
      </c>
      <c r="D2209" t="s">
        <v>8401</v>
      </c>
    </row>
    <row r="2210" spans="1:4" ht="15" x14ac:dyDescent="0.25">
      <c r="A2210">
        <v>10787</v>
      </c>
      <c r="B2210" t="s">
        <v>9105</v>
      </c>
      <c r="C2210" t="s">
        <v>5043</v>
      </c>
      <c r="D2210" t="s">
        <v>8401</v>
      </c>
    </row>
    <row r="2211" spans="1:4" ht="15" x14ac:dyDescent="0.25">
      <c r="A2211">
        <v>6847</v>
      </c>
      <c r="B2211" t="s">
        <v>9105</v>
      </c>
      <c r="C2211" t="s">
        <v>5043</v>
      </c>
      <c r="D2211" t="s">
        <v>8401</v>
      </c>
    </row>
    <row r="2212" spans="1:4" ht="15" x14ac:dyDescent="0.25">
      <c r="A2212">
        <v>6981</v>
      </c>
      <c r="B2212" t="s">
        <v>9105</v>
      </c>
      <c r="C2212" t="s">
        <v>5043</v>
      </c>
      <c r="D2212" t="s">
        <v>8401</v>
      </c>
    </row>
    <row r="2213" spans="1:4" ht="15" x14ac:dyDescent="0.25">
      <c r="A2213">
        <v>7595</v>
      </c>
      <c r="B2213" t="s">
        <v>9105</v>
      </c>
      <c r="C2213" t="s">
        <v>5043</v>
      </c>
      <c r="D2213" t="s">
        <v>8401</v>
      </c>
    </row>
    <row r="2214" spans="1:4" ht="15" x14ac:dyDescent="0.25">
      <c r="A2214">
        <v>7850</v>
      </c>
      <c r="B2214" t="s">
        <v>9105</v>
      </c>
      <c r="C2214" t="s">
        <v>5043</v>
      </c>
      <c r="D2214" t="s">
        <v>8401</v>
      </c>
    </row>
    <row r="2215" spans="1:4" ht="15" x14ac:dyDescent="0.25">
      <c r="A2215">
        <v>7857</v>
      </c>
      <c r="B2215" t="s">
        <v>9105</v>
      </c>
      <c r="C2215" t="s">
        <v>5043</v>
      </c>
      <c r="D2215" t="s">
        <v>8401</v>
      </c>
    </row>
    <row r="2216" spans="1:4" ht="15" x14ac:dyDescent="0.25">
      <c r="A2216">
        <v>8183</v>
      </c>
      <c r="B2216" t="s">
        <v>9105</v>
      </c>
      <c r="C2216" t="s">
        <v>5043</v>
      </c>
      <c r="D2216" t="s">
        <v>8401</v>
      </c>
    </row>
    <row r="2217" spans="1:4" ht="15" x14ac:dyDescent="0.25">
      <c r="A2217">
        <v>8258</v>
      </c>
      <c r="B2217" t="s">
        <v>9105</v>
      </c>
      <c r="C2217" t="s">
        <v>5043</v>
      </c>
      <c r="D2217" t="s">
        <v>8401</v>
      </c>
    </row>
    <row r="2218" spans="1:4" ht="15" x14ac:dyDescent="0.25">
      <c r="A2218">
        <v>8538</v>
      </c>
      <c r="B2218" t="s">
        <v>9105</v>
      </c>
      <c r="C2218" t="s">
        <v>5043</v>
      </c>
      <c r="D2218" t="s">
        <v>8401</v>
      </c>
    </row>
    <row r="2219" spans="1:4" ht="15" x14ac:dyDescent="0.25">
      <c r="A2219">
        <v>7319</v>
      </c>
      <c r="B2219" t="s">
        <v>10955</v>
      </c>
      <c r="C2219" t="s">
        <v>5043</v>
      </c>
      <c r="D2219" t="s">
        <v>8401</v>
      </c>
    </row>
    <row r="2220" spans="1:4" ht="15" x14ac:dyDescent="0.25">
      <c r="A2220">
        <v>10913</v>
      </c>
      <c r="B2220" t="s">
        <v>9106</v>
      </c>
      <c r="C2220" t="s">
        <v>5043</v>
      </c>
      <c r="D2220" t="s">
        <v>8401</v>
      </c>
    </row>
    <row r="2221" spans="1:4" ht="15" x14ac:dyDescent="0.25">
      <c r="A2221">
        <v>11345</v>
      </c>
      <c r="B2221" t="s">
        <v>9106</v>
      </c>
      <c r="C2221" t="s">
        <v>5043</v>
      </c>
      <c r="D2221" t="s">
        <v>8401</v>
      </c>
    </row>
    <row r="2222" spans="1:4" ht="15" x14ac:dyDescent="0.25">
      <c r="A2222">
        <v>11433</v>
      </c>
      <c r="B2222" t="s">
        <v>9106</v>
      </c>
      <c r="C2222" t="s">
        <v>5043</v>
      </c>
      <c r="D2222" t="s">
        <v>8401</v>
      </c>
    </row>
    <row r="2223" spans="1:4" ht="15" x14ac:dyDescent="0.25">
      <c r="A2223">
        <v>11902</v>
      </c>
      <c r="B2223" t="s">
        <v>9106</v>
      </c>
      <c r="C2223" t="s">
        <v>5043</v>
      </c>
      <c r="D2223" t="s">
        <v>8401</v>
      </c>
    </row>
    <row r="2224" spans="1:4" ht="15" x14ac:dyDescent="0.25">
      <c r="A2224">
        <v>7011</v>
      </c>
      <c r="B2224" t="s">
        <v>9106</v>
      </c>
      <c r="C2224" t="s">
        <v>5043</v>
      </c>
      <c r="D2224" t="s">
        <v>8401</v>
      </c>
    </row>
    <row r="2225" spans="1:4" ht="15" x14ac:dyDescent="0.25">
      <c r="A2225">
        <v>7109</v>
      </c>
      <c r="B2225" t="s">
        <v>9106</v>
      </c>
      <c r="C2225" t="s">
        <v>5043</v>
      </c>
      <c r="D2225" t="s">
        <v>8401</v>
      </c>
    </row>
    <row r="2226" spans="1:4" ht="15" x14ac:dyDescent="0.25">
      <c r="A2226">
        <v>7340</v>
      </c>
      <c r="B2226" t="s">
        <v>9106</v>
      </c>
      <c r="C2226" t="s">
        <v>5043</v>
      </c>
      <c r="D2226" t="s">
        <v>8401</v>
      </c>
    </row>
    <row r="2227" spans="1:4" ht="15" x14ac:dyDescent="0.25">
      <c r="A2227">
        <v>7361</v>
      </c>
      <c r="B2227" t="s">
        <v>9106</v>
      </c>
      <c r="C2227" t="s">
        <v>5043</v>
      </c>
      <c r="D2227" t="s">
        <v>8401</v>
      </c>
    </row>
    <row r="2228" spans="1:4" ht="15" x14ac:dyDescent="0.25">
      <c r="A2228">
        <v>7422</v>
      </c>
      <c r="B2228" t="s">
        <v>9106</v>
      </c>
      <c r="C2228" t="s">
        <v>5043</v>
      </c>
      <c r="D2228" t="s">
        <v>8401</v>
      </c>
    </row>
    <row r="2229" spans="1:4" ht="15" x14ac:dyDescent="0.25">
      <c r="A2229">
        <v>8003</v>
      </c>
      <c r="B2229" t="s">
        <v>9106</v>
      </c>
      <c r="C2229" t="s">
        <v>5043</v>
      </c>
      <c r="D2229" t="s">
        <v>8401</v>
      </c>
    </row>
    <row r="2230" spans="1:4" ht="15" x14ac:dyDescent="0.25">
      <c r="A2230">
        <v>9077</v>
      </c>
      <c r="B2230" t="s">
        <v>9106</v>
      </c>
      <c r="C2230" t="s">
        <v>5043</v>
      </c>
      <c r="D2230" t="s">
        <v>8401</v>
      </c>
    </row>
    <row r="2231" spans="1:4" ht="15" x14ac:dyDescent="0.25">
      <c r="A2231">
        <v>11707</v>
      </c>
      <c r="B2231" t="s">
        <v>10956</v>
      </c>
      <c r="C2231" t="s">
        <v>5043</v>
      </c>
      <c r="D2231" t="s">
        <v>8401</v>
      </c>
    </row>
    <row r="2232" spans="1:4" ht="15" x14ac:dyDescent="0.25">
      <c r="A2232">
        <v>11722</v>
      </c>
      <c r="B2232" t="s">
        <v>10956</v>
      </c>
      <c r="C2232" t="s">
        <v>5043</v>
      </c>
      <c r="D2232" t="s">
        <v>8401</v>
      </c>
    </row>
    <row r="2233" spans="1:4" ht="15" x14ac:dyDescent="0.25">
      <c r="A2233">
        <v>7769</v>
      </c>
      <c r="B2233" t="s">
        <v>10956</v>
      </c>
      <c r="C2233" t="s">
        <v>5043</v>
      </c>
      <c r="D2233" t="s">
        <v>8401</v>
      </c>
    </row>
    <row r="2234" spans="1:4" ht="15" x14ac:dyDescent="0.25">
      <c r="A2234">
        <v>7897</v>
      </c>
      <c r="B2234" t="s">
        <v>10956</v>
      </c>
      <c r="C2234" t="s">
        <v>5043</v>
      </c>
      <c r="D2234" t="s">
        <v>8401</v>
      </c>
    </row>
    <row r="2235" spans="1:4" ht="15" x14ac:dyDescent="0.25">
      <c r="A2235">
        <v>11073</v>
      </c>
      <c r="B2235" t="s">
        <v>10957</v>
      </c>
      <c r="C2235" t="s">
        <v>5043</v>
      </c>
      <c r="D2235" t="s">
        <v>8401</v>
      </c>
    </row>
    <row r="2236" spans="1:4" ht="15" x14ac:dyDescent="0.25">
      <c r="A2236">
        <v>11434</v>
      </c>
      <c r="B2236" t="s">
        <v>10957</v>
      </c>
      <c r="C2236" t="s">
        <v>5043</v>
      </c>
      <c r="D2236" t="s">
        <v>8401</v>
      </c>
    </row>
    <row r="2237" spans="1:4" ht="15" x14ac:dyDescent="0.25">
      <c r="A2237">
        <v>11440</v>
      </c>
      <c r="B2237" t="s">
        <v>10957</v>
      </c>
      <c r="C2237" t="s">
        <v>5043</v>
      </c>
      <c r="D2237" t="s">
        <v>8401</v>
      </c>
    </row>
    <row r="2238" spans="1:4" ht="15" x14ac:dyDescent="0.25">
      <c r="A2238">
        <v>11510</v>
      </c>
      <c r="B2238" t="s">
        <v>10957</v>
      </c>
      <c r="C2238" t="s">
        <v>5043</v>
      </c>
      <c r="D2238" t="s">
        <v>8401</v>
      </c>
    </row>
    <row r="2239" spans="1:4" ht="15" x14ac:dyDescent="0.25">
      <c r="A2239">
        <v>11577</v>
      </c>
      <c r="B2239" t="s">
        <v>10957</v>
      </c>
      <c r="C2239" t="s">
        <v>5043</v>
      </c>
      <c r="D2239" t="s">
        <v>8401</v>
      </c>
    </row>
    <row r="2240" spans="1:4" ht="15" x14ac:dyDescent="0.25">
      <c r="A2240">
        <v>7107</v>
      </c>
      <c r="B2240" t="s">
        <v>10957</v>
      </c>
      <c r="C2240" t="s">
        <v>5043</v>
      </c>
      <c r="D2240" t="s">
        <v>8401</v>
      </c>
    </row>
    <row r="2241" spans="1:4" ht="15" x14ac:dyDescent="0.25">
      <c r="A2241">
        <v>7468</v>
      </c>
      <c r="B2241" t="s">
        <v>10957</v>
      </c>
      <c r="C2241" t="s">
        <v>5043</v>
      </c>
      <c r="D2241" t="s">
        <v>8401</v>
      </c>
    </row>
    <row r="2242" spans="1:4" ht="15" x14ac:dyDescent="0.25">
      <c r="A2242">
        <v>7596</v>
      </c>
      <c r="B2242" t="s">
        <v>10957</v>
      </c>
      <c r="C2242" t="s">
        <v>5043</v>
      </c>
      <c r="D2242" t="s">
        <v>8401</v>
      </c>
    </row>
    <row r="2243" spans="1:4" ht="15" x14ac:dyDescent="0.25">
      <c r="A2243">
        <v>8114</v>
      </c>
      <c r="B2243" t="s">
        <v>10957</v>
      </c>
      <c r="C2243" t="s">
        <v>5043</v>
      </c>
      <c r="D2243" t="s">
        <v>8401</v>
      </c>
    </row>
    <row r="2244" spans="1:4" ht="15" x14ac:dyDescent="0.25">
      <c r="A2244">
        <v>8214</v>
      </c>
      <c r="B2244" t="s">
        <v>10957</v>
      </c>
      <c r="C2244" t="s">
        <v>5043</v>
      </c>
      <c r="D2244" t="s">
        <v>8401</v>
      </c>
    </row>
    <row r="2245" spans="1:4" ht="15" x14ac:dyDescent="0.25">
      <c r="A2245">
        <v>9471</v>
      </c>
      <c r="B2245" t="s">
        <v>10957</v>
      </c>
      <c r="C2245" t="s">
        <v>5043</v>
      </c>
      <c r="D2245" t="s">
        <v>8401</v>
      </c>
    </row>
    <row r="2246" spans="1:4" ht="15" x14ac:dyDescent="0.25">
      <c r="A2246">
        <v>9965</v>
      </c>
      <c r="B2246" t="s">
        <v>10957</v>
      </c>
      <c r="C2246" t="s">
        <v>5043</v>
      </c>
      <c r="D2246" t="s">
        <v>8401</v>
      </c>
    </row>
    <row r="2247" spans="1:4" ht="15" x14ac:dyDescent="0.25">
      <c r="A2247">
        <v>10307</v>
      </c>
      <c r="B2247" t="s">
        <v>10958</v>
      </c>
      <c r="C2247" t="s">
        <v>5043</v>
      </c>
      <c r="D2247" t="s">
        <v>8401</v>
      </c>
    </row>
    <row r="2248" spans="1:4" ht="15" x14ac:dyDescent="0.25">
      <c r="A2248">
        <v>10610</v>
      </c>
      <c r="B2248" t="s">
        <v>10958</v>
      </c>
      <c r="C2248" t="s">
        <v>5043</v>
      </c>
      <c r="D2248" t="s">
        <v>8401</v>
      </c>
    </row>
    <row r="2249" spans="1:4" ht="15" x14ac:dyDescent="0.25">
      <c r="A2249">
        <v>11136</v>
      </c>
      <c r="B2249" t="s">
        <v>10958</v>
      </c>
      <c r="C2249" t="s">
        <v>5043</v>
      </c>
      <c r="D2249" t="s">
        <v>8401</v>
      </c>
    </row>
    <row r="2250" spans="1:4" ht="15" x14ac:dyDescent="0.25">
      <c r="A2250">
        <v>11537</v>
      </c>
      <c r="B2250" t="s">
        <v>10958</v>
      </c>
      <c r="C2250" t="s">
        <v>5043</v>
      </c>
      <c r="D2250" t="s">
        <v>8401</v>
      </c>
    </row>
    <row r="2251" spans="1:4" ht="15" x14ac:dyDescent="0.25">
      <c r="A2251">
        <v>6755</v>
      </c>
      <c r="B2251" t="s">
        <v>10958</v>
      </c>
      <c r="C2251" t="s">
        <v>5043</v>
      </c>
      <c r="D2251" t="s">
        <v>8401</v>
      </c>
    </row>
    <row r="2252" spans="1:4" ht="15" x14ac:dyDescent="0.25">
      <c r="A2252">
        <v>6802</v>
      </c>
      <c r="B2252" t="s">
        <v>10958</v>
      </c>
      <c r="C2252" t="s">
        <v>5043</v>
      </c>
      <c r="D2252" t="s">
        <v>8401</v>
      </c>
    </row>
    <row r="2253" spans="1:4" ht="15" x14ac:dyDescent="0.25">
      <c r="A2253">
        <v>7129</v>
      </c>
      <c r="B2253" t="s">
        <v>10958</v>
      </c>
      <c r="C2253" t="s">
        <v>5043</v>
      </c>
      <c r="D2253" t="s">
        <v>8401</v>
      </c>
    </row>
    <row r="2254" spans="1:4" ht="15" x14ac:dyDescent="0.25">
      <c r="A2254">
        <v>7330</v>
      </c>
      <c r="B2254" t="s">
        <v>10958</v>
      </c>
      <c r="C2254" t="s">
        <v>5043</v>
      </c>
      <c r="D2254" t="s">
        <v>8401</v>
      </c>
    </row>
    <row r="2255" spans="1:4" ht="15" x14ac:dyDescent="0.25">
      <c r="A2255">
        <v>8564</v>
      </c>
      <c r="B2255" t="s">
        <v>10958</v>
      </c>
      <c r="C2255" t="s">
        <v>5043</v>
      </c>
      <c r="D2255" t="s">
        <v>8401</v>
      </c>
    </row>
    <row r="2256" spans="1:4" ht="15" x14ac:dyDescent="0.25">
      <c r="A2256">
        <v>8776</v>
      </c>
      <c r="B2256" t="s">
        <v>10958</v>
      </c>
      <c r="C2256" t="s">
        <v>5043</v>
      </c>
      <c r="D2256" t="s">
        <v>8401</v>
      </c>
    </row>
    <row r="2257" spans="1:4" ht="15" x14ac:dyDescent="0.25">
      <c r="A2257">
        <v>9036</v>
      </c>
      <c r="B2257" t="s">
        <v>10958</v>
      </c>
      <c r="C2257" t="s">
        <v>5043</v>
      </c>
      <c r="D2257" t="s">
        <v>8401</v>
      </c>
    </row>
    <row r="2258" spans="1:4" ht="15" x14ac:dyDescent="0.25">
      <c r="A2258">
        <v>9665</v>
      </c>
      <c r="B2258" t="s">
        <v>10958</v>
      </c>
      <c r="C2258" t="s">
        <v>5043</v>
      </c>
      <c r="D2258" t="s">
        <v>8401</v>
      </c>
    </row>
    <row r="2259" spans="1:4" ht="15" x14ac:dyDescent="0.25">
      <c r="A2259">
        <v>8016</v>
      </c>
      <c r="B2259" t="s">
        <v>10959</v>
      </c>
      <c r="C2259" t="s">
        <v>5043</v>
      </c>
      <c r="D2259" t="s">
        <v>8401</v>
      </c>
    </row>
    <row r="2260" spans="1:4" ht="15" x14ac:dyDescent="0.25">
      <c r="A2260">
        <v>8481</v>
      </c>
      <c r="B2260" t="s">
        <v>10959</v>
      </c>
      <c r="C2260" t="s">
        <v>5043</v>
      </c>
      <c r="D2260" t="s">
        <v>8401</v>
      </c>
    </row>
    <row r="2261" spans="1:4" ht="15" x14ac:dyDescent="0.25">
      <c r="A2261">
        <v>9379</v>
      </c>
      <c r="B2261" t="s">
        <v>10959</v>
      </c>
      <c r="C2261" t="s">
        <v>5043</v>
      </c>
      <c r="D2261" t="s">
        <v>8401</v>
      </c>
    </row>
    <row r="2262" spans="1:4" ht="15" x14ac:dyDescent="0.25">
      <c r="A2262">
        <v>10382</v>
      </c>
      <c r="B2262" t="s">
        <v>9107</v>
      </c>
      <c r="C2262" t="s">
        <v>5043</v>
      </c>
      <c r="D2262" t="s">
        <v>8401</v>
      </c>
    </row>
    <row r="2263" spans="1:4" ht="15" x14ac:dyDescent="0.25">
      <c r="A2263">
        <v>11563</v>
      </c>
      <c r="B2263" t="s">
        <v>9107</v>
      </c>
      <c r="C2263" t="s">
        <v>5043</v>
      </c>
      <c r="D2263" t="s">
        <v>8401</v>
      </c>
    </row>
    <row r="2264" spans="1:4" ht="15" x14ac:dyDescent="0.25">
      <c r="A2264">
        <v>10519</v>
      </c>
      <c r="B2264" t="s">
        <v>10960</v>
      </c>
      <c r="C2264" t="s">
        <v>5043</v>
      </c>
      <c r="D2264" t="s">
        <v>8401</v>
      </c>
    </row>
    <row r="2265" spans="1:4" ht="15" x14ac:dyDescent="0.25">
      <c r="A2265">
        <v>11482</v>
      </c>
      <c r="B2265" t="s">
        <v>10960</v>
      </c>
      <c r="C2265" t="s">
        <v>5043</v>
      </c>
      <c r="D2265" t="s">
        <v>8401</v>
      </c>
    </row>
    <row r="2266" spans="1:4" ht="15" x14ac:dyDescent="0.25">
      <c r="A2266">
        <v>7779</v>
      </c>
      <c r="B2266" t="s">
        <v>10960</v>
      </c>
      <c r="C2266" t="s">
        <v>5043</v>
      </c>
      <c r="D2266" t="s">
        <v>8401</v>
      </c>
    </row>
    <row r="2267" spans="1:4" ht="15" x14ac:dyDescent="0.25">
      <c r="A2267">
        <v>8042</v>
      </c>
      <c r="B2267" t="s">
        <v>10960</v>
      </c>
      <c r="C2267" t="s">
        <v>5043</v>
      </c>
      <c r="D2267" t="s">
        <v>8401</v>
      </c>
    </row>
    <row r="2268" spans="1:4" ht="15" x14ac:dyDescent="0.25">
      <c r="A2268">
        <v>9241</v>
      </c>
      <c r="B2268" t="s">
        <v>10960</v>
      </c>
      <c r="C2268" t="s">
        <v>5043</v>
      </c>
      <c r="D2268" t="s">
        <v>8401</v>
      </c>
    </row>
    <row r="2269" spans="1:4" ht="15" x14ac:dyDescent="0.25">
      <c r="A2269">
        <v>10669</v>
      </c>
      <c r="B2269" t="s">
        <v>10961</v>
      </c>
      <c r="C2269" t="s">
        <v>5043</v>
      </c>
      <c r="D2269" t="s">
        <v>8401</v>
      </c>
    </row>
    <row r="2270" spans="1:4" ht="15" x14ac:dyDescent="0.25">
      <c r="A2270">
        <v>11726</v>
      </c>
      <c r="B2270" t="s">
        <v>10961</v>
      </c>
      <c r="C2270" t="s">
        <v>5043</v>
      </c>
      <c r="D2270" t="s">
        <v>8401</v>
      </c>
    </row>
    <row r="2271" spans="1:4" ht="15" x14ac:dyDescent="0.25">
      <c r="A2271">
        <v>10815</v>
      </c>
      <c r="B2271" t="s">
        <v>10962</v>
      </c>
      <c r="C2271" t="s">
        <v>5043</v>
      </c>
      <c r="D2271" t="s">
        <v>8401</v>
      </c>
    </row>
    <row r="2272" spans="1:4" ht="15" x14ac:dyDescent="0.25">
      <c r="A2272">
        <v>11048</v>
      </c>
      <c r="B2272" t="s">
        <v>10962</v>
      </c>
      <c r="C2272" t="s">
        <v>5043</v>
      </c>
      <c r="D2272" t="s">
        <v>8401</v>
      </c>
    </row>
    <row r="2273" spans="1:4" ht="15" x14ac:dyDescent="0.25">
      <c r="A2273">
        <v>7218</v>
      </c>
      <c r="B2273" t="s">
        <v>10962</v>
      </c>
      <c r="C2273" t="s">
        <v>5043</v>
      </c>
      <c r="D2273" t="s">
        <v>8401</v>
      </c>
    </row>
    <row r="2274" spans="1:4" ht="15" x14ac:dyDescent="0.25">
      <c r="A2274">
        <v>7377</v>
      </c>
      <c r="B2274" t="s">
        <v>10962</v>
      </c>
      <c r="C2274" t="s">
        <v>5043</v>
      </c>
      <c r="D2274" t="s">
        <v>8401</v>
      </c>
    </row>
    <row r="2275" spans="1:4" ht="15" x14ac:dyDescent="0.25">
      <c r="A2275">
        <v>7570</v>
      </c>
      <c r="B2275" t="s">
        <v>10962</v>
      </c>
      <c r="C2275" t="s">
        <v>5043</v>
      </c>
      <c r="D2275" t="s">
        <v>8401</v>
      </c>
    </row>
    <row r="2276" spans="1:4" ht="15" x14ac:dyDescent="0.25">
      <c r="A2276">
        <v>7998</v>
      </c>
      <c r="B2276" t="s">
        <v>10962</v>
      </c>
      <c r="C2276" t="s">
        <v>5043</v>
      </c>
      <c r="D2276" t="s">
        <v>8401</v>
      </c>
    </row>
    <row r="2277" spans="1:4" ht="15" x14ac:dyDescent="0.25">
      <c r="A2277">
        <v>8164</v>
      </c>
      <c r="B2277" t="s">
        <v>10962</v>
      </c>
      <c r="C2277" t="s">
        <v>5043</v>
      </c>
      <c r="D2277" t="s">
        <v>8401</v>
      </c>
    </row>
    <row r="2278" spans="1:4" ht="15" x14ac:dyDescent="0.25">
      <c r="A2278">
        <v>8972</v>
      </c>
      <c r="B2278" t="s">
        <v>10962</v>
      </c>
      <c r="C2278" t="s">
        <v>5043</v>
      </c>
      <c r="D2278" t="s">
        <v>8401</v>
      </c>
    </row>
    <row r="2279" spans="1:4" ht="15" x14ac:dyDescent="0.25">
      <c r="A2279">
        <v>9296</v>
      </c>
      <c r="B2279" t="s">
        <v>10962</v>
      </c>
      <c r="C2279" t="s">
        <v>5043</v>
      </c>
      <c r="D2279" t="s">
        <v>8401</v>
      </c>
    </row>
    <row r="2280" spans="1:4" ht="15" x14ac:dyDescent="0.25">
      <c r="A2280">
        <v>9455</v>
      </c>
      <c r="B2280" t="s">
        <v>10962</v>
      </c>
      <c r="C2280" t="s">
        <v>5043</v>
      </c>
      <c r="D2280" t="s">
        <v>8401</v>
      </c>
    </row>
    <row r="2281" spans="1:4" ht="15" x14ac:dyDescent="0.25">
      <c r="A2281">
        <v>9528</v>
      </c>
      <c r="B2281" t="s">
        <v>10962</v>
      </c>
      <c r="C2281" t="s">
        <v>5043</v>
      </c>
      <c r="D2281" t="s">
        <v>8401</v>
      </c>
    </row>
    <row r="2282" spans="1:4" ht="15" x14ac:dyDescent="0.25">
      <c r="A2282">
        <v>9641</v>
      </c>
      <c r="B2282" t="s">
        <v>10962</v>
      </c>
      <c r="C2282" t="s">
        <v>5043</v>
      </c>
      <c r="D2282" t="s">
        <v>8401</v>
      </c>
    </row>
    <row r="2283" spans="1:4" ht="15" x14ac:dyDescent="0.25">
      <c r="A2283">
        <v>8602</v>
      </c>
      <c r="B2283" t="s">
        <v>10963</v>
      </c>
      <c r="C2283" t="s">
        <v>5043</v>
      </c>
      <c r="D2283" t="s">
        <v>8401</v>
      </c>
    </row>
    <row r="2284" spans="1:4" ht="15" x14ac:dyDescent="0.25">
      <c r="A2284">
        <v>8832</v>
      </c>
      <c r="B2284" t="s">
        <v>9108</v>
      </c>
      <c r="C2284" t="s">
        <v>5043</v>
      </c>
      <c r="D2284" t="s">
        <v>8401</v>
      </c>
    </row>
    <row r="2285" spans="1:4" ht="15" x14ac:dyDescent="0.25">
      <c r="A2285">
        <v>7205</v>
      </c>
      <c r="B2285" t="s">
        <v>9109</v>
      </c>
      <c r="C2285" t="s">
        <v>5043</v>
      </c>
      <c r="D2285" t="s">
        <v>8401</v>
      </c>
    </row>
    <row r="2286" spans="1:4" ht="15" x14ac:dyDescent="0.25">
      <c r="A2286">
        <v>8777</v>
      </c>
      <c r="B2286" t="s">
        <v>9109</v>
      </c>
      <c r="C2286" t="s">
        <v>5043</v>
      </c>
      <c r="D2286" t="s">
        <v>8401</v>
      </c>
    </row>
    <row r="2287" spans="1:4" ht="15" x14ac:dyDescent="0.25">
      <c r="A2287">
        <v>10224</v>
      </c>
      <c r="B2287" t="s">
        <v>10964</v>
      </c>
      <c r="C2287" t="s">
        <v>5043</v>
      </c>
      <c r="D2287" t="s">
        <v>8401</v>
      </c>
    </row>
    <row r="2288" spans="1:4" ht="15" x14ac:dyDescent="0.25">
      <c r="A2288">
        <v>11617</v>
      </c>
      <c r="B2288" t="s">
        <v>10964</v>
      </c>
      <c r="C2288" t="s">
        <v>5043</v>
      </c>
      <c r="D2288" t="s">
        <v>8401</v>
      </c>
    </row>
    <row r="2289" spans="1:4" ht="15" x14ac:dyDescent="0.25">
      <c r="A2289">
        <v>8586</v>
      </c>
      <c r="B2289" t="s">
        <v>10964</v>
      </c>
      <c r="C2289" t="s">
        <v>5043</v>
      </c>
      <c r="D2289" t="s">
        <v>8401</v>
      </c>
    </row>
    <row r="2290" spans="1:4" ht="15" x14ac:dyDescent="0.25">
      <c r="A2290">
        <v>9499</v>
      </c>
      <c r="B2290" t="s">
        <v>10965</v>
      </c>
      <c r="C2290" t="s">
        <v>5043</v>
      </c>
      <c r="D2290" t="s">
        <v>8401</v>
      </c>
    </row>
    <row r="2291" spans="1:4" ht="15" x14ac:dyDescent="0.25">
      <c r="A2291">
        <v>7518</v>
      </c>
      <c r="B2291" t="s">
        <v>10966</v>
      </c>
      <c r="C2291" t="s">
        <v>5043</v>
      </c>
      <c r="D2291" t="s">
        <v>8401</v>
      </c>
    </row>
    <row r="2292" spans="1:4" ht="15" x14ac:dyDescent="0.25">
      <c r="A2292">
        <v>9859</v>
      </c>
      <c r="B2292" t="s">
        <v>10967</v>
      </c>
      <c r="C2292" t="s">
        <v>5043</v>
      </c>
      <c r="D2292" t="s">
        <v>8401</v>
      </c>
    </row>
    <row r="2293" spans="1:4" ht="15" x14ac:dyDescent="0.25">
      <c r="A2293">
        <v>7210</v>
      </c>
      <c r="B2293" t="s">
        <v>10968</v>
      </c>
      <c r="C2293" t="s">
        <v>5043</v>
      </c>
      <c r="D2293" t="s">
        <v>8401</v>
      </c>
    </row>
    <row r="2294" spans="1:4" ht="15" x14ac:dyDescent="0.25">
      <c r="A2294">
        <v>8817</v>
      </c>
      <c r="B2294" t="s">
        <v>10968</v>
      </c>
      <c r="C2294" t="s">
        <v>5043</v>
      </c>
      <c r="D2294" t="s">
        <v>8401</v>
      </c>
    </row>
    <row r="2295" spans="1:4" ht="15" x14ac:dyDescent="0.25">
      <c r="A2295">
        <v>11316</v>
      </c>
      <c r="B2295" t="s">
        <v>9110</v>
      </c>
      <c r="C2295" t="s">
        <v>5043</v>
      </c>
      <c r="D2295" t="s">
        <v>8401</v>
      </c>
    </row>
    <row r="2296" spans="1:4" ht="15" x14ac:dyDescent="0.25">
      <c r="A2296">
        <v>7427</v>
      </c>
      <c r="B2296" t="s">
        <v>10969</v>
      </c>
      <c r="C2296" t="s">
        <v>5043</v>
      </c>
      <c r="D2296" t="s">
        <v>8401</v>
      </c>
    </row>
    <row r="2297" spans="1:4" ht="15" x14ac:dyDescent="0.25">
      <c r="A2297">
        <v>8561</v>
      </c>
      <c r="B2297" t="s">
        <v>10970</v>
      </c>
      <c r="C2297" t="s">
        <v>5043</v>
      </c>
      <c r="D2297" t="s">
        <v>8401</v>
      </c>
    </row>
    <row r="2298" spans="1:4" ht="15" x14ac:dyDescent="0.25">
      <c r="A2298">
        <v>8919</v>
      </c>
      <c r="B2298" t="s">
        <v>9111</v>
      </c>
      <c r="C2298" t="s">
        <v>5043</v>
      </c>
      <c r="D2298" t="s">
        <v>8401</v>
      </c>
    </row>
    <row r="2299" spans="1:4" ht="15" x14ac:dyDescent="0.25">
      <c r="A2299">
        <v>10072</v>
      </c>
      <c r="B2299" t="s">
        <v>9112</v>
      </c>
      <c r="C2299" t="s">
        <v>5043</v>
      </c>
      <c r="D2299" t="s">
        <v>8401</v>
      </c>
    </row>
    <row r="2300" spans="1:4" ht="15" x14ac:dyDescent="0.25">
      <c r="A2300">
        <v>11096</v>
      </c>
      <c r="B2300" t="s">
        <v>9112</v>
      </c>
      <c r="C2300" t="s">
        <v>5043</v>
      </c>
      <c r="D2300" t="s">
        <v>8401</v>
      </c>
    </row>
    <row r="2301" spans="1:4" ht="15" x14ac:dyDescent="0.25">
      <c r="A2301">
        <v>8397</v>
      </c>
      <c r="B2301" t="s">
        <v>9112</v>
      </c>
      <c r="C2301" t="s">
        <v>5043</v>
      </c>
      <c r="D2301" t="s">
        <v>8401</v>
      </c>
    </row>
    <row r="2302" spans="1:4" ht="15" x14ac:dyDescent="0.25">
      <c r="A2302">
        <v>8407</v>
      </c>
      <c r="B2302" t="s">
        <v>9112</v>
      </c>
      <c r="C2302" t="s">
        <v>5043</v>
      </c>
      <c r="D2302" t="s">
        <v>8401</v>
      </c>
    </row>
    <row r="2303" spans="1:4" ht="15" x14ac:dyDescent="0.25">
      <c r="A2303">
        <v>8541</v>
      </c>
      <c r="B2303" t="s">
        <v>9112</v>
      </c>
      <c r="C2303" t="s">
        <v>5043</v>
      </c>
      <c r="D2303" t="s">
        <v>8401</v>
      </c>
    </row>
    <row r="2304" spans="1:4" ht="15" x14ac:dyDescent="0.25">
      <c r="A2304">
        <v>11245</v>
      </c>
      <c r="B2304" t="s">
        <v>9113</v>
      </c>
      <c r="C2304" t="s">
        <v>5043</v>
      </c>
      <c r="D2304" t="s">
        <v>8401</v>
      </c>
    </row>
    <row r="2305" spans="1:4" ht="15" x14ac:dyDescent="0.25">
      <c r="A2305">
        <v>11592</v>
      </c>
      <c r="B2305" t="s">
        <v>9113</v>
      </c>
      <c r="C2305" t="s">
        <v>5043</v>
      </c>
      <c r="D2305" t="s">
        <v>8401</v>
      </c>
    </row>
    <row r="2306" spans="1:4" ht="15" x14ac:dyDescent="0.25">
      <c r="A2306">
        <v>10851</v>
      </c>
      <c r="B2306" t="s">
        <v>9114</v>
      </c>
      <c r="C2306" t="s">
        <v>5043</v>
      </c>
      <c r="D2306" t="s">
        <v>8401</v>
      </c>
    </row>
    <row r="2307" spans="1:4" ht="15" x14ac:dyDescent="0.25">
      <c r="A2307">
        <v>9837</v>
      </c>
      <c r="B2307" t="s">
        <v>9114</v>
      </c>
      <c r="C2307" t="s">
        <v>5043</v>
      </c>
      <c r="D2307" t="s">
        <v>8401</v>
      </c>
    </row>
    <row r="2308" spans="1:4" ht="15" x14ac:dyDescent="0.25">
      <c r="A2308">
        <v>10772</v>
      </c>
      <c r="B2308" t="s">
        <v>9115</v>
      </c>
      <c r="C2308" t="s">
        <v>5043</v>
      </c>
      <c r="D2308" t="s">
        <v>8401</v>
      </c>
    </row>
    <row r="2309" spans="1:4" ht="15" x14ac:dyDescent="0.25">
      <c r="A2309">
        <v>8950</v>
      </c>
      <c r="B2309" t="s">
        <v>9116</v>
      </c>
      <c r="C2309" t="s">
        <v>5043</v>
      </c>
      <c r="D2309" t="s">
        <v>8401</v>
      </c>
    </row>
    <row r="2310" spans="1:4" ht="15" x14ac:dyDescent="0.25">
      <c r="A2310">
        <v>6906</v>
      </c>
      <c r="B2310" t="s">
        <v>10971</v>
      </c>
      <c r="C2310" t="s">
        <v>5043</v>
      </c>
      <c r="D2310" t="s">
        <v>8401</v>
      </c>
    </row>
    <row r="2311" spans="1:4" ht="15" x14ac:dyDescent="0.25">
      <c r="A2311">
        <v>11492</v>
      </c>
      <c r="B2311" t="s">
        <v>10972</v>
      </c>
      <c r="C2311" t="s">
        <v>5043</v>
      </c>
      <c r="D2311" t="s">
        <v>8401</v>
      </c>
    </row>
    <row r="2312" spans="1:4" ht="15" x14ac:dyDescent="0.25">
      <c r="A2312">
        <v>11687</v>
      </c>
      <c r="B2312" t="s">
        <v>10973</v>
      </c>
      <c r="C2312" t="s">
        <v>5043</v>
      </c>
      <c r="D2312" t="s">
        <v>8401</v>
      </c>
    </row>
    <row r="2313" spans="1:4" ht="15" x14ac:dyDescent="0.25">
      <c r="A2313">
        <v>7346</v>
      </c>
      <c r="B2313" t="s">
        <v>10974</v>
      </c>
      <c r="C2313" t="s">
        <v>5043</v>
      </c>
      <c r="D2313" t="s">
        <v>8401</v>
      </c>
    </row>
    <row r="2314" spans="1:4" ht="15" x14ac:dyDescent="0.25">
      <c r="A2314">
        <v>7837</v>
      </c>
      <c r="B2314" t="s">
        <v>10975</v>
      </c>
      <c r="C2314" t="s">
        <v>5043</v>
      </c>
      <c r="D2314" t="s">
        <v>8401</v>
      </c>
    </row>
    <row r="2315" spans="1:4" ht="15" x14ac:dyDescent="0.25">
      <c r="A2315">
        <v>9494</v>
      </c>
      <c r="B2315" t="s">
        <v>10976</v>
      </c>
      <c r="C2315" t="s">
        <v>5043</v>
      </c>
      <c r="D2315" t="s">
        <v>8401</v>
      </c>
    </row>
    <row r="2316" spans="1:4" ht="15" x14ac:dyDescent="0.25">
      <c r="A2316">
        <v>11534</v>
      </c>
      <c r="B2316" t="s">
        <v>10977</v>
      </c>
      <c r="C2316" t="s">
        <v>5043</v>
      </c>
      <c r="D2316" t="s">
        <v>8401</v>
      </c>
    </row>
    <row r="2317" spans="1:4" ht="15" x14ac:dyDescent="0.25">
      <c r="A2317">
        <v>12045</v>
      </c>
      <c r="B2317" t="s">
        <v>10978</v>
      </c>
      <c r="C2317" t="s">
        <v>5043</v>
      </c>
      <c r="D2317" t="s">
        <v>8401</v>
      </c>
    </row>
    <row r="2318" spans="1:4" ht="15" x14ac:dyDescent="0.25">
      <c r="A2318">
        <v>9627</v>
      </c>
      <c r="B2318" t="s">
        <v>10979</v>
      </c>
      <c r="C2318" t="s">
        <v>5043</v>
      </c>
      <c r="D2318" t="s">
        <v>8401</v>
      </c>
    </row>
    <row r="2319" spans="1:4" ht="15" x14ac:dyDescent="0.25">
      <c r="A2319">
        <v>10365</v>
      </c>
      <c r="B2319" t="s">
        <v>10980</v>
      </c>
      <c r="C2319" t="s">
        <v>5043</v>
      </c>
      <c r="D2319" t="s">
        <v>8401</v>
      </c>
    </row>
    <row r="2320" spans="1:4" ht="15" x14ac:dyDescent="0.25">
      <c r="A2320">
        <v>10562</v>
      </c>
      <c r="B2320" t="s">
        <v>10980</v>
      </c>
      <c r="C2320" t="s">
        <v>5043</v>
      </c>
      <c r="D2320" t="s">
        <v>8401</v>
      </c>
    </row>
    <row r="2321" spans="1:4" ht="15" x14ac:dyDescent="0.25">
      <c r="A2321">
        <v>10609</v>
      </c>
      <c r="B2321" t="s">
        <v>10980</v>
      </c>
      <c r="C2321" t="s">
        <v>5043</v>
      </c>
      <c r="D2321" t="s">
        <v>8401</v>
      </c>
    </row>
    <row r="2322" spans="1:4" ht="15" x14ac:dyDescent="0.25">
      <c r="A2322">
        <v>10879</v>
      </c>
      <c r="B2322" t="s">
        <v>10980</v>
      </c>
      <c r="C2322" t="s">
        <v>5043</v>
      </c>
      <c r="D2322" t="s">
        <v>8401</v>
      </c>
    </row>
    <row r="2323" spans="1:4" ht="15" x14ac:dyDescent="0.25">
      <c r="A2323">
        <v>11084</v>
      </c>
      <c r="B2323" t="s">
        <v>10980</v>
      </c>
      <c r="C2323" t="s">
        <v>5043</v>
      </c>
      <c r="D2323" t="s">
        <v>8401</v>
      </c>
    </row>
    <row r="2324" spans="1:4" ht="15" x14ac:dyDescent="0.25">
      <c r="A2324">
        <v>11284</v>
      </c>
      <c r="B2324" t="s">
        <v>10980</v>
      </c>
      <c r="C2324" t="s">
        <v>5043</v>
      </c>
      <c r="D2324" t="s">
        <v>8401</v>
      </c>
    </row>
    <row r="2325" spans="1:4" ht="15" x14ac:dyDescent="0.25">
      <c r="A2325">
        <v>11990</v>
      </c>
      <c r="B2325" t="s">
        <v>10980</v>
      </c>
      <c r="C2325" t="s">
        <v>5043</v>
      </c>
      <c r="D2325" t="s">
        <v>8401</v>
      </c>
    </row>
    <row r="2326" spans="1:4" ht="15" x14ac:dyDescent="0.25">
      <c r="A2326">
        <v>12396</v>
      </c>
      <c r="B2326" t="s">
        <v>10980</v>
      </c>
      <c r="C2326" t="s">
        <v>5043</v>
      </c>
      <c r="D2326" t="s">
        <v>8401</v>
      </c>
    </row>
    <row r="2327" spans="1:4" ht="15" x14ac:dyDescent="0.25">
      <c r="A2327">
        <v>12397</v>
      </c>
      <c r="B2327" t="s">
        <v>10980</v>
      </c>
      <c r="C2327" t="s">
        <v>5043</v>
      </c>
      <c r="D2327" t="s">
        <v>8401</v>
      </c>
    </row>
    <row r="2328" spans="1:4" ht="15" x14ac:dyDescent="0.25">
      <c r="A2328">
        <v>12398</v>
      </c>
      <c r="B2328" t="s">
        <v>10980</v>
      </c>
      <c r="C2328" t="s">
        <v>5043</v>
      </c>
      <c r="D2328" t="s">
        <v>8401</v>
      </c>
    </row>
    <row r="2329" spans="1:4" ht="15" x14ac:dyDescent="0.25">
      <c r="A2329">
        <v>12399</v>
      </c>
      <c r="B2329" t="s">
        <v>10980</v>
      </c>
      <c r="C2329" t="s">
        <v>5043</v>
      </c>
      <c r="D2329" t="s">
        <v>8401</v>
      </c>
    </row>
    <row r="2330" spans="1:4" ht="15" x14ac:dyDescent="0.25">
      <c r="A2330">
        <v>6784</v>
      </c>
      <c r="B2330" t="s">
        <v>10980</v>
      </c>
      <c r="C2330" t="s">
        <v>5043</v>
      </c>
      <c r="D2330" t="s">
        <v>8401</v>
      </c>
    </row>
    <row r="2331" spans="1:4" ht="15" x14ac:dyDescent="0.25">
      <c r="A2331">
        <v>8144</v>
      </c>
      <c r="B2331" t="s">
        <v>10980</v>
      </c>
      <c r="C2331" t="s">
        <v>5043</v>
      </c>
      <c r="D2331" t="s">
        <v>8401</v>
      </c>
    </row>
    <row r="2332" spans="1:4" ht="15" x14ac:dyDescent="0.25">
      <c r="A2332">
        <v>9212</v>
      </c>
      <c r="B2332" t="s">
        <v>10980</v>
      </c>
      <c r="C2332" t="s">
        <v>5043</v>
      </c>
      <c r="D2332" t="s">
        <v>8401</v>
      </c>
    </row>
    <row r="2333" spans="1:4" ht="15" x14ac:dyDescent="0.25">
      <c r="A2333">
        <v>11042</v>
      </c>
      <c r="B2333" t="s">
        <v>9117</v>
      </c>
      <c r="C2333" t="s">
        <v>5043</v>
      </c>
      <c r="D2333" t="s">
        <v>8401</v>
      </c>
    </row>
    <row r="2334" spans="1:4" ht="15" x14ac:dyDescent="0.25">
      <c r="A2334">
        <v>11877</v>
      </c>
      <c r="B2334" t="s">
        <v>9117</v>
      </c>
      <c r="C2334" t="s">
        <v>5043</v>
      </c>
      <c r="D2334" t="s">
        <v>8401</v>
      </c>
    </row>
    <row r="2335" spans="1:4" ht="15" x14ac:dyDescent="0.25">
      <c r="A2335">
        <v>7042</v>
      </c>
      <c r="B2335" t="s">
        <v>9117</v>
      </c>
      <c r="C2335" t="s">
        <v>5043</v>
      </c>
      <c r="D2335" t="s">
        <v>8401</v>
      </c>
    </row>
    <row r="2336" spans="1:4" ht="15" x14ac:dyDescent="0.25">
      <c r="A2336">
        <v>11141</v>
      </c>
      <c r="B2336" t="s">
        <v>10981</v>
      </c>
      <c r="C2336" t="s">
        <v>5043</v>
      </c>
      <c r="D2336" t="s">
        <v>8401</v>
      </c>
    </row>
    <row r="2337" spans="1:4" ht="15" x14ac:dyDescent="0.25">
      <c r="A2337">
        <v>10229</v>
      </c>
      <c r="B2337" t="s">
        <v>10982</v>
      </c>
      <c r="C2337" t="s">
        <v>5043</v>
      </c>
      <c r="D2337" t="s">
        <v>8401</v>
      </c>
    </row>
    <row r="2338" spans="1:4" ht="15" x14ac:dyDescent="0.25">
      <c r="A2338">
        <v>10507</v>
      </c>
      <c r="B2338" t="s">
        <v>10983</v>
      </c>
      <c r="C2338" t="s">
        <v>5043</v>
      </c>
      <c r="D2338" t="s">
        <v>8401</v>
      </c>
    </row>
    <row r="2339" spans="1:4" ht="15" x14ac:dyDescent="0.25">
      <c r="A2339">
        <v>8430</v>
      </c>
      <c r="B2339" t="s">
        <v>10983</v>
      </c>
      <c r="C2339" t="s">
        <v>5043</v>
      </c>
      <c r="D2339" t="s">
        <v>8401</v>
      </c>
    </row>
    <row r="2340" spans="1:4" ht="15" x14ac:dyDescent="0.25">
      <c r="A2340">
        <v>8333</v>
      </c>
      <c r="B2340" t="s">
        <v>10984</v>
      </c>
      <c r="C2340" t="s">
        <v>5043</v>
      </c>
      <c r="D2340" t="s">
        <v>8401</v>
      </c>
    </row>
    <row r="2341" spans="1:4" ht="15" x14ac:dyDescent="0.25">
      <c r="A2341">
        <v>9529</v>
      </c>
      <c r="B2341" t="s">
        <v>10984</v>
      </c>
      <c r="C2341" t="s">
        <v>5043</v>
      </c>
      <c r="D2341" t="s">
        <v>8401</v>
      </c>
    </row>
    <row r="2342" spans="1:4" ht="15" x14ac:dyDescent="0.25">
      <c r="A2342">
        <v>9237</v>
      </c>
      <c r="B2342" t="s">
        <v>10985</v>
      </c>
      <c r="C2342" t="s">
        <v>5043</v>
      </c>
      <c r="D2342" t="s">
        <v>8401</v>
      </c>
    </row>
    <row r="2343" spans="1:4" ht="15" x14ac:dyDescent="0.25">
      <c r="A2343">
        <v>11860</v>
      </c>
      <c r="B2343" t="s">
        <v>9118</v>
      </c>
      <c r="C2343" t="s">
        <v>5043</v>
      </c>
      <c r="D2343" t="s">
        <v>8401</v>
      </c>
    </row>
    <row r="2344" spans="1:4" ht="15" x14ac:dyDescent="0.25">
      <c r="A2344">
        <v>8474</v>
      </c>
      <c r="B2344" t="s">
        <v>9118</v>
      </c>
      <c r="C2344" t="s">
        <v>5043</v>
      </c>
      <c r="D2344" t="s">
        <v>8401</v>
      </c>
    </row>
    <row r="2345" spans="1:4" ht="15" x14ac:dyDescent="0.25">
      <c r="A2345">
        <v>10278</v>
      </c>
      <c r="B2345" t="s">
        <v>9119</v>
      </c>
      <c r="C2345" t="s">
        <v>5043</v>
      </c>
      <c r="D2345" t="s">
        <v>8401</v>
      </c>
    </row>
    <row r="2346" spans="1:4" ht="15" x14ac:dyDescent="0.25">
      <c r="A2346">
        <v>10314</v>
      </c>
      <c r="B2346" t="s">
        <v>9119</v>
      </c>
      <c r="C2346" t="s">
        <v>5043</v>
      </c>
      <c r="D2346" t="s">
        <v>8401</v>
      </c>
    </row>
    <row r="2347" spans="1:4" ht="15" x14ac:dyDescent="0.25">
      <c r="A2347">
        <v>10557</v>
      </c>
      <c r="B2347" t="s">
        <v>9119</v>
      </c>
      <c r="C2347" t="s">
        <v>5043</v>
      </c>
      <c r="D2347" t="s">
        <v>8401</v>
      </c>
    </row>
    <row r="2348" spans="1:4" ht="15" x14ac:dyDescent="0.25">
      <c r="A2348">
        <v>10619</v>
      </c>
      <c r="B2348" t="s">
        <v>9119</v>
      </c>
      <c r="C2348" t="s">
        <v>5043</v>
      </c>
      <c r="D2348" t="s">
        <v>8401</v>
      </c>
    </row>
    <row r="2349" spans="1:4" ht="15" x14ac:dyDescent="0.25">
      <c r="A2349">
        <v>10986</v>
      </c>
      <c r="B2349" t="s">
        <v>9119</v>
      </c>
      <c r="C2349" t="s">
        <v>5043</v>
      </c>
      <c r="D2349" t="s">
        <v>8401</v>
      </c>
    </row>
    <row r="2350" spans="1:4" ht="15" x14ac:dyDescent="0.25">
      <c r="A2350">
        <v>11410</v>
      </c>
      <c r="B2350" t="s">
        <v>9119</v>
      </c>
      <c r="C2350" t="s">
        <v>5043</v>
      </c>
      <c r="D2350" t="s">
        <v>8401</v>
      </c>
    </row>
    <row r="2351" spans="1:4" ht="15" x14ac:dyDescent="0.25">
      <c r="A2351">
        <v>6867</v>
      </c>
      <c r="B2351" t="s">
        <v>9119</v>
      </c>
      <c r="C2351" t="s">
        <v>5043</v>
      </c>
      <c r="D2351" t="s">
        <v>8401</v>
      </c>
    </row>
    <row r="2352" spans="1:4" ht="15" x14ac:dyDescent="0.25">
      <c r="A2352">
        <v>7081</v>
      </c>
      <c r="B2352" t="s">
        <v>9119</v>
      </c>
      <c r="C2352" t="s">
        <v>5043</v>
      </c>
      <c r="D2352" t="s">
        <v>8401</v>
      </c>
    </row>
    <row r="2353" spans="1:4" ht="15" x14ac:dyDescent="0.25">
      <c r="A2353">
        <v>7111</v>
      </c>
      <c r="B2353" t="s">
        <v>9119</v>
      </c>
      <c r="C2353" t="s">
        <v>5043</v>
      </c>
      <c r="D2353" t="s">
        <v>8401</v>
      </c>
    </row>
    <row r="2354" spans="1:4" ht="15" x14ac:dyDescent="0.25">
      <c r="A2354">
        <v>8670</v>
      </c>
      <c r="B2354" t="s">
        <v>9119</v>
      </c>
      <c r="C2354" t="s">
        <v>5043</v>
      </c>
      <c r="D2354" t="s">
        <v>8401</v>
      </c>
    </row>
    <row r="2355" spans="1:4" ht="15" x14ac:dyDescent="0.25">
      <c r="A2355">
        <v>10178</v>
      </c>
      <c r="B2355" t="s">
        <v>9120</v>
      </c>
      <c r="C2355" t="s">
        <v>5043</v>
      </c>
      <c r="D2355" t="s">
        <v>8401</v>
      </c>
    </row>
    <row r="2356" spans="1:4" ht="15" x14ac:dyDescent="0.25">
      <c r="A2356">
        <v>10897</v>
      </c>
      <c r="B2356" t="s">
        <v>9121</v>
      </c>
      <c r="C2356" t="s">
        <v>5043</v>
      </c>
      <c r="D2356" t="s">
        <v>8401</v>
      </c>
    </row>
    <row r="2357" spans="1:4" ht="15" x14ac:dyDescent="0.25">
      <c r="A2357">
        <v>11927</v>
      </c>
      <c r="B2357" t="s">
        <v>9121</v>
      </c>
      <c r="C2357" t="s">
        <v>5043</v>
      </c>
      <c r="D2357" t="s">
        <v>8401</v>
      </c>
    </row>
    <row r="2358" spans="1:4" ht="15" x14ac:dyDescent="0.25">
      <c r="A2358">
        <v>9154</v>
      </c>
      <c r="B2358" t="s">
        <v>9121</v>
      </c>
      <c r="C2358" t="s">
        <v>5043</v>
      </c>
      <c r="D2358" t="s">
        <v>8401</v>
      </c>
    </row>
    <row r="2359" spans="1:4" ht="15" x14ac:dyDescent="0.25">
      <c r="A2359">
        <v>10055</v>
      </c>
      <c r="B2359" t="s">
        <v>9122</v>
      </c>
      <c r="C2359" t="s">
        <v>5043</v>
      </c>
      <c r="D2359" t="s">
        <v>8401</v>
      </c>
    </row>
    <row r="2360" spans="1:4" ht="15" x14ac:dyDescent="0.25">
      <c r="A2360">
        <v>10151</v>
      </c>
      <c r="B2360" t="s">
        <v>9122</v>
      </c>
      <c r="C2360" t="s">
        <v>5043</v>
      </c>
      <c r="D2360" t="s">
        <v>8401</v>
      </c>
    </row>
    <row r="2361" spans="1:4" ht="15" x14ac:dyDescent="0.25">
      <c r="A2361">
        <v>10182</v>
      </c>
      <c r="B2361" t="s">
        <v>9122</v>
      </c>
      <c r="C2361" t="s">
        <v>5043</v>
      </c>
      <c r="D2361" t="s">
        <v>8401</v>
      </c>
    </row>
    <row r="2362" spans="1:4" ht="15" x14ac:dyDescent="0.25">
      <c r="A2362">
        <v>10481</v>
      </c>
      <c r="B2362" t="s">
        <v>9122</v>
      </c>
      <c r="C2362" t="s">
        <v>5043</v>
      </c>
      <c r="D2362" t="s">
        <v>8401</v>
      </c>
    </row>
    <row r="2363" spans="1:4" ht="15" x14ac:dyDescent="0.25">
      <c r="A2363">
        <v>10597</v>
      </c>
      <c r="B2363" t="s">
        <v>9122</v>
      </c>
      <c r="C2363" t="s">
        <v>5043</v>
      </c>
      <c r="D2363" t="s">
        <v>8401</v>
      </c>
    </row>
    <row r="2364" spans="1:4" ht="15" x14ac:dyDescent="0.25">
      <c r="A2364">
        <v>11108</v>
      </c>
      <c r="B2364" t="s">
        <v>9122</v>
      </c>
      <c r="C2364" t="s">
        <v>5043</v>
      </c>
      <c r="D2364" t="s">
        <v>8401</v>
      </c>
    </row>
    <row r="2365" spans="1:4" ht="15" x14ac:dyDescent="0.25">
      <c r="A2365">
        <v>11339</v>
      </c>
      <c r="B2365" t="s">
        <v>9122</v>
      </c>
      <c r="C2365" t="s">
        <v>5043</v>
      </c>
      <c r="D2365" t="s">
        <v>8401</v>
      </c>
    </row>
    <row r="2366" spans="1:4" ht="15" x14ac:dyDescent="0.25">
      <c r="A2366">
        <v>11362</v>
      </c>
      <c r="B2366" t="s">
        <v>9122</v>
      </c>
      <c r="C2366" t="s">
        <v>5043</v>
      </c>
      <c r="D2366" t="s">
        <v>8401</v>
      </c>
    </row>
    <row r="2367" spans="1:4" ht="15" x14ac:dyDescent="0.25">
      <c r="A2367">
        <v>11471</v>
      </c>
      <c r="B2367" t="s">
        <v>9122</v>
      </c>
      <c r="C2367" t="s">
        <v>5043</v>
      </c>
      <c r="D2367" t="s">
        <v>8401</v>
      </c>
    </row>
    <row r="2368" spans="1:4" ht="15" x14ac:dyDescent="0.25">
      <c r="A2368">
        <v>11507</v>
      </c>
      <c r="B2368" t="s">
        <v>9122</v>
      </c>
      <c r="C2368" t="s">
        <v>5043</v>
      </c>
      <c r="D2368" t="s">
        <v>8401</v>
      </c>
    </row>
    <row r="2369" spans="1:4" ht="15" x14ac:dyDescent="0.25">
      <c r="A2369">
        <v>11551</v>
      </c>
      <c r="B2369" t="s">
        <v>9122</v>
      </c>
      <c r="C2369" t="s">
        <v>5043</v>
      </c>
      <c r="D2369" t="s">
        <v>8401</v>
      </c>
    </row>
    <row r="2370" spans="1:4" ht="15" x14ac:dyDescent="0.25">
      <c r="A2370">
        <v>11650</v>
      </c>
      <c r="B2370" t="s">
        <v>9122</v>
      </c>
      <c r="C2370" t="s">
        <v>5043</v>
      </c>
      <c r="D2370" t="s">
        <v>8401</v>
      </c>
    </row>
    <row r="2371" spans="1:4" ht="15" x14ac:dyDescent="0.25">
      <c r="A2371">
        <v>11719</v>
      </c>
      <c r="B2371" t="s">
        <v>9122</v>
      </c>
      <c r="C2371" t="s">
        <v>5043</v>
      </c>
      <c r="D2371" t="s">
        <v>8401</v>
      </c>
    </row>
    <row r="2372" spans="1:4" ht="15" x14ac:dyDescent="0.25">
      <c r="A2372">
        <v>11793</v>
      </c>
      <c r="B2372" t="s">
        <v>9122</v>
      </c>
      <c r="C2372" t="s">
        <v>5043</v>
      </c>
      <c r="D2372" t="s">
        <v>8401</v>
      </c>
    </row>
    <row r="2373" spans="1:4" ht="15" x14ac:dyDescent="0.25">
      <c r="A2373">
        <v>11801</v>
      </c>
      <c r="B2373" t="s">
        <v>9122</v>
      </c>
      <c r="C2373" t="s">
        <v>5043</v>
      </c>
      <c r="D2373" t="s">
        <v>8401</v>
      </c>
    </row>
    <row r="2374" spans="1:4" ht="15" x14ac:dyDescent="0.25">
      <c r="A2374">
        <v>11926</v>
      </c>
      <c r="B2374" t="s">
        <v>9122</v>
      </c>
      <c r="C2374" t="s">
        <v>5043</v>
      </c>
      <c r="D2374" t="s">
        <v>8401</v>
      </c>
    </row>
    <row r="2375" spans="1:4" ht="15" x14ac:dyDescent="0.25">
      <c r="A2375">
        <v>12123</v>
      </c>
      <c r="B2375" t="s">
        <v>9122</v>
      </c>
      <c r="C2375" t="s">
        <v>5043</v>
      </c>
      <c r="D2375" t="s">
        <v>8401</v>
      </c>
    </row>
    <row r="2376" spans="1:4" ht="15" x14ac:dyDescent="0.25">
      <c r="A2376">
        <v>6750</v>
      </c>
      <c r="B2376" t="s">
        <v>9122</v>
      </c>
      <c r="C2376" t="s">
        <v>5043</v>
      </c>
      <c r="D2376" t="s">
        <v>8401</v>
      </c>
    </row>
    <row r="2377" spans="1:4" ht="15" x14ac:dyDescent="0.25">
      <c r="A2377">
        <v>6932</v>
      </c>
      <c r="B2377" t="s">
        <v>9122</v>
      </c>
      <c r="C2377" t="s">
        <v>5043</v>
      </c>
      <c r="D2377" t="s">
        <v>8401</v>
      </c>
    </row>
    <row r="2378" spans="1:4" ht="15" x14ac:dyDescent="0.25">
      <c r="A2378">
        <v>7106</v>
      </c>
      <c r="B2378" t="s">
        <v>9122</v>
      </c>
      <c r="C2378" t="s">
        <v>5043</v>
      </c>
      <c r="D2378" t="s">
        <v>8401</v>
      </c>
    </row>
    <row r="2379" spans="1:4" ht="15" x14ac:dyDescent="0.25">
      <c r="A2379">
        <v>7151</v>
      </c>
      <c r="B2379" t="s">
        <v>9122</v>
      </c>
      <c r="C2379" t="s">
        <v>5043</v>
      </c>
      <c r="D2379" t="s">
        <v>8401</v>
      </c>
    </row>
    <row r="2380" spans="1:4" ht="15" x14ac:dyDescent="0.25">
      <c r="A2380">
        <v>7653</v>
      </c>
      <c r="B2380" t="s">
        <v>9122</v>
      </c>
      <c r="C2380" t="s">
        <v>5043</v>
      </c>
      <c r="D2380" t="s">
        <v>8401</v>
      </c>
    </row>
    <row r="2381" spans="1:4" ht="15" x14ac:dyDescent="0.25">
      <c r="A2381">
        <v>7828</v>
      </c>
      <c r="B2381" t="s">
        <v>9122</v>
      </c>
      <c r="C2381" t="s">
        <v>5043</v>
      </c>
      <c r="D2381" t="s">
        <v>8401</v>
      </c>
    </row>
    <row r="2382" spans="1:4" ht="15" x14ac:dyDescent="0.25">
      <c r="A2382">
        <v>7920</v>
      </c>
      <c r="B2382" t="s">
        <v>9122</v>
      </c>
      <c r="C2382" t="s">
        <v>5043</v>
      </c>
      <c r="D2382" t="s">
        <v>8401</v>
      </c>
    </row>
    <row r="2383" spans="1:4" ht="15" x14ac:dyDescent="0.25">
      <c r="A2383">
        <v>8176</v>
      </c>
      <c r="B2383" t="s">
        <v>9122</v>
      </c>
      <c r="C2383" t="s">
        <v>5043</v>
      </c>
      <c r="D2383" t="s">
        <v>8401</v>
      </c>
    </row>
    <row r="2384" spans="1:4" ht="15" x14ac:dyDescent="0.25">
      <c r="A2384">
        <v>8237</v>
      </c>
      <c r="B2384" t="s">
        <v>9122</v>
      </c>
      <c r="C2384" t="s">
        <v>5043</v>
      </c>
      <c r="D2384" t="s">
        <v>8401</v>
      </c>
    </row>
    <row r="2385" spans="1:4" ht="15" x14ac:dyDescent="0.25">
      <c r="A2385">
        <v>8441</v>
      </c>
      <c r="B2385" t="s">
        <v>9122</v>
      </c>
      <c r="C2385" t="s">
        <v>5043</v>
      </c>
      <c r="D2385" t="s">
        <v>8401</v>
      </c>
    </row>
    <row r="2386" spans="1:4" ht="15" x14ac:dyDescent="0.25">
      <c r="A2386">
        <v>8574</v>
      </c>
      <c r="B2386" t="s">
        <v>9122</v>
      </c>
      <c r="C2386" t="s">
        <v>5043</v>
      </c>
      <c r="D2386" t="s">
        <v>8401</v>
      </c>
    </row>
    <row r="2387" spans="1:4" ht="15" x14ac:dyDescent="0.25">
      <c r="A2387">
        <v>8811</v>
      </c>
      <c r="B2387" t="s">
        <v>9122</v>
      </c>
      <c r="C2387" t="s">
        <v>5043</v>
      </c>
      <c r="D2387" t="s">
        <v>8401</v>
      </c>
    </row>
    <row r="2388" spans="1:4" ht="15" x14ac:dyDescent="0.25">
      <c r="A2388">
        <v>8896</v>
      </c>
      <c r="B2388" t="s">
        <v>9122</v>
      </c>
      <c r="C2388" t="s">
        <v>5043</v>
      </c>
      <c r="D2388" t="s">
        <v>8401</v>
      </c>
    </row>
    <row r="2389" spans="1:4" ht="15" x14ac:dyDescent="0.25">
      <c r="A2389">
        <v>9024</v>
      </c>
      <c r="B2389" t="s">
        <v>9122</v>
      </c>
      <c r="C2389" t="s">
        <v>5043</v>
      </c>
      <c r="D2389" t="s">
        <v>8401</v>
      </c>
    </row>
    <row r="2390" spans="1:4" ht="15" x14ac:dyDescent="0.25">
      <c r="A2390">
        <v>9206</v>
      </c>
      <c r="B2390" t="s">
        <v>9122</v>
      </c>
      <c r="C2390" t="s">
        <v>5043</v>
      </c>
      <c r="D2390" t="s">
        <v>8401</v>
      </c>
    </row>
    <row r="2391" spans="1:4" ht="15" x14ac:dyDescent="0.25">
      <c r="A2391">
        <v>9342</v>
      </c>
      <c r="B2391" t="s">
        <v>9122</v>
      </c>
      <c r="C2391" t="s">
        <v>5043</v>
      </c>
      <c r="D2391" t="s">
        <v>8401</v>
      </c>
    </row>
    <row r="2392" spans="1:4" ht="15" x14ac:dyDescent="0.25">
      <c r="A2392">
        <v>9406</v>
      </c>
      <c r="B2392" t="s">
        <v>9122</v>
      </c>
      <c r="C2392" t="s">
        <v>5043</v>
      </c>
      <c r="D2392" t="s">
        <v>8401</v>
      </c>
    </row>
    <row r="2393" spans="1:4" ht="15" x14ac:dyDescent="0.25">
      <c r="A2393">
        <v>9420</v>
      </c>
      <c r="B2393" t="s">
        <v>9122</v>
      </c>
      <c r="C2393" t="s">
        <v>5043</v>
      </c>
      <c r="D2393" t="s">
        <v>8401</v>
      </c>
    </row>
    <row r="2394" spans="1:4" ht="15" x14ac:dyDescent="0.25">
      <c r="A2394">
        <v>9492</v>
      </c>
      <c r="B2394" t="s">
        <v>9122</v>
      </c>
      <c r="C2394" t="s">
        <v>5043</v>
      </c>
      <c r="D2394" t="s">
        <v>8401</v>
      </c>
    </row>
    <row r="2395" spans="1:4" ht="15" x14ac:dyDescent="0.25">
      <c r="A2395">
        <v>9761</v>
      </c>
      <c r="B2395" t="s">
        <v>9122</v>
      </c>
      <c r="C2395" t="s">
        <v>5043</v>
      </c>
      <c r="D2395" t="s">
        <v>8401</v>
      </c>
    </row>
    <row r="2396" spans="1:4" ht="15" x14ac:dyDescent="0.25">
      <c r="A2396">
        <v>8888</v>
      </c>
      <c r="B2396" t="s">
        <v>10986</v>
      </c>
      <c r="C2396" t="s">
        <v>5043</v>
      </c>
      <c r="D2396" t="s">
        <v>8401</v>
      </c>
    </row>
    <row r="2397" spans="1:4" ht="15" x14ac:dyDescent="0.25">
      <c r="A2397">
        <v>9630</v>
      </c>
      <c r="B2397" t="s">
        <v>10986</v>
      </c>
      <c r="C2397" t="s">
        <v>5043</v>
      </c>
      <c r="D2397" t="s">
        <v>8401</v>
      </c>
    </row>
    <row r="2398" spans="1:4" ht="15" x14ac:dyDescent="0.25">
      <c r="A2398">
        <v>11453</v>
      </c>
      <c r="B2398" t="s">
        <v>9123</v>
      </c>
      <c r="C2398" t="s">
        <v>5043</v>
      </c>
      <c r="D2398" t="s">
        <v>8401</v>
      </c>
    </row>
    <row r="2399" spans="1:4" ht="15" x14ac:dyDescent="0.25">
      <c r="A2399">
        <v>12055</v>
      </c>
      <c r="B2399" t="s">
        <v>9123</v>
      </c>
      <c r="C2399" t="s">
        <v>5043</v>
      </c>
      <c r="D2399" t="s">
        <v>8401</v>
      </c>
    </row>
    <row r="2400" spans="1:4" ht="15" x14ac:dyDescent="0.25">
      <c r="A2400">
        <v>7732</v>
      </c>
      <c r="B2400" t="s">
        <v>9123</v>
      </c>
      <c r="C2400" t="s">
        <v>5043</v>
      </c>
      <c r="D2400" t="s">
        <v>8401</v>
      </c>
    </row>
    <row r="2401" spans="1:4" ht="15" x14ac:dyDescent="0.25">
      <c r="A2401">
        <v>9153</v>
      </c>
      <c r="B2401" t="s">
        <v>9123</v>
      </c>
      <c r="C2401" t="s">
        <v>5043</v>
      </c>
      <c r="D2401" t="s">
        <v>8401</v>
      </c>
    </row>
    <row r="2402" spans="1:4" ht="15" x14ac:dyDescent="0.25">
      <c r="A2402">
        <v>10537</v>
      </c>
      <c r="B2402" t="s">
        <v>9124</v>
      </c>
      <c r="C2402" t="s">
        <v>5043</v>
      </c>
      <c r="D2402" t="s">
        <v>8401</v>
      </c>
    </row>
    <row r="2403" spans="1:4" ht="15" x14ac:dyDescent="0.25">
      <c r="A2403">
        <v>8010</v>
      </c>
      <c r="B2403" t="s">
        <v>10987</v>
      </c>
      <c r="C2403" t="s">
        <v>5043</v>
      </c>
      <c r="D2403" t="s">
        <v>8401</v>
      </c>
    </row>
    <row r="2404" spans="1:4" ht="15" x14ac:dyDescent="0.25">
      <c r="A2404">
        <v>10614</v>
      </c>
      <c r="B2404" t="s">
        <v>9125</v>
      </c>
      <c r="C2404" t="s">
        <v>5043</v>
      </c>
      <c r="D2404" t="s">
        <v>8401</v>
      </c>
    </row>
    <row r="2405" spans="1:4" ht="15" x14ac:dyDescent="0.25">
      <c r="A2405">
        <v>10663</v>
      </c>
      <c r="B2405" t="s">
        <v>9125</v>
      </c>
      <c r="C2405" t="s">
        <v>5043</v>
      </c>
      <c r="D2405" t="s">
        <v>8401</v>
      </c>
    </row>
    <row r="2406" spans="1:4" ht="15" x14ac:dyDescent="0.25">
      <c r="A2406">
        <v>10901</v>
      </c>
      <c r="B2406" t="s">
        <v>9125</v>
      </c>
      <c r="C2406" t="s">
        <v>5043</v>
      </c>
      <c r="D2406" t="s">
        <v>8401</v>
      </c>
    </row>
    <row r="2407" spans="1:4" ht="15" x14ac:dyDescent="0.25">
      <c r="A2407">
        <v>10983</v>
      </c>
      <c r="B2407" t="s">
        <v>9125</v>
      </c>
      <c r="C2407" t="s">
        <v>5043</v>
      </c>
      <c r="D2407" t="s">
        <v>8401</v>
      </c>
    </row>
    <row r="2408" spans="1:4" ht="15" x14ac:dyDescent="0.25">
      <c r="A2408">
        <v>11945</v>
      </c>
      <c r="B2408" t="s">
        <v>9125</v>
      </c>
      <c r="C2408" t="s">
        <v>5043</v>
      </c>
      <c r="D2408" t="s">
        <v>8401</v>
      </c>
    </row>
    <row r="2409" spans="1:4" ht="15" x14ac:dyDescent="0.25">
      <c r="A2409">
        <v>11949</v>
      </c>
      <c r="B2409" t="s">
        <v>9125</v>
      </c>
      <c r="C2409" t="s">
        <v>5043</v>
      </c>
      <c r="D2409" t="s">
        <v>8401</v>
      </c>
    </row>
    <row r="2410" spans="1:4" ht="15" x14ac:dyDescent="0.25">
      <c r="A2410">
        <v>12064</v>
      </c>
      <c r="B2410" t="s">
        <v>9125</v>
      </c>
      <c r="C2410" t="s">
        <v>5043</v>
      </c>
      <c r="D2410" t="s">
        <v>8401</v>
      </c>
    </row>
    <row r="2411" spans="1:4" ht="15" x14ac:dyDescent="0.25">
      <c r="A2411">
        <v>6893</v>
      </c>
      <c r="B2411" t="s">
        <v>9125</v>
      </c>
      <c r="C2411" t="s">
        <v>5043</v>
      </c>
      <c r="D2411" t="s">
        <v>8401</v>
      </c>
    </row>
    <row r="2412" spans="1:4" ht="15" x14ac:dyDescent="0.25">
      <c r="A2412">
        <v>7154</v>
      </c>
      <c r="B2412" t="s">
        <v>9125</v>
      </c>
      <c r="C2412" t="s">
        <v>5043</v>
      </c>
      <c r="D2412" t="s">
        <v>8401</v>
      </c>
    </row>
    <row r="2413" spans="1:4" ht="15" x14ac:dyDescent="0.25">
      <c r="A2413">
        <v>7566</v>
      </c>
      <c r="B2413" t="s">
        <v>9125</v>
      </c>
      <c r="C2413" t="s">
        <v>5043</v>
      </c>
      <c r="D2413" t="s">
        <v>8401</v>
      </c>
    </row>
    <row r="2414" spans="1:4" ht="15" x14ac:dyDescent="0.25">
      <c r="A2414">
        <v>7698</v>
      </c>
      <c r="B2414" t="s">
        <v>9125</v>
      </c>
      <c r="C2414" t="s">
        <v>5043</v>
      </c>
      <c r="D2414" t="s">
        <v>8401</v>
      </c>
    </row>
    <row r="2415" spans="1:4" ht="15" x14ac:dyDescent="0.25">
      <c r="A2415">
        <v>8006</v>
      </c>
      <c r="B2415" t="s">
        <v>9125</v>
      </c>
      <c r="C2415" t="s">
        <v>5043</v>
      </c>
      <c r="D2415" t="s">
        <v>8401</v>
      </c>
    </row>
    <row r="2416" spans="1:4" ht="15" x14ac:dyDescent="0.25">
      <c r="A2416">
        <v>8026</v>
      </c>
      <c r="B2416" t="s">
        <v>9125</v>
      </c>
      <c r="C2416" t="s">
        <v>5043</v>
      </c>
      <c r="D2416" t="s">
        <v>8401</v>
      </c>
    </row>
    <row r="2417" spans="1:4" ht="15" x14ac:dyDescent="0.25">
      <c r="A2417">
        <v>8105</v>
      </c>
      <c r="B2417" t="s">
        <v>9125</v>
      </c>
      <c r="C2417" t="s">
        <v>5043</v>
      </c>
      <c r="D2417" t="s">
        <v>8401</v>
      </c>
    </row>
    <row r="2418" spans="1:4" ht="15" x14ac:dyDescent="0.25">
      <c r="A2418">
        <v>8160</v>
      </c>
      <c r="B2418" t="s">
        <v>9125</v>
      </c>
      <c r="C2418" t="s">
        <v>5043</v>
      </c>
      <c r="D2418" t="s">
        <v>8401</v>
      </c>
    </row>
    <row r="2419" spans="1:4" ht="15" x14ac:dyDescent="0.25">
      <c r="A2419">
        <v>8278</v>
      </c>
      <c r="B2419" t="s">
        <v>9125</v>
      </c>
      <c r="C2419" t="s">
        <v>5043</v>
      </c>
      <c r="D2419" t="s">
        <v>8401</v>
      </c>
    </row>
    <row r="2420" spans="1:4" ht="15" x14ac:dyDescent="0.25">
      <c r="A2420">
        <v>8281</v>
      </c>
      <c r="B2420" t="s">
        <v>9125</v>
      </c>
      <c r="C2420" t="s">
        <v>5043</v>
      </c>
      <c r="D2420" t="s">
        <v>8401</v>
      </c>
    </row>
    <row r="2421" spans="1:4" ht="15" x14ac:dyDescent="0.25">
      <c r="A2421">
        <v>8416</v>
      </c>
      <c r="B2421" t="s">
        <v>9125</v>
      </c>
      <c r="C2421" t="s">
        <v>5043</v>
      </c>
      <c r="D2421" t="s">
        <v>8401</v>
      </c>
    </row>
    <row r="2422" spans="1:4" ht="15" x14ac:dyDescent="0.25">
      <c r="A2422">
        <v>8784</v>
      </c>
      <c r="B2422" t="s">
        <v>9125</v>
      </c>
      <c r="C2422" t="s">
        <v>5043</v>
      </c>
      <c r="D2422" t="s">
        <v>8401</v>
      </c>
    </row>
    <row r="2423" spans="1:4" ht="15" x14ac:dyDescent="0.25">
      <c r="A2423">
        <v>8948</v>
      </c>
      <c r="B2423" t="s">
        <v>9125</v>
      </c>
      <c r="C2423" t="s">
        <v>5043</v>
      </c>
      <c r="D2423" t="s">
        <v>8401</v>
      </c>
    </row>
    <row r="2424" spans="1:4" ht="15" x14ac:dyDescent="0.25">
      <c r="A2424">
        <v>9334</v>
      </c>
      <c r="B2424" t="s">
        <v>9125</v>
      </c>
      <c r="C2424" t="s">
        <v>5043</v>
      </c>
      <c r="D2424" t="s">
        <v>8401</v>
      </c>
    </row>
    <row r="2425" spans="1:4" ht="15" x14ac:dyDescent="0.25">
      <c r="A2425">
        <v>9370</v>
      </c>
      <c r="B2425" t="s">
        <v>9125</v>
      </c>
      <c r="C2425" t="s">
        <v>5043</v>
      </c>
      <c r="D2425" t="s">
        <v>8401</v>
      </c>
    </row>
    <row r="2426" spans="1:4" ht="15" x14ac:dyDescent="0.25">
      <c r="A2426">
        <v>9380</v>
      </c>
      <c r="B2426" t="s">
        <v>9125</v>
      </c>
      <c r="C2426" t="s">
        <v>5043</v>
      </c>
      <c r="D2426" t="s">
        <v>8401</v>
      </c>
    </row>
    <row r="2427" spans="1:4" ht="15" x14ac:dyDescent="0.25">
      <c r="A2427">
        <v>9688</v>
      </c>
      <c r="B2427" t="s">
        <v>9125</v>
      </c>
      <c r="C2427" t="s">
        <v>5043</v>
      </c>
      <c r="D2427" t="s">
        <v>8401</v>
      </c>
    </row>
    <row r="2428" spans="1:4" ht="15" x14ac:dyDescent="0.25">
      <c r="A2428">
        <v>9694</v>
      </c>
      <c r="B2428" t="s">
        <v>9125</v>
      </c>
      <c r="C2428" t="s">
        <v>5043</v>
      </c>
      <c r="D2428" t="s">
        <v>8401</v>
      </c>
    </row>
    <row r="2429" spans="1:4" ht="15" x14ac:dyDescent="0.25">
      <c r="A2429">
        <v>9697</v>
      </c>
      <c r="B2429" t="s">
        <v>9125</v>
      </c>
      <c r="C2429" t="s">
        <v>5043</v>
      </c>
      <c r="D2429" t="s">
        <v>8401</v>
      </c>
    </row>
    <row r="2430" spans="1:4" ht="15" x14ac:dyDescent="0.25">
      <c r="A2430">
        <v>9702</v>
      </c>
      <c r="B2430" t="s">
        <v>9125</v>
      </c>
      <c r="C2430" t="s">
        <v>5043</v>
      </c>
      <c r="D2430" t="s">
        <v>8401</v>
      </c>
    </row>
    <row r="2431" spans="1:4" ht="15" x14ac:dyDescent="0.25">
      <c r="A2431">
        <v>9729</v>
      </c>
      <c r="B2431" t="s">
        <v>9125</v>
      </c>
      <c r="C2431" t="s">
        <v>5043</v>
      </c>
      <c r="D2431" t="s">
        <v>8401</v>
      </c>
    </row>
    <row r="2432" spans="1:4" ht="15" x14ac:dyDescent="0.25">
      <c r="A2432">
        <v>9854</v>
      </c>
      <c r="B2432" t="s">
        <v>9125</v>
      </c>
      <c r="C2432" t="s">
        <v>5043</v>
      </c>
      <c r="D2432" t="s">
        <v>8401</v>
      </c>
    </row>
    <row r="2433" spans="1:4" ht="15" x14ac:dyDescent="0.25">
      <c r="A2433">
        <v>10280</v>
      </c>
      <c r="B2433" t="s">
        <v>9126</v>
      </c>
      <c r="C2433" t="s">
        <v>5043</v>
      </c>
      <c r="D2433" t="s">
        <v>8401</v>
      </c>
    </row>
    <row r="2434" spans="1:4" ht="15" x14ac:dyDescent="0.25">
      <c r="A2434">
        <v>10361</v>
      </c>
      <c r="B2434" t="s">
        <v>9126</v>
      </c>
      <c r="C2434" t="s">
        <v>5043</v>
      </c>
      <c r="D2434" t="s">
        <v>8401</v>
      </c>
    </row>
    <row r="2435" spans="1:4" ht="15" x14ac:dyDescent="0.25">
      <c r="A2435">
        <v>10959</v>
      </c>
      <c r="B2435" t="s">
        <v>9126</v>
      </c>
      <c r="C2435" t="s">
        <v>5043</v>
      </c>
      <c r="D2435" t="s">
        <v>8401</v>
      </c>
    </row>
    <row r="2436" spans="1:4" ht="15" x14ac:dyDescent="0.25">
      <c r="A2436">
        <v>11098</v>
      </c>
      <c r="B2436" t="s">
        <v>9126</v>
      </c>
      <c r="C2436" t="s">
        <v>5043</v>
      </c>
      <c r="D2436" t="s">
        <v>8401</v>
      </c>
    </row>
    <row r="2437" spans="1:4" ht="15" x14ac:dyDescent="0.25">
      <c r="A2437">
        <v>11593</v>
      </c>
      <c r="B2437" t="s">
        <v>9126</v>
      </c>
      <c r="C2437" t="s">
        <v>5043</v>
      </c>
      <c r="D2437" t="s">
        <v>8401</v>
      </c>
    </row>
    <row r="2438" spans="1:4" ht="15" x14ac:dyDescent="0.25">
      <c r="A2438">
        <v>11610</v>
      </c>
      <c r="B2438" t="s">
        <v>9126</v>
      </c>
      <c r="C2438" t="s">
        <v>5043</v>
      </c>
      <c r="D2438" t="s">
        <v>8401</v>
      </c>
    </row>
    <row r="2439" spans="1:4" ht="15" x14ac:dyDescent="0.25">
      <c r="A2439">
        <v>11845</v>
      </c>
      <c r="B2439" t="s">
        <v>9126</v>
      </c>
      <c r="C2439" t="s">
        <v>5043</v>
      </c>
      <c r="D2439" t="s">
        <v>8401</v>
      </c>
    </row>
    <row r="2440" spans="1:4" ht="15" x14ac:dyDescent="0.25">
      <c r="A2440">
        <v>6885</v>
      </c>
      <c r="B2440" t="s">
        <v>9126</v>
      </c>
      <c r="C2440" t="s">
        <v>5043</v>
      </c>
      <c r="D2440" t="s">
        <v>8401</v>
      </c>
    </row>
    <row r="2441" spans="1:4" ht="15" x14ac:dyDescent="0.25">
      <c r="A2441">
        <v>7216</v>
      </c>
      <c r="B2441" t="s">
        <v>9126</v>
      </c>
      <c r="C2441" t="s">
        <v>5043</v>
      </c>
      <c r="D2441" t="s">
        <v>8401</v>
      </c>
    </row>
    <row r="2442" spans="1:4" ht="15" x14ac:dyDescent="0.25">
      <c r="A2442">
        <v>7228</v>
      </c>
      <c r="B2442" t="s">
        <v>9126</v>
      </c>
      <c r="C2442" t="s">
        <v>5043</v>
      </c>
      <c r="D2442" t="s">
        <v>8401</v>
      </c>
    </row>
    <row r="2443" spans="1:4" ht="15" x14ac:dyDescent="0.25">
      <c r="A2443">
        <v>7602</v>
      </c>
      <c r="B2443" t="s">
        <v>9126</v>
      </c>
      <c r="C2443" t="s">
        <v>5043</v>
      </c>
      <c r="D2443" t="s">
        <v>8401</v>
      </c>
    </row>
    <row r="2444" spans="1:4" ht="15" x14ac:dyDescent="0.25">
      <c r="A2444">
        <v>7678</v>
      </c>
      <c r="B2444" t="s">
        <v>9126</v>
      </c>
      <c r="C2444" t="s">
        <v>5043</v>
      </c>
      <c r="D2444" t="s">
        <v>8401</v>
      </c>
    </row>
    <row r="2445" spans="1:4" ht="15" x14ac:dyDescent="0.25">
      <c r="A2445">
        <v>7826</v>
      </c>
      <c r="B2445" t="s">
        <v>9126</v>
      </c>
      <c r="C2445" t="s">
        <v>5043</v>
      </c>
      <c r="D2445" t="s">
        <v>8401</v>
      </c>
    </row>
    <row r="2446" spans="1:4" ht="15" x14ac:dyDescent="0.25">
      <c r="A2446">
        <v>7874</v>
      </c>
      <c r="B2446" t="s">
        <v>9126</v>
      </c>
      <c r="C2446" t="s">
        <v>5043</v>
      </c>
      <c r="D2446" t="s">
        <v>8401</v>
      </c>
    </row>
    <row r="2447" spans="1:4" ht="15" x14ac:dyDescent="0.25">
      <c r="A2447">
        <v>7989</v>
      </c>
      <c r="B2447" t="s">
        <v>9126</v>
      </c>
      <c r="C2447" t="s">
        <v>5043</v>
      </c>
      <c r="D2447" t="s">
        <v>8401</v>
      </c>
    </row>
    <row r="2448" spans="1:4" ht="15" x14ac:dyDescent="0.25">
      <c r="A2448">
        <v>8069</v>
      </c>
      <c r="B2448" t="s">
        <v>9126</v>
      </c>
      <c r="C2448" t="s">
        <v>5043</v>
      </c>
      <c r="D2448" t="s">
        <v>8401</v>
      </c>
    </row>
    <row r="2449" spans="1:4" ht="15" x14ac:dyDescent="0.25">
      <c r="A2449">
        <v>8225</v>
      </c>
      <c r="B2449" t="s">
        <v>9126</v>
      </c>
      <c r="C2449" t="s">
        <v>5043</v>
      </c>
      <c r="D2449" t="s">
        <v>8401</v>
      </c>
    </row>
    <row r="2450" spans="1:4" ht="15" x14ac:dyDescent="0.25">
      <c r="A2450">
        <v>8268</v>
      </c>
      <c r="B2450" t="s">
        <v>9126</v>
      </c>
      <c r="C2450" t="s">
        <v>5043</v>
      </c>
      <c r="D2450" t="s">
        <v>8401</v>
      </c>
    </row>
    <row r="2451" spans="1:4" ht="15" x14ac:dyDescent="0.25">
      <c r="A2451">
        <v>8567</v>
      </c>
      <c r="B2451" t="s">
        <v>9126</v>
      </c>
      <c r="C2451" t="s">
        <v>5043</v>
      </c>
      <c r="D2451" t="s">
        <v>8401</v>
      </c>
    </row>
    <row r="2452" spans="1:4" ht="15" x14ac:dyDescent="0.25">
      <c r="A2452">
        <v>8842</v>
      </c>
      <c r="B2452" t="s">
        <v>9126</v>
      </c>
      <c r="C2452" t="s">
        <v>5043</v>
      </c>
      <c r="D2452" t="s">
        <v>8401</v>
      </c>
    </row>
    <row r="2453" spans="1:4" ht="15" x14ac:dyDescent="0.25">
      <c r="A2453">
        <v>9238</v>
      </c>
      <c r="B2453" t="s">
        <v>9126</v>
      </c>
      <c r="C2453" t="s">
        <v>5043</v>
      </c>
      <c r="D2453" t="s">
        <v>8401</v>
      </c>
    </row>
    <row r="2454" spans="1:4" ht="15" x14ac:dyDescent="0.25">
      <c r="A2454">
        <v>9590</v>
      </c>
      <c r="B2454" t="s">
        <v>9126</v>
      </c>
      <c r="C2454" t="s">
        <v>5043</v>
      </c>
      <c r="D2454" t="s">
        <v>8401</v>
      </c>
    </row>
    <row r="2455" spans="1:4" ht="15" x14ac:dyDescent="0.25">
      <c r="A2455">
        <v>9751</v>
      </c>
      <c r="B2455" t="s">
        <v>9126</v>
      </c>
      <c r="C2455" t="s">
        <v>5043</v>
      </c>
      <c r="D2455" t="s">
        <v>8401</v>
      </c>
    </row>
    <row r="2456" spans="1:4" ht="15" x14ac:dyDescent="0.25">
      <c r="A2456">
        <v>10842</v>
      </c>
      <c r="B2456" t="s">
        <v>10988</v>
      </c>
      <c r="C2456" t="s">
        <v>5043</v>
      </c>
      <c r="D2456" t="s">
        <v>8401</v>
      </c>
    </row>
    <row r="2457" spans="1:4" ht="15" x14ac:dyDescent="0.25">
      <c r="A2457">
        <v>10988</v>
      </c>
      <c r="B2457" t="s">
        <v>10989</v>
      </c>
      <c r="C2457" t="s">
        <v>5043</v>
      </c>
      <c r="D2457" t="s">
        <v>8401</v>
      </c>
    </row>
    <row r="2458" spans="1:4" ht="15" x14ac:dyDescent="0.25">
      <c r="A2458">
        <v>10768</v>
      </c>
      <c r="B2458" t="s">
        <v>10990</v>
      </c>
      <c r="C2458" t="s">
        <v>5043</v>
      </c>
      <c r="D2458" t="s">
        <v>8401</v>
      </c>
    </row>
    <row r="2459" spans="1:4" ht="15" x14ac:dyDescent="0.25">
      <c r="A2459">
        <v>8532</v>
      </c>
      <c r="B2459" t="s">
        <v>10991</v>
      </c>
      <c r="C2459" t="s">
        <v>5043</v>
      </c>
      <c r="D2459" t="s">
        <v>8401</v>
      </c>
    </row>
    <row r="2460" spans="1:4" ht="15" x14ac:dyDescent="0.25">
      <c r="A2460">
        <v>7249</v>
      </c>
      <c r="B2460" t="s">
        <v>10992</v>
      </c>
      <c r="C2460" t="s">
        <v>5043</v>
      </c>
      <c r="D2460" t="s">
        <v>8401</v>
      </c>
    </row>
    <row r="2461" spans="1:4" ht="15" x14ac:dyDescent="0.25">
      <c r="A2461">
        <v>10345</v>
      </c>
      <c r="B2461" t="s">
        <v>9127</v>
      </c>
      <c r="C2461" t="s">
        <v>5043</v>
      </c>
      <c r="D2461" t="s">
        <v>8401</v>
      </c>
    </row>
    <row r="2462" spans="1:4" ht="15" x14ac:dyDescent="0.25">
      <c r="A2462">
        <v>10906</v>
      </c>
      <c r="B2462" t="s">
        <v>9127</v>
      </c>
      <c r="C2462" t="s">
        <v>5043</v>
      </c>
      <c r="D2462" t="s">
        <v>8401</v>
      </c>
    </row>
    <row r="2463" spans="1:4" ht="15" x14ac:dyDescent="0.25">
      <c r="A2463">
        <v>11428</v>
      </c>
      <c r="B2463" t="s">
        <v>9127</v>
      </c>
      <c r="C2463" t="s">
        <v>5043</v>
      </c>
      <c r="D2463" t="s">
        <v>8401</v>
      </c>
    </row>
    <row r="2464" spans="1:4" ht="15" x14ac:dyDescent="0.25">
      <c r="A2464">
        <v>11662</v>
      </c>
      <c r="B2464" t="s">
        <v>9127</v>
      </c>
      <c r="C2464" t="s">
        <v>5043</v>
      </c>
      <c r="D2464" t="s">
        <v>8401</v>
      </c>
    </row>
    <row r="2465" spans="1:4" ht="15" x14ac:dyDescent="0.25">
      <c r="A2465">
        <v>12054</v>
      </c>
      <c r="B2465" t="s">
        <v>9127</v>
      </c>
      <c r="C2465" t="s">
        <v>5043</v>
      </c>
      <c r="D2465" t="s">
        <v>8401</v>
      </c>
    </row>
    <row r="2466" spans="1:4" ht="15" x14ac:dyDescent="0.25">
      <c r="A2466">
        <v>6732</v>
      </c>
      <c r="B2466" t="s">
        <v>9127</v>
      </c>
      <c r="C2466" t="s">
        <v>5043</v>
      </c>
      <c r="D2466" t="s">
        <v>8401</v>
      </c>
    </row>
    <row r="2467" spans="1:4" ht="15" x14ac:dyDescent="0.25">
      <c r="A2467">
        <v>9698</v>
      </c>
      <c r="B2467" t="s">
        <v>10993</v>
      </c>
      <c r="C2467" t="s">
        <v>5043</v>
      </c>
      <c r="D2467" t="s">
        <v>8401</v>
      </c>
    </row>
    <row r="2468" spans="1:4" ht="15" x14ac:dyDescent="0.25">
      <c r="A2468">
        <v>7046</v>
      </c>
      <c r="B2468" t="s">
        <v>10994</v>
      </c>
      <c r="C2468" t="s">
        <v>5043</v>
      </c>
      <c r="D2468" t="s">
        <v>8401</v>
      </c>
    </row>
    <row r="2469" spans="1:4" ht="15" x14ac:dyDescent="0.25">
      <c r="A2469">
        <v>7271</v>
      </c>
      <c r="B2469" t="s">
        <v>10994</v>
      </c>
      <c r="C2469" t="s">
        <v>5043</v>
      </c>
      <c r="D2469" t="s">
        <v>8401</v>
      </c>
    </row>
    <row r="2470" spans="1:4" ht="15" x14ac:dyDescent="0.25">
      <c r="A2470">
        <v>7449</v>
      </c>
      <c r="B2470" t="s">
        <v>10994</v>
      </c>
      <c r="C2470" t="s">
        <v>5043</v>
      </c>
      <c r="D2470" t="s">
        <v>8401</v>
      </c>
    </row>
    <row r="2471" spans="1:4" ht="15" x14ac:dyDescent="0.25">
      <c r="A2471">
        <v>7737</v>
      </c>
      <c r="B2471" t="s">
        <v>10994</v>
      </c>
      <c r="C2471" t="s">
        <v>5043</v>
      </c>
      <c r="D2471" t="s">
        <v>8401</v>
      </c>
    </row>
    <row r="2472" spans="1:4" ht="15" x14ac:dyDescent="0.25">
      <c r="A2472">
        <v>10027</v>
      </c>
      <c r="B2472" t="s">
        <v>9128</v>
      </c>
      <c r="C2472" t="s">
        <v>5043</v>
      </c>
      <c r="D2472" t="s">
        <v>8401</v>
      </c>
    </row>
    <row r="2473" spans="1:4" ht="15" x14ac:dyDescent="0.25">
      <c r="A2473">
        <v>10152</v>
      </c>
      <c r="B2473" t="s">
        <v>9128</v>
      </c>
      <c r="C2473" t="s">
        <v>5043</v>
      </c>
      <c r="D2473" t="s">
        <v>8401</v>
      </c>
    </row>
    <row r="2474" spans="1:4" ht="15" x14ac:dyDescent="0.25">
      <c r="A2474">
        <v>10858</v>
      </c>
      <c r="B2474" t="s">
        <v>9128</v>
      </c>
      <c r="C2474" t="s">
        <v>5043</v>
      </c>
      <c r="D2474" t="s">
        <v>8401</v>
      </c>
    </row>
    <row r="2475" spans="1:4" ht="15" x14ac:dyDescent="0.25">
      <c r="A2475">
        <v>10862</v>
      </c>
      <c r="B2475" t="s">
        <v>9128</v>
      </c>
      <c r="C2475" t="s">
        <v>5043</v>
      </c>
      <c r="D2475" t="s">
        <v>8401</v>
      </c>
    </row>
    <row r="2476" spans="1:4" ht="15" x14ac:dyDescent="0.25">
      <c r="A2476">
        <v>11325</v>
      </c>
      <c r="B2476" t="s">
        <v>9128</v>
      </c>
      <c r="C2476" t="s">
        <v>5043</v>
      </c>
      <c r="D2476" t="s">
        <v>8401</v>
      </c>
    </row>
    <row r="2477" spans="1:4" ht="15" x14ac:dyDescent="0.25">
      <c r="A2477">
        <v>6722</v>
      </c>
      <c r="B2477" t="s">
        <v>9128</v>
      </c>
      <c r="C2477" t="s">
        <v>5043</v>
      </c>
      <c r="D2477" t="s">
        <v>8401</v>
      </c>
    </row>
    <row r="2478" spans="1:4" ht="15" x14ac:dyDescent="0.25">
      <c r="A2478">
        <v>7236</v>
      </c>
      <c r="B2478" t="s">
        <v>9128</v>
      </c>
      <c r="C2478" t="s">
        <v>5043</v>
      </c>
      <c r="D2478" t="s">
        <v>8401</v>
      </c>
    </row>
    <row r="2479" spans="1:4" ht="15" x14ac:dyDescent="0.25">
      <c r="A2479">
        <v>7686</v>
      </c>
      <c r="B2479" t="s">
        <v>9128</v>
      </c>
      <c r="C2479" t="s">
        <v>5043</v>
      </c>
      <c r="D2479" t="s">
        <v>8401</v>
      </c>
    </row>
    <row r="2480" spans="1:4" ht="15" x14ac:dyDescent="0.25">
      <c r="A2480">
        <v>7822</v>
      </c>
      <c r="B2480" t="s">
        <v>9128</v>
      </c>
      <c r="C2480" t="s">
        <v>5043</v>
      </c>
      <c r="D2480" t="s">
        <v>8401</v>
      </c>
    </row>
    <row r="2481" spans="1:4" ht="15" x14ac:dyDescent="0.25">
      <c r="A2481">
        <v>8552</v>
      </c>
      <c r="B2481" t="s">
        <v>9128</v>
      </c>
      <c r="C2481" t="s">
        <v>5043</v>
      </c>
      <c r="D2481" t="s">
        <v>8401</v>
      </c>
    </row>
    <row r="2482" spans="1:4" ht="15" x14ac:dyDescent="0.25">
      <c r="A2482">
        <v>8903</v>
      </c>
      <c r="B2482" t="s">
        <v>9128</v>
      </c>
      <c r="C2482" t="s">
        <v>5043</v>
      </c>
      <c r="D2482" t="s">
        <v>8401</v>
      </c>
    </row>
    <row r="2483" spans="1:4" ht="15" x14ac:dyDescent="0.25">
      <c r="A2483">
        <v>8968</v>
      </c>
      <c r="B2483" t="s">
        <v>9128</v>
      </c>
      <c r="C2483" t="s">
        <v>5043</v>
      </c>
      <c r="D2483" t="s">
        <v>8401</v>
      </c>
    </row>
    <row r="2484" spans="1:4" ht="15" x14ac:dyDescent="0.25">
      <c r="A2484">
        <v>9210</v>
      </c>
      <c r="B2484" t="s">
        <v>9128</v>
      </c>
      <c r="C2484" t="s">
        <v>5043</v>
      </c>
      <c r="D2484" t="s">
        <v>8401</v>
      </c>
    </row>
    <row r="2485" spans="1:4" ht="15" x14ac:dyDescent="0.25">
      <c r="A2485">
        <v>9558</v>
      </c>
      <c r="B2485" t="s">
        <v>9128</v>
      </c>
      <c r="C2485" t="s">
        <v>5043</v>
      </c>
      <c r="D2485" t="s">
        <v>8401</v>
      </c>
    </row>
    <row r="2486" spans="1:4" ht="15" x14ac:dyDescent="0.25">
      <c r="A2486">
        <v>9670</v>
      </c>
      <c r="B2486" t="s">
        <v>9128</v>
      </c>
      <c r="C2486" t="s">
        <v>5043</v>
      </c>
      <c r="D2486" t="s">
        <v>8401</v>
      </c>
    </row>
    <row r="2487" spans="1:4" ht="15" x14ac:dyDescent="0.25">
      <c r="A2487">
        <v>9822</v>
      </c>
      <c r="B2487" t="s">
        <v>9128</v>
      </c>
      <c r="C2487" t="s">
        <v>5043</v>
      </c>
      <c r="D2487" t="s">
        <v>8401</v>
      </c>
    </row>
    <row r="2488" spans="1:4" ht="15" x14ac:dyDescent="0.25">
      <c r="A2488">
        <v>7806</v>
      </c>
      <c r="B2488" t="s">
        <v>9129</v>
      </c>
      <c r="C2488" t="s">
        <v>5043</v>
      </c>
      <c r="D2488" t="s">
        <v>8401</v>
      </c>
    </row>
    <row r="2489" spans="1:4" ht="15" x14ac:dyDescent="0.25">
      <c r="A2489">
        <v>7924</v>
      </c>
      <c r="B2489" t="s">
        <v>9129</v>
      </c>
      <c r="C2489" t="s">
        <v>5043</v>
      </c>
      <c r="D2489" t="s">
        <v>8401</v>
      </c>
    </row>
    <row r="2490" spans="1:4" ht="15" x14ac:dyDescent="0.25">
      <c r="A2490">
        <v>10342</v>
      </c>
      <c r="B2490" t="s">
        <v>10995</v>
      </c>
      <c r="C2490" t="s">
        <v>5043</v>
      </c>
      <c r="D2490" t="s">
        <v>8401</v>
      </c>
    </row>
    <row r="2491" spans="1:4" ht="15" x14ac:dyDescent="0.25">
      <c r="A2491">
        <v>10586</v>
      </c>
      <c r="B2491" t="s">
        <v>10995</v>
      </c>
      <c r="C2491" t="s">
        <v>5043</v>
      </c>
      <c r="D2491" t="s">
        <v>8401</v>
      </c>
    </row>
    <row r="2492" spans="1:4" ht="15" x14ac:dyDescent="0.25">
      <c r="A2492">
        <v>7783</v>
      </c>
      <c r="B2492" t="s">
        <v>10995</v>
      </c>
      <c r="C2492" t="s">
        <v>5043</v>
      </c>
      <c r="D2492" t="s">
        <v>8401</v>
      </c>
    </row>
    <row r="2493" spans="1:4" ht="15" x14ac:dyDescent="0.25">
      <c r="A2493">
        <v>7787</v>
      </c>
      <c r="B2493" t="s">
        <v>10995</v>
      </c>
      <c r="C2493" t="s">
        <v>5043</v>
      </c>
      <c r="D2493" t="s">
        <v>8401</v>
      </c>
    </row>
    <row r="2494" spans="1:4" ht="15" x14ac:dyDescent="0.25">
      <c r="A2494">
        <v>8446</v>
      </c>
      <c r="B2494" t="s">
        <v>10995</v>
      </c>
      <c r="C2494" t="s">
        <v>5043</v>
      </c>
      <c r="D2494" t="s">
        <v>8401</v>
      </c>
    </row>
    <row r="2495" spans="1:4" ht="15" x14ac:dyDescent="0.25">
      <c r="A2495">
        <v>9726</v>
      </c>
      <c r="B2495" t="s">
        <v>10995</v>
      </c>
      <c r="C2495" t="s">
        <v>5043</v>
      </c>
      <c r="D2495" t="s">
        <v>8401</v>
      </c>
    </row>
    <row r="2496" spans="1:4" ht="15" x14ac:dyDescent="0.25">
      <c r="A2496">
        <v>11080</v>
      </c>
      <c r="B2496" t="s">
        <v>9130</v>
      </c>
      <c r="C2496" t="s">
        <v>5043</v>
      </c>
      <c r="D2496" t="s">
        <v>8401</v>
      </c>
    </row>
    <row r="2497" spans="1:4" ht="15" x14ac:dyDescent="0.25">
      <c r="A2497">
        <v>10035</v>
      </c>
      <c r="B2497" t="s">
        <v>10996</v>
      </c>
      <c r="C2497" t="s">
        <v>5043</v>
      </c>
      <c r="D2497" t="s">
        <v>8401</v>
      </c>
    </row>
    <row r="2498" spans="1:4" ht="15" x14ac:dyDescent="0.25">
      <c r="A2498">
        <v>10723</v>
      </c>
      <c r="B2498" t="s">
        <v>10996</v>
      </c>
      <c r="C2498" t="s">
        <v>5043</v>
      </c>
      <c r="D2498" t="s">
        <v>8401</v>
      </c>
    </row>
    <row r="2499" spans="1:4" ht="15" x14ac:dyDescent="0.25">
      <c r="A2499">
        <v>11164</v>
      </c>
      <c r="B2499" t="s">
        <v>10996</v>
      </c>
      <c r="C2499" t="s">
        <v>5043</v>
      </c>
      <c r="D2499" t="s">
        <v>8401</v>
      </c>
    </row>
    <row r="2500" spans="1:4" ht="15" x14ac:dyDescent="0.25">
      <c r="A2500">
        <v>7104</v>
      </c>
      <c r="B2500" t="s">
        <v>10996</v>
      </c>
      <c r="C2500" t="s">
        <v>5043</v>
      </c>
      <c r="D2500" t="s">
        <v>8401</v>
      </c>
    </row>
    <row r="2501" spans="1:4" ht="15" x14ac:dyDescent="0.25">
      <c r="A2501">
        <v>8746</v>
      </c>
      <c r="B2501" t="s">
        <v>10996</v>
      </c>
      <c r="C2501" t="s">
        <v>5043</v>
      </c>
      <c r="D2501" t="s">
        <v>8401</v>
      </c>
    </row>
    <row r="2502" spans="1:4" ht="15" x14ac:dyDescent="0.25">
      <c r="A2502">
        <v>9177</v>
      </c>
      <c r="B2502" t="s">
        <v>10996</v>
      </c>
      <c r="C2502" t="s">
        <v>5043</v>
      </c>
      <c r="D2502" t="s">
        <v>8401</v>
      </c>
    </row>
    <row r="2503" spans="1:4" ht="15" x14ac:dyDescent="0.25">
      <c r="A2503">
        <v>11167</v>
      </c>
      <c r="B2503" t="s">
        <v>10997</v>
      </c>
      <c r="C2503" t="s">
        <v>5043</v>
      </c>
      <c r="D2503" t="s">
        <v>8401</v>
      </c>
    </row>
    <row r="2504" spans="1:4" ht="15" x14ac:dyDescent="0.25">
      <c r="A2504">
        <v>9330</v>
      </c>
      <c r="B2504" t="s">
        <v>10997</v>
      </c>
      <c r="C2504" t="s">
        <v>5043</v>
      </c>
      <c r="D2504" t="s">
        <v>8401</v>
      </c>
    </row>
    <row r="2505" spans="1:4" ht="15" x14ac:dyDescent="0.25">
      <c r="A2505">
        <v>6980</v>
      </c>
      <c r="B2505" t="s">
        <v>10998</v>
      </c>
      <c r="C2505" t="s">
        <v>5043</v>
      </c>
      <c r="D2505" t="s">
        <v>8401</v>
      </c>
    </row>
    <row r="2506" spans="1:4" ht="15" x14ac:dyDescent="0.25">
      <c r="A2506">
        <v>10015</v>
      </c>
      <c r="B2506" t="s">
        <v>9131</v>
      </c>
      <c r="C2506" t="s">
        <v>5043</v>
      </c>
      <c r="D2506" t="s">
        <v>8401</v>
      </c>
    </row>
    <row r="2507" spans="1:4" ht="15" x14ac:dyDescent="0.25">
      <c r="A2507">
        <v>10093</v>
      </c>
      <c r="B2507" t="s">
        <v>9131</v>
      </c>
      <c r="C2507" t="s">
        <v>5043</v>
      </c>
      <c r="D2507" t="s">
        <v>8401</v>
      </c>
    </row>
    <row r="2508" spans="1:4" ht="15" x14ac:dyDescent="0.25">
      <c r="A2508">
        <v>10495</v>
      </c>
      <c r="B2508" t="s">
        <v>9131</v>
      </c>
      <c r="C2508" t="s">
        <v>5043</v>
      </c>
      <c r="D2508" t="s">
        <v>8401</v>
      </c>
    </row>
    <row r="2509" spans="1:4" ht="15" x14ac:dyDescent="0.25">
      <c r="A2509">
        <v>11705</v>
      </c>
      <c r="B2509" t="s">
        <v>9131</v>
      </c>
      <c r="C2509" t="s">
        <v>5043</v>
      </c>
      <c r="D2509" t="s">
        <v>8401</v>
      </c>
    </row>
    <row r="2510" spans="1:4" ht="15" x14ac:dyDescent="0.25">
      <c r="A2510">
        <v>11893</v>
      </c>
      <c r="B2510" t="s">
        <v>9131</v>
      </c>
      <c r="C2510" t="s">
        <v>5043</v>
      </c>
      <c r="D2510" t="s">
        <v>8401</v>
      </c>
    </row>
    <row r="2511" spans="1:4" ht="15" x14ac:dyDescent="0.25">
      <c r="A2511">
        <v>12068</v>
      </c>
      <c r="B2511" t="s">
        <v>9131</v>
      </c>
      <c r="C2511" t="s">
        <v>5043</v>
      </c>
      <c r="D2511" t="s">
        <v>8401</v>
      </c>
    </row>
    <row r="2512" spans="1:4" ht="15" x14ac:dyDescent="0.25">
      <c r="A2512">
        <v>7062</v>
      </c>
      <c r="B2512" t="s">
        <v>9131</v>
      </c>
      <c r="C2512" t="s">
        <v>5043</v>
      </c>
      <c r="D2512" t="s">
        <v>8401</v>
      </c>
    </row>
    <row r="2513" spans="1:4" ht="15" x14ac:dyDescent="0.25">
      <c r="A2513">
        <v>7320</v>
      </c>
      <c r="B2513" t="s">
        <v>9131</v>
      </c>
      <c r="C2513" t="s">
        <v>5043</v>
      </c>
      <c r="D2513" t="s">
        <v>8401</v>
      </c>
    </row>
    <row r="2514" spans="1:4" ht="15" x14ac:dyDescent="0.25">
      <c r="A2514">
        <v>8717</v>
      </c>
      <c r="B2514" t="s">
        <v>9131</v>
      </c>
      <c r="C2514" t="s">
        <v>5043</v>
      </c>
      <c r="D2514" t="s">
        <v>8401</v>
      </c>
    </row>
    <row r="2515" spans="1:4" ht="15" x14ac:dyDescent="0.25">
      <c r="A2515">
        <v>9709</v>
      </c>
      <c r="B2515" t="s">
        <v>9131</v>
      </c>
      <c r="C2515" t="s">
        <v>5043</v>
      </c>
      <c r="D2515" t="s">
        <v>8401</v>
      </c>
    </row>
    <row r="2516" spans="1:4" ht="15" x14ac:dyDescent="0.25">
      <c r="A2516">
        <v>9976</v>
      </c>
      <c r="B2516" t="s">
        <v>9131</v>
      </c>
      <c r="C2516" t="s">
        <v>5043</v>
      </c>
      <c r="D2516" t="s">
        <v>8401</v>
      </c>
    </row>
    <row r="2517" spans="1:4" ht="15" x14ac:dyDescent="0.25">
      <c r="A2517">
        <v>10428</v>
      </c>
      <c r="B2517" t="s">
        <v>10999</v>
      </c>
      <c r="C2517" t="s">
        <v>5043</v>
      </c>
      <c r="D2517" t="s">
        <v>8401</v>
      </c>
    </row>
    <row r="2518" spans="1:4" ht="15" x14ac:dyDescent="0.25">
      <c r="A2518">
        <v>12067</v>
      </c>
      <c r="B2518" t="s">
        <v>11000</v>
      </c>
      <c r="C2518" t="s">
        <v>5043</v>
      </c>
      <c r="D2518" t="s">
        <v>8401</v>
      </c>
    </row>
    <row r="2519" spans="1:4" ht="15" x14ac:dyDescent="0.25">
      <c r="A2519">
        <v>6699</v>
      </c>
      <c r="B2519" t="s">
        <v>11001</v>
      </c>
      <c r="C2519" t="s">
        <v>5043</v>
      </c>
      <c r="D2519" t="s">
        <v>8401</v>
      </c>
    </row>
    <row r="2520" spans="1:4" ht="15" x14ac:dyDescent="0.25">
      <c r="A2520">
        <v>11554</v>
      </c>
      <c r="B2520" t="s">
        <v>11002</v>
      </c>
      <c r="C2520" t="s">
        <v>5043</v>
      </c>
      <c r="D2520" t="s">
        <v>8401</v>
      </c>
    </row>
    <row r="2521" spans="1:4" ht="15" x14ac:dyDescent="0.25">
      <c r="A2521">
        <v>11567</v>
      </c>
      <c r="B2521" t="s">
        <v>11002</v>
      </c>
      <c r="C2521" t="s">
        <v>5043</v>
      </c>
      <c r="D2521" t="s">
        <v>8401</v>
      </c>
    </row>
    <row r="2522" spans="1:4" ht="15" x14ac:dyDescent="0.25">
      <c r="A2522">
        <v>6692</v>
      </c>
      <c r="B2522" t="s">
        <v>11002</v>
      </c>
      <c r="C2522" t="s">
        <v>5043</v>
      </c>
      <c r="D2522" t="s">
        <v>8401</v>
      </c>
    </row>
    <row r="2523" spans="1:4" ht="15" x14ac:dyDescent="0.25">
      <c r="A2523">
        <v>9220</v>
      </c>
      <c r="B2523" t="s">
        <v>11002</v>
      </c>
      <c r="C2523" t="s">
        <v>5043</v>
      </c>
      <c r="D2523" t="s">
        <v>8401</v>
      </c>
    </row>
    <row r="2524" spans="1:4" ht="15" x14ac:dyDescent="0.25">
      <c r="A2524">
        <v>10146</v>
      </c>
      <c r="B2524" t="s">
        <v>11003</v>
      </c>
      <c r="C2524" t="s">
        <v>5043</v>
      </c>
      <c r="D2524" t="s">
        <v>8401</v>
      </c>
    </row>
    <row r="2525" spans="1:4" ht="15" x14ac:dyDescent="0.25">
      <c r="A2525">
        <v>10751</v>
      </c>
      <c r="B2525" t="s">
        <v>11003</v>
      </c>
      <c r="C2525" t="s">
        <v>5043</v>
      </c>
      <c r="D2525" t="s">
        <v>8401</v>
      </c>
    </row>
    <row r="2526" spans="1:4" ht="15" x14ac:dyDescent="0.25">
      <c r="A2526">
        <v>10757</v>
      </c>
      <c r="B2526" t="s">
        <v>11003</v>
      </c>
      <c r="C2526" t="s">
        <v>5043</v>
      </c>
      <c r="D2526" t="s">
        <v>8401</v>
      </c>
    </row>
    <row r="2527" spans="1:4" ht="15" x14ac:dyDescent="0.25">
      <c r="A2527">
        <v>11157</v>
      </c>
      <c r="B2527" t="s">
        <v>11003</v>
      </c>
      <c r="C2527" t="s">
        <v>5043</v>
      </c>
      <c r="D2527" t="s">
        <v>8401</v>
      </c>
    </row>
    <row r="2528" spans="1:4" ht="15" x14ac:dyDescent="0.25">
      <c r="A2528">
        <v>11202</v>
      </c>
      <c r="B2528" t="s">
        <v>11003</v>
      </c>
      <c r="C2528" t="s">
        <v>5043</v>
      </c>
      <c r="D2528" t="s">
        <v>8401</v>
      </c>
    </row>
    <row r="2529" spans="1:4" ht="15" x14ac:dyDescent="0.25">
      <c r="A2529">
        <v>11265</v>
      </c>
      <c r="B2529" t="s">
        <v>11003</v>
      </c>
      <c r="C2529" t="s">
        <v>5043</v>
      </c>
      <c r="D2529" t="s">
        <v>8401</v>
      </c>
    </row>
    <row r="2530" spans="1:4" ht="15" x14ac:dyDescent="0.25">
      <c r="A2530">
        <v>11533</v>
      </c>
      <c r="B2530" t="s">
        <v>11003</v>
      </c>
      <c r="C2530" t="s">
        <v>5043</v>
      </c>
      <c r="D2530" t="s">
        <v>8401</v>
      </c>
    </row>
    <row r="2531" spans="1:4" ht="15" x14ac:dyDescent="0.25">
      <c r="A2531">
        <v>11729</v>
      </c>
      <c r="B2531" t="s">
        <v>11003</v>
      </c>
      <c r="C2531" t="s">
        <v>5043</v>
      </c>
      <c r="D2531" t="s">
        <v>8401</v>
      </c>
    </row>
    <row r="2532" spans="1:4" ht="15" x14ac:dyDescent="0.25">
      <c r="A2532">
        <v>11815</v>
      </c>
      <c r="B2532" t="s">
        <v>11003</v>
      </c>
      <c r="C2532" t="s">
        <v>5043</v>
      </c>
      <c r="D2532" t="s">
        <v>8401</v>
      </c>
    </row>
    <row r="2533" spans="1:4" ht="15" x14ac:dyDescent="0.25">
      <c r="A2533">
        <v>6914</v>
      </c>
      <c r="B2533" t="s">
        <v>11003</v>
      </c>
      <c r="C2533" t="s">
        <v>5043</v>
      </c>
      <c r="D2533" t="s">
        <v>8401</v>
      </c>
    </row>
    <row r="2534" spans="1:4" ht="15" x14ac:dyDescent="0.25">
      <c r="A2534">
        <v>6999</v>
      </c>
      <c r="B2534" t="s">
        <v>11003</v>
      </c>
      <c r="C2534" t="s">
        <v>5043</v>
      </c>
      <c r="D2534" t="s">
        <v>8401</v>
      </c>
    </row>
    <row r="2535" spans="1:4" ht="15" x14ac:dyDescent="0.25">
      <c r="A2535">
        <v>7193</v>
      </c>
      <c r="B2535" t="s">
        <v>11003</v>
      </c>
      <c r="C2535" t="s">
        <v>5043</v>
      </c>
      <c r="D2535" t="s">
        <v>8401</v>
      </c>
    </row>
    <row r="2536" spans="1:4" ht="15" x14ac:dyDescent="0.25">
      <c r="A2536">
        <v>7497</v>
      </c>
      <c r="B2536" t="s">
        <v>11003</v>
      </c>
      <c r="C2536" t="s">
        <v>5043</v>
      </c>
      <c r="D2536" t="s">
        <v>8401</v>
      </c>
    </row>
    <row r="2537" spans="1:4" ht="15" x14ac:dyDescent="0.25">
      <c r="A2537">
        <v>7930</v>
      </c>
      <c r="B2537" t="s">
        <v>11003</v>
      </c>
      <c r="C2537" t="s">
        <v>5043</v>
      </c>
      <c r="D2537" t="s">
        <v>8401</v>
      </c>
    </row>
    <row r="2538" spans="1:4" ht="15" x14ac:dyDescent="0.25">
      <c r="A2538">
        <v>8623</v>
      </c>
      <c r="B2538" t="s">
        <v>11003</v>
      </c>
      <c r="C2538" t="s">
        <v>5043</v>
      </c>
      <c r="D2538" t="s">
        <v>8401</v>
      </c>
    </row>
    <row r="2539" spans="1:4" ht="15" x14ac:dyDescent="0.25">
      <c r="A2539">
        <v>8698</v>
      </c>
      <c r="B2539" t="s">
        <v>11003</v>
      </c>
      <c r="C2539" t="s">
        <v>5043</v>
      </c>
      <c r="D2539" t="s">
        <v>8401</v>
      </c>
    </row>
    <row r="2540" spans="1:4" ht="15" x14ac:dyDescent="0.25">
      <c r="A2540">
        <v>8773</v>
      </c>
      <c r="B2540" t="s">
        <v>11003</v>
      </c>
      <c r="C2540" t="s">
        <v>5043</v>
      </c>
      <c r="D2540" t="s">
        <v>8401</v>
      </c>
    </row>
    <row r="2541" spans="1:4" ht="15" x14ac:dyDescent="0.25">
      <c r="A2541">
        <v>8835</v>
      </c>
      <c r="B2541" t="s">
        <v>11003</v>
      </c>
      <c r="C2541" t="s">
        <v>5043</v>
      </c>
      <c r="D2541" t="s">
        <v>8401</v>
      </c>
    </row>
    <row r="2542" spans="1:4" ht="15" x14ac:dyDescent="0.25">
      <c r="A2542">
        <v>8945</v>
      </c>
      <c r="B2542" t="s">
        <v>11003</v>
      </c>
      <c r="C2542" t="s">
        <v>5043</v>
      </c>
      <c r="D2542" t="s">
        <v>8401</v>
      </c>
    </row>
    <row r="2543" spans="1:4" ht="15" x14ac:dyDescent="0.25">
      <c r="A2543">
        <v>8971</v>
      </c>
      <c r="B2543" t="s">
        <v>11003</v>
      </c>
      <c r="C2543" t="s">
        <v>5043</v>
      </c>
      <c r="D2543" t="s">
        <v>8401</v>
      </c>
    </row>
    <row r="2544" spans="1:4" ht="15" x14ac:dyDescent="0.25">
      <c r="A2544">
        <v>9247</v>
      </c>
      <c r="B2544" t="s">
        <v>11003</v>
      </c>
      <c r="C2544" t="s">
        <v>5043</v>
      </c>
      <c r="D2544" t="s">
        <v>8401</v>
      </c>
    </row>
    <row r="2545" spans="1:4" ht="15" x14ac:dyDescent="0.25">
      <c r="A2545">
        <v>9306</v>
      </c>
      <c r="B2545" t="s">
        <v>11003</v>
      </c>
      <c r="C2545" t="s">
        <v>5043</v>
      </c>
      <c r="D2545" t="s">
        <v>8401</v>
      </c>
    </row>
    <row r="2546" spans="1:4" ht="15" x14ac:dyDescent="0.25">
      <c r="A2546">
        <v>9562</v>
      </c>
      <c r="B2546" t="s">
        <v>11003</v>
      </c>
      <c r="C2546" t="s">
        <v>5043</v>
      </c>
      <c r="D2546" t="s">
        <v>8401</v>
      </c>
    </row>
    <row r="2547" spans="1:4" ht="15" x14ac:dyDescent="0.25">
      <c r="A2547">
        <v>9061</v>
      </c>
      <c r="B2547" t="s">
        <v>11004</v>
      </c>
      <c r="C2547" t="s">
        <v>5043</v>
      </c>
      <c r="D2547" t="s">
        <v>8401</v>
      </c>
    </row>
    <row r="2548" spans="1:4" ht="15" x14ac:dyDescent="0.25">
      <c r="A2548">
        <v>8520</v>
      </c>
      <c r="B2548" t="s">
        <v>11005</v>
      </c>
      <c r="C2548" t="s">
        <v>5043</v>
      </c>
      <c r="D2548" t="s">
        <v>8401</v>
      </c>
    </row>
    <row r="2549" spans="1:4" ht="15" x14ac:dyDescent="0.25">
      <c r="A2549">
        <v>10019</v>
      </c>
      <c r="B2549" t="s">
        <v>11006</v>
      </c>
      <c r="C2549" t="s">
        <v>5043</v>
      </c>
      <c r="D2549" t="s">
        <v>8401</v>
      </c>
    </row>
    <row r="2550" spans="1:4" ht="15" x14ac:dyDescent="0.25">
      <c r="A2550">
        <v>10416</v>
      </c>
      <c r="B2550" t="s">
        <v>11006</v>
      </c>
      <c r="C2550" t="s">
        <v>5043</v>
      </c>
      <c r="D2550" t="s">
        <v>8401</v>
      </c>
    </row>
    <row r="2551" spans="1:4" ht="15" x14ac:dyDescent="0.25">
      <c r="A2551">
        <v>11075</v>
      </c>
      <c r="B2551" t="s">
        <v>11007</v>
      </c>
      <c r="C2551" t="s">
        <v>5043</v>
      </c>
      <c r="D2551" t="s">
        <v>8401</v>
      </c>
    </row>
    <row r="2552" spans="1:4" ht="15" x14ac:dyDescent="0.25">
      <c r="A2552">
        <v>7300</v>
      </c>
      <c r="B2552" t="s">
        <v>11008</v>
      </c>
      <c r="C2552" t="s">
        <v>5043</v>
      </c>
      <c r="D2552" t="s">
        <v>8401</v>
      </c>
    </row>
    <row r="2553" spans="1:4" ht="15" x14ac:dyDescent="0.25">
      <c r="A2553">
        <v>9861</v>
      </c>
      <c r="B2553" t="s">
        <v>11008</v>
      </c>
      <c r="C2553" t="s">
        <v>5043</v>
      </c>
      <c r="D2553" t="s">
        <v>8401</v>
      </c>
    </row>
    <row r="2554" spans="1:4" ht="15" x14ac:dyDescent="0.25">
      <c r="A2554">
        <v>10103</v>
      </c>
      <c r="B2554" t="s">
        <v>9132</v>
      </c>
      <c r="C2554" t="s">
        <v>5043</v>
      </c>
      <c r="D2554" t="s">
        <v>8401</v>
      </c>
    </row>
    <row r="2555" spans="1:4" ht="15" x14ac:dyDescent="0.25">
      <c r="A2555">
        <v>10909</v>
      </c>
      <c r="B2555" t="s">
        <v>9132</v>
      </c>
      <c r="C2555" t="s">
        <v>5043</v>
      </c>
      <c r="D2555" t="s">
        <v>8401</v>
      </c>
    </row>
    <row r="2556" spans="1:4" ht="15" x14ac:dyDescent="0.25">
      <c r="A2556">
        <v>11657</v>
      </c>
      <c r="B2556" t="s">
        <v>9132</v>
      </c>
      <c r="C2556" t="s">
        <v>5043</v>
      </c>
      <c r="D2556" t="s">
        <v>8401</v>
      </c>
    </row>
    <row r="2557" spans="1:4" ht="15" x14ac:dyDescent="0.25">
      <c r="A2557">
        <v>8704</v>
      </c>
      <c r="B2557" t="s">
        <v>9132</v>
      </c>
      <c r="C2557" t="s">
        <v>5043</v>
      </c>
      <c r="D2557" t="s">
        <v>8401</v>
      </c>
    </row>
    <row r="2558" spans="1:4" ht="15" x14ac:dyDescent="0.25">
      <c r="A2558">
        <v>10266</v>
      </c>
      <c r="B2558" t="s">
        <v>9133</v>
      </c>
      <c r="C2558" t="s">
        <v>5043</v>
      </c>
      <c r="D2558" t="s">
        <v>8401</v>
      </c>
    </row>
    <row r="2559" spans="1:4" ht="15" x14ac:dyDescent="0.25">
      <c r="A2559">
        <v>10809</v>
      </c>
      <c r="B2559" t="s">
        <v>9133</v>
      </c>
      <c r="C2559" t="s">
        <v>5043</v>
      </c>
      <c r="D2559" t="s">
        <v>8401</v>
      </c>
    </row>
    <row r="2560" spans="1:4" ht="15" x14ac:dyDescent="0.25">
      <c r="A2560">
        <v>11303</v>
      </c>
      <c r="B2560" t="s">
        <v>9133</v>
      </c>
      <c r="C2560" t="s">
        <v>5043</v>
      </c>
      <c r="D2560" t="s">
        <v>8401</v>
      </c>
    </row>
    <row r="2561" spans="1:4" ht="15" x14ac:dyDescent="0.25">
      <c r="A2561">
        <v>11799</v>
      </c>
      <c r="B2561" t="s">
        <v>9133</v>
      </c>
      <c r="C2561" t="s">
        <v>5043</v>
      </c>
      <c r="D2561" t="s">
        <v>8401</v>
      </c>
    </row>
    <row r="2562" spans="1:4" ht="15" x14ac:dyDescent="0.25">
      <c r="A2562">
        <v>7556</v>
      </c>
      <c r="B2562" t="s">
        <v>9133</v>
      </c>
      <c r="C2562" t="s">
        <v>5043</v>
      </c>
      <c r="D2562" t="s">
        <v>8401</v>
      </c>
    </row>
    <row r="2563" spans="1:4" ht="15" x14ac:dyDescent="0.25">
      <c r="A2563">
        <v>7675</v>
      </c>
      <c r="B2563" t="s">
        <v>9133</v>
      </c>
      <c r="C2563" t="s">
        <v>5043</v>
      </c>
      <c r="D2563" t="s">
        <v>8401</v>
      </c>
    </row>
    <row r="2564" spans="1:4" ht="15" x14ac:dyDescent="0.25">
      <c r="A2564">
        <v>7690</v>
      </c>
      <c r="B2564" t="s">
        <v>9133</v>
      </c>
      <c r="C2564" t="s">
        <v>5043</v>
      </c>
      <c r="D2564" t="s">
        <v>8401</v>
      </c>
    </row>
    <row r="2565" spans="1:4" ht="15" x14ac:dyDescent="0.25">
      <c r="A2565">
        <v>7780</v>
      </c>
      <c r="B2565" t="s">
        <v>9133</v>
      </c>
      <c r="C2565" t="s">
        <v>5043</v>
      </c>
      <c r="D2565" t="s">
        <v>8401</v>
      </c>
    </row>
    <row r="2566" spans="1:4" ht="15" x14ac:dyDescent="0.25">
      <c r="A2566">
        <v>7936</v>
      </c>
      <c r="B2566" t="s">
        <v>9133</v>
      </c>
      <c r="C2566" t="s">
        <v>5043</v>
      </c>
      <c r="D2566" t="s">
        <v>8401</v>
      </c>
    </row>
    <row r="2567" spans="1:4" ht="15" x14ac:dyDescent="0.25">
      <c r="A2567">
        <v>8845</v>
      </c>
      <c r="B2567" t="s">
        <v>9133</v>
      </c>
      <c r="C2567" t="s">
        <v>5043</v>
      </c>
      <c r="D2567" t="s">
        <v>8401</v>
      </c>
    </row>
    <row r="2568" spans="1:4" ht="15" x14ac:dyDescent="0.25">
      <c r="A2568">
        <v>8957</v>
      </c>
      <c r="B2568" t="s">
        <v>9133</v>
      </c>
      <c r="C2568" t="s">
        <v>5043</v>
      </c>
      <c r="D2568" t="s">
        <v>8401</v>
      </c>
    </row>
    <row r="2569" spans="1:4" ht="15" x14ac:dyDescent="0.25">
      <c r="A2569">
        <v>9284</v>
      </c>
      <c r="B2569" t="s">
        <v>9133</v>
      </c>
      <c r="C2569" t="s">
        <v>5043</v>
      </c>
      <c r="D2569" t="s">
        <v>8401</v>
      </c>
    </row>
    <row r="2570" spans="1:4" ht="15" x14ac:dyDescent="0.25">
      <c r="A2570">
        <v>9653</v>
      </c>
      <c r="B2570" t="s">
        <v>9133</v>
      </c>
      <c r="C2570" t="s">
        <v>5043</v>
      </c>
      <c r="D2570" t="s">
        <v>8401</v>
      </c>
    </row>
    <row r="2571" spans="1:4" ht="15" x14ac:dyDescent="0.25">
      <c r="A2571">
        <v>9852</v>
      </c>
      <c r="B2571" t="s">
        <v>9133</v>
      </c>
      <c r="C2571" t="s">
        <v>5043</v>
      </c>
      <c r="D2571" t="s">
        <v>8401</v>
      </c>
    </row>
    <row r="2572" spans="1:4" ht="15" x14ac:dyDescent="0.25">
      <c r="A2572">
        <v>11138</v>
      </c>
      <c r="B2572" t="s">
        <v>11009</v>
      </c>
      <c r="C2572" t="s">
        <v>5043</v>
      </c>
      <c r="D2572" t="s">
        <v>8401</v>
      </c>
    </row>
    <row r="2573" spans="1:4" ht="15" x14ac:dyDescent="0.25">
      <c r="A2573">
        <v>9603</v>
      </c>
      <c r="B2573" t="s">
        <v>11009</v>
      </c>
      <c r="C2573" t="s">
        <v>5043</v>
      </c>
      <c r="D2573" t="s">
        <v>8401</v>
      </c>
    </row>
    <row r="2574" spans="1:4" ht="15" x14ac:dyDescent="0.25">
      <c r="A2574">
        <v>11237</v>
      </c>
      <c r="B2574" t="s">
        <v>9134</v>
      </c>
      <c r="C2574" t="s">
        <v>5043</v>
      </c>
      <c r="D2574" t="s">
        <v>8401</v>
      </c>
    </row>
    <row r="2575" spans="1:4" ht="15" x14ac:dyDescent="0.25">
      <c r="A2575">
        <v>7357</v>
      </c>
      <c r="B2575" t="s">
        <v>9134</v>
      </c>
      <c r="C2575" t="s">
        <v>5043</v>
      </c>
      <c r="D2575" t="s">
        <v>8401</v>
      </c>
    </row>
    <row r="2576" spans="1:4" ht="15" x14ac:dyDescent="0.25">
      <c r="A2576">
        <v>6971</v>
      </c>
      <c r="B2576" t="s">
        <v>11010</v>
      </c>
      <c r="C2576" t="s">
        <v>5043</v>
      </c>
      <c r="D2576" t="s">
        <v>8401</v>
      </c>
    </row>
    <row r="2577" spans="1:4" ht="15" x14ac:dyDescent="0.25">
      <c r="A2577">
        <v>9803</v>
      </c>
      <c r="B2577" t="s">
        <v>11010</v>
      </c>
      <c r="C2577" t="s">
        <v>5043</v>
      </c>
      <c r="D2577" t="s">
        <v>8401</v>
      </c>
    </row>
    <row r="2578" spans="1:4" ht="15" x14ac:dyDescent="0.25">
      <c r="A2578">
        <v>10673</v>
      </c>
      <c r="B2578" t="s">
        <v>11011</v>
      </c>
      <c r="C2578" t="s">
        <v>5043</v>
      </c>
      <c r="D2578" t="s">
        <v>8401</v>
      </c>
    </row>
    <row r="2579" spans="1:4" ht="15" x14ac:dyDescent="0.25">
      <c r="A2579">
        <v>9869</v>
      </c>
      <c r="B2579" t="s">
        <v>11011</v>
      </c>
      <c r="C2579" t="s">
        <v>5043</v>
      </c>
      <c r="D2579" t="s">
        <v>8401</v>
      </c>
    </row>
    <row r="2580" spans="1:4" ht="15" x14ac:dyDescent="0.25">
      <c r="A2580">
        <v>12023</v>
      </c>
      <c r="B2580" t="s">
        <v>11012</v>
      </c>
      <c r="C2580" t="s">
        <v>5043</v>
      </c>
      <c r="D2580" t="s">
        <v>8401</v>
      </c>
    </row>
    <row r="2581" spans="1:4" ht="15" x14ac:dyDescent="0.25">
      <c r="A2581">
        <v>7161</v>
      </c>
      <c r="B2581" t="s">
        <v>11012</v>
      </c>
      <c r="C2581" t="s">
        <v>5043</v>
      </c>
      <c r="D2581" t="s">
        <v>8401</v>
      </c>
    </row>
    <row r="2582" spans="1:4" ht="15" x14ac:dyDescent="0.25">
      <c r="A2582">
        <v>7811</v>
      </c>
      <c r="B2582" t="s">
        <v>11012</v>
      </c>
      <c r="C2582" t="s">
        <v>5043</v>
      </c>
      <c r="D2582" t="s">
        <v>8401</v>
      </c>
    </row>
    <row r="2583" spans="1:4" ht="15" x14ac:dyDescent="0.25">
      <c r="A2583">
        <v>10186</v>
      </c>
      <c r="B2583" t="s">
        <v>11013</v>
      </c>
      <c r="C2583" t="s">
        <v>5043</v>
      </c>
      <c r="D2583" t="s">
        <v>8401</v>
      </c>
    </row>
    <row r="2584" spans="1:4" ht="15" x14ac:dyDescent="0.25">
      <c r="A2584">
        <v>7280</v>
      </c>
      <c r="B2584" t="s">
        <v>11013</v>
      </c>
      <c r="C2584" t="s">
        <v>5043</v>
      </c>
      <c r="D2584" t="s">
        <v>8401</v>
      </c>
    </row>
    <row r="2585" spans="1:4" ht="15" x14ac:dyDescent="0.25">
      <c r="A2585">
        <v>7354</v>
      </c>
      <c r="B2585" t="s">
        <v>11014</v>
      </c>
      <c r="C2585" t="s">
        <v>5043</v>
      </c>
      <c r="D2585" t="s">
        <v>8401</v>
      </c>
    </row>
    <row r="2586" spans="1:4" ht="15" x14ac:dyDescent="0.25">
      <c r="A2586">
        <v>11468</v>
      </c>
      <c r="B2586" t="s">
        <v>11015</v>
      </c>
      <c r="C2586" t="s">
        <v>5043</v>
      </c>
      <c r="D2586" t="s">
        <v>8401</v>
      </c>
    </row>
    <row r="2587" spans="1:4" ht="15" x14ac:dyDescent="0.25">
      <c r="A2587">
        <v>9835</v>
      </c>
      <c r="B2587" t="s">
        <v>11015</v>
      </c>
      <c r="C2587" t="s">
        <v>5043</v>
      </c>
      <c r="D2587" t="s">
        <v>8401</v>
      </c>
    </row>
    <row r="2588" spans="1:4" ht="15" x14ac:dyDescent="0.25">
      <c r="A2588">
        <v>7528</v>
      </c>
      <c r="B2588" t="s">
        <v>11016</v>
      </c>
      <c r="C2588" t="s">
        <v>5043</v>
      </c>
      <c r="D2588" t="s">
        <v>8401</v>
      </c>
    </row>
    <row r="2589" spans="1:4" ht="15" x14ac:dyDescent="0.25">
      <c r="A2589">
        <v>10137</v>
      </c>
      <c r="B2589" t="s">
        <v>9135</v>
      </c>
      <c r="C2589" t="s">
        <v>5043</v>
      </c>
      <c r="D2589" t="s">
        <v>8401</v>
      </c>
    </row>
    <row r="2590" spans="1:4" ht="15" x14ac:dyDescent="0.25">
      <c r="A2590">
        <v>11120</v>
      </c>
      <c r="B2590" t="s">
        <v>9135</v>
      </c>
      <c r="C2590" t="s">
        <v>5043</v>
      </c>
      <c r="D2590" t="s">
        <v>8401</v>
      </c>
    </row>
    <row r="2591" spans="1:4" ht="15" x14ac:dyDescent="0.25">
      <c r="A2591">
        <v>11839</v>
      </c>
      <c r="B2591" t="s">
        <v>9135</v>
      </c>
      <c r="C2591" t="s">
        <v>5043</v>
      </c>
      <c r="D2591" t="s">
        <v>8401</v>
      </c>
    </row>
    <row r="2592" spans="1:4" ht="15" x14ac:dyDescent="0.25">
      <c r="A2592">
        <v>7577</v>
      </c>
      <c r="B2592" t="s">
        <v>9135</v>
      </c>
      <c r="C2592" t="s">
        <v>5043</v>
      </c>
      <c r="D2592" t="s">
        <v>8401</v>
      </c>
    </row>
    <row r="2593" spans="1:4" ht="15" x14ac:dyDescent="0.25">
      <c r="A2593">
        <v>8163</v>
      </c>
      <c r="B2593" t="s">
        <v>9135</v>
      </c>
      <c r="C2593" t="s">
        <v>5043</v>
      </c>
      <c r="D2593" t="s">
        <v>8401</v>
      </c>
    </row>
    <row r="2594" spans="1:4" ht="15" x14ac:dyDescent="0.25">
      <c r="A2594">
        <v>7082</v>
      </c>
      <c r="B2594" t="s">
        <v>9136</v>
      </c>
      <c r="C2594" t="s">
        <v>5043</v>
      </c>
      <c r="D2594" t="s">
        <v>8401</v>
      </c>
    </row>
    <row r="2595" spans="1:4" ht="15" x14ac:dyDescent="0.25">
      <c r="A2595">
        <v>9337</v>
      </c>
      <c r="B2595" t="s">
        <v>9136</v>
      </c>
      <c r="C2595" t="s">
        <v>5043</v>
      </c>
      <c r="D2595" t="s">
        <v>8401</v>
      </c>
    </row>
    <row r="2596" spans="1:4" ht="15" x14ac:dyDescent="0.25">
      <c r="A2596">
        <v>9378</v>
      </c>
      <c r="B2596" t="s">
        <v>9136</v>
      </c>
      <c r="C2596" t="s">
        <v>5043</v>
      </c>
      <c r="D2596" t="s">
        <v>8401</v>
      </c>
    </row>
    <row r="2597" spans="1:4" ht="15" x14ac:dyDescent="0.25">
      <c r="A2597">
        <v>9868</v>
      </c>
      <c r="B2597" t="s">
        <v>9136</v>
      </c>
      <c r="C2597" t="s">
        <v>5043</v>
      </c>
      <c r="D2597" t="s">
        <v>8401</v>
      </c>
    </row>
    <row r="2598" spans="1:4" ht="15" x14ac:dyDescent="0.25">
      <c r="A2598">
        <v>8752</v>
      </c>
      <c r="B2598" t="s">
        <v>9137</v>
      </c>
      <c r="C2598" t="s">
        <v>5043</v>
      </c>
      <c r="D2598" t="s">
        <v>8401</v>
      </c>
    </row>
    <row r="2599" spans="1:4" ht="15" x14ac:dyDescent="0.25">
      <c r="A2599">
        <v>8813</v>
      </c>
      <c r="B2599" t="s">
        <v>9137</v>
      </c>
      <c r="C2599" t="s">
        <v>5043</v>
      </c>
      <c r="D2599" t="s">
        <v>8401</v>
      </c>
    </row>
    <row r="2600" spans="1:4" ht="15" x14ac:dyDescent="0.25">
      <c r="A2600">
        <v>10727</v>
      </c>
      <c r="B2600" t="s">
        <v>9138</v>
      </c>
      <c r="C2600" t="s">
        <v>5043</v>
      </c>
      <c r="D2600" t="s">
        <v>8401</v>
      </c>
    </row>
    <row r="2601" spans="1:4" ht="15" x14ac:dyDescent="0.25">
      <c r="A2601">
        <v>10822</v>
      </c>
      <c r="B2601" t="s">
        <v>9138</v>
      </c>
      <c r="C2601" t="s">
        <v>5043</v>
      </c>
      <c r="D2601" t="s">
        <v>8401</v>
      </c>
    </row>
    <row r="2602" spans="1:4" ht="15" x14ac:dyDescent="0.25">
      <c r="A2602">
        <v>11343</v>
      </c>
      <c r="B2602" t="s">
        <v>9138</v>
      </c>
      <c r="C2602" t="s">
        <v>5043</v>
      </c>
      <c r="D2602" t="s">
        <v>8401</v>
      </c>
    </row>
    <row r="2603" spans="1:4" ht="15" x14ac:dyDescent="0.25">
      <c r="A2603">
        <v>6747</v>
      </c>
      <c r="B2603" t="s">
        <v>9138</v>
      </c>
      <c r="C2603" t="s">
        <v>5043</v>
      </c>
      <c r="D2603" t="s">
        <v>8401</v>
      </c>
    </row>
    <row r="2604" spans="1:4" ht="15" x14ac:dyDescent="0.25">
      <c r="A2604">
        <v>7399</v>
      </c>
      <c r="B2604" t="s">
        <v>9138</v>
      </c>
      <c r="C2604" t="s">
        <v>5043</v>
      </c>
      <c r="D2604" t="s">
        <v>8401</v>
      </c>
    </row>
    <row r="2605" spans="1:4" ht="15" x14ac:dyDescent="0.25">
      <c r="A2605">
        <v>7415</v>
      </c>
      <c r="B2605" t="s">
        <v>9138</v>
      </c>
      <c r="C2605" t="s">
        <v>5043</v>
      </c>
      <c r="D2605" t="s">
        <v>8401</v>
      </c>
    </row>
    <row r="2606" spans="1:4" ht="15" x14ac:dyDescent="0.25">
      <c r="A2606">
        <v>8420</v>
      </c>
      <c r="B2606" t="s">
        <v>9138</v>
      </c>
      <c r="C2606" t="s">
        <v>5043</v>
      </c>
      <c r="D2606" t="s">
        <v>8401</v>
      </c>
    </row>
    <row r="2607" spans="1:4" ht="15" x14ac:dyDescent="0.25">
      <c r="A2607">
        <v>8987</v>
      </c>
      <c r="B2607" t="s">
        <v>9138</v>
      </c>
      <c r="C2607" t="s">
        <v>5043</v>
      </c>
      <c r="D2607" t="s">
        <v>8401</v>
      </c>
    </row>
    <row r="2608" spans="1:4" ht="15" x14ac:dyDescent="0.25">
      <c r="A2608">
        <v>8998</v>
      </c>
      <c r="B2608" t="s">
        <v>9138</v>
      </c>
      <c r="C2608" t="s">
        <v>5043</v>
      </c>
      <c r="D2608" t="s">
        <v>8401</v>
      </c>
    </row>
    <row r="2609" spans="1:4" ht="15" x14ac:dyDescent="0.25">
      <c r="A2609">
        <v>8680</v>
      </c>
      <c r="B2609" t="s">
        <v>9139</v>
      </c>
      <c r="C2609" t="s">
        <v>5043</v>
      </c>
      <c r="D2609" t="s">
        <v>8401</v>
      </c>
    </row>
    <row r="2610" spans="1:4" ht="15" x14ac:dyDescent="0.25">
      <c r="A2610">
        <v>11253</v>
      </c>
      <c r="B2610" t="s">
        <v>9140</v>
      </c>
      <c r="C2610" t="s">
        <v>5043</v>
      </c>
      <c r="D2610" t="s">
        <v>8401</v>
      </c>
    </row>
    <row r="2611" spans="1:4" ht="15" x14ac:dyDescent="0.25">
      <c r="A2611">
        <v>11560</v>
      </c>
      <c r="B2611" t="s">
        <v>9140</v>
      </c>
      <c r="C2611" t="s">
        <v>5043</v>
      </c>
      <c r="D2611" t="s">
        <v>8401</v>
      </c>
    </row>
    <row r="2612" spans="1:4" ht="15" x14ac:dyDescent="0.25">
      <c r="A2612">
        <v>7067</v>
      </c>
      <c r="B2612" t="s">
        <v>9140</v>
      </c>
      <c r="C2612" t="s">
        <v>5043</v>
      </c>
      <c r="D2612" t="s">
        <v>8401</v>
      </c>
    </row>
    <row r="2613" spans="1:4" ht="15" x14ac:dyDescent="0.25">
      <c r="A2613">
        <v>7819</v>
      </c>
      <c r="B2613" t="s">
        <v>9140</v>
      </c>
      <c r="C2613" t="s">
        <v>5043</v>
      </c>
      <c r="D2613" t="s">
        <v>8401</v>
      </c>
    </row>
    <row r="2614" spans="1:4" ht="15" x14ac:dyDescent="0.25">
      <c r="A2614">
        <v>8554</v>
      </c>
      <c r="B2614" t="s">
        <v>9140</v>
      </c>
      <c r="C2614" t="s">
        <v>5043</v>
      </c>
      <c r="D2614" t="s">
        <v>8401</v>
      </c>
    </row>
    <row r="2615" spans="1:4" ht="15" x14ac:dyDescent="0.25">
      <c r="A2615">
        <v>9171</v>
      </c>
      <c r="B2615" t="s">
        <v>9140</v>
      </c>
      <c r="C2615" t="s">
        <v>5043</v>
      </c>
      <c r="D2615" t="s">
        <v>8401</v>
      </c>
    </row>
    <row r="2616" spans="1:4" ht="15" x14ac:dyDescent="0.25">
      <c r="A2616">
        <v>9893</v>
      </c>
      <c r="B2616" t="s">
        <v>9140</v>
      </c>
      <c r="C2616" t="s">
        <v>5043</v>
      </c>
      <c r="D2616" t="s">
        <v>8401</v>
      </c>
    </row>
    <row r="2617" spans="1:4" ht="15" x14ac:dyDescent="0.25">
      <c r="A2617">
        <v>11298</v>
      </c>
      <c r="B2617" t="s">
        <v>9141</v>
      </c>
      <c r="C2617" t="s">
        <v>5043</v>
      </c>
      <c r="D2617" t="s">
        <v>8401</v>
      </c>
    </row>
    <row r="2618" spans="1:4" ht="15" x14ac:dyDescent="0.25">
      <c r="A2618">
        <v>7045</v>
      </c>
      <c r="B2618" t="s">
        <v>9141</v>
      </c>
      <c r="C2618" t="s">
        <v>5043</v>
      </c>
      <c r="D2618" t="s">
        <v>8401</v>
      </c>
    </row>
    <row r="2619" spans="1:4" ht="15" x14ac:dyDescent="0.25">
      <c r="A2619">
        <v>9081</v>
      </c>
      <c r="B2619" t="s">
        <v>9141</v>
      </c>
      <c r="C2619" t="s">
        <v>5043</v>
      </c>
      <c r="D2619" t="s">
        <v>8401</v>
      </c>
    </row>
    <row r="2620" spans="1:4" ht="15" x14ac:dyDescent="0.25">
      <c r="A2620">
        <v>10003</v>
      </c>
      <c r="B2620" t="s">
        <v>9142</v>
      </c>
      <c r="C2620" t="s">
        <v>5043</v>
      </c>
      <c r="D2620" t="s">
        <v>8401</v>
      </c>
    </row>
    <row r="2621" spans="1:4" ht="15" x14ac:dyDescent="0.25">
      <c r="A2621">
        <v>10288</v>
      </c>
      <c r="B2621" t="s">
        <v>9142</v>
      </c>
      <c r="C2621" t="s">
        <v>5043</v>
      </c>
      <c r="D2621" t="s">
        <v>8401</v>
      </c>
    </row>
    <row r="2622" spans="1:4" ht="15" x14ac:dyDescent="0.25">
      <c r="A2622">
        <v>11254</v>
      </c>
      <c r="B2622" t="s">
        <v>9142</v>
      </c>
      <c r="C2622" t="s">
        <v>5043</v>
      </c>
      <c r="D2622" t="s">
        <v>8401</v>
      </c>
    </row>
    <row r="2623" spans="1:4" ht="15" x14ac:dyDescent="0.25">
      <c r="A2623">
        <v>11718</v>
      </c>
      <c r="B2623" t="s">
        <v>9142</v>
      </c>
      <c r="C2623" t="s">
        <v>5043</v>
      </c>
      <c r="D2623" t="s">
        <v>8401</v>
      </c>
    </row>
    <row r="2624" spans="1:4" ht="15" x14ac:dyDescent="0.25">
      <c r="A2624">
        <v>6990</v>
      </c>
      <c r="B2624" t="s">
        <v>9142</v>
      </c>
      <c r="C2624" t="s">
        <v>5043</v>
      </c>
      <c r="D2624" t="s">
        <v>8401</v>
      </c>
    </row>
    <row r="2625" spans="1:4" ht="15" x14ac:dyDescent="0.25">
      <c r="A2625">
        <v>8044</v>
      </c>
      <c r="B2625" t="s">
        <v>9142</v>
      </c>
      <c r="C2625" t="s">
        <v>5043</v>
      </c>
      <c r="D2625" t="s">
        <v>8401</v>
      </c>
    </row>
    <row r="2626" spans="1:4" ht="15" x14ac:dyDescent="0.25">
      <c r="A2626">
        <v>8200</v>
      </c>
      <c r="B2626" t="s">
        <v>9142</v>
      </c>
      <c r="C2626" t="s">
        <v>5043</v>
      </c>
      <c r="D2626" t="s">
        <v>8401</v>
      </c>
    </row>
    <row r="2627" spans="1:4" ht="15" x14ac:dyDescent="0.25">
      <c r="A2627">
        <v>8757</v>
      </c>
      <c r="B2627" t="s">
        <v>9142</v>
      </c>
      <c r="C2627" t="s">
        <v>5043</v>
      </c>
      <c r="D2627" t="s">
        <v>8401</v>
      </c>
    </row>
    <row r="2628" spans="1:4" ht="15" x14ac:dyDescent="0.25">
      <c r="A2628">
        <v>9281</v>
      </c>
      <c r="B2628" t="s">
        <v>9142</v>
      </c>
      <c r="C2628" t="s">
        <v>5043</v>
      </c>
      <c r="D2628" t="s">
        <v>8401</v>
      </c>
    </row>
    <row r="2629" spans="1:4" ht="15" x14ac:dyDescent="0.25">
      <c r="A2629">
        <v>10043</v>
      </c>
      <c r="B2629" t="s">
        <v>9143</v>
      </c>
      <c r="C2629" t="s">
        <v>5043</v>
      </c>
      <c r="D2629" t="s">
        <v>8401</v>
      </c>
    </row>
    <row r="2630" spans="1:4" ht="15" x14ac:dyDescent="0.25">
      <c r="A2630">
        <v>11304</v>
      </c>
      <c r="B2630" t="s">
        <v>9143</v>
      </c>
      <c r="C2630" t="s">
        <v>5043</v>
      </c>
      <c r="D2630" t="s">
        <v>8401</v>
      </c>
    </row>
    <row r="2631" spans="1:4" ht="15" x14ac:dyDescent="0.25">
      <c r="A2631">
        <v>8155</v>
      </c>
      <c r="B2631" t="s">
        <v>9143</v>
      </c>
      <c r="C2631" t="s">
        <v>5043</v>
      </c>
      <c r="D2631" t="s">
        <v>8401</v>
      </c>
    </row>
    <row r="2632" spans="1:4" ht="15" x14ac:dyDescent="0.25">
      <c r="A2632">
        <v>10550</v>
      </c>
      <c r="B2632" t="s">
        <v>9144</v>
      </c>
      <c r="C2632" t="s">
        <v>5043</v>
      </c>
      <c r="D2632" t="s">
        <v>8401</v>
      </c>
    </row>
    <row r="2633" spans="1:4" ht="15" x14ac:dyDescent="0.25">
      <c r="A2633">
        <v>11494</v>
      </c>
      <c r="B2633" t="s">
        <v>9144</v>
      </c>
      <c r="C2633" t="s">
        <v>5043</v>
      </c>
      <c r="D2633" t="s">
        <v>8401</v>
      </c>
    </row>
    <row r="2634" spans="1:4" ht="15" x14ac:dyDescent="0.25">
      <c r="A2634">
        <v>6821</v>
      </c>
      <c r="B2634" t="s">
        <v>9144</v>
      </c>
      <c r="C2634" t="s">
        <v>5043</v>
      </c>
      <c r="D2634" t="s">
        <v>8401</v>
      </c>
    </row>
    <row r="2635" spans="1:4" ht="15" x14ac:dyDescent="0.25">
      <c r="A2635">
        <v>8978</v>
      </c>
      <c r="B2635" t="s">
        <v>9144</v>
      </c>
      <c r="C2635" t="s">
        <v>5043</v>
      </c>
      <c r="D2635" t="s">
        <v>8401</v>
      </c>
    </row>
    <row r="2636" spans="1:4" ht="15" x14ac:dyDescent="0.25">
      <c r="A2636">
        <v>11727</v>
      </c>
      <c r="B2636" t="s">
        <v>9145</v>
      </c>
      <c r="C2636" t="s">
        <v>5043</v>
      </c>
      <c r="D2636" t="s">
        <v>8401</v>
      </c>
    </row>
    <row r="2637" spans="1:4" ht="15" x14ac:dyDescent="0.25">
      <c r="A2637">
        <v>6852</v>
      </c>
      <c r="B2637" t="s">
        <v>11017</v>
      </c>
      <c r="C2637" t="s">
        <v>5043</v>
      </c>
      <c r="D2637" t="s">
        <v>8401</v>
      </c>
    </row>
    <row r="2638" spans="1:4" ht="15" x14ac:dyDescent="0.25">
      <c r="A2638">
        <v>10163</v>
      </c>
      <c r="B2638" t="s">
        <v>9146</v>
      </c>
      <c r="C2638" t="s">
        <v>5043</v>
      </c>
      <c r="D2638" t="s">
        <v>8401</v>
      </c>
    </row>
    <row r="2639" spans="1:4" ht="15" x14ac:dyDescent="0.25">
      <c r="A2639">
        <v>8920</v>
      </c>
      <c r="B2639" t="s">
        <v>9146</v>
      </c>
      <c r="C2639" t="s">
        <v>5043</v>
      </c>
      <c r="D2639" t="s">
        <v>8401</v>
      </c>
    </row>
    <row r="2640" spans="1:4" ht="15" x14ac:dyDescent="0.25">
      <c r="A2640">
        <v>11396</v>
      </c>
      <c r="B2640" t="s">
        <v>11018</v>
      </c>
      <c r="C2640" t="s">
        <v>5043</v>
      </c>
      <c r="D2640" t="s">
        <v>8401</v>
      </c>
    </row>
    <row r="2641" spans="1:4" ht="15" x14ac:dyDescent="0.25">
      <c r="A2641">
        <v>251447</v>
      </c>
      <c r="B2641" t="s">
        <v>11018</v>
      </c>
      <c r="C2641" t="s">
        <v>5043</v>
      </c>
      <c r="D2641" t="s">
        <v>8401</v>
      </c>
    </row>
    <row r="2642" spans="1:4" ht="15" x14ac:dyDescent="0.25">
      <c r="A2642">
        <v>8480</v>
      </c>
      <c r="B2642" t="s">
        <v>11018</v>
      </c>
      <c r="C2642" t="s">
        <v>5043</v>
      </c>
      <c r="D2642" t="s">
        <v>8401</v>
      </c>
    </row>
    <row r="2643" spans="1:4" ht="15" x14ac:dyDescent="0.25">
      <c r="A2643">
        <v>10104</v>
      </c>
      <c r="B2643" t="s">
        <v>9147</v>
      </c>
      <c r="C2643" t="s">
        <v>5043</v>
      </c>
      <c r="D2643" t="s">
        <v>8401</v>
      </c>
    </row>
    <row r="2644" spans="1:4" ht="15" x14ac:dyDescent="0.25">
      <c r="A2644">
        <v>10553</v>
      </c>
      <c r="B2644" t="s">
        <v>9147</v>
      </c>
      <c r="C2644" t="s">
        <v>5043</v>
      </c>
      <c r="D2644" t="s">
        <v>8401</v>
      </c>
    </row>
    <row r="2645" spans="1:4" ht="15" x14ac:dyDescent="0.25">
      <c r="A2645">
        <v>7441</v>
      </c>
      <c r="B2645" t="s">
        <v>9147</v>
      </c>
      <c r="C2645" t="s">
        <v>5043</v>
      </c>
      <c r="D2645" t="s">
        <v>8401</v>
      </c>
    </row>
    <row r="2646" spans="1:4" ht="15" x14ac:dyDescent="0.25">
      <c r="A2646">
        <v>8261</v>
      </c>
      <c r="B2646" t="s">
        <v>9147</v>
      </c>
      <c r="C2646" t="s">
        <v>5043</v>
      </c>
      <c r="D2646" t="s">
        <v>8401</v>
      </c>
    </row>
    <row r="2647" spans="1:4" ht="15" x14ac:dyDescent="0.25">
      <c r="A2647">
        <v>9511</v>
      </c>
      <c r="B2647" t="s">
        <v>9147</v>
      </c>
      <c r="C2647" t="s">
        <v>5043</v>
      </c>
      <c r="D2647" t="s">
        <v>8401</v>
      </c>
    </row>
    <row r="2648" spans="1:4" ht="15" x14ac:dyDescent="0.25">
      <c r="A2648">
        <v>11535</v>
      </c>
      <c r="B2648" t="s">
        <v>9148</v>
      </c>
      <c r="C2648" t="s">
        <v>5043</v>
      </c>
      <c r="D2648" t="s">
        <v>8401</v>
      </c>
    </row>
    <row r="2649" spans="1:4" ht="15" x14ac:dyDescent="0.25">
      <c r="A2649">
        <v>7133</v>
      </c>
      <c r="B2649" t="s">
        <v>9148</v>
      </c>
      <c r="C2649" t="s">
        <v>5043</v>
      </c>
      <c r="D2649" t="s">
        <v>8401</v>
      </c>
    </row>
    <row r="2650" spans="1:4" ht="15" x14ac:dyDescent="0.25">
      <c r="A2650">
        <v>8747</v>
      </c>
      <c r="B2650" t="s">
        <v>9148</v>
      </c>
      <c r="C2650" t="s">
        <v>5043</v>
      </c>
      <c r="D2650" t="s">
        <v>8401</v>
      </c>
    </row>
    <row r="2651" spans="1:4" ht="15" x14ac:dyDescent="0.25">
      <c r="A2651">
        <v>8873</v>
      </c>
      <c r="B2651" t="s">
        <v>9149</v>
      </c>
      <c r="C2651" t="s">
        <v>5043</v>
      </c>
      <c r="D2651" t="s">
        <v>8401</v>
      </c>
    </row>
    <row r="2652" spans="1:4" ht="15" x14ac:dyDescent="0.25">
      <c r="A2652">
        <v>7880</v>
      </c>
      <c r="B2652" t="s">
        <v>9150</v>
      </c>
      <c r="C2652" t="s">
        <v>5043</v>
      </c>
      <c r="D2652" t="s">
        <v>8401</v>
      </c>
    </row>
    <row r="2653" spans="1:4" ht="15" x14ac:dyDescent="0.25">
      <c r="A2653">
        <v>9325</v>
      </c>
      <c r="B2653" t="s">
        <v>9150</v>
      </c>
      <c r="C2653" t="s">
        <v>5043</v>
      </c>
      <c r="D2653" t="s">
        <v>8401</v>
      </c>
    </row>
    <row r="2654" spans="1:4" ht="15" x14ac:dyDescent="0.25">
      <c r="A2654">
        <v>10037</v>
      </c>
      <c r="B2654" t="s">
        <v>9151</v>
      </c>
      <c r="C2654" t="s">
        <v>5043</v>
      </c>
      <c r="D2654" t="s">
        <v>8401</v>
      </c>
    </row>
    <row r="2655" spans="1:4" ht="15" x14ac:dyDescent="0.25">
      <c r="A2655">
        <v>6993</v>
      </c>
      <c r="B2655" t="s">
        <v>9151</v>
      </c>
      <c r="C2655" t="s">
        <v>5043</v>
      </c>
      <c r="D2655" t="s">
        <v>8401</v>
      </c>
    </row>
    <row r="2656" spans="1:4" ht="15" x14ac:dyDescent="0.25">
      <c r="A2656">
        <v>7266</v>
      </c>
      <c r="B2656" t="s">
        <v>9152</v>
      </c>
      <c r="C2656" t="s">
        <v>5043</v>
      </c>
      <c r="D2656" t="s">
        <v>8401</v>
      </c>
    </row>
    <row r="2657" spans="1:4" ht="15" x14ac:dyDescent="0.25">
      <c r="A2657">
        <v>8100</v>
      </c>
      <c r="B2657" t="s">
        <v>9152</v>
      </c>
      <c r="C2657" t="s">
        <v>5043</v>
      </c>
      <c r="D2657" t="s">
        <v>8401</v>
      </c>
    </row>
    <row r="2658" spans="1:4" ht="15" x14ac:dyDescent="0.25">
      <c r="A2658">
        <v>7051</v>
      </c>
      <c r="B2658" t="s">
        <v>9153</v>
      </c>
      <c r="C2658" t="s">
        <v>5043</v>
      </c>
      <c r="D2658" t="s">
        <v>8401</v>
      </c>
    </row>
    <row r="2659" spans="1:4" ht="15" x14ac:dyDescent="0.25">
      <c r="A2659">
        <v>10258</v>
      </c>
      <c r="B2659" t="s">
        <v>9154</v>
      </c>
      <c r="C2659" t="s">
        <v>5043</v>
      </c>
      <c r="D2659" t="s">
        <v>8401</v>
      </c>
    </row>
    <row r="2660" spans="1:4" ht="15" x14ac:dyDescent="0.25">
      <c r="A2660">
        <v>8143</v>
      </c>
      <c r="B2660" t="s">
        <v>9154</v>
      </c>
      <c r="C2660" t="s">
        <v>5043</v>
      </c>
      <c r="D2660" t="s">
        <v>8401</v>
      </c>
    </row>
    <row r="2661" spans="1:4" ht="15" x14ac:dyDescent="0.25">
      <c r="A2661">
        <v>9595</v>
      </c>
      <c r="B2661" t="s">
        <v>9154</v>
      </c>
      <c r="C2661" t="s">
        <v>5043</v>
      </c>
      <c r="D2661" t="s">
        <v>8401</v>
      </c>
    </row>
    <row r="2662" spans="1:4" ht="15" x14ac:dyDescent="0.25">
      <c r="A2662">
        <v>8804</v>
      </c>
      <c r="B2662" t="s">
        <v>9155</v>
      </c>
      <c r="C2662" t="s">
        <v>5043</v>
      </c>
      <c r="D2662" t="s">
        <v>8401</v>
      </c>
    </row>
    <row r="2663" spans="1:4" ht="15" x14ac:dyDescent="0.25">
      <c r="A2663">
        <v>10545</v>
      </c>
      <c r="B2663" t="s">
        <v>9156</v>
      </c>
      <c r="C2663" t="s">
        <v>5043</v>
      </c>
      <c r="D2663" t="s">
        <v>8401</v>
      </c>
    </row>
    <row r="2664" spans="1:4" ht="15" x14ac:dyDescent="0.25">
      <c r="A2664">
        <v>10082</v>
      </c>
      <c r="B2664" t="s">
        <v>9157</v>
      </c>
      <c r="C2664" t="s">
        <v>5043</v>
      </c>
      <c r="D2664" t="s">
        <v>8401</v>
      </c>
    </row>
    <row r="2665" spans="1:4" ht="15" x14ac:dyDescent="0.25">
      <c r="A2665">
        <v>10318</v>
      </c>
      <c r="B2665" t="s">
        <v>9157</v>
      </c>
      <c r="C2665" t="s">
        <v>5043</v>
      </c>
      <c r="D2665" t="s">
        <v>8401</v>
      </c>
    </row>
    <row r="2666" spans="1:4" ht="15" x14ac:dyDescent="0.25">
      <c r="A2666">
        <v>10621</v>
      </c>
      <c r="B2666" t="s">
        <v>9157</v>
      </c>
      <c r="C2666" t="s">
        <v>5043</v>
      </c>
      <c r="D2666" t="s">
        <v>8401</v>
      </c>
    </row>
    <row r="2667" spans="1:4" ht="15" x14ac:dyDescent="0.25">
      <c r="A2667">
        <v>10699</v>
      </c>
      <c r="B2667" t="s">
        <v>9157</v>
      </c>
      <c r="C2667" t="s">
        <v>5043</v>
      </c>
      <c r="D2667" t="s">
        <v>8401</v>
      </c>
    </row>
    <row r="2668" spans="1:4" ht="15" x14ac:dyDescent="0.25">
      <c r="A2668">
        <v>10739</v>
      </c>
      <c r="B2668" t="s">
        <v>9157</v>
      </c>
      <c r="C2668" t="s">
        <v>5043</v>
      </c>
      <c r="D2668" t="s">
        <v>8401</v>
      </c>
    </row>
    <row r="2669" spans="1:4" ht="15" x14ac:dyDescent="0.25">
      <c r="A2669">
        <v>7130</v>
      </c>
      <c r="B2669" t="s">
        <v>9157</v>
      </c>
      <c r="C2669" t="s">
        <v>5043</v>
      </c>
      <c r="D2669" t="s">
        <v>8401</v>
      </c>
    </row>
    <row r="2670" spans="1:4" ht="15" x14ac:dyDescent="0.25">
      <c r="A2670">
        <v>7488</v>
      </c>
      <c r="B2670" t="s">
        <v>9157</v>
      </c>
      <c r="C2670" t="s">
        <v>5043</v>
      </c>
      <c r="D2670" t="s">
        <v>8401</v>
      </c>
    </row>
    <row r="2671" spans="1:4" ht="15" x14ac:dyDescent="0.25">
      <c r="A2671">
        <v>8129</v>
      </c>
      <c r="B2671" t="s">
        <v>9157</v>
      </c>
      <c r="C2671" t="s">
        <v>5043</v>
      </c>
      <c r="D2671" t="s">
        <v>8401</v>
      </c>
    </row>
    <row r="2672" spans="1:4" ht="15" x14ac:dyDescent="0.25">
      <c r="A2672">
        <v>8518</v>
      </c>
      <c r="B2672" t="s">
        <v>9157</v>
      </c>
      <c r="C2672" t="s">
        <v>5043</v>
      </c>
      <c r="D2672" t="s">
        <v>8401</v>
      </c>
    </row>
    <row r="2673" spans="1:4" ht="15" x14ac:dyDescent="0.25">
      <c r="A2673">
        <v>8878</v>
      </c>
      <c r="B2673" t="s">
        <v>9157</v>
      </c>
      <c r="C2673" t="s">
        <v>5043</v>
      </c>
      <c r="D2673" t="s">
        <v>8401</v>
      </c>
    </row>
    <row r="2674" spans="1:4" ht="15" x14ac:dyDescent="0.25">
      <c r="A2674">
        <v>8986</v>
      </c>
      <c r="B2674" t="s">
        <v>9157</v>
      </c>
      <c r="C2674" t="s">
        <v>5043</v>
      </c>
      <c r="D2674" t="s">
        <v>8401</v>
      </c>
    </row>
    <row r="2675" spans="1:4" ht="15" x14ac:dyDescent="0.25">
      <c r="A2675">
        <v>9601</v>
      </c>
      <c r="B2675" t="s">
        <v>9157</v>
      </c>
      <c r="C2675" t="s">
        <v>5043</v>
      </c>
      <c r="D2675" t="s">
        <v>8401</v>
      </c>
    </row>
    <row r="2676" spans="1:4" ht="15" x14ac:dyDescent="0.25">
      <c r="A2676">
        <v>10748</v>
      </c>
      <c r="B2676" t="s">
        <v>9158</v>
      </c>
      <c r="C2676" t="s">
        <v>5043</v>
      </c>
      <c r="D2676" t="s">
        <v>8401</v>
      </c>
    </row>
    <row r="2677" spans="1:4" ht="15" x14ac:dyDescent="0.25">
      <c r="A2677">
        <v>11211</v>
      </c>
      <c r="B2677" t="s">
        <v>9158</v>
      </c>
      <c r="C2677" t="s">
        <v>5043</v>
      </c>
      <c r="D2677" t="s">
        <v>8401</v>
      </c>
    </row>
    <row r="2678" spans="1:4" ht="15" x14ac:dyDescent="0.25">
      <c r="A2678">
        <v>7699</v>
      </c>
      <c r="B2678" t="s">
        <v>9158</v>
      </c>
      <c r="C2678" t="s">
        <v>5043</v>
      </c>
      <c r="D2678" t="s">
        <v>8401</v>
      </c>
    </row>
    <row r="2679" spans="1:4" ht="15" x14ac:dyDescent="0.25">
      <c r="A2679">
        <v>7775</v>
      </c>
      <c r="B2679" t="s">
        <v>9158</v>
      </c>
      <c r="C2679" t="s">
        <v>5043</v>
      </c>
      <c r="D2679" t="s">
        <v>8401</v>
      </c>
    </row>
    <row r="2680" spans="1:4" ht="15" x14ac:dyDescent="0.25">
      <c r="A2680">
        <v>9190</v>
      </c>
      <c r="B2680" t="s">
        <v>9158</v>
      </c>
      <c r="C2680" t="s">
        <v>5043</v>
      </c>
      <c r="D2680" t="s">
        <v>8401</v>
      </c>
    </row>
    <row r="2681" spans="1:4" ht="15" x14ac:dyDescent="0.25">
      <c r="A2681">
        <v>11187</v>
      </c>
      <c r="B2681" t="s">
        <v>9159</v>
      </c>
      <c r="C2681" t="s">
        <v>5043</v>
      </c>
      <c r="D2681" t="s">
        <v>8401</v>
      </c>
    </row>
    <row r="2682" spans="1:4" ht="15" x14ac:dyDescent="0.25">
      <c r="A2682">
        <v>6839</v>
      </c>
      <c r="B2682" t="s">
        <v>9159</v>
      </c>
      <c r="C2682" t="s">
        <v>5043</v>
      </c>
      <c r="D2682" t="s">
        <v>8401</v>
      </c>
    </row>
    <row r="2683" spans="1:4" ht="15" x14ac:dyDescent="0.25">
      <c r="A2683">
        <v>8363</v>
      </c>
      <c r="B2683" t="s">
        <v>9159</v>
      </c>
      <c r="C2683" t="s">
        <v>5043</v>
      </c>
      <c r="D2683" t="s">
        <v>8401</v>
      </c>
    </row>
    <row r="2684" spans="1:4" ht="15" x14ac:dyDescent="0.25">
      <c r="A2684">
        <v>9004</v>
      </c>
      <c r="B2684" t="s">
        <v>9159</v>
      </c>
      <c r="C2684" t="s">
        <v>5043</v>
      </c>
      <c r="D2684" t="s">
        <v>8401</v>
      </c>
    </row>
    <row r="2685" spans="1:4" ht="15" x14ac:dyDescent="0.25">
      <c r="A2685">
        <v>9110</v>
      </c>
      <c r="B2685" t="s">
        <v>9159</v>
      </c>
      <c r="C2685" t="s">
        <v>5043</v>
      </c>
      <c r="D2685" t="s">
        <v>8401</v>
      </c>
    </row>
    <row r="2686" spans="1:4" ht="15" x14ac:dyDescent="0.25">
      <c r="A2686">
        <v>9998</v>
      </c>
      <c r="B2686" t="s">
        <v>9160</v>
      </c>
      <c r="C2686" t="s">
        <v>5043</v>
      </c>
      <c r="D2686" t="s">
        <v>8401</v>
      </c>
    </row>
    <row r="2687" spans="1:4" ht="15" x14ac:dyDescent="0.25">
      <c r="A2687">
        <v>8294</v>
      </c>
      <c r="B2687" t="s">
        <v>9161</v>
      </c>
      <c r="C2687" t="s">
        <v>5043</v>
      </c>
      <c r="D2687" t="s">
        <v>8401</v>
      </c>
    </row>
    <row r="2688" spans="1:4" ht="15" x14ac:dyDescent="0.25">
      <c r="A2688">
        <v>9289</v>
      </c>
      <c r="B2688" t="s">
        <v>9161</v>
      </c>
      <c r="C2688" t="s">
        <v>5043</v>
      </c>
      <c r="D2688" t="s">
        <v>8401</v>
      </c>
    </row>
    <row r="2689" spans="1:4" ht="15" x14ac:dyDescent="0.25">
      <c r="A2689">
        <v>7854</v>
      </c>
      <c r="B2689" t="s">
        <v>9162</v>
      </c>
      <c r="C2689" t="s">
        <v>5043</v>
      </c>
      <c r="D2689" t="s">
        <v>8401</v>
      </c>
    </row>
    <row r="2690" spans="1:4" ht="15" x14ac:dyDescent="0.25">
      <c r="A2690">
        <v>7464</v>
      </c>
      <c r="B2690" t="s">
        <v>9163</v>
      </c>
      <c r="C2690" t="s">
        <v>5043</v>
      </c>
      <c r="D2690" t="s">
        <v>8401</v>
      </c>
    </row>
    <row r="2691" spans="1:4" ht="15" x14ac:dyDescent="0.25">
      <c r="A2691">
        <v>6900</v>
      </c>
      <c r="B2691" t="s">
        <v>9164</v>
      </c>
      <c r="C2691" t="s">
        <v>5043</v>
      </c>
      <c r="D2691" t="s">
        <v>8401</v>
      </c>
    </row>
    <row r="2692" spans="1:4" ht="15" x14ac:dyDescent="0.25">
      <c r="A2692">
        <v>8196</v>
      </c>
      <c r="B2692" t="s">
        <v>9164</v>
      </c>
      <c r="C2692" t="s">
        <v>5043</v>
      </c>
      <c r="D2692" t="s">
        <v>8401</v>
      </c>
    </row>
    <row r="2693" spans="1:4" ht="15" x14ac:dyDescent="0.25">
      <c r="A2693">
        <v>8208</v>
      </c>
      <c r="B2693" t="s">
        <v>9164</v>
      </c>
      <c r="C2693" t="s">
        <v>5043</v>
      </c>
      <c r="D2693" t="s">
        <v>8401</v>
      </c>
    </row>
    <row r="2694" spans="1:4" ht="15" x14ac:dyDescent="0.25">
      <c r="A2694">
        <v>8688</v>
      </c>
      <c r="B2694" t="s">
        <v>9164</v>
      </c>
      <c r="C2694" t="s">
        <v>5043</v>
      </c>
      <c r="D2694" t="s">
        <v>8401</v>
      </c>
    </row>
    <row r="2695" spans="1:4" ht="15" x14ac:dyDescent="0.25">
      <c r="A2695">
        <v>7809</v>
      </c>
      <c r="B2695" t="s">
        <v>9165</v>
      </c>
      <c r="C2695" t="s">
        <v>5043</v>
      </c>
      <c r="D2695" t="s">
        <v>8401</v>
      </c>
    </row>
    <row r="2696" spans="1:4" ht="15" x14ac:dyDescent="0.25">
      <c r="A2696">
        <v>7148</v>
      </c>
      <c r="B2696" t="s">
        <v>9166</v>
      </c>
      <c r="C2696" t="s">
        <v>5043</v>
      </c>
      <c r="D2696" t="s">
        <v>8401</v>
      </c>
    </row>
    <row r="2697" spans="1:4" ht="15" x14ac:dyDescent="0.25">
      <c r="A2697">
        <v>6925</v>
      </c>
      <c r="B2697" t="s">
        <v>9167</v>
      </c>
      <c r="C2697" t="s">
        <v>5043</v>
      </c>
      <c r="D2697" t="s">
        <v>8401</v>
      </c>
    </row>
    <row r="2698" spans="1:4" ht="15" x14ac:dyDescent="0.25">
      <c r="A2698">
        <v>8663</v>
      </c>
      <c r="B2698" t="s">
        <v>9167</v>
      </c>
      <c r="C2698" t="s">
        <v>5043</v>
      </c>
      <c r="D2698" t="s">
        <v>8401</v>
      </c>
    </row>
    <row r="2699" spans="1:4" ht="15" x14ac:dyDescent="0.25">
      <c r="A2699">
        <v>9226</v>
      </c>
      <c r="B2699" t="s">
        <v>9167</v>
      </c>
      <c r="C2699" t="s">
        <v>5043</v>
      </c>
      <c r="D2699" t="s">
        <v>8401</v>
      </c>
    </row>
    <row r="2700" spans="1:4" ht="15" x14ac:dyDescent="0.25">
      <c r="A2700">
        <v>9645</v>
      </c>
      <c r="B2700" t="s">
        <v>9167</v>
      </c>
      <c r="C2700" t="s">
        <v>5043</v>
      </c>
      <c r="D2700" t="s">
        <v>8401</v>
      </c>
    </row>
    <row r="2701" spans="1:4" ht="15" x14ac:dyDescent="0.25">
      <c r="A2701">
        <v>10231</v>
      </c>
      <c r="B2701" t="s">
        <v>9168</v>
      </c>
      <c r="C2701" t="s">
        <v>5043</v>
      </c>
      <c r="D2701" t="s">
        <v>8401</v>
      </c>
    </row>
    <row r="2702" spans="1:4" ht="15" x14ac:dyDescent="0.25">
      <c r="A2702">
        <v>10805</v>
      </c>
      <c r="B2702" t="s">
        <v>9168</v>
      </c>
      <c r="C2702" t="s">
        <v>5043</v>
      </c>
      <c r="D2702" t="s">
        <v>8401</v>
      </c>
    </row>
    <row r="2703" spans="1:4" ht="15" x14ac:dyDescent="0.25">
      <c r="A2703">
        <v>11973</v>
      </c>
      <c r="B2703" t="s">
        <v>9168</v>
      </c>
      <c r="C2703" t="s">
        <v>5043</v>
      </c>
      <c r="D2703" t="s">
        <v>8401</v>
      </c>
    </row>
    <row r="2704" spans="1:4" ht="15" x14ac:dyDescent="0.25">
      <c r="A2704">
        <v>7012</v>
      </c>
      <c r="B2704" t="s">
        <v>9168</v>
      </c>
      <c r="C2704" t="s">
        <v>5043</v>
      </c>
      <c r="D2704" t="s">
        <v>8401</v>
      </c>
    </row>
    <row r="2705" spans="1:4" ht="15" x14ac:dyDescent="0.25">
      <c r="A2705">
        <v>8495</v>
      </c>
      <c r="B2705" t="s">
        <v>9168</v>
      </c>
      <c r="C2705" t="s">
        <v>5043</v>
      </c>
      <c r="D2705" t="s">
        <v>8401</v>
      </c>
    </row>
    <row r="2706" spans="1:4" ht="15" x14ac:dyDescent="0.25">
      <c r="A2706">
        <v>6775</v>
      </c>
      <c r="B2706" t="s">
        <v>9169</v>
      </c>
      <c r="C2706" t="s">
        <v>5043</v>
      </c>
      <c r="D2706" t="s">
        <v>8401</v>
      </c>
    </row>
    <row r="2707" spans="1:4" ht="15" x14ac:dyDescent="0.25">
      <c r="A2707">
        <v>7191</v>
      </c>
      <c r="B2707" t="s">
        <v>9169</v>
      </c>
      <c r="C2707" t="s">
        <v>5043</v>
      </c>
      <c r="D2707" t="s">
        <v>8401</v>
      </c>
    </row>
    <row r="2708" spans="1:4" ht="15" x14ac:dyDescent="0.25">
      <c r="A2708">
        <v>7373</v>
      </c>
      <c r="B2708" t="s">
        <v>9169</v>
      </c>
      <c r="C2708" t="s">
        <v>5043</v>
      </c>
      <c r="D2708" t="s">
        <v>8401</v>
      </c>
    </row>
    <row r="2709" spans="1:4" ht="15" x14ac:dyDescent="0.25">
      <c r="A2709">
        <v>7810</v>
      </c>
      <c r="B2709" t="s">
        <v>9169</v>
      </c>
      <c r="C2709" t="s">
        <v>5043</v>
      </c>
      <c r="D2709" t="s">
        <v>8401</v>
      </c>
    </row>
    <row r="2710" spans="1:4" ht="15" x14ac:dyDescent="0.25">
      <c r="A2710">
        <v>7836</v>
      </c>
      <c r="B2710" t="s">
        <v>9169</v>
      </c>
      <c r="C2710" t="s">
        <v>5043</v>
      </c>
      <c r="D2710" t="s">
        <v>8401</v>
      </c>
    </row>
    <row r="2711" spans="1:4" ht="15" x14ac:dyDescent="0.25">
      <c r="A2711">
        <v>8228</v>
      </c>
      <c r="B2711" t="s">
        <v>9169</v>
      </c>
      <c r="C2711" t="s">
        <v>5043</v>
      </c>
      <c r="D2711" t="s">
        <v>8401</v>
      </c>
    </row>
    <row r="2712" spans="1:4" ht="15" x14ac:dyDescent="0.25">
      <c r="A2712">
        <v>9431</v>
      </c>
      <c r="B2712" t="s">
        <v>9169</v>
      </c>
      <c r="C2712" t="s">
        <v>5043</v>
      </c>
      <c r="D2712" t="s">
        <v>8401</v>
      </c>
    </row>
    <row r="2713" spans="1:4" ht="15" x14ac:dyDescent="0.25">
      <c r="A2713">
        <v>10473</v>
      </c>
      <c r="B2713" t="s">
        <v>9170</v>
      </c>
      <c r="C2713" t="s">
        <v>5043</v>
      </c>
      <c r="D2713" t="s">
        <v>8401</v>
      </c>
    </row>
    <row r="2714" spans="1:4" ht="15" x14ac:dyDescent="0.25">
      <c r="A2714">
        <v>11231</v>
      </c>
      <c r="B2714" t="s">
        <v>9170</v>
      </c>
      <c r="C2714" t="s">
        <v>5043</v>
      </c>
      <c r="D2714" t="s">
        <v>8401</v>
      </c>
    </row>
    <row r="2715" spans="1:4" ht="15" x14ac:dyDescent="0.25">
      <c r="A2715">
        <v>12028</v>
      </c>
      <c r="B2715" t="s">
        <v>9170</v>
      </c>
      <c r="C2715" t="s">
        <v>5043</v>
      </c>
      <c r="D2715" t="s">
        <v>8401</v>
      </c>
    </row>
    <row r="2716" spans="1:4" ht="15" x14ac:dyDescent="0.25">
      <c r="A2716">
        <v>12104</v>
      </c>
      <c r="B2716" t="s">
        <v>9170</v>
      </c>
      <c r="C2716" t="s">
        <v>5043</v>
      </c>
      <c r="D2716" t="s">
        <v>8401</v>
      </c>
    </row>
    <row r="2717" spans="1:4" ht="15" x14ac:dyDescent="0.25">
      <c r="A2717">
        <v>6874</v>
      </c>
      <c r="B2717" t="s">
        <v>9170</v>
      </c>
      <c r="C2717" t="s">
        <v>5043</v>
      </c>
      <c r="D2717" t="s">
        <v>8401</v>
      </c>
    </row>
    <row r="2718" spans="1:4" ht="15" x14ac:dyDescent="0.25">
      <c r="A2718">
        <v>9148</v>
      </c>
      <c r="B2718" t="s">
        <v>9170</v>
      </c>
      <c r="C2718" t="s">
        <v>5043</v>
      </c>
      <c r="D2718" t="s">
        <v>8401</v>
      </c>
    </row>
    <row r="2719" spans="1:4" ht="15" x14ac:dyDescent="0.25">
      <c r="A2719">
        <v>11299</v>
      </c>
      <c r="B2719" t="s">
        <v>9171</v>
      </c>
      <c r="C2719" t="s">
        <v>5043</v>
      </c>
      <c r="D2719" t="s">
        <v>8401</v>
      </c>
    </row>
    <row r="2720" spans="1:4" ht="15" x14ac:dyDescent="0.25">
      <c r="A2720">
        <v>11587</v>
      </c>
      <c r="B2720" t="s">
        <v>9171</v>
      </c>
      <c r="C2720" t="s">
        <v>5043</v>
      </c>
      <c r="D2720" t="s">
        <v>8401</v>
      </c>
    </row>
    <row r="2721" spans="1:4" ht="15" x14ac:dyDescent="0.25">
      <c r="A2721">
        <v>7639</v>
      </c>
      <c r="B2721" t="s">
        <v>9171</v>
      </c>
      <c r="C2721" t="s">
        <v>5043</v>
      </c>
      <c r="D2721" t="s">
        <v>8401</v>
      </c>
    </row>
    <row r="2722" spans="1:4" ht="15" x14ac:dyDescent="0.25">
      <c r="A2722">
        <v>7761</v>
      </c>
      <c r="B2722" t="s">
        <v>9172</v>
      </c>
      <c r="C2722" t="s">
        <v>5043</v>
      </c>
      <c r="D2722" t="s">
        <v>8401</v>
      </c>
    </row>
    <row r="2723" spans="1:4" ht="15" x14ac:dyDescent="0.25">
      <c r="A2723">
        <v>7922</v>
      </c>
      <c r="B2723" t="s">
        <v>9172</v>
      </c>
      <c r="C2723" t="s">
        <v>5043</v>
      </c>
      <c r="D2723" t="s">
        <v>8401</v>
      </c>
    </row>
    <row r="2724" spans="1:4" ht="15" x14ac:dyDescent="0.25">
      <c r="A2724">
        <v>8308</v>
      </c>
      <c r="B2724" t="s">
        <v>9172</v>
      </c>
      <c r="C2724" t="s">
        <v>5043</v>
      </c>
      <c r="D2724" t="s">
        <v>8401</v>
      </c>
    </row>
    <row r="2725" spans="1:4" ht="15" x14ac:dyDescent="0.25">
      <c r="A2725">
        <v>8976</v>
      </c>
      <c r="B2725" t="s">
        <v>9172</v>
      </c>
      <c r="C2725" t="s">
        <v>5043</v>
      </c>
      <c r="D2725" t="s">
        <v>8401</v>
      </c>
    </row>
    <row r="2726" spans="1:4" ht="15" x14ac:dyDescent="0.25">
      <c r="A2726">
        <v>10675</v>
      </c>
      <c r="B2726" t="s">
        <v>9173</v>
      </c>
      <c r="C2726" t="s">
        <v>5043</v>
      </c>
      <c r="D2726" t="s">
        <v>8401</v>
      </c>
    </row>
    <row r="2727" spans="1:4" ht="15" x14ac:dyDescent="0.25">
      <c r="A2727">
        <v>10847</v>
      </c>
      <c r="B2727" t="s">
        <v>9173</v>
      </c>
      <c r="C2727" t="s">
        <v>5043</v>
      </c>
      <c r="D2727" t="s">
        <v>8401</v>
      </c>
    </row>
    <row r="2728" spans="1:4" ht="15" x14ac:dyDescent="0.25">
      <c r="A2728">
        <v>11647</v>
      </c>
      <c r="B2728" t="s">
        <v>9173</v>
      </c>
      <c r="C2728" t="s">
        <v>5043</v>
      </c>
      <c r="D2728" t="s">
        <v>8401</v>
      </c>
    </row>
    <row r="2729" spans="1:4" ht="15" x14ac:dyDescent="0.25">
      <c r="A2729">
        <v>12098</v>
      </c>
      <c r="B2729" t="s">
        <v>9173</v>
      </c>
      <c r="C2729" t="s">
        <v>5043</v>
      </c>
      <c r="D2729" t="s">
        <v>8401</v>
      </c>
    </row>
    <row r="2730" spans="1:4" ht="15" x14ac:dyDescent="0.25">
      <c r="A2730">
        <v>6754</v>
      </c>
      <c r="B2730" t="s">
        <v>9173</v>
      </c>
      <c r="C2730" t="s">
        <v>5043</v>
      </c>
      <c r="D2730" t="s">
        <v>8401</v>
      </c>
    </row>
    <row r="2731" spans="1:4" ht="15" x14ac:dyDescent="0.25">
      <c r="A2731">
        <v>8575</v>
      </c>
      <c r="B2731" t="s">
        <v>9173</v>
      </c>
      <c r="C2731" t="s">
        <v>5043</v>
      </c>
      <c r="D2731" t="s">
        <v>8401</v>
      </c>
    </row>
    <row r="2732" spans="1:4" ht="15" x14ac:dyDescent="0.25">
      <c r="A2732">
        <v>9121</v>
      </c>
      <c r="B2732" t="s">
        <v>9173</v>
      </c>
      <c r="C2732" t="s">
        <v>5043</v>
      </c>
      <c r="D2732" t="s">
        <v>8401</v>
      </c>
    </row>
    <row r="2733" spans="1:4" ht="15" x14ac:dyDescent="0.25">
      <c r="A2733">
        <v>9591</v>
      </c>
      <c r="B2733" t="s">
        <v>9174</v>
      </c>
      <c r="C2733" t="s">
        <v>5043</v>
      </c>
      <c r="D2733" t="s">
        <v>8401</v>
      </c>
    </row>
    <row r="2734" spans="1:4" ht="15" x14ac:dyDescent="0.25">
      <c r="A2734">
        <v>9426</v>
      </c>
      <c r="B2734" t="s">
        <v>9175</v>
      </c>
      <c r="C2734" t="s">
        <v>5043</v>
      </c>
      <c r="D2734" t="s">
        <v>8401</v>
      </c>
    </row>
    <row r="2735" spans="1:4" ht="15" x14ac:dyDescent="0.25">
      <c r="A2735">
        <v>6883</v>
      </c>
      <c r="B2735" t="s">
        <v>9176</v>
      </c>
      <c r="C2735" t="s">
        <v>5043</v>
      </c>
      <c r="D2735" t="s">
        <v>8401</v>
      </c>
    </row>
    <row r="2736" spans="1:4" ht="15" x14ac:dyDescent="0.25">
      <c r="A2736">
        <v>10034</v>
      </c>
      <c r="B2736" t="s">
        <v>9177</v>
      </c>
      <c r="C2736" t="s">
        <v>5043</v>
      </c>
      <c r="D2736" t="s">
        <v>8401</v>
      </c>
    </row>
    <row r="2737" spans="1:4" ht="15" x14ac:dyDescent="0.25">
      <c r="A2737">
        <v>10845</v>
      </c>
      <c r="B2737" t="s">
        <v>9177</v>
      </c>
      <c r="C2737" t="s">
        <v>5043</v>
      </c>
      <c r="D2737" t="s">
        <v>8401</v>
      </c>
    </row>
    <row r="2738" spans="1:4" ht="15" x14ac:dyDescent="0.25">
      <c r="A2738">
        <v>11982</v>
      </c>
      <c r="B2738" t="s">
        <v>9177</v>
      </c>
      <c r="C2738" t="s">
        <v>5043</v>
      </c>
      <c r="D2738" t="s">
        <v>8401</v>
      </c>
    </row>
    <row r="2739" spans="1:4" ht="15" x14ac:dyDescent="0.25">
      <c r="A2739">
        <v>8999</v>
      </c>
      <c r="B2739" t="s">
        <v>9177</v>
      </c>
      <c r="C2739" t="s">
        <v>5043</v>
      </c>
      <c r="D2739" t="s">
        <v>8401</v>
      </c>
    </row>
    <row r="2740" spans="1:4" ht="15" x14ac:dyDescent="0.25">
      <c r="A2740">
        <v>9772</v>
      </c>
      <c r="B2740" t="s">
        <v>9177</v>
      </c>
      <c r="C2740" t="s">
        <v>5043</v>
      </c>
      <c r="D2740" t="s">
        <v>8401</v>
      </c>
    </row>
    <row r="2741" spans="1:4" ht="15" x14ac:dyDescent="0.25">
      <c r="A2741">
        <v>10255</v>
      </c>
      <c r="B2741" t="s">
        <v>9178</v>
      </c>
      <c r="C2741" t="s">
        <v>5043</v>
      </c>
      <c r="D2741" t="s">
        <v>8401</v>
      </c>
    </row>
    <row r="2742" spans="1:4" ht="15" x14ac:dyDescent="0.25">
      <c r="A2742">
        <v>10351</v>
      </c>
      <c r="B2742" t="s">
        <v>9178</v>
      </c>
      <c r="C2742" t="s">
        <v>5043</v>
      </c>
      <c r="D2742" t="s">
        <v>8401</v>
      </c>
    </row>
    <row r="2743" spans="1:4" ht="15" x14ac:dyDescent="0.25">
      <c r="A2743">
        <v>11649</v>
      </c>
      <c r="B2743" t="s">
        <v>9178</v>
      </c>
      <c r="C2743" t="s">
        <v>5043</v>
      </c>
      <c r="D2743" t="s">
        <v>8401</v>
      </c>
    </row>
    <row r="2744" spans="1:4" ht="15" x14ac:dyDescent="0.25">
      <c r="A2744">
        <v>11659</v>
      </c>
      <c r="B2744" t="s">
        <v>9178</v>
      </c>
      <c r="C2744" t="s">
        <v>5043</v>
      </c>
      <c r="D2744" t="s">
        <v>8401</v>
      </c>
    </row>
    <row r="2745" spans="1:4" ht="15" x14ac:dyDescent="0.25">
      <c r="A2745">
        <v>11828</v>
      </c>
      <c r="B2745" t="s">
        <v>9178</v>
      </c>
      <c r="C2745" t="s">
        <v>5043</v>
      </c>
      <c r="D2745" t="s">
        <v>8401</v>
      </c>
    </row>
    <row r="2746" spans="1:4" ht="15" x14ac:dyDescent="0.25">
      <c r="A2746">
        <v>11861</v>
      </c>
      <c r="B2746" t="s">
        <v>9178</v>
      </c>
      <c r="C2746" t="s">
        <v>5043</v>
      </c>
      <c r="D2746" t="s">
        <v>8401</v>
      </c>
    </row>
    <row r="2747" spans="1:4" ht="15" x14ac:dyDescent="0.25">
      <c r="A2747">
        <v>11981</v>
      </c>
      <c r="B2747" t="s">
        <v>9178</v>
      </c>
      <c r="C2747" t="s">
        <v>5043</v>
      </c>
      <c r="D2747" t="s">
        <v>8401</v>
      </c>
    </row>
    <row r="2748" spans="1:4" ht="15" x14ac:dyDescent="0.25">
      <c r="A2748">
        <v>12108</v>
      </c>
      <c r="B2748" t="s">
        <v>9178</v>
      </c>
      <c r="C2748" t="s">
        <v>5043</v>
      </c>
      <c r="D2748" t="s">
        <v>8401</v>
      </c>
    </row>
    <row r="2749" spans="1:4" ht="15" x14ac:dyDescent="0.25">
      <c r="A2749">
        <v>6677</v>
      </c>
      <c r="B2749" t="s">
        <v>9178</v>
      </c>
      <c r="C2749" t="s">
        <v>5043</v>
      </c>
      <c r="D2749" t="s">
        <v>8401</v>
      </c>
    </row>
    <row r="2750" spans="1:4" ht="15" x14ac:dyDescent="0.25">
      <c r="A2750">
        <v>6725</v>
      </c>
      <c r="B2750" t="s">
        <v>9178</v>
      </c>
      <c r="C2750" t="s">
        <v>5043</v>
      </c>
      <c r="D2750" t="s">
        <v>8401</v>
      </c>
    </row>
    <row r="2751" spans="1:4" ht="15" x14ac:dyDescent="0.25">
      <c r="A2751">
        <v>6909</v>
      </c>
      <c r="B2751" t="s">
        <v>9178</v>
      </c>
      <c r="C2751" t="s">
        <v>5043</v>
      </c>
      <c r="D2751" t="s">
        <v>8401</v>
      </c>
    </row>
    <row r="2752" spans="1:4" ht="15" x14ac:dyDescent="0.25">
      <c r="A2752">
        <v>7025</v>
      </c>
      <c r="B2752" t="s">
        <v>9178</v>
      </c>
      <c r="C2752" t="s">
        <v>5043</v>
      </c>
      <c r="D2752" t="s">
        <v>8401</v>
      </c>
    </row>
    <row r="2753" spans="1:4" ht="15" x14ac:dyDescent="0.25">
      <c r="A2753">
        <v>7085</v>
      </c>
      <c r="B2753" t="s">
        <v>9178</v>
      </c>
      <c r="C2753" t="s">
        <v>5043</v>
      </c>
      <c r="D2753" t="s">
        <v>8401</v>
      </c>
    </row>
    <row r="2754" spans="1:4" ht="15" x14ac:dyDescent="0.25">
      <c r="A2754">
        <v>7089</v>
      </c>
      <c r="B2754" t="s">
        <v>9178</v>
      </c>
      <c r="C2754" t="s">
        <v>5043</v>
      </c>
      <c r="D2754" t="s">
        <v>8401</v>
      </c>
    </row>
    <row r="2755" spans="1:4" ht="15" x14ac:dyDescent="0.25">
      <c r="A2755">
        <v>7100</v>
      </c>
      <c r="B2755" t="s">
        <v>9178</v>
      </c>
      <c r="C2755" t="s">
        <v>5043</v>
      </c>
      <c r="D2755" t="s">
        <v>8401</v>
      </c>
    </row>
    <row r="2756" spans="1:4" ht="15" x14ac:dyDescent="0.25">
      <c r="A2756">
        <v>7226</v>
      </c>
      <c r="B2756" t="s">
        <v>9178</v>
      </c>
      <c r="C2756" t="s">
        <v>5043</v>
      </c>
      <c r="D2756" t="s">
        <v>8401</v>
      </c>
    </row>
    <row r="2757" spans="1:4" ht="15" x14ac:dyDescent="0.25">
      <c r="A2757">
        <v>7950</v>
      </c>
      <c r="B2757" t="s">
        <v>9178</v>
      </c>
      <c r="C2757" t="s">
        <v>5043</v>
      </c>
      <c r="D2757" t="s">
        <v>8401</v>
      </c>
    </row>
    <row r="2758" spans="1:4" ht="15" x14ac:dyDescent="0.25">
      <c r="A2758">
        <v>8239</v>
      </c>
      <c r="B2758" t="s">
        <v>9178</v>
      </c>
      <c r="C2758" t="s">
        <v>5043</v>
      </c>
      <c r="D2758" t="s">
        <v>8401</v>
      </c>
    </row>
    <row r="2759" spans="1:4" ht="15" x14ac:dyDescent="0.25">
      <c r="A2759">
        <v>8264</v>
      </c>
      <c r="B2759" t="s">
        <v>9178</v>
      </c>
      <c r="C2759" t="s">
        <v>5043</v>
      </c>
      <c r="D2759" t="s">
        <v>8401</v>
      </c>
    </row>
    <row r="2760" spans="1:4" ht="15" x14ac:dyDescent="0.25">
      <c r="A2760">
        <v>8323</v>
      </c>
      <c r="B2760" t="s">
        <v>9178</v>
      </c>
      <c r="C2760" t="s">
        <v>5043</v>
      </c>
      <c r="D2760" t="s">
        <v>8401</v>
      </c>
    </row>
    <row r="2761" spans="1:4" ht="15" x14ac:dyDescent="0.25">
      <c r="A2761">
        <v>8906</v>
      </c>
      <c r="B2761" t="s">
        <v>9178</v>
      </c>
      <c r="C2761" t="s">
        <v>5043</v>
      </c>
      <c r="D2761" t="s">
        <v>8401</v>
      </c>
    </row>
    <row r="2762" spans="1:4" ht="15" x14ac:dyDescent="0.25">
      <c r="A2762">
        <v>9044</v>
      </c>
      <c r="B2762" t="s">
        <v>9178</v>
      </c>
      <c r="C2762" t="s">
        <v>5043</v>
      </c>
      <c r="D2762" t="s">
        <v>8401</v>
      </c>
    </row>
    <row r="2763" spans="1:4" ht="15" x14ac:dyDescent="0.25">
      <c r="A2763">
        <v>9089</v>
      </c>
      <c r="B2763" t="s">
        <v>9178</v>
      </c>
      <c r="C2763" t="s">
        <v>5043</v>
      </c>
      <c r="D2763" t="s">
        <v>8401</v>
      </c>
    </row>
    <row r="2764" spans="1:4" ht="15" x14ac:dyDescent="0.25">
      <c r="A2764">
        <v>9104</v>
      </c>
      <c r="B2764" t="s">
        <v>9178</v>
      </c>
      <c r="C2764" t="s">
        <v>5043</v>
      </c>
      <c r="D2764" t="s">
        <v>8401</v>
      </c>
    </row>
    <row r="2765" spans="1:4" ht="15" x14ac:dyDescent="0.25">
      <c r="A2765">
        <v>9119</v>
      </c>
      <c r="B2765" t="s">
        <v>9178</v>
      </c>
      <c r="C2765" t="s">
        <v>5043</v>
      </c>
      <c r="D2765" t="s">
        <v>8401</v>
      </c>
    </row>
    <row r="2766" spans="1:4" ht="15" x14ac:dyDescent="0.25">
      <c r="A2766">
        <v>9174</v>
      </c>
      <c r="B2766" t="s">
        <v>9178</v>
      </c>
      <c r="C2766" t="s">
        <v>5043</v>
      </c>
      <c r="D2766" t="s">
        <v>8401</v>
      </c>
    </row>
    <row r="2767" spans="1:4" ht="15" x14ac:dyDescent="0.25">
      <c r="A2767">
        <v>9197</v>
      </c>
      <c r="B2767" t="s">
        <v>9178</v>
      </c>
      <c r="C2767" t="s">
        <v>5043</v>
      </c>
      <c r="D2767" t="s">
        <v>8401</v>
      </c>
    </row>
    <row r="2768" spans="1:4" ht="15" x14ac:dyDescent="0.25">
      <c r="A2768">
        <v>9236</v>
      </c>
      <c r="B2768" t="s">
        <v>9178</v>
      </c>
      <c r="C2768" t="s">
        <v>5043</v>
      </c>
      <c r="D2768" t="s">
        <v>8401</v>
      </c>
    </row>
    <row r="2769" spans="1:4" ht="15" x14ac:dyDescent="0.25">
      <c r="A2769">
        <v>9756</v>
      </c>
      <c r="B2769" t="s">
        <v>9178</v>
      </c>
      <c r="C2769" t="s">
        <v>5043</v>
      </c>
      <c r="D2769" t="s">
        <v>8401</v>
      </c>
    </row>
    <row r="2770" spans="1:4" ht="15" x14ac:dyDescent="0.25">
      <c r="A2770">
        <v>10133</v>
      </c>
      <c r="B2770" t="s">
        <v>9179</v>
      </c>
      <c r="C2770" t="s">
        <v>5043</v>
      </c>
      <c r="D2770" t="s">
        <v>8401</v>
      </c>
    </row>
    <row r="2771" spans="1:4" ht="15" x14ac:dyDescent="0.25">
      <c r="A2771">
        <v>11544</v>
      </c>
      <c r="B2771" t="s">
        <v>9179</v>
      </c>
      <c r="C2771" t="s">
        <v>5043</v>
      </c>
      <c r="D2771" t="s">
        <v>8401</v>
      </c>
    </row>
    <row r="2772" spans="1:4" ht="15" x14ac:dyDescent="0.25">
      <c r="A2772">
        <v>6770</v>
      </c>
      <c r="B2772" t="s">
        <v>9179</v>
      </c>
      <c r="C2772" t="s">
        <v>5043</v>
      </c>
      <c r="D2772" t="s">
        <v>8401</v>
      </c>
    </row>
    <row r="2773" spans="1:4" ht="15" x14ac:dyDescent="0.25">
      <c r="A2773">
        <v>6892</v>
      </c>
      <c r="B2773" t="s">
        <v>9179</v>
      </c>
      <c r="C2773" t="s">
        <v>5043</v>
      </c>
      <c r="D2773" t="s">
        <v>8401</v>
      </c>
    </row>
    <row r="2774" spans="1:4" ht="15" x14ac:dyDescent="0.25">
      <c r="A2774">
        <v>9227</v>
      </c>
      <c r="B2774" t="s">
        <v>9179</v>
      </c>
      <c r="C2774" t="s">
        <v>5043</v>
      </c>
      <c r="D2774" t="s">
        <v>8401</v>
      </c>
    </row>
    <row r="2775" spans="1:4" ht="15" x14ac:dyDescent="0.25">
      <c r="A2775">
        <v>9339</v>
      </c>
      <c r="B2775" t="s">
        <v>9179</v>
      </c>
      <c r="C2775" t="s">
        <v>5043</v>
      </c>
      <c r="D2775" t="s">
        <v>8401</v>
      </c>
    </row>
    <row r="2776" spans="1:4" ht="15" x14ac:dyDescent="0.25">
      <c r="A2776">
        <v>9354</v>
      </c>
      <c r="B2776" t="s">
        <v>9179</v>
      </c>
      <c r="C2776" t="s">
        <v>5043</v>
      </c>
      <c r="D2776" t="s">
        <v>8401</v>
      </c>
    </row>
    <row r="2777" spans="1:4" ht="15" x14ac:dyDescent="0.25">
      <c r="A2777">
        <v>9475</v>
      </c>
      <c r="B2777" t="s">
        <v>9179</v>
      </c>
      <c r="C2777" t="s">
        <v>5043</v>
      </c>
      <c r="D2777" t="s">
        <v>8401</v>
      </c>
    </row>
    <row r="2778" spans="1:4" ht="15" x14ac:dyDescent="0.25">
      <c r="A2778">
        <v>9573</v>
      </c>
      <c r="B2778" t="s">
        <v>9179</v>
      </c>
      <c r="C2778" t="s">
        <v>5043</v>
      </c>
      <c r="D2778" t="s">
        <v>8401</v>
      </c>
    </row>
    <row r="2779" spans="1:4" ht="15" x14ac:dyDescent="0.25">
      <c r="A2779">
        <v>7241</v>
      </c>
      <c r="B2779" t="s">
        <v>9180</v>
      </c>
      <c r="C2779" t="s">
        <v>5043</v>
      </c>
      <c r="D2779" t="s">
        <v>8401</v>
      </c>
    </row>
    <row r="2780" spans="1:4" ht="15" x14ac:dyDescent="0.25">
      <c r="A2780">
        <v>9991</v>
      </c>
      <c r="B2780" t="s">
        <v>9181</v>
      </c>
      <c r="C2780" t="s">
        <v>5043</v>
      </c>
      <c r="D2780" t="s">
        <v>8401</v>
      </c>
    </row>
    <row r="2781" spans="1:4" ht="15" x14ac:dyDescent="0.25">
      <c r="A2781">
        <v>10666</v>
      </c>
      <c r="B2781" t="s">
        <v>9182</v>
      </c>
      <c r="C2781" t="s">
        <v>5043</v>
      </c>
      <c r="D2781" t="s">
        <v>8401</v>
      </c>
    </row>
    <row r="2782" spans="1:4" ht="15" x14ac:dyDescent="0.25">
      <c r="A2782">
        <v>10650</v>
      </c>
      <c r="B2782" t="s">
        <v>9183</v>
      </c>
      <c r="C2782" t="s">
        <v>5043</v>
      </c>
      <c r="D2782" t="s">
        <v>8401</v>
      </c>
    </row>
    <row r="2783" spans="1:4" ht="15" x14ac:dyDescent="0.25">
      <c r="A2783">
        <v>10857</v>
      </c>
      <c r="B2783" t="s">
        <v>9183</v>
      </c>
      <c r="C2783" t="s">
        <v>5043</v>
      </c>
      <c r="D2783" t="s">
        <v>8401</v>
      </c>
    </row>
    <row r="2784" spans="1:4" ht="15" x14ac:dyDescent="0.25">
      <c r="A2784">
        <v>9954</v>
      </c>
      <c r="B2784" t="s">
        <v>9183</v>
      </c>
      <c r="C2784" t="s">
        <v>5043</v>
      </c>
      <c r="D2784" t="s">
        <v>8401</v>
      </c>
    </row>
    <row r="2785" spans="1:4" ht="15" x14ac:dyDescent="0.25">
      <c r="A2785">
        <v>10161</v>
      </c>
      <c r="B2785" t="s">
        <v>9184</v>
      </c>
      <c r="C2785" t="s">
        <v>5043</v>
      </c>
      <c r="D2785" t="s">
        <v>8401</v>
      </c>
    </row>
    <row r="2786" spans="1:4" ht="15" x14ac:dyDescent="0.25">
      <c r="A2786">
        <v>7505</v>
      </c>
      <c r="B2786" t="s">
        <v>9184</v>
      </c>
      <c r="C2786" t="s">
        <v>5043</v>
      </c>
      <c r="D2786" t="s">
        <v>8401</v>
      </c>
    </row>
    <row r="2787" spans="1:4" ht="15" x14ac:dyDescent="0.25">
      <c r="A2787">
        <v>7988</v>
      </c>
      <c r="B2787" t="s">
        <v>9184</v>
      </c>
      <c r="C2787" t="s">
        <v>5043</v>
      </c>
      <c r="D2787" t="s">
        <v>8401</v>
      </c>
    </row>
    <row r="2788" spans="1:4" ht="15" x14ac:dyDescent="0.25">
      <c r="A2788">
        <v>8590</v>
      </c>
      <c r="B2788" t="s">
        <v>9184</v>
      </c>
      <c r="C2788" t="s">
        <v>5043</v>
      </c>
      <c r="D2788" t="s">
        <v>8401</v>
      </c>
    </row>
    <row r="2789" spans="1:4" ht="15" x14ac:dyDescent="0.25">
      <c r="A2789">
        <v>10000</v>
      </c>
      <c r="B2789" t="s">
        <v>9185</v>
      </c>
      <c r="C2789" t="s">
        <v>5043</v>
      </c>
      <c r="D2789" t="s">
        <v>8401</v>
      </c>
    </row>
    <row r="2790" spans="1:4" ht="15" x14ac:dyDescent="0.25">
      <c r="A2790">
        <v>10411</v>
      </c>
      <c r="B2790" t="s">
        <v>9185</v>
      </c>
      <c r="C2790" t="s">
        <v>5043</v>
      </c>
      <c r="D2790" t="s">
        <v>8401</v>
      </c>
    </row>
    <row r="2791" spans="1:4" ht="15" x14ac:dyDescent="0.25">
      <c r="A2791">
        <v>10535</v>
      </c>
      <c r="B2791" t="s">
        <v>9185</v>
      </c>
      <c r="C2791" t="s">
        <v>5043</v>
      </c>
      <c r="D2791" t="s">
        <v>8401</v>
      </c>
    </row>
    <row r="2792" spans="1:4" ht="15" x14ac:dyDescent="0.25">
      <c r="A2792">
        <v>11053</v>
      </c>
      <c r="B2792" t="s">
        <v>9185</v>
      </c>
      <c r="C2792" t="s">
        <v>5043</v>
      </c>
      <c r="D2792" t="s">
        <v>8401</v>
      </c>
    </row>
    <row r="2793" spans="1:4" ht="15" x14ac:dyDescent="0.25">
      <c r="A2793">
        <v>11218</v>
      </c>
      <c r="B2793" t="s">
        <v>9185</v>
      </c>
      <c r="C2793" t="s">
        <v>5043</v>
      </c>
      <c r="D2793" t="s">
        <v>8401</v>
      </c>
    </row>
    <row r="2794" spans="1:4" ht="15" x14ac:dyDescent="0.25">
      <c r="A2794">
        <v>11566</v>
      </c>
      <c r="B2794" t="s">
        <v>9185</v>
      </c>
      <c r="C2794" t="s">
        <v>5043</v>
      </c>
      <c r="D2794" t="s">
        <v>8401</v>
      </c>
    </row>
    <row r="2795" spans="1:4" ht="15" x14ac:dyDescent="0.25">
      <c r="A2795">
        <v>7318</v>
      </c>
      <c r="B2795" t="s">
        <v>9185</v>
      </c>
      <c r="C2795" t="s">
        <v>5043</v>
      </c>
      <c r="D2795" t="s">
        <v>8401</v>
      </c>
    </row>
    <row r="2796" spans="1:4" ht="15" x14ac:dyDescent="0.25">
      <c r="A2796">
        <v>7487</v>
      </c>
      <c r="B2796" t="s">
        <v>9185</v>
      </c>
      <c r="C2796" t="s">
        <v>5043</v>
      </c>
      <c r="D2796" t="s">
        <v>8401</v>
      </c>
    </row>
    <row r="2797" spans="1:4" ht="15" x14ac:dyDescent="0.25">
      <c r="A2797">
        <v>7688</v>
      </c>
      <c r="B2797" t="s">
        <v>9185</v>
      </c>
      <c r="C2797" t="s">
        <v>5043</v>
      </c>
      <c r="D2797" t="s">
        <v>8401</v>
      </c>
    </row>
    <row r="2798" spans="1:4" ht="15" x14ac:dyDescent="0.25">
      <c r="A2798">
        <v>8630</v>
      </c>
      <c r="B2798" t="s">
        <v>9185</v>
      </c>
      <c r="C2798" t="s">
        <v>5043</v>
      </c>
      <c r="D2798" t="s">
        <v>8401</v>
      </c>
    </row>
    <row r="2799" spans="1:4" ht="15" x14ac:dyDescent="0.25">
      <c r="A2799">
        <v>9769</v>
      </c>
      <c r="B2799" t="s">
        <v>9185</v>
      </c>
      <c r="C2799" t="s">
        <v>5043</v>
      </c>
      <c r="D2799" t="s">
        <v>8401</v>
      </c>
    </row>
    <row r="2800" spans="1:4" ht="15" x14ac:dyDescent="0.25">
      <c r="A2800">
        <v>7918</v>
      </c>
      <c r="B2800" t="s">
        <v>9186</v>
      </c>
      <c r="C2800" t="s">
        <v>5043</v>
      </c>
      <c r="D2800" t="s">
        <v>8401</v>
      </c>
    </row>
    <row r="2801" spans="1:4" ht="15" x14ac:dyDescent="0.25">
      <c r="A2801">
        <v>10057</v>
      </c>
      <c r="B2801" t="s">
        <v>9187</v>
      </c>
      <c r="C2801" t="s">
        <v>5043</v>
      </c>
      <c r="D2801" t="s">
        <v>8401</v>
      </c>
    </row>
    <row r="2802" spans="1:4" ht="15" x14ac:dyDescent="0.25">
      <c r="A2802">
        <v>10289</v>
      </c>
      <c r="B2802" t="s">
        <v>9187</v>
      </c>
      <c r="C2802" t="s">
        <v>5043</v>
      </c>
      <c r="D2802" t="s">
        <v>8401</v>
      </c>
    </row>
    <row r="2803" spans="1:4" ht="15" x14ac:dyDescent="0.25">
      <c r="A2803">
        <v>10370</v>
      </c>
      <c r="B2803" t="s">
        <v>9187</v>
      </c>
      <c r="C2803" t="s">
        <v>5043</v>
      </c>
      <c r="D2803" t="s">
        <v>8401</v>
      </c>
    </row>
    <row r="2804" spans="1:4" ht="15" x14ac:dyDescent="0.25">
      <c r="A2804">
        <v>10446</v>
      </c>
      <c r="B2804" t="s">
        <v>9187</v>
      </c>
      <c r="C2804" t="s">
        <v>5043</v>
      </c>
      <c r="D2804" t="s">
        <v>8401</v>
      </c>
    </row>
    <row r="2805" spans="1:4" ht="15" x14ac:dyDescent="0.25">
      <c r="A2805">
        <v>10657</v>
      </c>
      <c r="B2805" t="s">
        <v>9187</v>
      </c>
      <c r="C2805" t="s">
        <v>5043</v>
      </c>
      <c r="D2805" t="s">
        <v>8401</v>
      </c>
    </row>
    <row r="2806" spans="1:4" ht="15" x14ac:dyDescent="0.25">
      <c r="A2806">
        <v>10971</v>
      </c>
      <c r="B2806" t="s">
        <v>9187</v>
      </c>
      <c r="C2806" t="s">
        <v>5043</v>
      </c>
      <c r="D2806" t="s">
        <v>8401</v>
      </c>
    </row>
    <row r="2807" spans="1:4" ht="15" x14ac:dyDescent="0.25">
      <c r="A2807">
        <v>11384</v>
      </c>
      <c r="B2807" t="s">
        <v>9187</v>
      </c>
      <c r="C2807" t="s">
        <v>5043</v>
      </c>
      <c r="D2807" t="s">
        <v>8401</v>
      </c>
    </row>
    <row r="2808" spans="1:4" ht="15" x14ac:dyDescent="0.25">
      <c r="A2808">
        <v>11466</v>
      </c>
      <c r="B2808" t="s">
        <v>9187</v>
      </c>
      <c r="C2808" t="s">
        <v>5043</v>
      </c>
      <c r="D2808" t="s">
        <v>8401</v>
      </c>
    </row>
    <row r="2809" spans="1:4" ht="15" x14ac:dyDescent="0.25">
      <c r="A2809">
        <v>11721</v>
      </c>
      <c r="B2809" t="s">
        <v>9187</v>
      </c>
      <c r="C2809" t="s">
        <v>5043</v>
      </c>
      <c r="D2809" t="s">
        <v>8401</v>
      </c>
    </row>
    <row r="2810" spans="1:4" ht="15" x14ac:dyDescent="0.25">
      <c r="A2810">
        <v>11962</v>
      </c>
      <c r="B2810" t="s">
        <v>9187</v>
      </c>
      <c r="C2810" t="s">
        <v>5043</v>
      </c>
      <c r="D2810" t="s">
        <v>8401</v>
      </c>
    </row>
    <row r="2811" spans="1:4" ht="15" x14ac:dyDescent="0.25">
      <c r="A2811">
        <v>12041</v>
      </c>
      <c r="B2811" t="s">
        <v>9187</v>
      </c>
      <c r="C2811" t="s">
        <v>5043</v>
      </c>
      <c r="D2811" t="s">
        <v>8401</v>
      </c>
    </row>
    <row r="2812" spans="1:4" ht="15" x14ac:dyDescent="0.25">
      <c r="A2812">
        <v>7405</v>
      </c>
      <c r="B2812" t="s">
        <v>9187</v>
      </c>
      <c r="C2812" t="s">
        <v>5043</v>
      </c>
      <c r="D2812" t="s">
        <v>8401</v>
      </c>
    </row>
    <row r="2813" spans="1:4" ht="15" x14ac:dyDescent="0.25">
      <c r="A2813">
        <v>7459</v>
      </c>
      <c r="B2813" t="s">
        <v>9187</v>
      </c>
      <c r="C2813" t="s">
        <v>5043</v>
      </c>
      <c r="D2813" t="s">
        <v>8401</v>
      </c>
    </row>
    <row r="2814" spans="1:4" ht="15" x14ac:dyDescent="0.25">
      <c r="A2814">
        <v>7555</v>
      </c>
      <c r="B2814" t="s">
        <v>9187</v>
      </c>
      <c r="C2814" t="s">
        <v>5043</v>
      </c>
      <c r="D2814" t="s">
        <v>8401</v>
      </c>
    </row>
    <row r="2815" spans="1:4" ht="15" x14ac:dyDescent="0.25">
      <c r="A2815">
        <v>7622</v>
      </c>
      <c r="B2815" t="s">
        <v>9187</v>
      </c>
      <c r="C2815" t="s">
        <v>5043</v>
      </c>
      <c r="D2815" t="s">
        <v>8401</v>
      </c>
    </row>
    <row r="2816" spans="1:4" ht="15" x14ac:dyDescent="0.25">
      <c r="A2816">
        <v>7662</v>
      </c>
      <c r="B2816" t="s">
        <v>9187</v>
      </c>
      <c r="C2816" t="s">
        <v>5043</v>
      </c>
      <c r="D2816" t="s">
        <v>8401</v>
      </c>
    </row>
    <row r="2817" spans="1:4" ht="15" x14ac:dyDescent="0.25">
      <c r="A2817">
        <v>7709</v>
      </c>
      <c r="B2817" t="s">
        <v>9187</v>
      </c>
      <c r="C2817" t="s">
        <v>5043</v>
      </c>
      <c r="D2817" t="s">
        <v>8401</v>
      </c>
    </row>
    <row r="2818" spans="1:4" ht="15" x14ac:dyDescent="0.25">
      <c r="A2818">
        <v>8303</v>
      </c>
      <c r="B2818" t="s">
        <v>9187</v>
      </c>
      <c r="C2818" t="s">
        <v>5043</v>
      </c>
      <c r="D2818" t="s">
        <v>8401</v>
      </c>
    </row>
    <row r="2819" spans="1:4" ht="15" x14ac:dyDescent="0.25">
      <c r="A2819">
        <v>9208</v>
      </c>
      <c r="B2819" t="s">
        <v>9187</v>
      </c>
      <c r="C2819" t="s">
        <v>5043</v>
      </c>
      <c r="D2819" t="s">
        <v>8401</v>
      </c>
    </row>
    <row r="2820" spans="1:4" ht="15" x14ac:dyDescent="0.25">
      <c r="A2820">
        <v>9279</v>
      </c>
      <c r="B2820" t="s">
        <v>9187</v>
      </c>
      <c r="C2820" t="s">
        <v>5043</v>
      </c>
      <c r="D2820" t="s">
        <v>8401</v>
      </c>
    </row>
    <row r="2821" spans="1:4" ht="15" x14ac:dyDescent="0.25">
      <c r="A2821">
        <v>9315</v>
      </c>
      <c r="B2821" t="s">
        <v>9187</v>
      </c>
      <c r="C2821" t="s">
        <v>5043</v>
      </c>
      <c r="D2821" t="s">
        <v>8401</v>
      </c>
    </row>
    <row r="2822" spans="1:4" ht="15" x14ac:dyDescent="0.25">
      <c r="A2822">
        <v>9790</v>
      </c>
      <c r="B2822" t="s">
        <v>9187</v>
      </c>
      <c r="C2822" t="s">
        <v>5043</v>
      </c>
      <c r="D2822" t="s">
        <v>8401</v>
      </c>
    </row>
    <row r="2823" spans="1:4" ht="15" x14ac:dyDescent="0.25">
      <c r="A2823">
        <v>9938</v>
      </c>
      <c r="B2823" t="s">
        <v>9187</v>
      </c>
      <c r="C2823" t="s">
        <v>5043</v>
      </c>
      <c r="D2823" t="s">
        <v>8401</v>
      </c>
    </row>
    <row r="2824" spans="1:4" ht="15" x14ac:dyDescent="0.25">
      <c r="A2824">
        <v>10149</v>
      </c>
      <c r="B2824" t="s">
        <v>9188</v>
      </c>
      <c r="C2824" t="s">
        <v>5043</v>
      </c>
      <c r="D2824" t="s">
        <v>8401</v>
      </c>
    </row>
    <row r="2825" spans="1:4" ht="15" x14ac:dyDescent="0.25">
      <c r="A2825">
        <v>10217</v>
      </c>
      <c r="B2825" t="s">
        <v>9188</v>
      </c>
      <c r="C2825" t="s">
        <v>5043</v>
      </c>
      <c r="D2825" t="s">
        <v>8401</v>
      </c>
    </row>
    <row r="2826" spans="1:4" ht="15" x14ac:dyDescent="0.25">
      <c r="A2826">
        <v>10635</v>
      </c>
      <c r="B2826" t="s">
        <v>9188</v>
      </c>
      <c r="C2826" t="s">
        <v>5043</v>
      </c>
      <c r="D2826" t="s">
        <v>8401</v>
      </c>
    </row>
    <row r="2827" spans="1:4" ht="15" x14ac:dyDescent="0.25">
      <c r="A2827">
        <v>11069</v>
      </c>
      <c r="B2827" t="s">
        <v>9188</v>
      </c>
      <c r="C2827" t="s">
        <v>5043</v>
      </c>
      <c r="D2827" t="s">
        <v>8401</v>
      </c>
    </row>
    <row r="2828" spans="1:4" ht="15" x14ac:dyDescent="0.25">
      <c r="A2828">
        <v>11504</v>
      </c>
      <c r="B2828" t="s">
        <v>9188</v>
      </c>
      <c r="C2828" t="s">
        <v>5043</v>
      </c>
      <c r="D2828" t="s">
        <v>8401</v>
      </c>
    </row>
    <row r="2829" spans="1:4" ht="15" x14ac:dyDescent="0.25">
      <c r="A2829">
        <v>11584</v>
      </c>
      <c r="B2829" t="s">
        <v>9188</v>
      </c>
      <c r="C2829" t="s">
        <v>5043</v>
      </c>
      <c r="D2829" t="s">
        <v>8401</v>
      </c>
    </row>
    <row r="2830" spans="1:4" ht="15" x14ac:dyDescent="0.25">
      <c r="A2830">
        <v>11785</v>
      </c>
      <c r="B2830" t="s">
        <v>9188</v>
      </c>
      <c r="C2830" t="s">
        <v>5043</v>
      </c>
      <c r="D2830" t="s">
        <v>8401</v>
      </c>
    </row>
    <row r="2831" spans="1:4" ht="15" x14ac:dyDescent="0.25">
      <c r="A2831">
        <v>11920</v>
      </c>
      <c r="B2831" t="s">
        <v>9188</v>
      </c>
      <c r="C2831" t="s">
        <v>5043</v>
      </c>
      <c r="D2831" t="s">
        <v>8401</v>
      </c>
    </row>
    <row r="2832" spans="1:4" ht="15" x14ac:dyDescent="0.25">
      <c r="A2832">
        <v>12025</v>
      </c>
      <c r="B2832" t="s">
        <v>9188</v>
      </c>
      <c r="C2832" t="s">
        <v>5043</v>
      </c>
      <c r="D2832" t="s">
        <v>8401</v>
      </c>
    </row>
    <row r="2833" spans="1:4" ht="15" x14ac:dyDescent="0.25">
      <c r="A2833">
        <v>12046</v>
      </c>
      <c r="B2833" t="s">
        <v>9188</v>
      </c>
      <c r="C2833" t="s">
        <v>5043</v>
      </c>
      <c r="D2833" t="s">
        <v>8401</v>
      </c>
    </row>
    <row r="2834" spans="1:4" ht="15" x14ac:dyDescent="0.25">
      <c r="A2834">
        <v>6682</v>
      </c>
      <c r="B2834" t="s">
        <v>9188</v>
      </c>
      <c r="C2834" t="s">
        <v>5043</v>
      </c>
      <c r="D2834" t="s">
        <v>8401</v>
      </c>
    </row>
    <row r="2835" spans="1:4" ht="15" x14ac:dyDescent="0.25">
      <c r="A2835">
        <v>6782</v>
      </c>
      <c r="B2835" t="s">
        <v>9188</v>
      </c>
      <c r="C2835" t="s">
        <v>5043</v>
      </c>
      <c r="D2835" t="s">
        <v>8401</v>
      </c>
    </row>
    <row r="2836" spans="1:4" ht="15" x14ac:dyDescent="0.25">
      <c r="A2836">
        <v>6946</v>
      </c>
      <c r="B2836" t="s">
        <v>9188</v>
      </c>
      <c r="C2836" t="s">
        <v>5043</v>
      </c>
      <c r="D2836" t="s">
        <v>8401</v>
      </c>
    </row>
    <row r="2837" spans="1:4" ht="15" x14ac:dyDescent="0.25">
      <c r="A2837">
        <v>7178</v>
      </c>
      <c r="B2837" t="s">
        <v>9188</v>
      </c>
      <c r="C2837" t="s">
        <v>5043</v>
      </c>
      <c r="D2837" t="s">
        <v>8401</v>
      </c>
    </row>
    <row r="2838" spans="1:4" ht="15" x14ac:dyDescent="0.25">
      <c r="A2838">
        <v>7483</v>
      </c>
      <c r="B2838" t="s">
        <v>9188</v>
      </c>
      <c r="C2838" t="s">
        <v>5043</v>
      </c>
      <c r="D2838" t="s">
        <v>8401</v>
      </c>
    </row>
    <row r="2839" spans="1:4" ht="15" x14ac:dyDescent="0.25">
      <c r="A2839">
        <v>8165</v>
      </c>
      <c r="B2839" t="s">
        <v>9188</v>
      </c>
      <c r="C2839" t="s">
        <v>5043</v>
      </c>
      <c r="D2839" t="s">
        <v>8401</v>
      </c>
    </row>
    <row r="2840" spans="1:4" ht="15" x14ac:dyDescent="0.25">
      <c r="A2840">
        <v>8233</v>
      </c>
      <c r="B2840" t="s">
        <v>9188</v>
      </c>
      <c r="C2840" t="s">
        <v>5043</v>
      </c>
      <c r="D2840" t="s">
        <v>8401</v>
      </c>
    </row>
    <row r="2841" spans="1:4" ht="15" x14ac:dyDescent="0.25">
      <c r="A2841">
        <v>8545</v>
      </c>
      <c r="B2841" t="s">
        <v>9188</v>
      </c>
      <c r="C2841" t="s">
        <v>5043</v>
      </c>
      <c r="D2841" t="s">
        <v>8401</v>
      </c>
    </row>
    <row r="2842" spans="1:4" ht="15" x14ac:dyDescent="0.25">
      <c r="A2842">
        <v>8626</v>
      </c>
      <c r="B2842" t="s">
        <v>9188</v>
      </c>
      <c r="C2842" t="s">
        <v>5043</v>
      </c>
      <c r="D2842" t="s">
        <v>8401</v>
      </c>
    </row>
    <row r="2843" spans="1:4" ht="15" x14ac:dyDescent="0.25">
      <c r="A2843">
        <v>8638</v>
      </c>
      <c r="B2843" t="s">
        <v>9188</v>
      </c>
      <c r="C2843" t="s">
        <v>5043</v>
      </c>
      <c r="D2843" t="s">
        <v>8401</v>
      </c>
    </row>
    <row r="2844" spans="1:4" ht="15" x14ac:dyDescent="0.25">
      <c r="A2844">
        <v>10169</v>
      </c>
      <c r="B2844" t="s">
        <v>9189</v>
      </c>
      <c r="C2844" t="s">
        <v>5043</v>
      </c>
      <c r="D2844" t="s">
        <v>8401</v>
      </c>
    </row>
    <row r="2845" spans="1:4" ht="15" x14ac:dyDescent="0.25">
      <c r="A2845">
        <v>11189</v>
      </c>
      <c r="B2845" t="s">
        <v>9189</v>
      </c>
      <c r="C2845" t="s">
        <v>5043</v>
      </c>
      <c r="D2845" t="s">
        <v>8401</v>
      </c>
    </row>
    <row r="2846" spans="1:4" ht="15" x14ac:dyDescent="0.25">
      <c r="A2846">
        <v>6937</v>
      </c>
      <c r="B2846" t="s">
        <v>9189</v>
      </c>
      <c r="C2846" t="s">
        <v>5043</v>
      </c>
      <c r="D2846" t="s">
        <v>8401</v>
      </c>
    </row>
    <row r="2847" spans="1:4" ht="15" x14ac:dyDescent="0.25">
      <c r="A2847">
        <v>7117</v>
      </c>
      <c r="B2847" t="s">
        <v>9189</v>
      </c>
      <c r="C2847" t="s">
        <v>5043</v>
      </c>
      <c r="D2847" t="s">
        <v>8401</v>
      </c>
    </row>
    <row r="2848" spans="1:4" ht="15" x14ac:dyDescent="0.25">
      <c r="A2848">
        <v>7182</v>
      </c>
      <c r="B2848" t="s">
        <v>9189</v>
      </c>
      <c r="C2848" t="s">
        <v>5043</v>
      </c>
      <c r="D2848" t="s">
        <v>8401</v>
      </c>
    </row>
    <row r="2849" spans="1:4" ht="15" x14ac:dyDescent="0.25">
      <c r="A2849">
        <v>8079</v>
      </c>
      <c r="B2849" t="s">
        <v>9189</v>
      </c>
      <c r="C2849" t="s">
        <v>5043</v>
      </c>
      <c r="D2849" t="s">
        <v>8401</v>
      </c>
    </row>
    <row r="2850" spans="1:4" ht="15" x14ac:dyDescent="0.25">
      <c r="A2850">
        <v>11047</v>
      </c>
      <c r="B2850" t="s">
        <v>9190</v>
      </c>
      <c r="C2850" t="s">
        <v>5043</v>
      </c>
      <c r="D2850" t="s">
        <v>8401</v>
      </c>
    </row>
    <row r="2851" spans="1:4" ht="15" x14ac:dyDescent="0.25">
      <c r="A2851">
        <v>11724</v>
      </c>
      <c r="B2851" t="s">
        <v>9190</v>
      </c>
      <c r="C2851" t="s">
        <v>5043</v>
      </c>
      <c r="D2851" t="s">
        <v>8401</v>
      </c>
    </row>
    <row r="2852" spans="1:4" ht="15" x14ac:dyDescent="0.25">
      <c r="A2852">
        <v>7159</v>
      </c>
      <c r="B2852" t="s">
        <v>9190</v>
      </c>
      <c r="C2852" t="s">
        <v>5043</v>
      </c>
      <c r="D2852" t="s">
        <v>8401</v>
      </c>
    </row>
    <row r="2853" spans="1:4" ht="15" x14ac:dyDescent="0.25">
      <c r="A2853">
        <v>8040</v>
      </c>
      <c r="B2853" t="s">
        <v>9191</v>
      </c>
      <c r="C2853" t="s">
        <v>5043</v>
      </c>
      <c r="D2853" t="s">
        <v>8401</v>
      </c>
    </row>
    <row r="2854" spans="1:4" ht="15" x14ac:dyDescent="0.25">
      <c r="A2854">
        <v>10056</v>
      </c>
      <c r="B2854" t="s">
        <v>9192</v>
      </c>
      <c r="C2854" t="s">
        <v>5043</v>
      </c>
      <c r="D2854" t="s">
        <v>8401</v>
      </c>
    </row>
    <row r="2855" spans="1:4" ht="15" x14ac:dyDescent="0.25">
      <c r="A2855">
        <v>10491</v>
      </c>
      <c r="B2855" t="s">
        <v>9193</v>
      </c>
      <c r="C2855" t="s">
        <v>5043</v>
      </c>
      <c r="D2855" t="s">
        <v>8401</v>
      </c>
    </row>
    <row r="2856" spans="1:4" ht="15" x14ac:dyDescent="0.25">
      <c r="A2856">
        <v>11686</v>
      </c>
      <c r="B2856" t="s">
        <v>9193</v>
      </c>
      <c r="C2856" t="s">
        <v>5043</v>
      </c>
      <c r="D2856" t="s">
        <v>8401</v>
      </c>
    </row>
    <row r="2857" spans="1:4" ht="15" x14ac:dyDescent="0.25">
      <c r="A2857">
        <v>8625</v>
      </c>
      <c r="B2857" t="s">
        <v>9193</v>
      </c>
      <c r="C2857" t="s">
        <v>5043</v>
      </c>
      <c r="D2857" t="s">
        <v>8401</v>
      </c>
    </row>
    <row r="2858" spans="1:4" ht="15" x14ac:dyDescent="0.25">
      <c r="A2858">
        <v>8814</v>
      </c>
      <c r="B2858" t="s">
        <v>9194</v>
      </c>
      <c r="C2858" t="s">
        <v>5043</v>
      </c>
      <c r="D2858" t="s">
        <v>8401</v>
      </c>
    </row>
    <row r="2859" spans="1:4" ht="15" x14ac:dyDescent="0.25">
      <c r="A2859">
        <v>9049</v>
      </c>
      <c r="B2859" t="s">
        <v>9194</v>
      </c>
      <c r="C2859" t="s">
        <v>5043</v>
      </c>
      <c r="D2859" t="s">
        <v>8401</v>
      </c>
    </row>
    <row r="2860" spans="1:4" ht="15" x14ac:dyDescent="0.25">
      <c r="A2860">
        <v>10136</v>
      </c>
      <c r="B2860" t="s">
        <v>9195</v>
      </c>
      <c r="C2860" t="s">
        <v>5043</v>
      </c>
      <c r="D2860" t="s">
        <v>8401</v>
      </c>
    </row>
    <row r="2861" spans="1:4" ht="15" x14ac:dyDescent="0.25">
      <c r="A2861">
        <v>7192</v>
      </c>
      <c r="B2861" t="s">
        <v>9195</v>
      </c>
      <c r="C2861" t="s">
        <v>5043</v>
      </c>
      <c r="D2861" t="s">
        <v>8401</v>
      </c>
    </row>
    <row r="2862" spans="1:4" ht="15" x14ac:dyDescent="0.25">
      <c r="A2862">
        <v>7026</v>
      </c>
      <c r="B2862" t="s">
        <v>9196</v>
      </c>
      <c r="C2862" t="s">
        <v>5043</v>
      </c>
      <c r="D2862" t="s">
        <v>8401</v>
      </c>
    </row>
    <row r="2863" spans="1:4" ht="15" x14ac:dyDescent="0.25">
      <c r="A2863">
        <v>7308</v>
      </c>
      <c r="B2863" t="s">
        <v>9197</v>
      </c>
      <c r="C2863" t="s">
        <v>5043</v>
      </c>
      <c r="D2863" t="s">
        <v>8401</v>
      </c>
    </row>
    <row r="2864" spans="1:4" ht="15" x14ac:dyDescent="0.25">
      <c r="A2864">
        <v>11840</v>
      </c>
      <c r="B2864" t="s">
        <v>9198</v>
      </c>
      <c r="C2864" t="s">
        <v>5043</v>
      </c>
      <c r="D2864" t="s">
        <v>8401</v>
      </c>
    </row>
    <row r="2865" spans="1:4" ht="15" x14ac:dyDescent="0.25">
      <c r="A2865">
        <v>8531</v>
      </c>
      <c r="B2865" t="s">
        <v>9198</v>
      </c>
      <c r="C2865" t="s">
        <v>5043</v>
      </c>
      <c r="D2865" t="s">
        <v>8401</v>
      </c>
    </row>
    <row r="2866" spans="1:4" ht="15" x14ac:dyDescent="0.25">
      <c r="A2866">
        <v>8644</v>
      </c>
      <c r="B2866" t="s">
        <v>9198</v>
      </c>
      <c r="C2866" t="s">
        <v>5043</v>
      </c>
      <c r="D2866" t="s">
        <v>8401</v>
      </c>
    </row>
    <row r="2867" spans="1:4" ht="15" x14ac:dyDescent="0.25">
      <c r="A2867">
        <v>10581</v>
      </c>
      <c r="B2867" t="s">
        <v>9199</v>
      </c>
      <c r="C2867" t="s">
        <v>5043</v>
      </c>
      <c r="D2867" t="s">
        <v>8401</v>
      </c>
    </row>
    <row r="2868" spans="1:4" ht="15" x14ac:dyDescent="0.25">
      <c r="A2868">
        <v>8581</v>
      </c>
      <c r="B2868" t="s">
        <v>9199</v>
      </c>
      <c r="C2868" t="s">
        <v>5043</v>
      </c>
      <c r="D2868" t="s">
        <v>8401</v>
      </c>
    </row>
    <row r="2869" spans="1:4" ht="15" x14ac:dyDescent="0.25">
      <c r="A2869">
        <v>10371</v>
      </c>
      <c r="B2869" t="s">
        <v>9200</v>
      </c>
      <c r="C2869" t="s">
        <v>5043</v>
      </c>
      <c r="D2869" t="s">
        <v>8401</v>
      </c>
    </row>
    <row r="2870" spans="1:4" ht="15" x14ac:dyDescent="0.25">
      <c r="A2870">
        <v>10504</v>
      </c>
      <c r="B2870" t="s">
        <v>9200</v>
      </c>
      <c r="C2870" t="s">
        <v>5043</v>
      </c>
      <c r="D2870" t="s">
        <v>8401</v>
      </c>
    </row>
    <row r="2871" spans="1:4" ht="15" x14ac:dyDescent="0.25">
      <c r="A2871">
        <v>10732</v>
      </c>
      <c r="B2871" t="s">
        <v>9200</v>
      </c>
      <c r="C2871" t="s">
        <v>5043</v>
      </c>
      <c r="D2871" t="s">
        <v>8401</v>
      </c>
    </row>
    <row r="2872" spans="1:4" ht="15" x14ac:dyDescent="0.25">
      <c r="A2872">
        <v>11055</v>
      </c>
      <c r="B2872" t="s">
        <v>9200</v>
      </c>
      <c r="C2872" t="s">
        <v>5043</v>
      </c>
      <c r="D2872" t="s">
        <v>8401</v>
      </c>
    </row>
    <row r="2873" spans="1:4" ht="15" x14ac:dyDescent="0.25">
      <c r="A2873">
        <v>11292</v>
      </c>
      <c r="B2873" t="s">
        <v>9200</v>
      </c>
      <c r="C2873" t="s">
        <v>5043</v>
      </c>
      <c r="D2873" t="s">
        <v>8401</v>
      </c>
    </row>
    <row r="2874" spans="1:4" ht="15" x14ac:dyDescent="0.25">
      <c r="A2874">
        <v>6949</v>
      </c>
      <c r="B2874" t="s">
        <v>9200</v>
      </c>
      <c r="C2874" t="s">
        <v>5043</v>
      </c>
      <c r="D2874" t="s">
        <v>8401</v>
      </c>
    </row>
    <row r="2875" spans="1:4" ht="15" x14ac:dyDescent="0.25">
      <c r="A2875">
        <v>7031</v>
      </c>
      <c r="B2875" t="s">
        <v>9200</v>
      </c>
      <c r="C2875" t="s">
        <v>5043</v>
      </c>
      <c r="D2875" t="s">
        <v>8401</v>
      </c>
    </row>
    <row r="2876" spans="1:4" ht="15" x14ac:dyDescent="0.25">
      <c r="A2876">
        <v>7297</v>
      </c>
      <c r="B2876" t="s">
        <v>9200</v>
      </c>
      <c r="C2876" t="s">
        <v>5043</v>
      </c>
      <c r="D2876" t="s">
        <v>8401</v>
      </c>
    </row>
    <row r="2877" spans="1:4" ht="15" x14ac:dyDescent="0.25">
      <c r="A2877">
        <v>7552</v>
      </c>
      <c r="B2877" t="s">
        <v>9200</v>
      </c>
      <c r="C2877" t="s">
        <v>5043</v>
      </c>
      <c r="D2877" t="s">
        <v>8401</v>
      </c>
    </row>
    <row r="2878" spans="1:4" ht="15" x14ac:dyDescent="0.25">
      <c r="A2878">
        <v>8047</v>
      </c>
      <c r="B2878" t="s">
        <v>9200</v>
      </c>
      <c r="C2878" t="s">
        <v>5043</v>
      </c>
      <c r="D2878" t="s">
        <v>8401</v>
      </c>
    </row>
    <row r="2879" spans="1:4" ht="15" x14ac:dyDescent="0.25">
      <c r="A2879">
        <v>9615</v>
      </c>
      <c r="B2879" t="s">
        <v>9200</v>
      </c>
      <c r="C2879" t="s">
        <v>5043</v>
      </c>
      <c r="D2879" t="s">
        <v>8401</v>
      </c>
    </row>
    <row r="2880" spans="1:4" ht="15" x14ac:dyDescent="0.25">
      <c r="A2880">
        <v>9779</v>
      </c>
      <c r="B2880" t="s">
        <v>9200</v>
      </c>
      <c r="C2880" t="s">
        <v>5043</v>
      </c>
      <c r="D2880" t="s">
        <v>8401</v>
      </c>
    </row>
    <row r="2881" spans="1:4" ht="15" x14ac:dyDescent="0.25">
      <c r="A2881">
        <v>9905</v>
      </c>
      <c r="B2881" t="s">
        <v>9200</v>
      </c>
      <c r="C2881" t="s">
        <v>5043</v>
      </c>
      <c r="D2881" t="s">
        <v>8401</v>
      </c>
    </row>
    <row r="2882" spans="1:4" ht="15" x14ac:dyDescent="0.25">
      <c r="A2882">
        <v>9983</v>
      </c>
      <c r="B2882" t="s">
        <v>9200</v>
      </c>
      <c r="C2882" t="s">
        <v>5043</v>
      </c>
      <c r="D2882" t="s">
        <v>8401</v>
      </c>
    </row>
    <row r="2883" spans="1:4" ht="15" x14ac:dyDescent="0.25">
      <c r="A2883">
        <v>6924</v>
      </c>
      <c r="B2883" t="s">
        <v>9201</v>
      </c>
      <c r="C2883" t="s">
        <v>5043</v>
      </c>
      <c r="D2883" t="s">
        <v>8401</v>
      </c>
    </row>
    <row r="2884" spans="1:4" ht="15" x14ac:dyDescent="0.25">
      <c r="A2884">
        <v>10267</v>
      </c>
      <c r="B2884" t="s">
        <v>9202</v>
      </c>
      <c r="C2884" t="s">
        <v>5043</v>
      </c>
      <c r="D2884" t="s">
        <v>8401</v>
      </c>
    </row>
    <row r="2885" spans="1:4" ht="15" x14ac:dyDescent="0.25">
      <c r="A2885">
        <v>10386</v>
      </c>
      <c r="B2885" t="s">
        <v>9202</v>
      </c>
      <c r="C2885" t="s">
        <v>5043</v>
      </c>
      <c r="D2885" t="s">
        <v>8401</v>
      </c>
    </row>
    <row r="2886" spans="1:4" ht="15" x14ac:dyDescent="0.25">
      <c r="A2886">
        <v>10422</v>
      </c>
      <c r="B2886" t="s">
        <v>9202</v>
      </c>
      <c r="C2886" t="s">
        <v>5043</v>
      </c>
      <c r="D2886" t="s">
        <v>8401</v>
      </c>
    </row>
    <row r="2887" spans="1:4" ht="15" x14ac:dyDescent="0.25">
      <c r="A2887">
        <v>10501</v>
      </c>
      <c r="B2887" t="s">
        <v>9202</v>
      </c>
      <c r="C2887" t="s">
        <v>5043</v>
      </c>
      <c r="D2887" t="s">
        <v>8401</v>
      </c>
    </row>
    <row r="2888" spans="1:4" ht="15" x14ac:dyDescent="0.25">
      <c r="A2888">
        <v>10799</v>
      </c>
      <c r="B2888" t="s">
        <v>9202</v>
      </c>
      <c r="C2888" t="s">
        <v>5043</v>
      </c>
      <c r="D2888" t="s">
        <v>8401</v>
      </c>
    </row>
    <row r="2889" spans="1:4" ht="15" x14ac:dyDescent="0.25">
      <c r="A2889">
        <v>11115</v>
      </c>
      <c r="B2889" t="s">
        <v>9202</v>
      </c>
      <c r="C2889" t="s">
        <v>5043</v>
      </c>
      <c r="D2889" t="s">
        <v>8401</v>
      </c>
    </row>
    <row r="2890" spans="1:4" ht="15" x14ac:dyDescent="0.25">
      <c r="A2890">
        <v>11931</v>
      </c>
      <c r="B2890" t="s">
        <v>9202</v>
      </c>
      <c r="C2890" t="s">
        <v>5043</v>
      </c>
      <c r="D2890" t="s">
        <v>8401</v>
      </c>
    </row>
    <row r="2891" spans="1:4" ht="15" x14ac:dyDescent="0.25">
      <c r="A2891">
        <v>12004</v>
      </c>
      <c r="B2891" t="s">
        <v>9202</v>
      </c>
      <c r="C2891" t="s">
        <v>5043</v>
      </c>
      <c r="D2891" t="s">
        <v>8401</v>
      </c>
    </row>
    <row r="2892" spans="1:4" ht="15" x14ac:dyDescent="0.25">
      <c r="A2892">
        <v>6688</v>
      </c>
      <c r="B2892" t="s">
        <v>9202</v>
      </c>
      <c r="C2892" t="s">
        <v>5043</v>
      </c>
      <c r="D2892" t="s">
        <v>8401</v>
      </c>
    </row>
    <row r="2893" spans="1:4" ht="15" x14ac:dyDescent="0.25">
      <c r="A2893">
        <v>6693</v>
      </c>
      <c r="B2893" t="s">
        <v>9202</v>
      </c>
      <c r="C2893" t="s">
        <v>5043</v>
      </c>
      <c r="D2893" t="s">
        <v>8401</v>
      </c>
    </row>
    <row r="2894" spans="1:4" ht="15" x14ac:dyDescent="0.25">
      <c r="A2894">
        <v>6819</v>
      </c>
      <c r="B2894" t="s">
        <v>9202</v>
      </c>
      <c r="C2894" t="s">
        <v>5043</v>
      </c>
      <c r="D2894" t="s">
        <v>8401</v>
      </c>
    </row>
    <row r="2895" spans="1:4" ht="15" x14ac:dyDescent="0.25">
      <c r="A2895">
        <v>7295</v>
      </c>
      <c r="B2895" t="s">
        <v>9202</v>
      </c>
      <c r="C2895" t="s">
        <v>5043</v>
      </c>
      <c r="D2895" t="s">
        <v>8401</v>
      </c>
    </row>
    <row r="2896" spans="1:4" ht="15" x14ac:dyDescent="0.25">
      <c r="A2896">
        <v>7453</v>
      </c>
      <c r="B2896" t="s">
        <v>9202</v>
      </c>
      <c r="C2896" t="s">
        <v>5043</v>
      </c>
      <c r="D2896" t="s">
        <v>8401</v>
      </c>
    </row>
    <row r="2897" spans="1:4" ht="15" x14ac:dyDescent="0.25">
      <c r="A2897">
        <v>8403</v>
      </c>
      <c r="B2897" t="s">
        <v>9202</v>
      </c>
      <c r="C2897" t="s">
        <v>5043</v>
      </c>
      <c r="D2897" t="s">
        <v>8401</v>
      </c>
    </row>
    <row r="2898" spans="1:4" ht="15" x14ac:dyDescent="0.25">
      <c r="A2898">
        <v>8457</v>
      </c>
      <c r="B2898" t="s">
        <v>9202</v>
      </c>
      <c r="C2898" t="s">
        <v>5043</v>
      </c>
      <c r="D2898" t="s">
        <v>8401</v>
      </c>
    </row>
    <row r="2899" spans="1:4" ht="15" x14ac:dyDescent="0.25">
      <c r="A2899">
        <v>8477</v>
      </c>
      <c r="B2899" t="s">
        <v>9202</v>
      </c>
      <c r="C2899" t="s">
        <v>5043</v>
      </c>
      <c r="D2899" t="s">
        <v>8401</v>
      </c>
    </row>
    <row r="2900" spans="1:4" ht="15" x14ac:dyDescent="0.25">
      <c r="A2900">
        <v>8941</v>
      </c>
      <c r="B2900" t="s">
        <v>9202</v>
      </c>
      <c r="C2900" t="s">
        <v>5043</v>
      </c>
      <c r="D2900" t="s">
        <v>8401</v>
      </c>
    </row>
    <row r="2901" spans="1:4" ht="15" x14ac:dyDescent="0.25">
      <c r="A2901">
        <v>9360</v>
      </c>
      <c r="B2901" t="s">
        <v>9202</v>
      </c>
      <c r="C2901" t="s">
        <v>5043</v>
      </c>
      <c r="D2901" t="s">
        <v>8401</v>
      </c>
    </row>
    <row r="2902" spans="1:4" ht="15" x14ac:dyDescent="0.25">
      <c r="A2902">
        <v>9831</v>
      </c>
      <c r="B2902" t="s">
        <v>9202</v>
      </c>
      <c r="C2902" t="s">
        <v>5043</v>
      </c>
      <c r="D2902" t="s">
        <v>8401</v>
      </c>
    </row>
    <row r="2903" spans="1:4" ht="15" x14ac:dyDescent="0.25">
      <c r="A2903">
        <v>9867</v>
      </c>
      <c r="B2903" t="s">
        <v>9202</v>
      </c>
      <c r="C2903" t="s">
        <v>5043</v>
      </c>
      <c r="D2903" t="s">
        <v>8401</v>
      </c>
    </row>
    <row r="2904" spans="1:4" ht="15" x14ac:dyDescent="0.25">
      <c r="A2904">
        <v>7986</v>
      </c>
      <c r="B2904" t="s">
        <v>9203</v>
      </c>
      <c r="C2904" t="s">
        <v>5043</v>
      </c>
      <c r="D2904" t="s">
        <v>8401</v>
      </c>
    </row>
    <row r="2905" spans="1:4" ht="15" x14ac:dyDescent="0.25">
      <c r="A2905">
        <v>8498</v>
      </c>
      <c r="B2905" t="s">
        <v>9203</v>
      </c>
      <c r="C2905" t="s">
        <v>5043</v>
      </c>
      <c r="D2905" t="s">
        <v>8401</v>
      </c>
    </row>
    <row r="2906" spans="1:4" ht="15" x14ac:dyDescent="0.25">
      <c r="A2906">
        <v>9488</v>
      </c>
      <c r="B2906" t="s">
        <v>9203</v>
      </c>
      <c r="C2906" t="s">
        <v>5043</v>
      </c>
      <c r="D2906" t="s">
        <v>8401</v>
      </c>
    </row>
    <row r="2907" spans="1:4" ht="15" x14ac:dyDescent="0.25">
      <c r="A2907">
        <v>11548</v>
      </c>
      <c r="B2907" t="s">
        <v>9204</v>
      </c>
      <c r="C2907" t="s">
        <v>5043</v>
      </c>
      <c r="D2907" t="s">
        <v>8401</v>
      </c>
    </row>
    <row r="2908" spans="1:4" ht="15" x14ac:dyDescent="0.25">
      <c r="A2908">
        <v>7641</v>
      </c>
      <c r="B2908" t="s">
        <v>9204</v>
      </c>
      <c r="C2908" t="s">
        <v>5043</v>
      </c>
      <c r="D2908" t="s">
        <v>8401</v>
      </c>
    </row>
    <row r="2909" spans="1:4" ht="15" x14ac:dyDescent="0.25">
      <c r="A2909">
        <v>8248</v>
      </c>
      <c r="B2909" t="s">
        <v>9204</v>
      </c>
      <c r="C2909" t="s">
        <v>5043</v>
      </c>
      <c r="D2909" t="s">
        <v>8401</v>
      </c>
    </row>
    <row r="2910" spans="1:4" ht="15" x14ac:dyDescent="0.25">
      <c r="A2910">
        <v>8287</v>
      </c>
      <c r="B2910" t="s">
        <v>9204</v>
      </c>
      <c r="C2910" t="s">
        <v>5043</v>
      </c>
      <c r="D2910" t="s">
        <v>8401</v>
      </c>
    </row>
    <row r="2911" spans="1:4" ht="15" x14ac:dyDescent="0.25">
      <c r="A2911">
        <v>11961</v>
      </c>
      <c r="B2911" t="s">
        <v>9205</v>
      </c>
      <c r="C2911" t="s">
        <v>5043</v>
      </c>
      <c r="D2911" t="s">
        <v>8401</v>
      </c>
    </row>
    <row r="2912" spans="1:4" ht="15" x14ac:dyDescent="0.25">
      <c r="A2912">
        <v>12113</v>
      </c>
      <c r="B2912" t="s">
        <v>9205</v>
      </c>
      <c r="C2912" t="s">
        <v>5043</v>
      </c>
      <c r="D2912" t="s">
        <v>8401</v>
      </c>
    </row>
    <row r="2913" spans="1:4" ht="15" x14ac:dyDescent="0.25">
      <c r="A2913">
        <v>8060</v>
      </c>
      <c r="B2913" t="s">
        <v>9205</v>
      </c>
      <c r="C2913" t="s">
        <v>5043</v>
      </c>
      <c r="D2913" t="s">
        <v>8401</v>
      </c>
    </row>
    <row r="2914" spans="1:4" ht="15" x14ac:dyDescent="0.25">
      <c r="A2914">
        <v>11173</v>
      </c>
      <c r="B2914" t="s">
        <v>9206</v>
      </c>
      <c r="C2914" t="s">
        <v>5043</v>
      </c>
      <c r="D2914" t="s">
        <v>8401</v>
      </c>
    </row>
    <row r="2915" spans="1:4" ht="15" x14ac:dyDescent="0.25">
      <c r="A2915">
        <v>6826</v>
      </c>
      <c r="B2915" t="s">
        <v>9206</v>
      </c>
      <c r="C2915" t="s">
        <v>5043</v>
      </c>
      <c r="D2915" t="s">
        <v>8401</v>
      </c>
    </row>
    <row r="2916" spans="1:4" ht="15" x14ac:dyDescent="0.25">
      <c r="A2916">
        <v>7553</v>
      </c>
      <c r="B2916" t="s">
        <v>9206</v>
      </c>
      <c r="C2916" t="s">
        <v>5043</v>
      </c>
      <c r="D2916" t="s">
        <v>8401</v>
      </c>
    </row>
    <row r="2917" spans="1:4" ht="15" x14ac:dyDescent="0.25">
      <c r="A2917">
        <v>8527</v>
      </c>
      <c r="B2917" t="s">
        <v>9206</v>
      </c>
      <c r="C2917" t="s">
        <v>5043</v>
      </c>
      <c r="D2917" t="s">
        <v>8401</v>
      </c>
    </row>
    <row r="2918" spans="1:4" ht="15" x14ac:dyDescent="0.25">
      <c r="A2918">
        <v>10527</v>
      </c>
      <c r="B2918" t="s">
        <v>9207</v>
      </c>
      <c r="C2918" t="s">
        <v>5043</v>
      </c>
      <c r="D2918" t="s">
        <v>8401</v>
      </c>
    </row>
    <row r="2919" spans="1:4" ht="15" x14ac:dyDescent="0.25">
      <c r="A2919">
        <v>7842</v>
      </c>
      <c r="B2919" t="s">
        <v>9208</v>
      </c>
      <c r="C2919" t="s">
        <v>5043</v>
      </c>
      <c r="D2919" t="s">
        <v>8401</v>
      </c>
    </row>
    <row r="2920" spans="1:4" ht="15" x14ac:dyDescent="0.25">
      <c r="A2920">
        <v>9407</v>
      </c>
      <c r="B2920" t="s">
        <v>9209</v>
      </c>
      <c r="C2920" t="s">
        <v>5043</v>
      </c>
      <c r="D2920" t="s">
        <v>8401</v>
      </c>
    </row>
    <row r="2921" spans="1:4" ht="15" x14ac:dyDescent="0.25">
      <c r="A2921">
        <v>7246</v>
      </c>
      <c r="B2921" t="s">
        <v>11019</v>
      </c>
      <c r="C2921" t="s">
        <v>5043</v>
      </c>
      <c r="D2921" t="s">
        <v>8401</v>
      </c>
    </row>
    <row r="2922" spans="1:4" ht="15" x14ac:dyDescent="0.25">
      <c r="A2922">
        <v>8727</v>
      </c>
      <c r="B2922" t="s">
        <v>11019</v>
      </c>
      <c r="C2922" t="s">
        <v>5043</v>
      </c>
      <c r="D2922" t="s">
        <v>8401</v>
      </c>
    </row>
    <row r="2923" spans="1:4" ht="15" x14ac:dyDescent="0.25">
      <c r="A2923">
        <v>11474</v>
      </c>
      <c r="B2923" t="s">
        <v>11020</v>
      </c>
      <c r="C2923" t="s">
        <v>5043</v>
      </c>
      <c r="D2923" t="s">
        <v>8401</v>
      </c>
    </row>
    <row r="2924" spans="1:4" ht="15" x14ac:dyDescent="0.25">
      <c r="A2924">
        <v>8317</v>
      </c>
      <c r="B2924" t="s">
        <v>9210</v>
      </c>
      <c r="C2924" t="s">
        <v>5043</v>
      </c>
      <c r="D2924" t="s">
        <v>8401</v>
      </c>
    </row>
    <row r="2925" spans="1:4" ht="15" x14ac:dyDescent="0.25">
      <c r="A2925">
        <v>10010</v>
      </c>
      <c r="B2925" t="s">
        <v>9211</v>
      </c>
      <c r="C2925" t="s">
        <v>5043</v>
      </c>
      <c r="D2925" t="s">
        <v>8401</v>
      </c>
    </row>
    <row r="2926" spans="1:4" ht="15" x14ac:dyDescent="0.25">
      <c r="A2926">
        <v>10276</v>
      </c>
      <c r="B2926" t="s">
        <v>9211</v>
      </c>
      <c r="C2926" t="s">
        <v>5043</v>
      </c>
      <c r="D2926" t="s">
        <v>8401</v>
      </c>
    </row>
    <row r="2927" spans="1:4" ht="15" x14ac:dyDescent="0.25">
      <c r="A2927">
        <v>10436</v>
      </c>
      <c r="B2927" t="s">
        <v>9211</v>
      </c>
      <c r="C2927" t="s">
        <v>5043</v>
      </c>
      <c r="D2927" t="s">
        <v>8401</v>
      </c>
    </row>
    <row r="2928" spans="1:4" ht="15" x14ac:dyDescent="0.25">
      <c r="A2928">
        <v>11032</v>
      </c>
      <c r="B2928" t="s">
        <v>9211</v>
      </c>
      <c r="C2928" t="s">
        <v>5043</v>
      </c>
      <c r="D2928" t="s">
        <v>8401</v>
      </c>
    </row>
    <row r="2929" spans="1:4" ht="15" x14ac:dyDescent="0.25">
      <c r="A2929">
        <v>11405</v>
      </c>
      <c r="B2929" t="s">
        <v>9211</v>
      </c>
      <c r="C2929" t="s">
        <v>5043</v>
      </c>
      <c r="D2929" t="s">
        <v>8401</v>
      </c>
    </row>
    <row r="2930" spans="1:4" ht="15" x14ac:dyDescent="0.25">
      <c r="A2930">
        <v>11783</v>
      </c>
      <c r="B2930" t="s">
        <v>9211</v>
      </c>
      <c r="C2930" t="s">
        <v>5043</v>
      </c>
      <c r="D2930" t="s">
        <v>8401</v>
      </c>
    </row>
    <row r="2931" spans="1:4" ht="15" x14ac:dyDescent="0.25">
      <c r="A2931">
        <v>9502</v>
      </c>
      <c r="B2931" t="s">
        <v>9211</v>
      </c>
      <c r="C2931" t="s">
        <v>5043</v>
      </c>
      <c r="D2931" t="s">
        <v>8401</v>
      </c>
    </row>
    <row r="2932" spans="1:4" ht="15" x14ac:dyDescent="0.25">
      <c r="A2932">
        <v>9904</v>
      </c>
      <c r="B2932" t="s">
        <v>9211</v>
      </c>
      <c r="C2932" t="s">
        <v>5043</v>
      </c>
      <c r="D2932" t="s">
        <v>8401</v>
      </c>
    </row>
    <row r="2933" spans="1:4" ht="15" x14ac:dyDescent="0.25">
      <c r="A2933">
        <v>9244</v>
      </c>
      <c r="B2933" t="s">
        <v>11021</v>
      </c>
      <c r="C2933" t="s">
        <v>5043</v>
      </c>
      <c r="D2933" t="s">
        <v>8401</v>
      </c>
    </row>
    <row r="2934" spans="1:4" ht="15" x14ac:dyDescent="0.25">
      <c r="A2934">
        <v>10046</v>
      </c>
      <c r="B2934" t="s">
        <v>9212</v>
      </c>
      <c r="C2934" t="s">
        <v>5043</v>
      </c>
      <c r="D2934" t="s">
        <v>8401</v>
      </c>
    </row>
    <row r="2935" spans="1:4" ht="15" x14ac:dyDescent="0.25">
      <c r="A2935">
        <v>10287</v>
      </c>
      <c r="B2935" t="s">
        <v>9212</v>
      </c>
      <c r="C2935" t="s">
        <v>5043</v>
      </c>
      <c r="D2935" t="s">
        <v>8401</v>
      </c>
    </row>
    <row r="2936" spans="1:4" ht="15" x14ac:dyDescent="0.25">
      <c r="A2936">
        <v>10419</v>
      </c>
      <c r="B2936" t="s">
        <v>9212</v>
      </c>
      <c r="C2936" t="s">
        <v>5043</v>
      </c>
      <c r="D2936" t="s">
        <v>8401</v>
      </c>
    </row>
    <row r="2937" spans="1:4" ht="15" x14ac:dyDescent="0.25">
      <c r="A2937">
        <v>10529</v>
      </c>
      <c r="B2937" t="s">
        <v>9212</v>
      </c>
      <c r="C2937" t="s">
        <v>5043</v>
      </c>
      <c r="D2937" t="s">
        <v>8401</v>
      </c>
    </row>
    <row r="2938" spans="1:4" ht="15" x14ac:dyDescent="0.25">
      <c r="A2938">
        <v>10647</v>
      </c>
      <c r="B2938" t="s">
        <v>9212</v>
      </c>
      <c r="C2938" t="s">
        <v>5043</v>
      </c>
      <c r="D2938" t="s">
        <v>8401</v>
      </c>
    </row>
    <row r="2939" spans="1:4" ht="15" x14ac:dyDescent="0.25">
      <c r="A2939">
        <v>10702</v>
      </c>
      <c r="B2939" t="s">
        <v>9212</v>
      </c>
      <c r="C2939" t="s">
        <v>5043</v>
      </c>
      <c r="D2939" t="s">
        <v>8401</v>
      </c>
    </row>
    <row r="2940" spans="1:4" ht="15" x14ac:dyDescent="0.25">
      <c r="A2940">
        <v>10713</v>
      </c>
      <c r="B2940" t="s">
        <v>9212</v>
      </c>
      <c r="C2940" t="s">
        <v>5043</v>
      </c>
      <c r="D2940" t="s">
        <v>8401</v>
      </c>
    </row>
    <row r="2941" spans="1:4" ht="15" x14ac:dyDescent="0.25">
      <c r="A2941">
        <v>10871</v>
      </c>
      <c r="B2941" t="s">
        <v>9212</v>
      </c>
      <c r="C2941" t="s">
        <v>5043</v>
      </c>
      <c r="D2941" t="s">
        <v>8401</v>
      </c>
    </row>
    <row r="2942" spans="1:4" ht="15" x14ac:dyDescent="0.25">
      <c r="A2942">
        <v>11197</v>
      </c>
      <c r="B2942" t="s">
        <v>9212</v>
      </c>
      <c r="C2942" t="s">
        <v>5043</v>
      </c>
      <c r="D2942" t="s">
        <v>8401</v>
      </c>
    </row>
    <row r="2943" spans="1:4" ht="15" x14ac:dyDescent="0.25">
      <c r="A2943">
        <v>11220</v>
      </c>
      <c r="B2943" t="s">
        <v>9212</v>
      </c>
      <c r="C2943" t="s">
        <v>5043</v>
      </c>
      <c r="D2943" t="s">
        <v>8401</v>
      </c>
    </row>
    <row r="2944" spans="1:4" ht="15" x14ac:dyDescent="0.25">
      <c r="A2944">
        <v>11296</v>
      </c>
      <c r="B2944" t="s">
        <v>9212</v>
      </c>
      <c r="C2944" t="s">
        <v>5043</v>
      </c>
      <c r="D2944" t="s">
        <v>8401</v>
      </c>
    </row>
    <row r="2945" spans="1:4" ht="15" x14ac:dyDescent="0.25">
      <c r="A2945">
        <v>11631</v>
      </c>
      <c r="B2945" t="s">
        <v>9212</v>
      </c>
      <c r="C2945" t="s">
        <v>5043</v>
      </c>
      <c r="D2945" t="s">
        <v>8401</v>
      </c>
    </row>
    <row r="2946" spans="1:4" ht="15" x14ac:dyDescent="0.25">
      <c r="A2946">
        <v>11732</v>
      </c>
      <c r="B2946" t="s">
        <v>9212</v>
      </c>
      <c r="C2946" t="s">
        <v>5043</v>
      </c>
      <c r="D2946" t="s">
        <v>8401</v>
      </c>
    </row>
    <row r="2947" spans="1:4" ht="15" x14ac:dyDescent="0.25">
      <c r="A2947">
        <v>12094</v>
      </c>
      <c r="B2947" t="s">
        <v>9212</v>
      </c>
      <c r="C2947" t="s">
        <v>5043</v>
      </c>
      <c r="D2947" t="s">
        <v>8401</v>
      </c>
    </row>
    <row r="2948" spans="1:4" ht="15" x14ac:dyDescent="0.25">
      <c r="A2948">
        <v>6748</v>
      </c>
      <c r="B2948" t="s">
        <v>9212</v>
      </c>
      <c r="C2948" t="s">
        <v>5043</v>
      </c>
      <c r="D2948" t="s">
        <v>8401</v>
      </c>
    </row>
    <row r="2949" spans="1:4" ht="15" x14ac:dyDescent="0.25">
      <c r="A2949">
        <v>7132</v>
      </c>
      <c r="B2949" t="s">
        <v>9212</v>
      </c>
      <c r="C2949" t="s">
        <v>5043</v>
      </c>
      <c r="D2949" t="s">
        <v>8401</v>
      </c>
    </row>
    <row r="2950" spans="1:4" ht="15" x14ac:dyDescent="0.25">
      <c r="A2950">
        <v>7601</v>
      </c>
      <c r="B2950" t="s">
        <v>9212</v>
      </c>
      <c r="C2950" t="s">
        <v>5043</v>
      </c>
      <c r="D2950" t="s">
        <v>8401</v>
      </c>
    </row>
    <row r="2951" spans="1:4" ht="15" x14ac:dyDescent="0.25">
      <c r="A2951">
        <v>7611</v>
      </c>
      <c r="B2951" t="s">
        <v>9212</v>
      </c>
      <c r="C2951" t="s">
        <v>5043</v>
      </c>
      <c r="D2951" t="s">
        <v>8401</v>
      </c>
    </row>
    <row r="2952" spans="1:4" ht="15" x14ac:dyDescent="0.25">
      <c r="A2952">
        <v>7753</v>
      </c>
      <c r="B2952" t="s">
        <v>9212</v>
      </c>
      <c r="C2952" t="s">
        <v>5043</v>
      </c>
      <c r="D2952" t="s">
        <v>8401</v>
      </c>
    </row>
    <row r="2953" spans="1:4" ht="15" x14ac:dyDescent="0.25">
      <c r="A2953">
        <v>7754</v>
      </c>
      <c r="B2953" t="s">
        <v>9212</v>
      </c>
      <c r="C2953" t="s">
        <v>5043</v>
      </c>
      <c r="D2953" t="s">
        <v>8401</v>
      </c>
    </row>
    <row r="2954" spans="1:4" ht="15" x14ac:dyDescent="0.25">
      <c r="A2954">
        <v>7981</v>
      </c>
      <c r="B2954" t="s">
        <v>9212</v>
      </c>
      <c r="C2954" t="s">
        <v>5043</v>
      </c>
      <c r="D2954" t="s">
        <v>8401</v>
      </c>
    </row>
    <row r="2955" spans="1:4" ht="15" x14ac:dyDescent="0.25">
      <c r="A2955">
        <v>8013</v>
      </c>
      <c r="B2955" t="s">
        <v>9212</v>
      </c>
      <c r="C2955" t="s">
        <v>5043</v>
      </c>
      <c r="D2955" t="s">
        <v>8401</v>
      </c>
    </row>
    <row r="2956" spans="1:4" ht="15" x14ac:dyDescent="0.25">
      <c r="A2956">
        <v>8049</v>
      </c>
      <c r="B2956" t="s">
        <v>9212</v>
      </c>
      <c r="C2956" t="s">
        <v>5043</v>
      </c>
      <c r="D2956" t="s">
        <v>8401</v>
      </c>
    </row>
    <row r="2957" spans="1:4" ht="15" x14ac:dyDescent="0.25">
      <c r="A2957">
        <v>8450</v>
      </c>
      <c r="B2957" t="s">
        <v>9212</v>
      </c>
      <c r="C2957" t="s">
        <v>5043</v>
      </c>
      <c r="D2957" t="s">
        <v>8401</v>
      </c>
    </row>
    <row r="2958" spans="1:4" ht="15" x14ac:dyDescent="0.25">
      <c r="A2958">
        <v>8618</v>
      </c>
      <c r="B2958" t="s">
        <v>9212</v>
      </c>
      <c r="C2958" t="s">
        <v>5043</v>
      </c>
      <c r="D2958" t="s">
        <v>8401</v>
      </c>
    </row>
    <row r="2959" spans="1:4" ht="15" x14ac:dyDescent="0.25">
      <c r="A2959">
        <v>8719</v>
      </c>
      <c r="B2959" t="s">
        <v>9212</v>
      </c>
      <c r="C2959" t="s">
        <v>5043</v>
      </c>
      <c r="D2959" t="s">
        <v>8401</v>
      </c>
    </row>
    <row r="2960" spans="1:4" ht="15" x14ac:dyDescent="0.25">
      <c r="A2960">
        <v>8939</v>
      </c>
      <c r="B2960" t="s">
        <v>9212</v>
      </c>
      <c r="C2960" t="s">
        <v>5043</v>
      </c>
      <c r="D2960" t="s">
        <v>8401</v>
      </c>
    </row>
    <row r="2961" spans="1:4" ht="15" x14ac:dyDescent="0.25">
      <c r="A2961">
        <v>9586</v>
      </c>
      <c r="B2961" t="s">
        <v>9212</v>
      </c>
      <c r="C2961" t="s">
        <v>5043</v>
      </c>
      <c r="D2961" t="s">
        <v>8401</v>
      </c>
    </row>
    <row r="2962" spans="1:4" ht="15" x14ac:dyDescent="0.25">
      <c r="A2962">
        <v>9647</v>
      </c>
      <c r="B2962" t="s">
        <v>9212</v>
      </c>
      <c r="C2962" t="s">
        <v>5043</v>
      </c>
      <c r="D2962" t="s">
        <v>8401</v>
      </c>
    </row>
    <row r="2963" spans="1:4" ht="15" x14ac:dyDescent="0.25">
      <c r="A2963">
        <v>10172</v>
      </c>
      <c r="B2963" t="s">
        <v>9213</v>
      </c>
      <c r="C2963" t="s">
        <v>5043</v>
      </c>
      <c r="D2963" t="s">
        <v>8401</v>
      </c>
    </row>
    <row r="2964" spans="1:4" ht="15" x14ac:dyDescent="0.25">
      <c r="A2964">
        <v>10678</v>
      </c>
      <c r="B2964" t="s">
        <v>9213</v>
      </c>
      <c r="C2964" t="s">
        <v>5043</v>
      </c>
      <c r="D2964" t="s">
        <v>8401</v>
      </c>
    </row>
    <row r="2965" spans="1:4" ht="15" x14ac:dyDescent="0.25">
      <c r="A2965">
        <v>12125</v>
      </c>
      <c r="B2965" t="s">
        <v>9213</v>
      </c>
      <c r="C2965" t="s">
        <v>5043</v>
      </c>
      <c r="D2965" t="s">
        <v>8401</v>
      </c>
    </row>
    <row r="2966" spans="1:4" ht="15" x14ac:dyDescent="0.25">
      <c r="A2966">
        <v>8571</v>
      </c>
      <c r="B2966" t="s">
        <v>9213</v>
      </c>
      <c r="C2966" t="s">
        <v>5043</v>
      </c>
      <c r="D2966" t="s">
        <v>8401</v>
      </c>
    </row>
    <row r="2967" spans="1:4" ht="15" x14ac:dyDescent="0.25">
      <c r="A2967">
        <v>10109</v>
      </c>
      <c r="B2967" t="s">
        <v>9214</v>
      </c>
      <c r="C2967" t="s">
        <v>5043</v>
      </c>
      <c r="D2967" t="s">
        <v>8401</v>
      </c>
    </row>
    <row r="2968" spans="1:4" ht="15" x14ac:dyDescent="0.25">
      <c r="A2968">
        <v>10636</v>
      </c>
      <c r="B2968" t="s">
        <v>9214</v>
      </c>
      <c r="C2968" t="s">
        <v>5043</v>
      </c>
      <c r="D2968" t="s">
        <v>8401</v>
      </c>
    </row>
    <row r="2969" spans="1:4" ht="15" x14ac:dyDescent="0.25">
      <c r="A2969">
        <v>11424</v>
      </c>
      <c r="B2969" t="s">
        <v>9214</v>
      </c>
      <c r="C2969" t="s">
        <v>5043</v>
      </c>
      <c r="D2969" t="s">
        <v>8401</v>
      </c>
    </row>
    <row r="2970" spans="1:4" ht="15" x14ac:dyDescent="0.25">
      <c r="A2970">
        <v>7170</v>
      </c>
      <c r="B2970" t="s">
        <v>9214</v>
      </c>
      <c r="C2970" t="s">
        <v>5043</v>
      </c>
      <c r="D2970" t="s">
        <v>8401</v>
      </c>
    </row>
    <row r="2971" spans="1:4" ht="15" x14ac:dyDescent="0.25">
      <c r="A2971">
        <v>7479</v>
      </c>
      <c r="B2971" t="s">
        <v>9214</v>
      </c>
      <c r="C2971" t="s">
        <v>5043</v>
      </c>
      <c r="D2971" t="s">
        <v>8401</v>
      </c>
    </row>
    <row r="2972" spans="1:4" ht="15" x14ac:dyDescent="0.25">
      <c r="A2972">
        <v>7599</v>
      </c>
      <c r="B2972" t="s">
        <v>9214</v>
      </c>
      <c r="C2972" t="s">
        <v>5043</v>
      </c>
      <c r="D2972" t="s">
        <v>8401</v>
      </c>
    </row>
    <row r="2973" spans="1:4" ht="15" x14ac:dyDescent="0.25">
      <c r="A2973">
        <v>8198</v>
      </c>
      <c r="B2973" t="s">
        <v>9214</v>
      </c>
      <c r="C2973" t="s">
        <v>5043</v>
      </c>
      <c r="D2973" t="s">
        <v>8401</v>
      </c>
    </row>
    <row r="2974" spans="1:4" ht="15" x14ac:dyDescent="0.25">
      <c r="A2974">
        <v>8444</v>
      </c>
      <c r="B2974" t="s">
        <v>9214</v>
      </c>
      <c r="C2974" t="s">
        <v>5043</v>
      </c>
      <c r="D2974" t="s">
        <v>8401</v>
      </c>
    </row>
    <row r="2975" spans="1:4" ht="15" x14ac:dyDescent="0.25">
      <c r="A2975">
        <v>9794</v>
      </c>
      <c r="B2975" t="s">
        <v>9214</v>
      </c>
      <c r="C2975" t="s">
        <v>5043</v>
      </c>
      <c r="D2975" t="s">
        <v>8401</v>
      </c>
    </row>
    <row r="2976" spans="1:4" ht="15" x14ac:dyDescent="0.25">
      <c r="A2976">
        <v>10391</v>
      </c>
      <c r="B2976" t="s">
        <v>9215</v>
      </c>
      <c r="C2976" t="s">
        <v>5043</v>
      </c>
      <c r="D2976" t="s">
        <v>8401</v>
      </c>
    </row>
    <row r="2977" spans="1:4" ht="15" x14ac:dyDescent="0.25">
      <c r="A2977">
        <v>10640</v>
      </c>
      <c r="B2977" t="s">
        <v>9215</v>
      </c>
      <c r="C2977" t="s">
        <v>5043</v>
      </c>
      <c r="D2977" t="s">
        <v>8401</v>
      </c>
    </row>
    <row r="2978" spans="1:4" ht="15" x14ac:dyDescent="0.25">
      <c r="A2978">
        <v>10655</v>
      </c>
      <c r="B2978" t="s">
        <v>9215</v>
      </c>
      <c r="C2978" t="s">
        <v>5043</v>
      </c>
      <c r="D2978" t="s">
        <v>8401</v>
      </c>
    </row>
    <row r="2979" spans="1:4" ht="15" x14ac:dyDescent="0.25">
      <c r="A2979">
        <v>11332</v>
      </c>
      <c r="B2979" t="s">
        <v>9215</v>
      </c>
      <c r="C2979" t="s">
        <v>5043</v>
      </c>
      <c r="D2979" t="s">
        <v>8401</v>
      </c>
    </row>
    <row r="2980" spans="1:4" ht="15" x14ac:dyDescent="0.25">
      <c r="A2980">
        <v>11334</v>
      </c>
      <c r="B2980" t="s">
        <v>9215</v>
      </c>
      <c r="C2980" t="s">
        <v>5043</v>
      </c>
      <c r="D2980" t="s">
        <v>8401</v>
      </c>
    </row>
    <row r="2981" spans="1:4" ht="15" x14ac:dyDescent="0.25">
      <c r="A2981">
        <v>11940</v>
      </c>
      <c r="B2981" t="s">
        <v>9215</v>
      </c>
      <c r="C2981" t="s">
        <v>5043</v>
      </c>
      <c r="D2981" t="s">
        <v>8401</v>
      </c>
    </row>
    <row r="2982" spans="1:4" ht="15" x14ac:dyDescent="0.25">
      <c r="A2982">
        <v>6706</v>
      </c>
      <c r="B2982" t="s">
        <v>9215</v>
      </c>
      <c r="C2982" t="s">
        <v>5043</v>
      </c>
      <c r="D2982" t="s">
        <v>8401</v>
      </c>
    </row>
    <row r="2983" spans="1:4" ht="15" x14ac:dyDescent="0.25">
      <c r="A2983">
        <v>7165</v>
      </c>
      <c r="B2983" t="s">
        <v>9215</v>
      </c>
      <c r="C2983" t="s">
        <v>5043</v>
      </c>
      <c r="D2983" t="s">
        <v>8401</v>
      </c>
    </row>
    <row r="2984" spans="1:4" ht="15" x14ac:dyDescent="0.25">
      <c r="A2984">
        <v>8111</v>
      </c>
      <c r="B2984" t="s">
        <v>9215</v>
      </c>
      <c r="C2984" t="s">
        <v>5043</v>
      </c>
      <c r="D2984" t="s">
        <v>8401</v>
      </c>
    </row>
    <row r="2985" spans="1:4" ht="15" x14ac:dyDescent="0.25">
      <c r="A2985">
        <v>8236</v>
      </c>
      <c r="B2985" t="s">
        <v>9215</v>
      </c>
      <c r="C2985" t="s">
        <v>5043</v>
      </c>
      <c r="D2985" t="s">
        <v>8401</v>
      </c>
    </row>
    <row r="2986" spans="1:4" ht="15" x14ac:dyDescent="0.25">
      <c r="A2986">
        <v>8597</v>
      </c>
      <c r="B2986" t="s">
        <v>9215</v>
      </c>
      <c r="C2986" t="s">
        <v>5043</v>
      </c>
      <c r="D2986" t="s">
        <v>8401</v>
      </c>
    </row>
    <row r="2987" spans="1:4" ht="15" x14ac:dyDescent="0.25">
      <c r="A2987">
        <v>8860</v>
      </c>
      <c r="B2987" t="s">
        <v>9215</v>
      </c>
      <c r="C2987" t="s">
        <v>5043</v>
      </c>
      <c r="D2987" t="s">
        <v>8401</v>
      </c>
    </row>
    <row r="2988" spans="1:4" ht="15" x14ac:dyDescent="0.25">
      <c r="A2988">
        <v>9605</v>
      </c>
      <c r="B2988" t="s">
        <v>9215</v>
      </c>
      <c r="C2988" t="s">
        <v>5043</v>
      </c>
      <c r="D2988" t="s">
        <v>8401</v>
      </c>
    </row>
    <row r="2989" spans="1:4" ht="15" x14ac:dyDescent="0.25">
      <c r="A2989">
        <v>9984</v>
      </c>
      <c r="B2989" t="s">
        <v>9215</v>
      </c>
      <c r="C2989" t="s">
        <v>5043</v>
      </c>
      <c r="D2989" t="s">
        <v>8401</v>
      </c>
    </row>
    <row r="2990" spans="1:4" ht="15" x14ac:dyDescent="0.25">
      <c r="A2990">
        <v>10007</v>
      </c>
      <c r="B2990" t="s">
        <v>9216</v>
      </c>
      <c r="C2990" t="s">
        <v>5043</v>
      </c>
      <c r="D2990" t="s">
        <v>8401</v>
      </c>
    </row>
    <row r="2991" spans="1:4" ht="15" x14ac:dyDescent="0.25">
      <c r="A2991">
        <v>10061</v>
      </c>
      <c r="B2991" t="s">
        <v>9216</v>
      </c>
      <c r="C2991" t="s">
        <v>5043</v>
      </c>
      <c r="D2991" t="s">
        <v>8401</v>
      </c>
    </row>
    <row r="2992" spans="1:4" ht="15" x14ac:dyDescent="0.25">
      <c r="A2992">
        <v>10273</v>
      </c>
      <c r="B2992" t="s">
        <v>9216</v>
      </c>
      <c r="C2992" t="s">
        <v>5043</v>
      </c>
      <c r="D2992" t="s">
        <v>8401</v>
      </c>
    </row>
    <row r="2993" spans="1:4" ht="15" x14ac:dyDescent="0.25">
      <c r="A2993">
        <v>10485</v>
      </c>
      <c r="B2993" t="s">
        <v>9216</v>
      </c>
      <c r="C2993" t="s">
        <v>5043</v>
      </c>
      <c r="D2993" t="s">
        <v>8401</v>
      </c>
    </row>
    <row r="2994" spans="1:4" ht="15" x14ac:dyDescent="0.25">
      <c r="A2994">
        <v>10615</v>
      </c>
      <c r="B2994" t="s">
        <v>9216</v>
      </c>
      <c r="C2994" t="s">
        <v>5043</v>
      </c>
      <c r="D2994" t="s">
        <v>8401</v>
      </c>
    </row>
    <row r="2995" spans="1:4" ht="15" x14ac:dyDescent="0.25">
      <c r="A2995">
        <v>10724</v>
      </c>
      <c r="B2995" t="s">
        <v>9216</v>
      </c>
      <c r="C2995" t="s">
        <v>5043</v>
      </c>
      <c r="D2995" t="s">
        <v>8401</v>
      </c>
    </row>
    <row r="2996" spans="1:4" ht="15" x14ac:dyDescent="0.25">
      <c r="A2996">
        <v>11074</v>
      </c>
      <c r="B2996" t="s">
        <v>9216</v>
      </c>
      <c r="C2996" t="s">
        <v>5043</v>
      </c>
      <c r="D2996" t="s">
        <v>8401</v>
      </c>
    </row>
    <row r="2997" spans="1:4" ht="15" x14ac:dyDescent="0.25">
      <c r="A2997">
        <v>11195</v>
      </c>
      <c r="B2997" t="s">
        <v>9216</v>
      </c>
      <c r="C2997" t="s">
        <v>5043</v>
      </c>
      <c r="D2997" t="s">
        <v>8401</v>
      </c>
    </row>
    <row r="2998" spans="1:4" ht="15" x14ac:dyDescent="0.25">
      <c r="A2998">
        <v>11351</v>
      </c>
      <c r="B2998" t="s">
        <v>9216</v>
      </c>
      <c r="C2998" t="s">
        <v>5043</v>
      </c>
      <c r="D2998" t="s">
        <v>8401</v>
      </c>
    </row>
    <row r="2999" spans="1:4" ht="15" x14ac:dyDescent="0.25">
      <c r="A2999">
        <v>11391</v>
      </c>
      <c r="B2999" t="s">
        <v>9216</v>
      </c>
      <c r="C2999" t="s">
        <v>5043</v>
      </c>
      <c r="D2999" t="s">
        <v>8401</v>
      </c>
    </row>
    <row r="3000" spans="1:4" ht="15" x14ac:dyDescent="0.25">
      <c r="A3000">
        <v>11604</v>
      </c>
      <c r="B3000" t="s">
        <v>9216</v>
      </c>
      <c r="C3000" t="s">
        <v>5043</v>
      </c>
      <c r="D3000" t="s">
        <v>8401</v>
      </c>
    </row>
    <row r="3001" spans="1:4" ht="15" x14ac:dyDescent="0.25">
      <c r="A3001">
        <v>11733</v>
      </c>
      <c r="B3001" t="s">
        <v>9216</v>
      </c>
      <c r="C3001" t="s">
        <v>5043</v>
      </c>
      <c r="D3001" t="s">
        <v>8401</v>
      </c>
    </row>
    <row r="3002" spans="1:4" ht="15" x14ac:dyDescent="0.25">
      <c r="A3002">
        <v>11894</v>
      </c>
      <c r="B3002" t="s">
        <v>9216</v>
      </c>
      <c r="C3002" t="s">
        <v>5043</v>
      </c>
      <c r="D3002" t="s">
        <v>8401</v>
      </c>
    </row>
    <row r="3003" spans="1:4" ht="15" x14ac:dyDescent="0.25">
      <c r="A3003">
        <v>12019</v>
      </c>
      <c r="B3003" t="s">
        <v>9216</v>
      </c>
      <c r="C3003" t="s">
        <v>5043</v>
      </c>
      <c r="D3003" t="s">
        <v>8401</v>
      </c>
    </row>
    <row r="3004" spans="1:4" ht="15" x14ac:dyDescent="0.25">
      <c r="A3004">
        <v>6933</v>
      </c>
      <c r="B3004" t="s">
        <v>9216</v>
      </c>
      <c r="C3004" t="s">
        <v>5043</v>
      </c>
      <c r="D3004" t="s">
        <v>8401</v>
      </c>
    </row>
    <row r="3005" spans="1:4" ht="15" x14ac:dyDescent="0.25">
      <c r="A3005">
        <v>7559</v>
      </c>
      <c r="B3005" t="s">
        <v>9216</v>
      </c>
      <c r="C3005" t="s">
        <v>5043</v>
      </c>
      <c r="D3005" t="s">
        <v>8401</v>
      </c>
    </row>
    <row r="3006" spans="1:4" ht="15" x14ac:dyDescent="0.25">
      <c r="A3006">
        <v>7840</v>
      </c>
      <c r="B3006" t="s">
        <v>9216</v>
      </c>
      <c r="C3006" t="s">
        <v>5043</v>
      </c>
      <c r="D3006" t="s">
        <v>8401</v>
      </c>
    </row>
    <row r="3007" spans="1:4" ht="15" x14ac:dyDescent="0.25">
      <c r="A3007">
        <v>8025</v>
      </c>
      <c r="B3007" t="s">
        <v>9216</v>
      </c>
      <c r="C3007" t="s">
        <v>5043</v>
      </c>
      <c r="D3007" t="s">
        <v>8401</v>
      </c>
    </row>
    <row r="3008" spans="1:4" ht="15" x14ac:dyDescent="0.25">
      <c r="A3008">
        <v>8059</v>
      </c>
      <c r="B3008" t="s">
        <v>9216</v>
      </c>
      <c r="C3008" t="s">
        <v>5043</v>
      </c>
      <c r="D3008" t="s">
        <v>8401</v>
      </c>
    </row>
    <row r="3009" spans="1:4" ht="15" x14ac:dyDescent="0.25">
      <c r="A3009">
        <v>8084</v>
      </c>
      <c r="B3009" t="s">
        <v>9216</v>
      </c>
      <c r="C3009" t="s">
        <v>5043</v>
      </c>
      <c r="D3009" t="s">
        <v>8401</v>
      </c>
    </row>
    <row r="3010" spans="1:4" ht="15" x14ac:dyDescent="0.25">
      <c r="A3010">
        <v>8210</v>
      </c>
      <c r="B3010" t="s">
        <v>9216</v>
      </c>
      <c r="C3010" t="s">
        <v>5043</v>
      </c>
      <c r="D3010" t="s">
        <v>8401</v>
      </c>
    </row>
    <row r="3011" spans="1:4" ht="15" x14ac:dyDescent="0.25">
      <c r="A3011">
        <v>8550</v>
      </c>
      <c r="B3011" t="s">
        <v>9216</v>
      </c>
      <c r="C3011" t="s">
        <v>5043</v>
      </c>
      <c r="D3011" t="s">
        <v>8401</v>
      </c>
    </row>
    <row r="3012" spans="1:4" ht="15" x14ac:dyDescent="0.25">
      <c r="A3012">
        <v>8637</v>
      </c>
      <c r="B3012" t="s">
        <v>9216</v>
      </c>
      <c r="C3012" t="s">
        <v>5043</v>
      </c>
      <c r="D3012" t="s">
        <v>8401</v>
      </c>
    </row>
    <row r="3013" spans="1:4" ht="15" x14ac:dyDescent="0.25">
      <c r="A3013">
        <v>8685</v>
      </c>
      <c r="B3013" t="s">
        <v>9216</v>
      </c>
      <c r="C3013" t="s">
        <v>5043</v>
      </c>
      <c r="D3013" t="s">
        <v>8401</v>
      </c>
    </row>
    <row r="3014" spans="1:4" ht="15" x14ac:dyDescent="0.25">
      <c r="A3014">
        <v>8864</v>
      </c>
      <c r="B3014" t="s">
        <v>9216</v>
      </c>
      <c r="C3014" t="s">
        <v>5043</v>
      </c>
      <c r="D3014" t="s">
        <v>8401</v>
      </c>
    </row>
    <row r="3015" spans="1:4" ht="15" x14ac:dyDescent="0.25">
      <c r="A3015">
        <v>8953</v>
      </c>
      <c r="B3015" t="s">
        <v>9216</v>
      </c>
      <c r="C3015" t="s">
        <v>5043</v>
      </c>
      <c r="D3015" t="s">
        <v>8401</v>
      </c>
    </row>
    <row r="3016" spans="1:4" ht="15" x14ac:dyDescent="0.25">
      <c r="A3016">
        <v>8992</v>
      </c>
      <c r="B3016" t="s">
        <v>9216</v>
      </c>
      <c r="C3016" t="s">
        <v>5043</v>
      </c>
      <c r="D3016" t="s">
        <v>8401</v>
      </c>
    </row>
    <row r="3017" spans="1:4" ht="15" x14ac:dyDescent="0.25">
      <c r="A3017">
        <v>9338</v>
      </c>
      <c r="B3017" t="s">
        <v>9216</v>
      </c>
      <c r="C3017" t="s">
        <v>5043</v>
      </c>
      <c r="D3017" t="s">
        <v>8401</v>
      </c>
    </row>
    <row r="3018" spans="1:4" ht="15" x14ac:dyDescent="0.25">
      <c r="A3018">
        <v>9755</v>
      </c>
      <c r="B3018" t="s">
        <v>9216</v>
      </c>
      <c r="C3018" t="s">
        <v>5043</v>
      </c>
      <c r="D3018" t="s">
        <v>8401</v>
      </c>
    </row>
    <row r="3019" spans="1:4" ht="15" x14ac:dyDescent="0.25">
      <c r="A3019">
        <v>9785</v>
      </c>
      <c r="B3019" t="s">
        <v>9216</v>
      </c>
      <c r="C3019" t="s">
        <v>5043</v>
      </c>
      <c r="D3019" t="s">
        <v>8401</v>
      </c>
    </row>
    <row r="3020" spans="1:4" ht="15" x14ac:dyDescent="0.25">
      <c r="A3020">
        <v>9945</v>
      </c>
      <c r="B3020" t="s">
        <v>9216</v>
      </c>
      <c r="C3020" t="s">
        <v>5043</v>
      </c>
      <c r="D3020" t="s">
        <v>8401</v>
      </c>
    </row>
    <row r="3021" spans="1:4" ht="15" x14ac:dyDescent="0.25">
      <c r="A3021">
        <v>10679</v>
      </c>
      <c r="B3021" t="s">
        <v>9217</v>
      </c>
      <c r="C3021" t="s">
        <v>5043</v>
      </c>
      <c r="D3021" t="s">
        <v>8401</v>
      </c>
    </row>
    <row r="3022" spans="1:4" ht="15" x14ac:dyDescent="0.25">
      <c r="A3022">
        <v>12081</v>
      </c>
      <c r="B3022" t="s">
        <v>9217</v>
      </c>
      <c r="C3022" t="s">
        <v>5043</v>
      </c>
      <c r="D3022" t="s">
        <v>8401</v>
      </c>
    </row>
    <row r="3023" spans="1:4" ht="15" x14ac:dyDescent="0.25">
      <c r="A3023">
        <v>6731</v>
      </c>
      <c r="B3023" t="s">
        <v>9217</v>
      </c>
      <c r="C3023" t="s">
        <v>5043</v>
      </c>
      <c r="D3023" t="s">
        <v>8401</v>
      </c>
    </row>
    <row r="3024" spans="1:4" ht="15" x14ac:dyDescent="0.25">
      <c r="A3024">
        <v>9762</v>
      </c>
      <c r="B3024" t="s">
        <v>9217</v>
      </c>
      <c r="C3024" t="s">
        <v>5043</v>
      </c>
      <c r="D3024" t="s">
        <v>8401</v>
      </c>
    </row>
    <row r="3025" spans="1:4" ht="15" x14ac:dyDescent="0.25">
      <c r="A3025">
        <v>10701</v>
      </c>
      <c r="B3025" t="s">
        <v>9218</v>
      </c>
      <c r="C3025" t="s">
        <v>5043</v>
      </c>
      <c r="D3025" t="s">
        <v>8401</v>
      </c>
    </row>
    <row r="3026" spans="1:4" ht="15" x14ac:dyDescent="0.25">
      <c r="A3026">
        <v>10861</v>
      </c>
      <c r="B3026" t="s">
        <v>9218</v>
      </c>
      <c r="C3026" t="s">
        <v>5043</v>
      </c>
      <c r="D3026" t="s">
        <v>8401</v>
      </c>
    </row>
    <row r="3027" spans="1:4" ht="15" x14ac:dyDescent="0.25">
      <c r="A3027">
        <v>11305</v>
      </c>
      <c r="B3027" t="s">
        <v>9218</v>
      </c>
      <c r="C3027" t="s">
        <v>5043</v>
      </c>
      <c r="D3027" t="s">
        <v>8401</v>
      </c>
    </row>
    <row r="3028" spans="1:4" ht="15" x14ac:dyDescent="0.25">
      <c r="A3028">
        <v>11464</v>
      </c>
      <c r="B3028" t="s">
        <v>9218</v>
      </c>
      <c r="C3028" t="s">
        <v>5043</v>
      </c>
      <c r="D3028" t="s">
        <v>8401</v>
      </c>
    </row>
    <row r="3029" spans="1:4" ht="15" x14ac:dyDescent="0.25">
      <c r="A3029">
        <v>12101</v>
      </c>
      <c r="B3029" t="s">
        <v>9218</v>
      </c>
      <c r="C3029" t="s">
        <v>5043</v>
      </c>
      <c r="D3029" t="s">
        <v>8401</v>
      </c>
    </row>
    <row r="3030" spans="1:4" ht="15" x14ac:dyDescent="0.25">
      <c r="A3030">
        <v>7019</v>
      </c>
      <c r="B3030" t="s">
        <v>9218</v>
      </c>
      <c r="C3030" t="s">
        <v>5043</v>
      </c>
      <c r="D3030" t="s">
        <v>8401</v>
      </c>
    </row>
    <row r="3031" spans="1:4" ht="15" x14ac:dyDescent="0.25">
      <c r="A3031">
        <v>7860</v>
      </c>
      <c r="B3031" t="s">
        <v>9218</v>
      </c>
      <c r="C3031" t="s">
        <v>5043</v>
      </c>
      <c r="D3031" t="s">
        <v>8401</v>
      </c>
    </row>
    <row r="3032" spans="1:4" ht="15" x14ac:dyDescent="0.25">
      <c r="A3032">
        <v>8296</v>
      </c>
      <c r="B3032" t="s">
        <v>9218</v>
      </c>
      <c r="C3032" t="s">
        <v>5043</v>
      </c>
      <c r="D3032" t="s">
        <v>8401</v>
      </c>
    </row>
    <row r="3033" spans="1:4" ht="15" x14ac:dyDescent="0.25">
      <c r="A3033">
        <v>8703</v>
      </c>
      <c r="B3033" t="s">
        <v>9218</v>
      </c>
      <c r="C3033" t="s">
        <v>5043</v>
      </c>
      <c r="D3033" t="s">
        <v>8401</v>
      </c>
    </row>
    <row r="3034" spans="1:4" ht="15" x14ac:dyDescent="0.25">
      <c r="A3034">
        <v>9483</v>
      </c>
      <c r="B3034" t="s">
        <v>9218</v>
      </c>
      <c r="C3034" t="s">
        <v>5043</v>
      </c>
      <c r="D3034" t="s">
        <v>8401</v>
      </c>
    </row>
    <row r="3035" spans="1:4" ht="15" x14ac:dyDescent="0.25">
      <c r="A3035">
        <v>10977</v>
      </c>
      <c r="B3035" t="s">
        <v>9219</v>
      </c>
      <c r="C3035" t="s">
        <v>5043</v>
      </c>
      <c r="D3035" t="s">
        <v>8401</v>
      </c>
    </row>
    <row r="3036" spans="1:4" ht="15" x14ac:dyDescent="0.25">
      <c r="A3036">
        <v>7005</v>
      </c>
      <c r="B3036" t="s">
        <v>9219</v>
      </c>
      <c r="C3036" t="s">
        <v>5043</v>
      </c>
      <c r="D3036" t="s">
        <v>8401</v>
      </c>
    </row>
    <row r="3037" spans="1:4" ht="15" x14ac:dyDescent="0.25">
      <c r="A3037">
        <v>7301</v>
      </c>
      <c r="B3037" t="s">
        <v>9219</v>
      </c>
      <c r="C3037" t="s">
        <v>5043</v>
      </c>
      <c r="D3037" t="s">
        <v>8401</v>
      </c>
    </row>
    <row r="3038" spans="1:4" ht="15" x14ac:dyDescent="0.25">
      <c r="A3038">
        <v>8329</v>
      </c>
      <c r="B3038" t="s">
        <v>9220</v>
      </c>
      <c r="C3038" t="s">
        <v>5043</v>
      </c>
      <c r="D3038" t="s">
        <v>8401</v>
      </c>
    </row>
    <row r="3039" spans="1:4" ht="15" x14ac:dyDescent="0.25">
      <c r="A3039">
        <v>7704</v>
      </c>
      <c r="B3039" t="s">
        <v>9221</v>
      </c>
      <c r="C3039" t="s">
        <v>5043</v>
      </c>
      <c r="D3039" t="s">
        <v>8401</v>
      </c>
    </row>
    <row r="3040" spans="1:4" ht="15" x14ac:dyDescent="0.25">
      <c r="A3040">
        <v>7189</v>
      </c>
      <c r="B3040" t="s">
        <v>9222</v>
      </c>
      <c r="C3040" t="s">
        <v>5043</v>
      </c>
      <c r="D3040" t="s">
        <v>8401</v>
      </c>
    </row>
    <row r="3041" spans="1:4" ht="15" x14ac:dyDescent="0.25">
      <c r="A3041">
        <v>8254</v>
      </c>
      <c r="B3041" t="s">
        <v>9223</v>
      </c>
      <c r="C3041" t="s">
        <v>5043</v>
      </c>
      <c r="D3041" t="s">
        <v>8401</v>
      </c>
    </row>
    <row r="3042" spans="1:4" ht="15" x14ac:dyDescent="0.25">
      <c r="A3042">
        <v>11162</v>
      </c>
      <c r="B3042" t="s">
        <v>9224</v>
      </c>
      <c r="C3042" t="s">
        <v>5043</v>
      </c>
      <c r="D3042" t="s">
        <v>8401</v>
      </c>
    </row>
    <row r="3043" spans="1:4" ht="15" x14ac:dyDescent="0.25">
      <c r="A3043">
        <v>11792</v>
      </c>
      <c r="B3043" t="s">
        <v>9224</v>
      </c>
      <c r="C3043" t="s">
        <v>5043</v>
      </c>
      <c r="D3043" t="s">
        <v>8401</v>
      </c>
    </row>
    <row r="3044" spans="1:4" ht="15" x14ac:dyDescent="0.25">
      <c r="A3044">
        <v>12066</v>
      </c>
      <c r="B3044" t="s">
        <v>9224</v>
      </c>
      <c r="C3044" t="s">
        <v>5043</v>
      </c>
      <c r="D3044" t="s">
        <v>8401</v>
      </c>
    </row>
    <row r="3045" spans="1:4" ht="15" x14ac:dyDescent="0.25">
      <c r="A3045">
        <v>7856</v>
      </c>
      <c r="B3045" t="s">
        <v>9224</v>
      </c>
      <c r="C3045" t="s">
        <v>5043</v>
      </c>
      <c r="D3045" t="s">
        <v>8401</v>
      </c>
    </row>
    <row r="3046" spans="1:4" ht="15" x14ac:dyDescent="0.25">
      <c r="A3046">
        <v>8882</v>
      </c>
      <c r="B3046" t="s">
        <v>9224</v>
      </c>
      <c r="C3046" t="s">
        <v>5043</v>
      </c>
      <c r="D3046" t="s">
        <v>8401</v>
      </c>
    </row>
    <row r="3047" spans="1:4" ht="15" x14ac:dyDescent="0.25">
      <c r="A3047">
        <v>9456</v>
      </c>
      <c r="B3047" t="s">
        <v>9224</v>
      </c>
      <c r="C3047" t="s">
        <v>5043</v>
      </c>
      <c r="D3047" t="s">
        <v>8401</v>
      </c>
    </row>
    <row r="3048" spans="1:4" ht="15" x14ac:dyDescent="0.25">
      <c r="A3048">
        <v>7428</v>
      </c>
      <c r="B3048" t="s">
        <v>9225</v>
      </c>
      <c r="C3048" t="s">
        <v>5043</v>
      </c>
      <c r="D3048" t="s">
        <v>8401</v>
      </c>
    </row>
    <row r="3049" spans="1:4" ht="15" x14ac:dyDescent="0.25">
      <c r="A3049">
        <v>7730</v>
      </c>
      <c r="B3049" t="s">
        <v>9225</v>
      </c>
      <c r="C3049" t="s">
        <v>5043</v>
      </c>
      <c r="D3049" t="s">
        <v>8401</v>
      </c>
    </row>
    <row r="3050" spans="1:4" ht="15" x14ac:dyDescent="0.25">
      <c r="A3050">
        <v>8381</v>
      </c>
      <c r="B3050" t="s">
        <v>9225</v>
      </c>
      <c r="C3050" t="s">
        <v>5043</v>
      </c>
      <c r="D3050" t="s">
        <v>8401</v>
      </c>
    </row>
    <row r="3051" spans="1:4" ht="15" x14ac:dyDescent="0.25">
      <c r="A3051">
        <v>9939</v>
      </c>
      <c r="B3051" t="s">
        <v>9225</v>
      </c>
      <c r="C3051" t="s">
        <v>5043</v>
      </c>
      <c r="D3051" t="s">
        <v>8401</v>
      </c>
    </row>
    <row r="3052" spans="1:4" ht="15" x14ac:dyDescent="0.25">
      <c r="A3052">
        <v>7467</v>
      </c>
      <c r="B3052" t="s">
        <v>9226</v>
      </c>
      <c r="C3052" t="s">
        <v>5043</v>
      </c>
      <c r="D3052" t="s">
        <v>8401</v>
      </c>
    </row>
    <row r="3053" spans="1:4" ht="15" x14ac:dyDescent="0.25">
      <c r="A3053">
        <v>8523</v>
      </c>
      <c r="B3053" t="s">
        <v>9226</v>
      </c>
      <c r="C3053" t="s">
        <v>5043</v>
      </c>
      <c r="D3053" t="s">
        <v>8401</v>
      </c>
    </row>
    <row r="3054" spans="1:4" ht="15" x14ac:dyDescent="0.25">
      <c r="A3054">
        <v>9410</v>
      </c>
      <c r="B3054" t="s">
        <v>9226</v>
      </c>
      <c r="C3054" t="s">
        <v>5043</v>
      </c>
      <c r="D3054" t="s">
        <v>8401</v>
      </c>
    </row>
    <row r="3055" spans="1:4" ht="15" x14ac:dyDescent="0.25">
      <c r="A3055">
        <v>9720</v>
      </c>
      <c r="B3055" t="s">
        <v>9226</v>
      </c>
      <c r="C3055" t="s">
        <v>5043</v>
      </c>
      <c r="D3055" t="s">
        <v>8401</v>
      </c>
    </row>
    <row r="3056" spans="1:4" ht="15" x14ac:dyDescent="0.25">
      <c r="A3056">
        <v>10090</v>
      </c>
      <c r="B3056" t="s">
        <v>9227</v>
      </c>
      <c r="C3056" t="s">
        <v>5043</v>
      </c>
      <c r="D3056" t="s">
        <v>8401</v>
      </c>
    </row>
    <row r="3057" spans="1:4" ht="15" x14ac:dyDescent="0.25">
      <c r="A3057">
        <v>9634</v>
      </c>
      <c r="B3057" t="s">
        <v>9227</v>
      </c>
      <c r="C3057" t="s">
        <v>5043</v>
      </c>
      <c r="D3057" t="s">
        <v>8401</v>
      </c>
    </row>
    <row r="3058" spans="1:4" ht="15" x14ac:dyDescent="0.25">
      <c r="A3058">
        <v>7229</v>
      </c>
      <c r="B3058" t="s">
        <v>9228</v>
      </c>
      <c r="C3058" t="s">
        <v>5043</v>
      </c>
      <c r="D3058" t="s">
        <v>8401</v>
      </c>
    </row>
    <row r="3059" spans="1:4" ht="15" x14ac:dyDescent="0.25">
      <c r="A3059">
        <v>8844</v>
      </c>
      <c r="B3059" t="s">
        <v>9229</v>
      </c>
      <c r="C3059" t="s">
        <v>5043</v>
      </c>
      <c r="D3059" t="s">
        <v>8401</v>
      </c>
    </row>
    <row r="3060" spans="1:4" ht="15" x14ac:dyDescent="0.25">
      <c r="A3060">
        <v>9393</v>
      </c>
      <c r="B3060" t="s">
        <v>9229</v>
      </c>
      <c r="C3060" t="s">
        <v>5043</v>
      </c>
      <c r="D3060" t="s">
        <v>8401</v>
      </c>
    </row>
    <row r="3061" spans="1:4" ht="15" x14ac:dyDescent="0.25">
      <c r="A3061">
        <v>7274</v>
      </c>
      <c r="B3061" t="s">
        <v>9230</v>
      </c>
      <c r="C3061" t="s">
        <v>5043</v>
      </c>
      <c r="D3061" t="s">
        <v>8401</v>
      </c>
    </row>
    <row r="3062" spans="1:4" ht="15" x14ac:dyDescent="0.25">
      <c r="A3062">
        <v>12032</v>
      </c>
      <c r="B3062" t="s">
        <v>9231</v>
      </c>
      <c r="C3062" t="s">
        <v>5043</v>
      </c>
      <c r="D3062" t="s">
        <v>8401</v>
      </c>
    </row>
    <row r="3063" spans="1:4" ht="15" x14ac:dyDescent="0.25">
      <c r="A3063">
        <v>6804</v>
      </c>
      <c r="B3063" t="s">
        <v>9231</v>
      </c>
      <c r="C3063" t="s">
        <v>5043</v>
      </c>
      <c r="D3063" t="s">
        <v>8401</v>
      </c>
    </row>
    <row r="3064" spans="1:4" ht="15" x14ac:dyDescent="0.25">
      <c r="A3064">
        <v>8411</v>
      </c>
      <c r="B3064" t="s">
        <v>9231</v>
      </c>
      <c r="C3064" t="s">
        <v>5043</v>
      </c>
      <c r="D3064" t="s">
        <v>8401</v>
      </c>
    </row>
    <row r="3065" spans="1:4" ht="15" x14ac:dyDescent="0.25">
      <c r="A3065">
        <v>8740</v>
      </c>
      <c r="B3065" t="s">
        <v>9231</v>
      </c>
      <c r="C3065" t="s">
        <v>5043</v>
      </c>
      <c r="D3065" t="s">
        <v>8401</v>
      </c>
    </row>
    <row r="3066" spans="1:4" ht="15" x14ac:dyDescent="0.25">
      <c r="A3066">
        <v>9390</v>
      </c>
      <c r="B3066" t="s">
        <v>9231</v>
      </c>
      <c r="C3066" t="s">
        <v>5043</v>
      </c>
      <c r="D3066" t="s">
        <v>8401</v>
      </c>
    </row>
    <row r="3067" spans="1:4" ht="15" x14ac:dyDescent="0.25">
      <c r="A3067">
        <v>9880</v>
      </c>
      <c r="B3067" t="s">
        <v>9232</v>
      </c>
      <c r="C3067" t="s">
        <v>5043</v>
      </c>
      <c r="D3067" t="s">
        <v>8401</v>
      </c>
    </row>
    <row r="3068" spans="1:4" ht="15" x14ac:dyDescent="0.25">
      <c r="A3068">
        <v>10483</v>
      </c>
      <c r="B3068" t="s">
        <v>9233</v>
      </c>
      <c r="C3068" t="s">
        <v>5043</v>
      </c>
      <c r="D3068" t="s">
        <v>8401</v>
      </c>
    </row>
    <row r="3069" spans="1:4" ht="15" x14ac:dyDescent="0.25">
      <c r="A3069">
        <v>12119</v>
      </c>
      <c r="B3069" t="s">
        <v>9233</v>
      </c>
      <c r="C3069" t="s">
        <v>5043</v>
      </c>
      <c r="D3069" t="s">
        <v>8401</v>
      </c>
    </row>
    <row r="3070" spans="1:4" ht="15" x14ac:dyDescent="0.25">
      <c r="A3070">
        <v>8649</v>
      </c>
      <c r="B3070" t="s">
        <v>9233</v>
      </c>
      <c r="C3070" t="s">
        <v>5043</v>
      </c>
      <c r="D3070" t="s">
        <v>8401</v>
      </c>
    </row>
    <row r="3071" spans="1:4" ht="15" x14ac:dyDescent="0.25">
      <c r="A3071">
        <v>8157</v>
      </c>
      <c r="B3071" t="s">
        <v>9234</v>
      </c>
      <c r="C3071" t="s">
        <v>5043</v>
      </c>
      <c r="D3071" t="s">
        <v>8401</v>
      </c>
    </row>
    <row r="3072" spans="1:4" ht="15" x14ac:dyDescent="0.25">
      <c r="A3072">
        <v>11226</v>
      </c>
      <c r="B3072" t="s">
        <v>9235</v>
      </c>
      <c r="C3072" t="s">
        <v>5043</v>
      </c>
      <c r="D3072" t="s">
        <v>8401</v>
      </c>
    </row>
    <row r="3073" spans="1:4" ht="15" x14ac:dyDescent="0.25">
      <c r="A3073">
        <v>7554</v>
      </c>
      <c r="B3073" t="s">
        <v>9235</v>
      </c>
      <c r="C3073" t="s">
        <v>5043</v>
      </c>
      <c r="D3073" t="s">
        <v>8401</v>
      </c>
    </row>
    <row r="3074" spans="1:4" ht="15" x14ac:dyDescent="0.25">
      <c r="A3074">
        <v>8761</v>
      </c>
      <c r="B3074" t="s">
        <v>9235</v>
      </c>
      <c r="C3074" t="s">
        <v>5043</v>
      </c>
      <c r="D3074" t="s">
        <v>8401</v>
      </c>
    </row>
    <row r="3075" spans="1:4" ht="15" x14ac:dyDescent="0.25">
      <c r="A3075">
        <v>8408</v>
      </c>
      <c r="B3075" t="s">
        <v>11022</v>
      </c>
      <c r="C3075" t="s">
        <v>5043</v>
      </c>
      <c r="D3075" t="s">
        <v>8401</v>
      </c>
    </row>
    <row r="3076" spans="1:4" ht="15" x14ac:dyDescent="0.25">
      <c r="A3076">
        <v>10054</v>
      </c>
      <c r="B3076" t="s">
        <v>9236</v>
      </c>
      <c r="C3076" t="s">
        <v>5043</v>
      </c>
      <c r="D3076" t="s">
        <v>8401</v>
      </c>
    </row>
    <row r="3077" spans="1:4" ht="15" x14ac:dyDescent="0.25">
      <c r="A3077">
        <v>10813</v>
      </c>
      <c r="B3077" t="s">
        <v>9236</v>
      </c>
      <c r="C3077" t="s">
        <v>5043</v>
      </c>
      <c r="D3077" t="s">
        <v>8401</v>
      </c>
    </row>
    <row r="3078" spans="1:4" ht="15" x14ac:dyDescent="0.25">
      <c r="A3078">
        <v>11060</v>
      </c>
      <c r="B3078" t="s">
        <v>9236</v>
      </c>
      <c r="C3078" t="s">
        <v>5043</v>
      </c>
      <c r="D3078" t="s">
        <v>8401</v>
      </c>
    </row>
    <row r="3079" spans="1:4" ht="15" x14ac:dyDescent="0.25">
      <c r="A3079">
        <v>11594</v>
      </c>
      <c r="B3079" t="s">
        <v>9236</v>
      </c>
      <c r="C3079" t="s">
        <v>5043</v>
      </c>
      <c r="D3079" t="s">
        <v>8401</v>
      </c>
    </row>
    <row r="3080" spans="1:4" ht="15" x14ac:dyDescent="0.25">
      <c r="A3080">
        <v>6672</v>
      </c>
      <c r="B3080" t="s">
        <v>9236</v>
      </c>
      <c r="C3080" t="s">
        <v>5043</v>
      </c>
      <c r="D3080" t="s">
        <v>8401</v>
      </c>
    </row>
    <row r="3081" spans="1:4" ht="15" x14ac:dyDescent="0.25">
      <c r="A3081">
        <v>7748</v>
      </c>
      <c r="B3081" t="s">
        <v>9236</v>
      </c>
      <c r="C3081" t="s">
        <v>5043</v>
      </c>
      <c r="D3081" t="s">
        <v>8401</v>
      </c>
    </row>
    <row r="3082" spans="1:4" ht="15" x14ac:dyDescent="0.25">
      <c r="A3082">
        <v>8965</v>
      </c>
      <c r="B3082" t="s">
        <v>9236</v>
      </c>
      <c r="C3082" t="s">
        <v>5043</v>
      </c>
      <c r="D3082" t="s">
        <v>8401</v>
      </c>
    </row>
    <row r="3083" spans="1:4" ht="15" x14ac:dyDescent="0.25">
      <c r="A3083">
        <v>9211</v>
      </c>
      <c r="B3083" t="s">
        <v>9236</v>
      </c>
      <c r="C3083" t="s">
        <v>5043</v>
      </c>
      <c r="D3083" t="s">
        <v>8401</v>
      </c>
    </row>
    <row r="3084" spans="1:4" ht="15" x14ac:dyDescent="0.25">
      <c r="A3084">
        <v>10406</v>
      </c>
      <c r="B3084" t="s">
        <v>9237</v>
      </c>
      <c r="C3084" t="s">
        <v>5043</v>
      </c>
      <c r="D3084" t="s">
        <v>8401</v>
      </c>
    </row>
    <row r="3085" spans="1:4" ht="15" x14ac:dyDescent="0.25">
      <c r="A3085">
        <v>10558</v>
      </c>
      <c r="B3085" t="s">
        <v>9237</v>
      </c>
      <c r="C3085" t="s">
        <v>5043</v>
      </c>
      <c r="D3085" t="s">
        <v>8401</v>
      </c>
    </row>
    <row r="3086" spans="1:4" ht="15" x14ac:dyDescent="0.25">
      <c r="A3086">
        <v>11079</v>
      </c>
      <c r="B3086" t="s">
        <v>9237</v>
      </c>
      <c r="C3086" t="s">
        <v>5043</v>
      </c>
      <c r="D3086" t="s">
        <v>8401</v>
      </c>
    </row>
    <row r="3087" spans="1:4" ht="15" x14ac:dyDescent="0.25">
      <c r="A3087">
        <v>6704</v>
      </c>
      <c r="B3087" t="s">
        <v>9237</v>
      </c>
      <c r="C3087" t="s">
        <v>5043</v>
      </c>
      <c r="D3087" t="s">
        <v>8401</v>
      </c>
    </row>
    <row r="3088" spans="1:4" ht="15" x14ac:dyDescent="0.25">
      <c r="A3088">
        <v>6749</v>
      </c>
      <c r="B3088" t="s">
        <v>9237</v>
      </c>
      <c r="C3088" t="s">
        <v>5043</v>
      </c>
      <c r="D3088" t="s">
        <v>8401</v>
      </c>
    </row>
    <row r="3089" spans="1:4" ht="15" x14ac:dyDescent="0.25">
      <c r="A3089">
        <v>7393</v>
      </c>
      <c r="B3089" t="s">
        <v>9237</v>
      </c>
      <c r="C3089" t="s">
        <v>5043</v>
      </c>
      <c r="D3089" t="s">
        <v>8401</v>
      </c>
    </row>
    <row r="3090" spans="1:4" ht="15" x14ac:dyDescent="0.25">
      <c r="A3090">
        <v>7859</v>
      </c>
      <c r="B3090" t="s">
        <v>9237</v>
      </c>
      <c r="C3090" t="s">
        <v>5043</v>
      </c>
      <c r="D3090" t="s">
        <v>8401</v>
      </c>
    </row>
    <row r="3091" spans="1:4" ht="15" x14ac:dyDescent="0.25">
      <c r="A3091">
        <v>8249</v>
      </c>
      <c r="B3091" t="s">
        <v>9237</v>
      </c>
      <c r="C3091" t="s">
        <v>5043</v>
      </c>
      <c r="D3091" t="s">
        <v>8401</v>
      </c>
    </row>
    <row r="3092" spans="1:4" ht="15" x14ac:dyDescent="0.25">
      <c r="A3092">
        <v>9550</v>
      </c>
      <c r="B3092" t="s">
        <v>9237</v>
      </c>
      <c r="C3092" t="s">
        <v>5043</v>
      </c>
      <c r="D3092" t="s">
        <v>8401</v>
      </c>
    </row>
    <row r="3093" spans="1:4" ht="15" x14ac:dyDescent="0.25">
      <c r="A3093">
        <v>11465</v>
      </c>
      <c r="B3093" t="s">
        <v>9238</v>
      </c>
      <c r="C3093" t="s">
        <v>5043</v>
      </c>
      <c r="D3093" t="s">
        <v>8401</v>
      </c>
    </row>
    <row r="3094" spans="1:4" ht="15" x14ac:dyDescent="0.25">
      <c r="A3094">
        <v>9847</v>
      </c>
      <c r="B3094" t="s">
        <v>9238</v>
      </c>
      <c r="C3094" t="s">
        <v>5043</v>
      </c>
      <c r="D3094" t="s">
        <v>8401</v>
      </c>
    </row>
    <row r="3095" spans="1:4" ht="15" x14ac:dyDescent="0.25">
      <c r="A3095">
        <v>10624</v>
      </c>
      <c r="B3095" t="s">
        <v>9239</v>
      </c>
      <c r="C3095" t="s">
        <v>5043</v>
      </c>
      <c r="D3095" t="s">
        <v>8401</v>
      </c>
    </row>
    <row r="3096" spans="1:4" ht="15" x14ac:dyDescent="0.25">
      <c r="A3096">
        <v>11174</v>
      </c>
      <c r="B3096" t="s">
        <v>9239</v>
      </c>
      <c r="C3096" t="s">
        <v>5043</v>
      </c>
      <c r="D3096" t="s">
        <v>8401</v>
      </c>
    </row>
    <row r="3097" spans="1:4" ht="15" x14ac:dyDescent="0.25">
      <c r="A3097">
        <v>10892</v>
      </c>
      <c r="B3097" t="s">
        <v>9240</v>
      </c>
      <c r="C3097" t="s">
        <v>5043</v>
      </c>
      <c r="D3097" t="s">
        <v>8401</v>
      </c>
    </row>
    <row r="3098" spans="1:4" ht="15" x14ac:dyDescent="0.25">
      <c r="A3098">
        <v>11291</v>
      </c>
      <c r="B3098" t="s">
        <v>9240</v>
      </c>
      <c r="C3098" t="s">
        <v>5043</v>
      </c>
      <c r="D3098" t="s">
        <v>8401</v>
      </c>
    </row>
    <row r="3099" spans="1:4" ht="15" x14ac:dyDescent="0.25">
      <c r="A3099">
        <v>11588</v>
      </c>
      <c r="B3099" t="s">
        <v>9240</v>
      </c>
      <c r="C3099" t="s">
        <v>5043</v>
      </c>
      <c r="D3099" t="s">
        <v>8401</v>
      </c>
    </row>
    <row r="3100" spans="1:4" ht="15" x14ac:dyDescent="0.25">
      <c r="A3100">
        <v>11843</v>
      </c>
      <c r="B3100" t="s">
        <v>9240</v>
      </c>
      <c r="C3100" t="s">
        <v>5043</v>
      </c>
      <c r="D3100" t="s">
        <v>8401</v>
      </c>
    </row>
    <row r="3101" spans="1:4" ht="15" x14ac:dyDescent="0.25">
      <c r="A3101">
        <v>9303</v>
      </c>
      <c r="B3101" t="s">
        <v>9240</v>
      </c>
      <c r="C3101" t="s">
        <v>5043</v>
      </c>
      <c r="D3101" t="s">
        <v>8401</v>
      </c>
    </row>
    <row r="3102" spans="1:4" ht="15" x14ac:dyDescent="0.25">
      <c r="A3102">
        <v>8963</v>
      </c>
      <c r="B3102" t="s">
        <v>9241</v>
      </c>
      <c r="C3102" t="s">
        <v>5043</v>
      </c>
      <c r="D3102" t="s">
        <v>8401</v>
      </c>
    </row>
    <row r="3103" spans="1:4" ht="15" x14ac:dyDescent="0.25">
      <c r="A3103">
        <v>10080</v>
      </c>
      <c r="B3103" t="s">
        <v>9242</v>
      </c>
      <c r="C3103" t="s">
        <v>5043</v>
      </c>
      <c r="D3103" t="s">
        <v>8401</v>
      </c>
    </row>
    <row r="3104" spans="1:4" ht="15" x14ac:dyDescent="0.25">
      <c r="A3104">
        <v>6702</v>
      </c>
      <c r="B3104" t="s">
        <v>9242</v>
      </c>
      <c r="C3104" t="s">
        <v>5043</v>
      </c>
      <c r="D3104" t="s">
        <v>8401</v>
      </c>
    </row>
    <row r="3105" spans="1:4" ht="15" x14ac:dyDescent="0.25">
      <c r="A3105">
        <v>6986</v>
      </c>
      <c r="B3105" t="s">
        <v>9242</v>
      </c>
      <c r="C3105" t="s">
        <v>5043</v>
      </c>
      <c r="D3105" t="s">
        <v>8401</v>
      </c>
    </row>
    <row r="3106" spans="1:4" ht="15" x14ac:dyDescent="0.25">
      <c r="A3106">
        <v>9388</v>
      </c>
      <c r="B3106" t="s">
        <v>9242</v>
      </c>
      <c r="C3106" t="s">
        <v>5043</v>
      </c>
      <c r="D3106" t="s">
        <v>8401</v>
      </c>
    </row>
    <row r="3107" spans="1:4" ht="15" x14ac:dyDescent="0.25">
      <c r="A3107">
        <v>9521</v>
      </c>
      <c r="B3107" t="s">
        <v>9242</v>
      </c>
      <c r="C3107" t="s">
        <v>5043</v>
      </c>
      <c r="D3107" t="s">
        <v>8401</v>
      </c>
    </row>
    <row r="3108" spans="1:4" ht="15" x14ac:dyDescent="0.25">
      <c r="A3108">
        <v>9618</v>
      </c>
      <c r="B3108" t="s">
        <v>9242</v>
      </c>
      <c r="C3108" t="s">
        <v>5043</v>
      </c>
      <c r="D3108" t="s">
        <v>8401</v>
      </c>
    </row>
    <row r="3109" spans="1:4" ht="15" x14ac:dyDescent="0.25">
      <c r="A3109">
        <v>9827</v>
      </c>
      <c r="B3109" t="s">
        <v>9242</v>
      </c>
      <c r="C3109" t="s">
        <v>5043</v>
      </c>
      <c r="D3109" t="s">
        <v>8401</v>
      </c>
    </row>
    <row r="3110" spans="1:4" ht="15" x14ac:dyDescent="0.25">
      <c r="A3110">
        <v>10269</v>
      </c>
      <c r="B3110" t="s">
        <v>9243</v>
      </c>
      <c r="C3110" t="s">
        <v>5043</v>
      </c>
      <c r="D3110" t="s">
        <v>8401</v>
      </c>
    </row>
    <row r="3111" spans="1:4" ht="15" x14ac:dyDescent="0.25">
      <c r="A3111">
        <v>11013</v>
      </c>
      <c r="B3111" t="s">
        <v>9243</v>
      </c>
      <c r="C3111" t="s">
        <v>5043</v>
      </c>
      <c r="D3111" t="s">
        <v>8401</v>
      </c>
    </row>
    <row r="3112" spans="1:4" ht="15" x14ac:dyDescent="0.25">
      <c r="A3112">
        <v>11621</v>
      </c>
      <c r="B3112" t="s">
        <v>9243</v>
      </c>
      <c r="C3112" t="s">
        <v>5043</v>
      </c>
      <c r="D3112" t="s">
        <v>8401</v>
      </c>
    </row>
    <row r="3113" spans="1:4" ht="15" x14ac:dyDescent="0.25">
      <c r="A3113">
        <v>7337</v>
      </c>
      <c r="B3113" t="s">
        <v>9243</v>
      </c>
      <c r="C3113" t="s">
        <v>5043</v>
      </c>
      <c r="D3113" t="s">
        <v>8401</v>
      </c>
    </row>
    <row r="3114" spans="1:4" ht="15" x14ac:dyDescent="0.25">
      <c r="A3114">
        <v>7911</v>
      </c>
      <c r="B3114" t="s">
        <v>9243</v>
      </c>
      <c r="C3114" t="s">
        <v>5043</v>
      </c>
      <c r="D3114" t="s">
        <v>8401</v>
      </c>
    </row>
    <row r="3115" spans="1:4" ht="15" x14ac:dyDescent="0.25">
      <c r="A3115">
        <v>9369</v>
      </c>
      <c r="B3115" t="s">
        <v>9243</v>
      </c>
      <c r="C3115" t="s">
        <v>5043</v>
      </c>
      <c r="D3115" t="s">
        <v>8401</v>
      </c>
    </row>
    <row r="3116" spans="1:4" ht="15" x14ac:dyDescent="0.25">
      <c r="A3116">
        <v>251549</v>
      </c>
      <c r="B3116" t="s">
        <v>11583</v>
      </c>
      <c r="C3116" t="s">
        <v>5043</v>
      </c>
      <c r="D3116" t="s">
        <v>8401</v>
      </c>
    </row>
    <row r="3117" spans="1:4" ht="15" x14ac:dyDescent="0.25">
      <c r="A3117">
        <v>251553</v>
      </c>
      <c r="B3117" t="s">
        <v>11583</v>
      </c>
      <c r="C3117" t="s">
        <v>5043</v>
      </c>
      <c r="D3117" t="s">
        <v>8401</v>
      </c>
    </row>
    <row r="3118" spans="1:4" ht="15" x14ac:dyDescent="0.25">
      <c r="A3118">
        <v>251557</v>
      </c>
      <c r="B3118" t="s">
        <v>11583</v>
      </c>
      <c r="C3118" t="s">
        <v>5043</v>
      </c>
      <c r="D3118" t="s">
        <v>8401</v>
      </c>
    </row>
    <row r="3119" spans="1:4" ht="15" x14ac:dyDescent="0.25">
      <c r="A3119">
        <v>251561</v>
      </c>
      <c r="B3119" t="s">
        <v>11583</v>
      </c>
      <c r="C3119" t="s">
        <v>5043</v>
      </c>
      <c r="D3119" t="s">
        <v>8401</v>
      </c>
    </row>
    <row r="3120" spans="1:4" ht="15" x14ac:dyDescent="0.25">
      <c r="A3120">
        <v>251569</v>
      </c>
      <c r="B3120" t="s">
        <v>11583</v>
      </c>
      <c r="C3120" t="s">
        <v>5043</v>
      </c>
      <c r="D3120" t="s">
        <v>8401</v>
      </c>
    </row>
    <row r="3121" spans="1:4" ht="15" x14ac:dyDescent="0.25">
      <c r="A3121">
        <v>10392</v>
      </c>
      <c r="B3121" t="s">
        <v>9244</v>
      </c>
      <c r="C3121" t="s">
        <v>5043</v>
      </c>
      <c r="D3121" t="s">
        <v>8401</v>
      </c>
    </row>
    <row r="3122" spans="1:4" ht="15" x14ac:dyDescent="0.25">
      <c r="A3122">
        <v>10664</v>
      </c>
      <c r="B3122" t="s">
        <v>9244</v>
      </c>
      <c r="C3122" t="s">
        <v>5043</v>
      </c>
      <c r="D3122" t="s">
        <v>8401</v>
      </c>
    </row>
    <row r="3123" spans="1:4" ht="15" x14ac:dyDescent="0.25">
      <c r="A3123">
        <v>8041</v>
      </c>
      <c r="B3123" t="s">
        <v>9244</v>
      </c>
      <c r="C3123" t="s">
        <v>5043</v>
      </c>
      <c r="D3123" t="s">
        <v>8401</v>
      </c>
    </row>
    <row r="3124" spans="1:4" ht="15" x14ac:dyDescent="0.25">
      <c r="A3124">
        <v>9029</v>
      </c>
      <c r="B3124" t="s">
        <v>9244</v>
      </c>
      <c r="C3124" t="s">
        <v>5043</v>
      </c>
      <c r="D3124" t="s">
        <v>8401</v>
      </c>
    </row>
    <row r="3125" spans="1:4" ht="15" x14ac:dyDescent="0.25">
      <c r="A3125">
        <v>10759</v>
      </c>
      <c r="B3125" t="s">
        <v>11023</v>
      </c>
      <c r="C3125" t="s">
        <v>5043</v>
      </c>
      <c r="D3125" t="s">
        <v>8401</v>
      </c>
    </row>
    <row r="3126" spans="1:4" ht="15" x14ac:dyDescent="0.25">
      <c r="A3126">
        <v>7135</v>
      </c>
      <c r="B3126" t="s">
        <v>9245</v>
      </c>
      <c r="C3126" t="s">
        <v>5043</v>
      </c>
      <c r="D3126" t="s">
        <v>8401</v>
      </c>
    </row>
    <row r="3127" spans="1:4" ht="15" x14ac:dyDescent="0.25">
      <c r="A3127">
        <v>6820</v>
      </c>
      <c r="B3127" t="s">
        <v>11024</v>
      </c>
      <c r="C3127" t="s">
        <v>5043</v>
      </c>
      <c r="D3127" t="s">
        <v>8401</v>
      </c>
    </row>
    <row r="3128" spans="1:4" ht="15" x14ac:dyDescent="0.25">
      <c r="A3128">
        <v>6895</v>
      </c>
      <c r="B3128" t="s">
        <v>11024</v>
      </c>
      <c r="C3128" t="s">
        <v>5043</v>
      </c>
      <c r="D3128" t="s">
        <v>8401</v>
      </c>
    </row>
    <row r="3129" spans="1:4" ht="15" x14ac:dyDescent="0.25">
      <c r="A3129">
        <v>7239</v>
      </c>
      <c r="B3129" t="s">
        <v>11024</v>
      </c>
      <c r="C3129" t="s">
        <v>5043</v>
      </c>
      <c r="D3129" t="s">
        <v>8401</v>
      </c>
    </row>
    <row r="3130" spans="1:4" ht="15" x14ac:dyDescent="0.25">
      <c r="A3130">
        <v>7733</v>
      </c>
      <c r="B3130" t="s">
        <v>11024</v>
      </c>
      <c r="C3130" t="s">
        <v>5043</v>
      </c>
      <c r="D3130" t="s">
        <v>8401</v>
      </c>
    </row>
    <row r="3131" spans="1:4" ht="15" x14ac:dyDescent="0.25">
      <c r="A3131">
        <v>8997</v>
      </c>
      <c r="B3131" t="s">
        <v>11024</v>
      </c>
      <c r="C3131" t="s">
        <v>5043</v>
      </c>
      <c r="D3131" t="s">
        <v>8401</v>
      </c>
    </row>
    <row r="3132" spans="1:4" ht="15" x14ac:dyDescent="0.25">
      <c r="A3132">
        <v>9436</v>
      </c>
      <c r="B3132" t="s">
        <v>11024</v>
      </c>
      <c r="C3132" t="s">
        <v>5043</v>
      </c>
      <c r="D3132" t="s">
        <v>8401</v>
      </c>
    </row>
    <row r="3133" spans="1:4" ht="15" x14ac:dyDescent="0.25">
      <c r="A3133">
        <v>9162</v>
      </c>
      <c r="B3133" t="s">
        <v>11025</v>
      </c>
      <c r="C3133" t="s">
        <v>5043</v>
      </c>
      <c r="D3133" t="s">
        <v>8401</v>
      </c>
    </row>
    <row r="3134" spans="1:4" ht="15" x14ac:dyDescent="0.25">
      <c r="A3134">
        <v>9187</v>
      </c>
      <c r="B3134" t="s">
        <v>11025</v>
      </c>
      <c r="C3134" t="s">
        <v>5043</v>
      </c>
      <c r="D3134" t="s">
        <v>8401</v>
      </c>
    </row>
    <row r="3135" spans="1:4" ht="15" x14ac:dyDescent="0.25">
      <c r="A3135">
        <v>9234</v>
      </c>
      <c r="B3135" t="s">
        <v>11025</v>
      </c>
      <c r="C3135" t="s">
        <v>5043</v>
      </c>
      <c r="D3135" t="s">
        <v>8401</v>
      </c>
    </row>
    <row r="3136" spans="1:4" ht="15" x14ac:dyDescent="0.25">
      <c r="A3136">
        <v>10270</v>
      </c>
      <c r="B3136" t="s">
        <v>11026</v>
      </c>
      <c r="C3136" t="s">
        <v>5043</v>
      </c>
      <c r="D3136" t="s">
        <v>8401</v>
      </c>
    </row>
    <row r="3137" spans="1:4" ht="15" x14ac:dyDescent="0.25">
      <c r="A3137">
        <v>7492</v>
      </c>
      <c r="B3137" t="s">
        <v>11027</v>
      </c>
      <c r="C3137" t="s">
        <v>5043</v>
      </c>
      <c r="D3137" t="s">
        <v>8401</v>
      </c>
    </row>
    <row r="3138" spans="1:4" ht="15" x14ac:dyDescent="0.25">
      <c r="A3138">
        <v>10400</v>
      </c>
      <c r="B3138" t="s">
        <v>11028</v>
      </c>
      <c r="C3138" t="s">
        <v>5043</v>
      </c>
      <c r="D3138" t="s">
        <v>8401</v>
      </c>
    </row>
    <row r="3139" spans="1:4" ht="15" x14ac:dyDescent="0.25">
      <c r="A3139">
        <v>11755</v>
      </c>
      <c r="B3139" t="s">
        <v>11028</v>
      </c>
      <c r="C3139" t="s">
        <v>5043</v>
      </c>
      <c r="D3139" t="s">
        <v>8401</v>
      </c>
    </row>
    <row r="3140" spans="1:4" ht="15" x14ac:dyDescent="0.25">
      <c r="A3140">
        <v>7043</v>
      </c>
      <c r="B3140" t="s">
        <v>11029</v>
      </c>
      <c r="C3140" t="s">
        <v>5043</v>
      </c>
      <c r="D3140" t="s">
        <v>8401</v>
      </c>
    </row>
    <row r="3141" spans="1:4" ht="15" x14ac:dyDescent="0.25">
      <c r="A3141">
        <v>11583</v>
      </c>
      <c r="B3141" t="s">
        <v>11030</v>
      </c>
      <c r="C3141" t="s">
        <v>5043</v>
      </c>
      <c r="D3141" t="s">
        <v>8401</v>
      </c>
    </row>
    <row r="3142" spans="1:4" ht="15" x14ac:dyDescent="0.25">
      <c r="A3142">
        <v>7283</v>
      </c>
      <c r="B3142" t="s">
        <v>11030</v>
      </c>
      <c r="C3142" t="s">
        <v>5043</v>
      </c>
      <c r="D3142" t="s">
        <v>8401</v>
      </c>
    </row>
    <row r="3143" spans="1:4" ht="15" x14ac:dyDescent="0.25">
      <c r="A3143">
        <v>7585</v>
      </c>
      <c r="B3143" t="s">
        <v>11030</v>
      </c>
      <c r="C3143" t="s">
        <v>5043</v>
      </c>
      <c r="D3143" t="s">
        <v>8401</v>
      </c>
    </row>
    <row r="3144" spans="1:4" ht="15" x14ac:dyDescent="0.25">
      <c r="A3144">
        <v>9423</v>
      </c>
      <c r="B3144" t="s">
        <v>11030</v>
      </c>
      <c r="C3144" t="s">
        <v>5043</v>
      </c>
      <c r="D3144" t="s">
        <v>8401</v>
      </c>
    </row>
    <row r="3145" spans="1:4" ht="15" x14ac:dyDescent="0.25">
      <c r="A3145">
        <v>8632</v>
      </c>
      <c r="B3145" t="s">
        <v>11031</v>
      </c>
      <c r="C3145" t="s">
        <v>5043</v>
      </c>
      <c r="D3145" t="s">
        <v>8401</v>
      </c>
    </row>
    <row r="3146" spans="1:4" ht="15" x14ac:dyDescent="0.25">
      <c r="A3146">
        <v>9662</v>
      </c>
      <c r="B3146" t="s">
        <v>11031</v>
      </c>
      <c r="C3146" t="s">
        <v>5043</v>
      </c>
      <c r="D3146" t="s">
        <v>8401</v>
      </c>
    </row>
    <row r="3147" spans="1:4" ht="15" x14ac:dyDescent="0.25">
      <c r="A3147">
        <v>9770</v>
      </c>
      <c r="B3147" t="s">
        <v>11032</v>
      </c>
      <c r="C3147" t="s">
        <v>5043</v>
      </c>
      <c r="D3147" t="s">
        <v>8401</v>
      </c>
    </row>
    <row r="3148" spans="1:4" ht="15" x14ac:dyDescent="0.25">
      <c r="A3148">
        <v>11965</v>
      </c>
      <c r="B3148" t="s">
        <v>11033</v>
      </c>
      <c r="C3148" t="s">
        <v>5043</v>
      </c>
      <c r="D3148" t="s">
        <v>8401</v>
      </c>
    </row>
    <row r="3149" spans="1:4" ht="15" x14ac:dyDescent="0.25">
      <c r="A3149">
        <v>9832</v>
      </c>
      <c r="B3149" t="s">
        <v>11033</v>
      </c>
      <c r="C3149" t="s">
        <v>5043</v>
      </c>
      <c r="D3149" t="s">
        <v>8401</v>
      </c>
    </row>
    <row r="3150" spans="1:4" ht="15" x14ac:dyDescent="0.25">
      <c r="A3150">
        <v>251352</v>
      </c>
      <c r="B3150" t="s">
        <v>11584</v>
      </c>
      <c r="C3150" t="s">
        <v>5043</v>
      </c>
      <c r="D3150" t="s">
        <v>11585</v>
      </c>
    </row>
    <row r="3151" spans="1:4" ht="15" x14ac:dyDescent="0.25">
      <c r="A3151">
        <v>11056</v>
      </c>
      <c r="B3151" t="s">
        <v>11034</v>
      </c>
      <c r="C3151" t="s">
        <v>5043</v>
      </c>
      <c r="D3151" t="s">
        <v>8401</v>
      </c>
    </row>
    <row r="3152" spans="1:4" ht="15" x14ac:dyDescent="0.25">
      <c r="A3152">
        <v>7542</v>
      </c>
      <c r="B3152" t="s">
        <v>11034</v>
      </c>
      <c r="C3152" t="s">
        <v>5043</v>
      </c>
      <c r="D3152" t="s">
        <v>8401</v>
      </c>
    </row>
    <row r="3153" spans="1:4" ht="15" x14ac:dyDescent="0.25">
      <c r="A3153">
        <v>10197</v>
      </c>
      <c r="B3153" t="s">
        <v>9246</v>
      </c>
      <c r="C3153" t="s">
        <v>5043</v>
      </c>
      <c r="D3153" t="s">
        <v>8401</v>
      </c>
    </row>
    <row r="3154" spans="1:4" ht="15" x14ac:dyDescent="0.25">
      <c r="A3154">
        <v>10726</v>
      </c>
      <c r="B3154" t="s">
        <v>9246</v>
      </c>
      <c r="C3154" t="s">
        <v>5043</v>
      </c>
      <c r="D3154" t="s">
        <v>8401</v>
      </c>
    </row>
    <row r="3155" spans="1:4" ht="15" x14ac:dyDescent="0.25">
      <c r="A3155">
        <v>10753</v>
      </c>
      <c r="B3155" t="s">
        <v>9246</v>
      </c>
      <c r="C3155" t="s">
        <v>5043</v>
      </c>
      <c r="D3155" t="s">
        <v>8401</v>
      </c>
    </row>
    <row r="3156" spans="1:4" ht="15" x14ac:dyDescent="0.25">
      <c r="A3156">
        <v>10865</v>
      </c>
      <c r="B3156" t="s">
        <v>9246</v>
      </c>
      <c r="C3156" t="s">
        <v>5043</v>
      </c>
      <c r="D3156" t="s">
        <v>8401</v>
      </c>
    </row>
    <row r="3157" spans="1:4" ht="15" x14ac:dyDescent="0.25">
      <c r="A3157">
        <v>10912</v>
      </c>
      <c r="B3157" t="s">
        <v>9246</v>
      </c>
      <c r="C3157" t="s">
        <v>5043</v>
      </c>
      <c r="D3157" t="s">
        <v>8401</v>
      </c>
    </row>
    <row r="3158" spans="1:4" ht="15" x14ac:dyDescent="0.25">
      <c r="A3158">
        <v>10961</v>
      </c>
      <c r="B3158" t="s">
        <v>9246</v>
      </c>
      <c r="C3158" t="s">
        <v>5043</v>
      </c>
      <c r="D3158" t="s">
        <v>8401</v>
      </c>
    </row>
    <row r="3159" spans="1:4" ht="15" x14ac:dyDescent="0.25">
      <c r="A3159">
        <v>10992</v>
      </c>
      <c r="B3159" t="s">
        <v>9246</v>
      </c>
      <c r="C3159" t="s">
        <v>5043</v>
      </c>
      <c r="D3159" t="s">
        <v>8401</v>
      </c>
    </row>
    <row r="3160" spans="1:4" ht="15" x14ac:dyDescent="0.25">
      <c r="A3160">
        <v>11122</v>
      </c>
      <c r="B3160" t="s">
        <v>9246</v>
      </c>
      <c r="C3160" t="s">
        <v>5043</v>
      </c>
      <c r="D3160" t="s">
        <v>8401</v>
      </c>
    </row>
    <row r="3161" spans="1:4" ht="15" x14ac:dyDescent="0.25">
      <c r="A3161">
        <v>11277</v>
      </c>
      <c r="B3161" t="s">
        <v>9246</v>
      </c>
      <c r="C3161" t="s">
        <v>5043</v>
      </c>
      <c r="D3161" t="s">
        <v>8401</v>
      </c>
    </row>
    <row r="3162" spans="1:4" ht="15" x14ac:dyDescent="0.25">
      <c r="A3162">
        <v>11352</v>
      </c>
      <c r="B3162" t="s">
        <v>9246</v>
      </c>
      <c r="C3162" t="s">
        <v>5043</v>
      </c>
      <c r="D3162" t="s">
        <v>8401</v>
      </c>
    </row>
    <row r="3163" spans="1:4" ht="15" x14ac:dyDescent="0.25">
      <c r="A3163">
        <v>11361</v>
      </c>
      <c r="B3163" t="s">
        <v>9246</v>
      </c>
      <c r="C3163" t="s">
        <v>5043</v>
      </c>
      <c r="D3163" t="s">
        <v>8401</v>
      </c>
    </row>
    <row r="3164" spans="1:4" ht="15" x14ac:dyDescent="0.25">
      <c r="A3164">
        <v>11842</v>
      </c>
      <c r="B3164" t="s">
        <v>9246</v>
      </c>
      <c r="C3164" t="s">
        <v>5043</v>
      </c>
      <c r="D3164" t="s">
        <v>8401</v>
      </c>
    </row>
    <row r="3165" spans="1:4" ht="15" x14ac:dyDescent="0.25">
      <c r="A3165">
        <v>11946</v>
      </c>
      <c r="B3165" t="s">
        <v>9246</v>
      </c>
      <c r="C3165" t="s">
        <v>5043</v>
      </c>
      <c r="D3165" t="s">
        <v>8401</v>
      </c>
    </row>
    <row r="3166" spans="1:4" ht="15" x14ac:dyDescent="0.25">
      <c r="A3166">
        <v>6761</v>
      </c>
      <c r="B3166" t="s">
        <v>9246</v>
      </c>
      <c r="C3166" t="s">
        <v>5043</v>
      </c>
      <c r="D3166" t="s">
        <v>8401</v>
      </c>
    </row>
    <row r="3167" spans="1:4" ht="15" x14ac:dyDescent="0.25">
      <c r="A3167">
        <v>6843</v>
      </c>
      <c r="B3167" t="s">
        <v>9246</v>
      </c>
      <c r="C3167" t="s">
        <v>5043</v>
      </c>
      <c r="D3167" t="s">
        <v>8401</v>
      </c>
    </row>
    <row r="3168" spans="1:4" ht="15" x14ac:dyDescent="0.25">
      <c r="A3168">
        <v>7230</v>
      </c>
      <c r="B3168" t="s">
        <v>9246</v>
      </c>
      <c r="C3168" t="s">
        <v>5043</v>
      </c>
      <c r="D3168" t="s">
        <v>8401</v>
      </c>
    </row>
    <row r="3169" spans="1:4" ht="15" x14ac:dyDescent="0.25">
      <c r="A3169">
        <v>7343</v>
      </c>
      <c r="B3169" t="s">
        <v>9246</v>
      </c>
      <c r="C3169" t="s">
        <v>5043</v>
      </c>
      <c r="D3169" t="s">
        <v>8401</v>
      </c>
    </row>
    <row r="3170" spans="1:4" ht="15" x14ac:dyDescent="0.25">
      <c r="A3170">
        <v>7444</v>
      </c>
      <c r="B3170" t="s">
        <v>9246</v>
      </c>
      <c r="C3170" t="s">
        <v>5043</v>
      </c>
      <c r="D3170" t="s">
        <v>8401</v>
      </c>
    </row>
    <row r="3171" spans="1:4" ht="15" x14ac:dyDescent="0.25">
      <c r="A3171">
        <v>7644</v>
      </c>
      <c r="B3171" t="s">
        <v>9246</v>
      </c>
      <c r="C3171" t="s">
        <v>5043</v>
      </c>
      <c r="D3171" t="s">
        <v>8401</v>
      </c>
    </row>
    <row r="3172" spans="1:4" ht="15" x14ac:dyDescent="0.25">
      <c r="A3172">
        <v>7801</v>
      </c>
      <c r="B3172" t="s">
        <v>9246</v>
      </c>
      <c r="C3172" t="s">
        <v>5043</v>
      </c>
      <c r="D3172" t="s">
        <v>8401</v>
      </c>
    </row>
    <row r="3173" spans="1:4" ht="15" x14ac:dyDescent="0.25">
      <c r="A3173">
        <v>7877</v>
      </c>
      <c r="B3173" t="s">
        <v>9246</v>
      </c>
      <c r="C3173" t="s">
        <v>5043</v>
      </c>
      <c r="D3173" t="s">
        <v>8401</v>
      </c>
    </row>
    <row r="3174" spans="1:4" ht="15" x14ac:dyDescent="0.25">
      <c r="A3174">
        <v>7891</v>
      </c>
      <c r="B3174" t="s">
        <v>9246</v>
      </c>
      <c r="C3174" t="s">
        <v>5043</v>
      </c>
      <c r="D3174" t="s">
        <v>8401</v>
      </c>
    </row>
    <row r="3175" spans="1:4" ht="15" x14ac:dyDescent="0.25">
      <c r="A3175">
        <v>7990</v>
      </c>
      <c r="B3175" t="s">
        <v>9246</v>
      </c>
      <c r="C3175" t="s">
        <v>5043</v>
      </c>
      <c r="D3175" t="s">
        <v>8401</v>
      </c>
    </row>
    <row r="3176" spans="1:4" ht="15" x14ac:dyDescent="0.25">
      <c r="A3176">
        <v>8263</v>
      </c>
      <c r="B3176" t="s">
        <v>9246</v>
      </c>
      <c r="C3176" t="s">
        <v>5043</v>
      </c>
      <c r="D3176" t="s">
        <v>8401</v>
      </c>
    </row>
    <row r="3177" spans="1:4" ht="15" x14ac:dyDescent="0.25">
      <c r="A3177">
        <v>8458</v>
      </c>
      <c r="B3177" t="s">
        <v>9246</v>
      </c>
      <c r="C3177" t="s">
        <v>5043</v>
      </c>
      <c r="D3177" t="s">
        <v>8401</v>
      </c>
    </row>
    <row r="3178" spans="1:4" ht="15" x14ac:dyDescent="0.25">
      <c r="A3178">
        <v>8802</v>
      </c>
      <c r="B3178" t="s">
        <v>9246</v>
      </c>
      <c r="C3178" t="s">
        <v>5043</v>
      </c>
      <c r="D3178" t="s">
        <v>8401</v>
      </c>
    </row>
    <row r="3179" spans="1:4" ht="15" x14ac:dyDescent="0.25">
      <c r="A3179">
        <v>8821</v>
      </c>
      <c r="B3179" t="s">
        <v>9246</v>
      </c>
      <c r="C3179" t="s">
        <v>5043</v>
      </c>
      <c r="D3179" t="s">
        <v>8401</v>
      </c>
    </row>
    <row r="3180" spans="1:4" ht="15" x14ac:dyDescent="0.25">
      <c r="A3180">
        <v>9143</v>
      </c>
      <c r="B3180" t="s">
        <v>9246</v>
      </c>
      <c r="C3180" t="s">
        <v>5043</v>
      </c>
      <c r="D3180" t="s">
        <v>8401</v>
      </c>
    </row>
    <row r="3181" spans="1:4" ht="15" x14ac:dyDescent="0.25">
      <c r="A3181">
        <v>9178</v>
      </c>
      <c r="B3181" t="s">
        <v>9246</v>
      </c>
      <c r="C3181" t="s">
        <v>5043</v>
      </c>
      <c r="D3181" t="s">
        <v>8401</v>
      </c>
    </row>
    <row r="3182" spans="1:4" ht="15" x14ac:dyDescent="0.25">
      <c r="A3182">
        <v>9239</v>
      </c>
      <c r="B3182" t="s">
        <v>9246</v>
      </c>
      <c r="C3182" t="s">
        <v>5043</v>
      </c>
      <c r="D3182" t="s">
        <v>8401</v>
      </c>
    </row>
    <row r="3183" spans="1:4" ht="15" x14ac:dyDescent="0.25">
      <c r="A3183">
        <v>9255</v>
      </c>
      <c r="B3183" t="s">
        <v>9246</v>
      </c>
      <c r="C3183" t="s">
        <v>5043</v>
      </c>
      <c r="D3183" t="s">
        <v>8401</v>
      </c>
    </row>
    <row r="3184" spans="1:4" ht="15" x14ac:dyDescent="0.25">
      <c r="A3184">
        <v>9274</v>
      </c>
      <c r="B3184" t="s">
        <v>9246</v>
      </c>
      <c r="C3184" t="s">
        <v>5043</v>
      </c>
      <c r="D3184" t="s">
        <v>8401</v>
      </c>
    </row>
    <row r="3185" spans="1:4" ht="15" x14ac:dyDescent="0.25">
      <c r="A3185">
        <v>9440</v>
      </c>
      <c r="B3185" t="s">
        <v>9246</v>
      </c>
      <c r="C3185" t="s">
        <v>5043</v>
      </c>
      <c r="D3185" t="s">
        <v>8401</v>
      </c>
    </row>
    <row r="3186" spans="1:4" ht="15" x14ac:dyDescent="0.25">
      <c r="A3186">
        <v>9470</v>
      </c>
      <c r="B3186" t="s">
        <v>9246</v>
      </c>
      <c r="C3186" t="s">
        <v>5043</v>
      </c>
      <c r="D3186" t="s">
        <v>8401</v>
      </c>
    </row>
    <row r="3187" spans="1:4" ht="15" x14ac:dyDescent="0.25">
      <c r="A3187">
        <v>9989</v>
      </c>
      <c r="B3187" t="s">
        <v>9246</v>
      </c>
      <c r="C3187" t="s">
        <v>5043</v>
      </c>
      <c r="D3187" t="s">
        <v>8401</v>
      </c>
    </row>
    <row r="3188" spans="1:4" ht="15" x14ac:dyDescent="0.25">
      <c r="A3188">
        <v>251479</v>
      </c>
      <c r="B3188" t="s">
        <v>9247</v>
      </c>
      <c r="C3188" t="s">
        <v>5043</v>
      </c>
      <c r="D3188" t="s">
        <v>8401</v>
      </c>
    </row>
    <row r="3189" spans="1:4" ht="15" x14ac:dyDescent="0.25">
      <c r="A3189">
        <v>9897</v>
      </c>
      <c r="B3189" t="s">
        <v>9247</v>
      </c>
      <c r="C3189" t="s">
        <v>5043</v>
      </c>
      <c r="D3189" t="s">
        <v>8401</v>
      </c>
    </row>
    <row r="3190" spans="1:4" ht="15" x14ac:dyDescent="0.25">
      <c r="A3190">
        <v>6712</v>
      </c>
      <c r="B3190" t="s">
        <v>9248</v>
      </c>
      <c r="C3190" t="s">
        <v>5043</v>
      </c>
      <c r="D3190" t="s">
        <v>8401</v>
      </c>
    </row>
    <row r="3191" spans="1:4" ht="15" x14ac:dyDescent="0.25">
      <c r="A3191">
        <v>10290</v>
      </c>
      <c r="B3191" t="s">
        <v>9249</v>
      </c>
      <c r="C3191" t="s">
        <v>5043</v>
      </c>
      <c r="D3191" t="s">
        <v>8401</v>
      </c>
    </row>
    <row r="3192" spans="1:4" ht="15" x14ac:dyDescent="0.25">
      <c r="A3192">
        <v>10874</v>
      </c>
      <c r="B3192" t="s">
        <v>9249</v>
      </c>
      <c r="C3192" t="s">
        <v>5043</v>
      </c>
      <c r="D3192" t="s">
        <v>8401</v>
      </c>
    </row>
    <row r="3193" spans="1:4" ht="15" x14ac:dyDescent="0.25">
      <c r="A3193">
        <v>11336</v>
      </c>
      <c r="B3193" t="s">
        <v>9249</v>
      </c>
      <c r="C3193" t="s">
        <v>5043</v>
      </c>
      <c r="D3193" t="s">
        <v>8401</v>
      </c>
    </row>
    <row r="3194" spans="1:4" ht="15" x14ac:dyDescent="0.25">
      <c r="A3194">
        <v>11356</v>
      </c>
      <c r="B3194" t="s">
        <v>9249</v>
      </c>
      <c r="C3194" t="s">
        <v>5043</v>
      </c>
      <c r="D3194" t="s">
        <v>8401</v>
      </c>
    </row>
    <row r="3195" spans="1:4" ht="15" x14ac:dyDescent="0.25">
      <c r="A3195">
        <v>11713</v>
      </c>
      <c r="B3195" t="s">
        <v>9249</v>
      </c>
      <c r="C3195" t="s">
        <v>5043</v>
      </c>
      <c r="D3195" t="s">
        <v>8401</v>
      </c>
    </row>
    <row r="3196" spans="1:4" ht="15" x14ac:dyDescent="0.25">
      <c r="A3196">
        <v>11716</v>
      </c>
      <c r="B3196" t="s">
        <v>9249</v>
      </c>
      <c r="C3196" t="s">
        <v>5043</v>
      </c>
      <c r="D3196" t="s">
        <v>8401</v>
      </c>
    </row>
    <row r="3197" spans="1:4" ht="15" x14ac:dyDescent="0.25">
      <c r="A3197">
        <v>11784</v>
      </c>
      <c r="B3197" t="s">
        <v>9249</v>
      </c>
      <c r="C3197" t="s">
        <v>5043</v>
      </c>
      <c r="D3197" t="s">
        <v>8401</v>
      </c>
    </row>
    <row r="3198" spans="1:4" ht="15" x14ac:dyDescent="0.25">
      <c r="A3198">
        <v>12091</v>
      </c>
      <c r="B3198" t="s">
        <v>9249</v>
      </c>
      <c r="C3198" t="s">
        <v>5043</v>
      </c>
      <c r="D3198" t="s">
        <v>8401</v>
      </c>
    </row>
    <row r="3199" spans="1:4" ht="15" x14ac:dyDescent="0.25">
      <c r="A3199">
        <v>6719</v>
      </c>
      <c r="B3199" t="s">
        <v>9249</v>
      </c>
      <c r="C3199" t="s">
        <v>5043</v>
      </c>
      <c r="D3199" t="s">
        <v>8401</v>
      </c>
    </row>
    <row r="3200" spans="1:4" ht="15" x14ac:dyDescent="0.25">
      <c r="A3200">
        <v>6739</v>
      </c>
      <c r="B3200" t="s">
        <v>9249</v>
      </c>
      <c r="C3200" t="s">
        <v>5043</v>
      </c>
      <c r="D3200" t="s">
        <v>8401</v>
      </c>
    </row>
    <row r="3201" spans="1:4" ht="15" x14ac:dyDescent="0.25">
      <c r="A3201">
        <v>7302</v>
      </c>
      <c r="B3201" t="s">
        <v>9249</v>
      </c>
      <c r="C3201" t="s">
        <v>5043</v>
      </c>
      <c r="D3201" t="s">
        <v>8401</v>
      </c>
    </row>
    <row r="3202" spans="1:4" ht="15" x14ac:dyDescent="0.25">
      <c r="A3202">
        <v>7407</v>
      </c>
      <c r="B3202" t="s">
        <v>9249</v>
      </c>
      <c r="C3202" t="s">
        <v>5043</v>
      </c>
      <c r="D3202" t="s">
        <v>8401</v>
      </c>
    </row>
    <row r="3203" spans="1:4" ht="15" x14ac:dyDescent="0.25">
      <c r="A3203">
        <v>7995</v>
      </c>
      <c r="B3203" t="s">
        <v>9249</v>
      </c>
      <c r="C3203" t="s">
        <v>5043</v>
      </c>
      <c r="D3203" t="s">
        <v>8401</v>
      </c>
    </row>
    <row r="3204" spans="1:4" ht="15" x14ac:dyDescent="0.25">
      <c r="A3204">
        <v>8093</v>
      </c>
      <c r="B3204" t="s">
        <v>9249</v>
      </c>
      <c r="C3204" t="s">
        <v>5043</v>
      </c>
      <c r="D3204" t="s">
        <v>8401</v>
      </c>
    </row>
    <row r="3205" spans="1:4" ht="15" x14ac:dyDescent="0.25">
      <c r="A3205">
        <v>8257</v>
      </c>
      <c r="B3205" t="s">
        <v>9249</v>
      </c>
      <c r="C3205" t="s">
        <v>5043</v>
      </c>
      <c r="D3205" t="s">
        <v>8401</v>
      </c>
    </row>
    <row r="3206" spans="1:4" ht="15" x14ac:dyDescent="0.25">
      <c r="A3206">
        <v>8427</v>
      </c>
      <c r="B3206" t="s">
        <v>9249</v>
      </c>
      <c r="C3206" t="s">
        <v>5043</v>
      </c>
      <c r="D3206" t="s">
        <v>8401</v>
      </c>
    </row>
    <row r="3207" spans="1:4" ht="15" x14ac:dyDescent="0.25">
      <c r="A3207">
        <v>8485</v>
      </c>
      <c r="B3207" t="s">
        <v>9249</v>
      </c>
      <c r="C3207" t="s">
        <v>5043</v>
      </c>
      <c r="D3207" t="s">
        <v>8401</v>
      </c>
    </row>
    <row r="3208" spans="1:4" ht="15" x14ac:dyDescent="0.25">
      <c r="A3208">
        <v>8672</v>
      </c>
      <c r="B3208" t="s">
        <v>9249</v>
      </c>
      <c r="C3208" t="s">
        <v>5043</v>
      </c>
      <c r="D3208" t="s">
        <v>8401</v>
      </c>
    </row>
    <row r="3209" spans="1:4" ht="15" x14ac:dyDescent="0.25">
      <c r="A3209">
        <v>8677</v>
      </c>
      <c r="B3209" t="s">
        <v>9249</v>
      </c>
      <c r="C3209" t="s">
        <v>5043</v>
      </c>
      <c r="D3209" t="s">
        <v>8401</v>
      </c>
    </row>
    <row r="3210" spans="1:4" ht="15" x14ac:dyDescent="0.25">
      <c r="A3210">
        <v>9028</v>
      </c>
      <c r="B3210" t="s">
        <v>9249</v>
      </c>
      <c r="C3210" t="s">
        <v>5043</v>
      </c>
      <c r="D3210" t="s">
        <v>8401</v>
      </c>
    </row>
    <row r="3211" spans="1:4" ht="15" x14ac:dyDescent="0.25">
      <c r="A3211">
        <v>9065</v>
      </c>
      <c r="B3211" t="s">
        <v>9249</v>
      </c>
      <c r="C3211" t="s">
        <v>5043</v>
      </c>
      <c r="D3211" t="s">
        <v>8401</v>
      </c>
    </row>
    <row r="3212" spans="1:4" ht="15" x14ac:dyDescent="0.25">
      <c r="A3212">
        <v>9135</v>
      </c>
      <c r="B3212" t="s">
        <v>9249</v>
      </c>
      <c r="C3212" t="s">
        <v>5043</v>
      </c>
      <c r="D3212" t="s">
        <v>8401</v>
      </c>
    </row>
    <row r="3213" spans="1:4" ht="15" x14ac:dyDescent="0.25">
      <c r="A3213">
        <v>9285</v>
      </c>
      <c r="B3213" t="s">
        <v>9249</v>
      </c>
      <c r="C3213" t="s">
        <v>5043</v>
      </c>
      <c r="D3213" t="s">
        <v>8401</v>
      </c>
    </row>
    <row r="3214" spans="1:4" ht="15" x14ac:dyDescent="0.25">
      <c r="A3214">
        <v>10158</v>
      </c>
      <c r="B3214" t="s">
        <v>11035</v>
      </c>
      <c r="C3214" t="s">
        <v>5043</v>
      </c>
      <c r="D3214" t="s">
        <v>8401</v>
      </c>
    </row>
    <row r="3215" spans="1:4" ht="15" x14ac:dyDescent="0.25">
      <c r="A3215">
        <v>11922</v>
      </c>
      <c r="B3215" t="s">
        <v>11035</v>
      </c>
      <c r="C3215" t="s">
        <v>5043</v>
      </c>
      <c r="D3215" t="s">
        <v>8401</v>
      </c>
    </row>
    <row r="3216" spans="1:4" ht="15" x14ac:dyDescent="0.25">
      <c r="A3216">
        <v>8422</v>
      </c>
      <c r="B3216" t="s">
        <v>11035</v>
      </c>
      <c r="C3216" t="s">
        <v>5043</v>
      </c>
      <c r="D3216" t="s">
        <v>8401</v>
      </c>
    </row>
    <row r="3217" spans="1:4" ht="15" x14ac:dyDescent="0.25">
      <c r="A3217">
        <v>7648</v>
      </c>
      <c r="B3217" t="s">
        <v>11036</v>
      </c>
      <c r="C3217" t="s">
        <v>5043</v>
      </c>
      <c r="D3217" t="s">
        <v>8401</v>
      </c>
    </row>
    <row r="3218" spans="1:4" ht="15" x14ac:dyDescent="0.25">
      <c r="A3218">
        <v>10450</v>
      </c>
      <c r="B3218" t="s">
        <v>9250</v>
      </c>
      <c r="C3218" t="s">
        <v>5043</v>
      </c>
      <c r="D3218" t="s">
        <v>8401</v>
      </c>
    </row>
    <row r="3219" spans="1:4" ht="15" x14ac:dyDescent="0.25">
      <c r="A3219">
        <v>10459</v>
      </c>
      <c r="B3219" t="s">
        <v>9250</v>
      </c>
      <c r="C3219" t="s">
        <v>5043</v>
      </c>
      <c r="D3219" t="s">
        <v>8401</v>
      </c>
    </row>
    <row r="3220" spans="1:4" ht="15" x14ac:dyDescent="0.25">
      <c r="A3220">
        <v>11102</v>
      </c>
      <c r="B3220" t="s">
        <v>9250</v>
      </c>
      <c r="C3220" t="s">
        <v>5043</v>
      </c>
      <c r="D3220" t="s">
        <v>8401</v>
      </c>
    </row>
    <row r="3221" spans="1:4" ht="15" x14ac:dyDescent="0.25">
      <c r="A3221">
        <v>11685</v>
      </c>
      <c r="B3221" t="s">
        <v>9250</v>
      </c>
      <c r="C3221" t="s">
        <v>5043</v>
      </c>
      <c r="D3221" t="s">
        <v>8401</v>
      </c>
    </row>
    <row r="3222" spans="1:4" ht="15" x14ac:dyDescent="0.25">
      <c r="A3222">
        <v>7408</v>
      </c>
      <c r="B3222" t="s">
        <v>9250</v>
      </c>
      <c r="C3222" t="s">
        <v>5043</v>
      </c>
      <c r="D3222" t="s">
        <v>8401</v>
      </c>
    </row>
    <row r="3223" spans="1:4" ht="15" x14ac:dyDescent="0.25">
      <c r="A3223">
        <v>7812</v>
      </c>
      <c r="B3223" t="s">
        <v>9250</v>
      </c>
      <c r="C3223" t="s">
        <v>5043</v>
      </c>
      <c r="D3223" t="s">
        <v>8401</v>
      </c>
    </row>
    <row r="3224" spans="1:4" ht="15" x14ac:dyDescent="0.25">
      <c r="A3224">
        <v>7834</v>
      </c>
      <c r="B3224" t="s">
        <v>9250</v>
      </c>
      <c r="C3224" t="s">
        <v>5043</v>
      </c>
      <c r="D3224" t="s">
        <v>8401</v>
      </c>
    </row>
    <row r="3225" spans="1:4" ht="15" x14ac:dyDescent="0.25">
      <c r="A3225">
        <v>7963</v>
      </c>
      <c r="B3225" t="s">
        <v>9250</v>
      </c>
      <c r="C3225" t="s">
        <v>5043</v>
      </c>
      <c r="D3225" t="s">
        <v>8401</v>
      </c>
    </row>
    <row r="3226" spans="1:4" ht="15" x14ac:dyDescent="0.25">
      <c r="A3226">
        <v>9032</v>
      </c>
      <c r="B3226" t="s">
        <v>9250</v>
      </c>
      <c r="C3226" t="s">
        <v>5043</v>
      </c>
      <c r="D3226" t="s">
        <v>8401</v>
      </c>
    </row>
    <row r="3227" spans="1:4" ht="15" x14ac:dyDescent="0.25">
      <c r="A3227">
        <v>9418</v>
      </c>
      <c r="B3227" t="s">
        <v>9250</v>
      </c>
      <c r="C3227" t="s">
        <v>5043</v>
      </c>
      <c r="D3227" t="s">
        <v>8401</v>
      </c>
    </row>
    <row r="3228" spans="1:4" ht="15" x14ac:dyDescent="0.25">
      <c r="A3228">
        <v>10366</v>
      </c>
      <c r="B3228" t="s">
        <v>9251</v>
      </c>
      <c r="C3228" t="s">
        <v>5043</v>
      </c>
      <c r="D3228" t="s">
        <v>8401</v>
      </c>
    </row>
    <row r="3229" spans="1:4" ht="15" x14ac:dyDescent="0.25">
      <c r="A3229">
        <v>10444</v>
      </c>
      <c r="B3229" t="s">
        <v>9252</v>
      </c>
      <c r="C3229" t="s">
        <v>5043</v>
      </c>
      <c r="D3229" t="s">
        <v>8401</v>
      </c>
    </row>
    <row r="3230" spans="1:4" ht="15" x14ac:dyDescent="0.25">
      <c r="A3230">
        <v>10536</v>
      </c>
      <c r="B3230" t="s">
        <v>9253</v>
      </c>
      <c r="C3230" t="s">
        <v>5043</v>
      </c>
      <c r="D3230" t="s">
        <v>8401</v>
      </c>
    </row>
    <row r="3231" spans="1:4" ht="15" x14ac:dyDescent="0.25">
      <c r="A3231">
        <v>10800</v>
      </c>
      <c r="B3231" t="s">
        <v>9254</v>
      </c>
      <c r="C3231" t="s">
        <v>5043</v>
      </c>
      <c r="D3231" t="s">
        <v>8401</v>
      </c>
    </row>
    <row r="3232" spans="1:4" ht="15" x14ac:dyDescent="0.25">
      <c r="A3232">
        <v>8709</v>
      </c>
      <c r="B3232" t="s">
        <v>9254</v>
      </c>
      <c r="C3232" t="s">
        <v>5043</v>
      </c>
      <c r="D3232" t="s">
        <v>8401</v>
      </c>
    </row>
    <row r="3233" spans="1:4" ht="15" x14ac:dyDescent="0.25">
      <c r="A3233">
        <v>9915</v>
      </c>
      <c r="B3233" t="s">
        <v>9254</v>
      </c>
      <c r="C3233" t="s">
        <v>5043</v>
      </c>
      <c r="D3233" t="s">
        <v>8401</v>
      </c>
    </row>
    <row r="3234" spans="1:4" ht="15" x14ac:dyDescent="0.25">
      <c r="A3234">
        <v>10708</v>
      </c>
      <c r="B3234" t="s">
        <v>9255</v>
      </c>
      <c r="C3234" t="s">
        <v>5043</v>
      </c>
      <c r="D3234" t="s">
        <v>8401</v>
      </c>
    </row>
    <row r="3235" spans="1:4" ht="15" x14ac:dyDescent="0.25">
      <c r="A3235">
        <v>10612</v>
      </c>
      <c r="B3235" t="s">
        <v>11037</v>
      </c>
      <c r="C3235" t="s">
        <v>5043</v>
      </c>
      <c r="D3235" t="s">
        <v>8401</v>
      </c>
    </row>
    <row r="3236" spans="1:4" ht="15" x14ac:dyDescent="0.25">
      <c r="A3236">
        <v>10331</v>
      </c>
      <c r="B3236" t="s">
        <v>11038</v>
      </c>
      <c r="C3236" t="s">
        <v>5043</v>
      </c>
      <c r="D3236" t="s">
        <v>8401</v>
      </c>
    </row>
    <row r="3237" spans="1:4" ht="15" x14ac:dyDescent="0.25">
      <c r="A3237">
        <v>11126</v>
      </c>
      <c r="B3237" t="s">
        <v>11038</v>
      </c>
      <c r="C3237" t="s">
        <v>5043</v>
      </c>
      <c r="D3237" t="s">
        <v>8401</v>
      </c>
    </row>
    <row r="3238" spans="1:4" ht="15" x14ac:dyDescent="0.25">
      <c r="A3238">
        <v>9355</v>
      </c>
      <c r="B3238" t="s">
        <v>11039</v>
      </c>
      <c r="C3238" t="s">
        <v>5043</v>
      </c>
      <c r="D3238" t="s">
        <v>8401</v>
      </c>
    </row>
    <row r="3239" spans="1:4" ht="15" x14ac:dyDescent="0.25">
      <c r="A3239">
        <v>10424</v>
      </c>
      <c r="B3239" t="s">
        <v>11040</v>
      </c>
      <c r="C3239" t="s">
        <v>5043</v>
      </c>
      <c r="D3239" t="s">
        <v>8401</v>
      </c>
    </row>
    <row r="3240" spans="1:4" ht="15" x14ac:dyDescent="0.25">
      <c r="A3240">
        <v>12044</v>
      </c>
      <c r="B3240" t="s">
        <v>11040</v>
      </c>
      <c r="C3240" t="s">
        <v>5043</v>
      </c>
      <c r="D3240" t="s">
        <v>8401</v>
      </c>
    </row>
    <row r="3241" spans="1:4" ht="15" x14ac:dyDescent="0.25">
      <c r="A3241">
        <v>10412</v>
      </c>
      <c r="B3241" t="s">
        <v>11041</v>
      </c>
      <c r="C3241" t="s">
        <v>5043</v>
      </c>
      <c r="D3241" t="s">
        <v>8401</v>
      </c>
    </row>
    <row r="3242" spans="1:4" ht="15" x14ac:dyDescent="0.25">
      <c r="A3242">
        <v>11519</v>
      </c>
      <c r="B3242" t="s">
        <v>11041</v>
      </c>
      <c r="C3242" t="s">
        <v>5043</v>
      </c>
      <c r="D3242" t="s">
        <v>8401</v>
      </c>
    </row>
    <row r="3243" spans="1:4" ht="15" x14ac:dyDescent="0.25">
      <c r="A3243">
        <v>7247</v>
      </c>
      <c r="B3243" t="s">
        <v>11041</v>
      </c>
      <c r="C3243" t="s">
        <v>5043</v>
      </c>
      <c r="D3243" t="s">
        <v>8401</v>
      </c>
    </row>
    <row r="3244" spans="1:4" ht="15" x14ac:dyDescent="0.25">
      <c r="A3244">
        <v>10031</v>
      </c>
      <c r="B3244" t="s">
        <v>11042</v>
      </c>
      <c r="C3244" t="s">
        <v>5043</v>
      </c>
      <c r="D3244" t="s">
        <v>8401</v>
      </c>
    </row>
    <row r="3245" spans="1:4" ht="15" x14ac:dyDescent="0.25">
      <c r="A3245">
        <v>10728</v>
      </c>
      <c r="B3245" t="s">
        <v>11043</v>
      </c>
      <c r="C3245" t="s">
        <v>5043</v>
      </c>
      <c r="D3245" t="s">
        <v>8401</v>
      </c>
    </row>
    <row r="3246" spans="1:4" ht="15" x14ac:dyDescent="0.25">
      <c r="A3246">
        <v>11959</v>
      </c>
      <c r="B3246" t="s">
        <v>11043</v>
      </c>
      <c r="C3246" t="s">
        <v>5043</v>
      </c>
      <c r="D3246" t="s">
        <v>8401</v>
      </c>
    </row>
    <row r="3247" spans="1:4" ht="15" x14ac:dyDescent="0.25">
      <c r="A3247">
        <v>11150</v>
      </c>
      <c r="B3247" t="s">
        <v>11044</v>
      </c>
      <c r="C3247" t="s">
        <v>5043</v>
      </c>
      <c r="D3247" t="s">
        <v>8401</v>
      </c>
    </row>
    <row r="3248" spans="1:4" ht="15" x14ac:dyDescent="0.25">
      <c r="A3248">
        <v>7076</v>
      </c>
      <c r="B3248" t="s">
        <v>11044</v>
      </c>
      <c r="C3248" t="s">
        <v>5043</v>
      </c>
      <c r="D3248" t="s">
        <v>8401</v>
      </c>
    </row>
    <row r="3249" spans="1:4" ht="15" x14ac:dyDescent="0.25">
      <c r="A3249">
        <v>8816</v>
      </c>
      <c r="B3249" t="s">
        <v>11045</v>
      </c>
      <c r="C3249" t="s">
        <v>5043</v>
      </c>
      <c r="D3249" t="s">
        <v>8401</v>
      </c>
    </row>
    <row r="3250" spans="1:4" ht="15" x14ac:dyDescent="0.25">
      <c r="A3250">
        <v>7723</v>
      </c>
      <c r="B3250" t="s">
        <v>11046</v>
      </c>
      <c r="C3250" t="s">
        <v>5043</v>
      </c>
      <c r="D3250" t="s">
        <v>8401</v>
      </c>
    </row>
    <row r="3251" spans="1:4" ht="15" x14ac:dyDescent="0.25">
      <c r="A3251">
        <v>8417</v>
      </c>
      <c r="B3251" t="s">
        <v>11046</v>
      </c>
      <c r="C3251" t="s">
        <v>5043</v>
      </c>
      <c r="D3251" t="s">
        <v>8401</v>
      </c>
    </row>
    <row r="3252" spans="1:4" ht="15" x14ac:dyDescent="0.25">
      <c r="A3252">
        <v>7883</v>
      </c>
      <c r="B3252" t="s">
        <v>11047</v>
      </c>
      <c r="C3252" t="s">
        <v>5043</v>
      </c>
      <c r="D3252" t="s">
        <v>8401</v>
      </c>
    </row>
    <row r="3253" spans="1:4" ht="15" x14ac:dyDescent="0.25">
      <c r="A3253">
        <v>9416</v>
      </c>
      <c r="B3253" t="s">
        <v>11048</v>
      </c>
      <c r="C3253" t="s">
        <v>5043</v>
      </c>
      <c r="D3253" t="s">
        <v>8401</v>
      </c>
    </row>
    <row r="3254" spans="1:4" ht="15" x14ac:dyDescent="0.25">
      <c r="A3254">
        <v>8795</v>
      </c>
      <c r="B3254" t="s">
        <v>11049</v>
      </c>
      <c r="C3254" t="s">
        <v>5043</v>
      </c>
      <c r="D3254" t="s">
        <v>8401</v>
      </c>
    </row>
    <row r="3255" spans="1:4" ht="15" x14ac:dyDescent="0.25">
      <c r="A3255">
        <v>9468</v>
      </c>
      <c r="B3255" t="s">
        <v>11049</v>
      </c>
      <c r="C3255" t="s">
        <v>5043</v>
      </c>
      <c r="D3255" t="s">
        <v>8401</v>
      </c>
    </row>
    <row r="3256" spans="1:4" ht="15" x14ac:dyDescent="0.25">
      <c r="A3256">
        <v>10185</v>
      </c>
      <c r="B3256" t="s">
        <v>11050</v>
      </c>
      <c r="C3256" t="s">
        <v>5043</v>
      </c>
      <c r="D3256" t="s">
        <v>8401</v>
      </c>
    </row>
    <row r="3257" spans="1:4" ht="15" x14ac:dyDescent="0.25">
      <c r="A3257">
        <v>7375</v>
      </c>
      <c r="B3257" t="s">
        <v>11050</v>
      </c>
      <c r="C3257" t="s">
        <v>5043</v>
      </c>
      <c r="D3257" t="s">
        <v>8401</v>
      </c>
    </row>
    <row r="3258" spans="1:4" ht="15" x14ac:dyDescent="0.25">
      <c r="A3258">
        <v>11658</v>
      </c>
      <c r="B3258" t="s">
        <v>11051</v>
      </c>
      <c r="C3258" t="s">
        <v>5043</v>
      </c>
      <c r="D3258" t="s">
        <v>8401</v>
      </c>
    </row>
    <row r="3259" spans="1:4" ht="15" x14ac:dyDescent="0.25">
      <c r="A3259">
        <v>7832</v>
      </c>
      <c r="B3259" t="s">
        <v>11051</v>
      </c>
      <c r="C3259" t="s">
        <v>5043</v>
      </c>
      <c r="D3259" t="s">
        <v>8401</v>
      </c>
    </row>
    <row r="3260" spans="1:4" ht="15" x14ac:dyDescent="0.25">
      <c r="A3260">
        <v>9401</v>
      </c>
      <c r="B3260" t="s">
        <v>11051</v>
      </c>
      <c r="C3260" t="s">
        <v>5043</v>
      </c>
      <c r="D3260" t="s">
        <v>8401</v>
      </c>
    </row>
    <row r="3261" spans="1:4" ht="15" x14ac:dyDescent="0.25">
      <c r="A3261">
        <v>6792</v>
      </c>
      <c r="B3261" t="s">
        <v>11052</v>
      </c>
      <c r="C3261" t="s">
        <v>5043</v>
      </c>
      <c r="D3261" t="s">
        <v>8401</v>
      </c>
    </row>
    <row r="3262" spans="1:4" ht="15" x14ac:dyDescent="0.25">
      <c r="A3262">
        <v>7281</v>
      </c>
      <c r="B3262" t="s">
        <v>11052</v>
      </c>
      <c r="C3262" t="s">
        <v>5043</v>
      </c>
      <c r="D3262" t="s">
        <v>8401</v>
      </c>
    </row>
    <row r="3263" spans="1:4" ht="15" x14ac:dyDescent="0.25">
      <c r="A3263">
        <v>8378</v>
      </c>
      <c r="B3263" t="s">
        <v>11052</v>
      </c>
      <c r="C3263" t="s">
        <v>5043</v>
      </c>
      <c r="D3263" t="s">
        <v>8401</v>
      </c>
    </row>
    <row r="3264" spans="1:4" ht="15" x14ac:dyDescent="0.25">
      <c r="A3264">
        <v>9913</v>
      </c>
      <c r="B3264" t="s">
        <v>11052</v>
      </c>
      <c r="C3264" t="s">
        <v>5043</v>
      </c>
      <c r="D3264" t="s">
        <v>8401</v>
      </c>
    </row>
    <row r="3265" spans="1:4" ht="15" x14ac:dyDescent="0.25">
      <c r="A3265">
        <v>7448</v>
      </c>
      <c r="B3265" t="s">
        <v>11053</v>
      </c>
      <c r="C3265" t="s">
        <v>5043</v>
      </c>
      <c r="D3265" t="s">
        <v>8401</v>
      </c>
    </row>
    <row r="3266" spans="1:4" ht="15" x14ac:dyDescent="0.25">
      <c r="A3266">
        <v>9345</v>
      </c>
      <c r="B3266" t="s">
        <v>11053</v>
      </c>
      <c r="C3266" t="s">
        <v>5043</v>
      </c>
      <c r="D3266" t="s">
        <v>8401</v>
      </c>
    </row>
    <row r="3267" spans="1:4" ht="15" x14ac:dyDescent="0.25">
      <c r="A3267">
        <v>11373</v>
      </c>
      <c r="B3267" t="s">
        <v>11054</v>
      </c>
      <c r="C3267" t="s">
        <v>5043</v>
      </c>
      <c r="D3267" t="s">
        <v>8401</v>
      </c>
    </row>
    <row r="3268" spans="1:4" ht="15" x14ac:dyDescent="0.25">
      <c r="A3268">
        <v>12072</v>
      </c>
      <c r="B3268" t="s">
        <v>11054</v>
      </c>
      <c r="C3268" t="s">
        <v>5043</v>
      </c>
      <c r="D3268" t="s">
        <v>8401</v>
      </c>
    </row>
    <row r="3269" spans="1:4" ht="15" x14ac:dyDescent="0.25">
      <c r="A3269">
        <v>8934</v>
      </c>
      <c r="B3269" t="s">
        <v>11054</v>
      </c>
      <c r="C3269" t="s">
        <v>5043</v>
      </c>
      <c r="D3269" t="s">
        <v>8401</v>
      </c>
    </row>
    <row r="3270" spans="1:4" ht="15" x14ac:dyDescent="0.25">
      <c r="A3270">
        <v>8905</v>
      </c>
      <c r="B3270" t="s">
        <v>11055</v>
      </c>
      <c r="C3270" t="s">
        <v>5043</v>
      </c>
      <c r="D3270" t="s">
        <v>8401</v>
      </c>
    </row>
    <row r="3271" spans="1:4" ht="15" x14ac:dyDescent="0.25">
      <c r="A3271">
        <v>10119</v>
      </c>
      <c r="B3271" t="s">
        <v>11056</v>
      </c>
      <c r="C3271" t="s">
        <v>5043</v>
      </c>
      <c r="D3271" t="s">
        <v>8401</v>
      </c>
    </row>
    <row r="3272" spans="1:4" ht="15" x14ac:dyDescent="0.25">
      <c r="A3272">
        <v>8853</v>
      </c>
      <c r="B3272" t="s">
        <v>11056</v>
      </c>
      <c r="C3272" t="s">
        <v>5043</v>
      </c>
      <c r="D3272" t="s">
        <v>8401</v>
      </c>
    </row>
    <row r="3273" spans="1:4" ht="15" x14ac:dyDescent="0.25">
      <c r="A3273">
        <v>7729</v>
      </c>
      <c r="B3273" t="s">
        <v>11057</v>
      </c>
      <c r="C3273" t="s">
        <v>5043</v>
      </c>
      <c r="D3273" t="s">
        <v>8401</v>
      </c>
    </row>
    <row r="3274" spans="1:4" ht="15" x14ac:dyDescent="0.25">
      <c r="A3274">
        <v>10033</v>
      </c>
      <c r="B3274" t="s">
        <v>11058</v>
      </c>
      <c r="C3274" t="s">
        <v>5043</v>
      </c>
      <c r="D3274" t="s">
        <v>8401</v>
      </c>
    </row>
    <row r="3275" spans="1:4" ht="15" x14ac:dyDescent="0.25">
      <c r="A3275">
        <v>9552</v>
      </c>
      <c r="B3275" t="s">
        <v>11059</v>
      </c>
      <c r="C3275" t="s">
        <v>5043</v>
      </c>
      <c r="D3275" t="s">
        <v>8401</v>
      </c>
    </row>
    <row r="3276" spans="1:4" ht="15" x14ac:dyDescent="0.25">
      <c r="A3276">
        <v>10951</v>
      </c>
      <c r="B3276" t="s">
        <v>11060</v>
      </c>
      <c r="C3276" t="s">
        <v>5043</v>
      </c>
      <c r="D3276" t="s">
        <v>8401</v>
      </c>
    </row>
    <row r="3277" spans="1:4" ht="15" x14ac:dyDescent="0.25">
      <c r="A3277">
        <v>6891</v>
      </c>
      <c r="B3277" t="s">
        <v>11060</v>
      </c>
      <c r="C3277" t="s">
        <v>5043</v>
      </c>
      <c r="D3277" t="s">
        <v>8401</v>
      </c>
    </row>
    <row r="3278" spans="1:4" ht="15" x14ac:dyDescent="0.25">
      <c r="A3278">
        <v>10994</v>
      </c>
      <c r="B3278" t="s">
        <v>11061</v>
      </c>
      <c r="C3278" t="s">
        <v>5043</v>
      </c>
      <c r="D3278" t="s">
        <v>8401</v>
      </c>
    </row>
    <row r="3279" spans="1:4" ht="15" x14ac:dyDescent="0.25">
      <c r="A3279">
        <v>11490</v>
      </c>
      <c r="B3279" t="s">
        <v>11061</v>
      </c>
      <c r="C3279" t="s">
        <v>5043</v>
      </c>
      <c r="D3279" t="s">
        <v>8401</v>
      </c>
    </row>
    <row r="3280" spans="1:4" ht="15" x14ac:dyDescent="0.25">
      <c r="A3280">
        <v>11241</v>
      </c>
      <c r="B3280" t="s">
        <v>11062</v>
      </c>
      <c r="C3280" t="s">
        <v>5043</v>
      </c>
      <c r="D3280" t="s">
        <v>8401</v>
      </c>
    </row>
    <row r="3281" spans="1:4" ht="15" x14ac:dyDescent="0.25">
      <c r="A3281">
        <v>8306</v>
      </c>
      <c r="B3281" t="s">
        <v>11062</v>
      </c>
      <c r="C3281" t="s">
        <v>5043</v>
      </c>
      <c r="D3281" t="s">
        <v>8401</v>
      </c>
    </row>
    <row r="3282" spans="1:4" ht="15" x14ac:dyDescent="0.25">
      <c r="A3282">
        <v>7521</v>
      </c>
      <c r="B3282" t="s">
        <v>11063</v>
      </c>
      <c r="C3282" t="s">
        <v>5043</v>
      </c>
      <c r="D3282" t="s">
        <v>8401</v>
      </c>
    </row>
    <row r="3283" spans="1:4" ht="15" x14ac:dyDescent="0.25">
      <c r="A3283">
        <v>10107</v>
      </c>
      <c r="B3283" t="s">
        <v>11064</v>
      </c>
      <c r="C3283" t="s">
        <v>5043</v>
      </c>
      <c r="D3283" t="s">
        <v>8401</v>
      </c>
    </row>
    <row r="3284" spans="1:4" ht="15" x14ac:dyDescent="0.25">
      <c r="A3284">
        <v>8272</v>
      </c>
      <c r="B3284" t="s">
        <v>11064</v>
      </c>
      <c r="C3284" t="s">
        <v>5043</v>
      </c>
      <c r="D3284" t="s">
        <v>8401</v>
      </c>
    </row>
    <row r="3285" spans="1:4" ht="15" x14ac:dyDescent="0.25">
      <c r="A3285">
        <v>10140</v>
      </c>
      <c r="B3285" t="s">
        <v>11065</v>
      </c>
      <c r="C3285" t="s">
        <v>5043</v>
      </c>
      <c r="D3285" t="s">
        <v>8401</v>
      </c>
    </row>
    <row r="3286" spans="1:4" ht="15" x14ac:dyDescent="0.25">
      <c r="A3286">
        <v>8276</v>
      </c>
      <c r="B3286" t="s">
        <v>11066</v>
      </c>
      <c r="C3286" t="s">
        <v>5043</v>
      </c>
      <c r="D3286" t="s">
        <v>8401</v>
      </c>
    </row>
    <row r="3287" spans="1:4" ht="15" x14ac:dyDescent="0.25">
      <c r="A3287">
        <v>11145</v>
      </c>
      <c r="B3287" t="s">
        <v>11067</v>
      </c>
      <c r="C3287" t="s">
        <v>5043</v>
      </c>
      <c r="D3287" t="s">
        <v>8401</v>
      </c>
    </row>
    <row r="3288" spans="1:4" ht="15" x14ac:dyDescent="0.25">
      <c r="A3288">
        <v>6745</v>
      </c>
      <c r="B3288" t="s">
        <v>11067</v>
      </c>
      <c r="C3288" t="s">
        <v>5043</v>
      </c>
      <c r="D3288" t="s">
        <v>8401</v>
      </c>
    </row>
    <row r="3289" spans="1:4" ht="15" x14ac:dyDescent="0.25">
      <c r="A3289">
        <v>12005</v>
      </c>
      <c r="B3289" t="s">
        <v>11068</v>
      </c>
      <c r="C3289" t="s">
        <v>5043</v>
      </c>
      <c r="D3289" t="s">
        <v>8401</v>
      </c>
    </row>
    <row r="3290" spans="1:4" ht="15" x14ac:dyDescent="0.25">
      <c r="A3290">
        <v>7671</v>
      </c>
      <c r="B3290" t="s">
        <v>11068</v>
      </c>
      <c r="C3290" t="s">
        <v>5043</v>
      </c>
      <c r="D3290" t="s">
        <v>8401</v>
      </c>
    </row>
    <row r="3291" spans="1:4" ht="15" x14ac:dyDescent="0.25">
      <c r="A3291">
        <v>9314</v>
      </c>
      <c r="B3291" t="s">
        <v>11068</v>
      </c>
      <c r="C3291" t="s">
        <v>5043</v>
      </c>
      <c r="D3291" t="s">
        <v>8401</v>
      </c>
    </row>
    <row r="3292" spans="1:4" ht="15" x14ac:dyDescent="0.25">
      <c r="A3292">
        <v>10275</v>
      </c>
      <c r="B3292" t="s">
        <v>11069</v>
      </c>
      <c r="C3292" t="s">
        <v>5043</v>
      </c>
      <c r="D3292" t="s">
        <v>8401</v>
      </c>
    </row>
    <row r="3293" spans="1:4" ht="15" x14ac:dyDescent="0.25">
      <c r="A3293">
        <v>7623</v>
      </c>
      <c r="B3293" t="s">
        <v>11069</v>
      </c>
      <c r="C3293" t="s">
        <v>5043</v>
      </c>
      <c r="D3293" t="s">
        <v>8401</v>
      </c>
    </row>
    <row r="3294" spans="1:4" ht="15" x14ac:dyDescent="0.25">
      <c r="A3294">
        <v>11099</v>
      </c>
      <c r="B3294" t="s">
        <v>11070</v>
      </c>
      <c r="C3294" t="s">
        <v>5043</v>
      </c>
      <c r="D3294" t="s">
        <v>8401</v>
      </c>
    </row>
    <row r="3295" spans="1:4" ht="15" x14ac:dyDescent="0.25">
      <c r="A3295">
        <v>8190</v>
      </c>
      <c r="B3295" t="s">
        <v>9256</v>
      </c>
      <c r="C3295" t="s">
        <v>5043</v>
      </c>
      <c r="D3295" t="s">
        <v>8401</v>
      </c>
    </row>
    <row r="3296" spans="1:4" ht="15" x14ac:dyDescent="0.25">
      <c r="A3296">
        <v>8885</v>
      </c>
      <c r="B3296" t="s">
        <v>9256</v>
      </c>
      <c r="C3296" t="s">
        <v>5043</v>
      </c>
      <c r="D3296" t="s">
        <v>8401</v>
      </c>
    </row>
    <row r="3297" spans="1:4" ht="15" x14ac:dyDescent="0.25">
      <c r="A3297">
        <v>8944</v>
      </c>
      <c r="B3297" t="s">
        <v>11071</v>
      </c>
      <c r="C3297" t="s">
        <v>5043</v>
      </c>
      <c r="D3297" t="s">
        <v>8401</v>
      </c>
    </row>
    <row r="3298" spans="1:4" ht="15" x14ac:dyDescent="0.25">
      <c r="A3298">
        <v>8004</v>
      </c>
      <c r="B3298" t="s">
        <v>11072</v>
      </c>
      <c r="C3298" t="s">
        <v>5043</v>
      </c>
      <c r="D3298" t="s">
        <v>8401</v>
      </c>
    </row>
    <row r="3299" spans="1:4" ht="15" x14ac:dyDescent="0.25">
      <c r="A3299">
        <v>12042</v>
      </c>
      <c r="B3299" t="s">
        <v>9257</v>
      </c>
      <c r="C3299" t="s">
        <v>5043</v>
      </c>
      <c r="D3299" t="s">
        <v>8401</v>
      </c>
    </row>
    <row r="3300" spans="1:4" ht="15" x14ac:dyDescent="0.25">
      <c r="A3300">
        <v>8007</v>
      </c>
      <c r="B3300" t="s">
        <v>9257</v>
      </c>
      <c r="C3300" t="s">
        <v>5043</v>
      </c>
      <c r="D3300" t="s">
        <v>8401</v>
      </c>
    </row>
    <row r="3301" spans="1:4" ht="15" x14ac:dyDescent="0.25">
      <c r="A3301">
        <v>9966</v>
      </c>
      <c r="B3301" t="s">
        <v>9258</v>
      </c>
      <c r="C3301" t="s">
        <v>5043</v>
      </c>
      <c r="D3301" t="s">
        <v>8401</v>
      </c>
    </row>
    <row r="3302" spans="1:4" ht="15" x14ac:dyDescent="0.25">
      <c r="A3302">
        <v>11458</v>
      </c>
      <c r="B3302" t="s">
        <v>11073</v>
      </c>
      <c r="C3302" t="s">
        <v>5043</v>
      </c>
      <c r="D3302" t="s">
        <v>8401</v>
      </c>
    </row>
    <row r="3303" spans="1:4" ht="15" x14ac:dyDescent="0.25">
      <c r="A3303">
        <v>11590</v>
      </c>
      <c r="B3303" t="s">
        <v>11073</v>
      </c>
      <c r="C3303" t="s">
        <v>5043</v>
      </c>
      <c r="D3303" t="s">
        <v>8401</v>
      </c>
    </row>
    <row r="3304" spans="1:4" ht="15" x14ac:dyDescent="0.25">
      <c r="A3304">
        <v>11812</v>
      </c>
      <c r="B3304" t="s">
        <v>11073</v>
      </c>
      <c r="C3304" t="s">
        <v>5043</v>
      </c>
      <c r="D3304" t="s">
        <v>8401</v>
      </c>
    </row>
    <row r="3305" spans="1:4" ht="15" x14ac:dyDescent="0.25">
      <c r="A3305">
        <v>12047</v>
      </c>
      <c r="B3305" t="s">
        <v>11073</v>
      </c>
      <c r="C3305" t="s">
        <v>5043</v>
      </c>
      <c r="D3305" t="s">
        <v>8401</v>
      </c>
    </row>
    <row r="3306" spans="1:4" ht="15" x14ac:dyDescent="0.25">
      <c r="A3306">
        <v>10928</v>
      </c>
      <c r="B3306" t="s">
        <v>9259</v>
      </c>
      <c r="C3306" t="s">
        <v>5043</v>
      </c>
      <c r="D3306" t="s">
        <v>8401</v>
      </c>
    </row>
    <row r="3307" spans="1:4" ht="15" x14ac:dyDescent="0.25">
      <c r="A3307">
        <v>10079</v>
      </c>
      <c r="B3307" t="s">
        <v>9260</v>
      </c>
      <c r="C3307" t="s">
        <v>5043</v>
      </c>
      <c r="D3307" t="s">
        <v>8401</v>
      </c>
    </row>
    <row r="3308" spans="1:4" ht="15" x14ac:dyDescent="0.25">
      <c r="A3308">
        <v>11898</v>
      </c>
      <c r="B3308" t="s">
        <v>9260</v>
      </c>
      <c r="C3308" t="s">
        <v>5043</v>
      </c>
      <c r="D3308" t="s">
        <v>8401</v>
      </c>
    </row>
    <row r="3309" spans="1:4" ht="15" x14ac:dyDescent="0.25">
      <c r="A3309">
        <v>6791</v>
      </c>
      <c r="B3309" t="s">
        <v>9261</v>
      </c>
      <c r="C3309" t="s">
        <v>5043</v>
      </c>
      <c r="D3309" t="s">
        <v>8401</v>
      </c>
    </row>
    <row r="3310" spans="1:4" ht="15" x14ac:dyDescent="0.25">
      <c r="A3310">
        <v>6987</v>
      </c>
      <c r="B3310" t="s">
        <v>9261</v>
      </c>
      <c r="C3310" t="s">
        <v>5043</v>
      </c>
      <c r="D3310" t="s">
        <v>8401</v>
      </c>
    </row>
    <row r="3311" spans="1:4" ht="15" x14ac:dyDescent="0.25">
      <c r="A3311">
        <v>7871</v>
      </c>
      <c r="B3311" t="s">
        <v>11074</v>
      </c>
      <c r="C3311" t="s">
        <v>5043</v>
      </c>
      <c r="D3311" t="s">
        <v>8401</v>
      </c>
    </row>
    <row r="3312" spans="1:4" ht="15" x14ac:dyDescent="0.25">
      <c r="A3312">
        <v>8760</v>
      </c>
      <c r="B3312" t="s">
        <v>11074</v>
      </c>
      <c r="C3312" t="s">
        <v>5043</v>
      </c>
      <c r="D3312" t="s">
        <v>8401</v>
      </c>
    </row>
    <row r="3313" spans="1:4" ht="15" x14ac:dyDescent="0.25">
      <c r="A3313">
        <v>10572</v>
      </c>
      <c r="B3313" t="s">
        <v>11075</v>
      </c>
      <c r="C3313" t="s">
        <v>5043</v>
      </c>
      <c r="D3313" t="s">
        <v>8401</v>
      </c>
    </row>
    <row r="3314" spans="1:4" ht="15" x14ac:dyDescent="0.25">
      <c r="A3314">
        <v>11496</v>
      </c>
      <c r="B3314" t="s">
        <v>11075</v>
      </c>
      <c r="C3314" t="s">
        <v>5043</v>
      </c>
      <c r="D3314" t="s">
        <v>8401</v>
      </c>
    </row>
    <row r="3315" spans="1:4" ht="15" x14ac:dyDescent="0.25">
      <c r="A3315">
        <v>7466</v>
      </c>
      <c r="B3315" t="s">
        <v>11075</v>
      </c>
      <c r="C3315" t="s">
        <v>5043</v>
      </c>
      <c r="D3315" t="s">
        <v>8401</v>
      </c>
    </row>
    <row r="3316" spans="1:4" ht="15" x14ac:dyDescent="0.25">
      <c r="A3316">
        <v>7993</v>
      </c>
      <c r="B3316" t="s">
        <v>11075</v>
      </c>
      <c r="C3316" t="s">
        <v>5043</v>
      </c>
      <c r="D3316" t="s">
        <v>8401</v>
      </c>
    </row>
    <row r="3317" spans="1:4" ht="15" x14ac:dyDescent="0.25">
      <c r="A3317">
        <v>8015</v>
      </c>
      <c r="B3317" t="s">
        <v>11075</v>
      </c>
      <c r="C3317" t="s">
        <v>5043</v>
      </c>
      <c r="D3317" t="s">
        <v>8401</v>
      </c>
    </row>
    <row r="3318" spans="1:4" ht="15" x14ac:dyDescent="0.25">
      <c r="A3318">
        <v>8132</v>
      </c>
      <c r="B3318" t="s">
        <v>11075</v>
      </c>
      <c r="C3318" t="s">
        <v>5043</v>
      </c>
      <c r="D3318" t="s">
        <v>8401</v>
      </c>
    </row>
    <row r="3319" spans="1:4" ht="15" x14ac:dyDescent="0.25">
      <c r="A3319">
        <v>8491</v>
      </c>
      <c r="B3319" t="s">
        <v>11075</v>
      </c>
      <c r="C3319" t="s">
        <v>5043</v>
      </c>
      <c r="D3319" t="s">
        <v>8401</v>
      </c>
    </row>
    <row r="3320" spans="1:4" ht="15" x14ac:dyDescent="0.25">
      <c r="A3320">
        <v>9066</v>
      </c>
      <c r="B3320" t="s">
        <v>11075</v>
      </c>
      <c r="C3320" t="s">
        <v>5043</v>
      </c>
      <c r="D3320" t="s">
        <v>8401</v>
      </c>
    </row>
    <row r="3321" spans="1:4" ht="15" x14ac:dyDescent="0.25">
      <c r="A3321">
        <v>10062</v>
      </c>
      <c r="B3321" t="s">
        <v>9262</v>
      </c>
      <c r="C3321" t="s">
        <v>5043</v>
      </c>
      <c r="D3321" t="s">
        <v>8401</v>
      </c>
    </row>
    <row r="3322" spans="1:4" ht="15" x14ac:dyDescent="0.25">
      <c r="A3322">
        <v>10839</v>
      </c>
      <c r="B3322" t="s">
        <v>9262</v>
      </c>
      <c r="C3322" t="s">
        <v>5043</v>
      </c>
      <c r="D3322" t="s">
        <v>8401</v>
      </c>
    </row>
    <row r="3323" spans="1:4" ht="15" x14ac:dyDescent="0.25">
      <c r="A3323">
        <v>11165</v>
      </c>
      <c r="B3323" t="s">
        <v>9262</v>
      </c>
      <c r="C3323" t="s">
        <v>5043</v>
      </c>
      <c r="D3323" t="s">
        <v>8401</v>
      </c>
    </row>
    <row r="3324" spans="1:4" ht="15" x14ac:dyDescent="0.25">
      <c r="A3324">
        <v>11207</v>
      </c>
      <c r="B3324" t="s">
        <v>9262</v>
      </c>
      <c r="C3324" t="s">
        <v>5043</v>
      </c>
      <c r="D3324" t="s">
        <v>8401</v>
      </c>
    </row>
    <row r="3325" spans="1:4" ht="15" x14ac:dyDescent="0.25">
      <c r="A3325">
        <v>11443</v>
      </c>
      <c r="B3325" t="s">
        <v>9262</v>
      </c>
      <c r="C3325" t="s">
        <v>5043</v>
      </c>
      <c r="D3325" t="s">
        <v>8401</v>
      </c>
    </row>
    <row r="3326" spans="1:4" ht="15" x14ac:dyDescent="0.25">
      <c r="A3326">
        <v>11854</v>
      </c>
      <c r="B3326" t="s">
        <v>9262</v>
      </c>
      <c r="C3326" t="s">
        <v>5043</v>
      </c>
      <c r="D3326" t="s">
        <v>8401</v>
      </c>
    </row>
    <row r="3327" spans="1:4" ht="15" x14ac:dyDescent="0.25">
      <c r="A3327">
        <v>12299</v>
      </c>
      <c r="B3327" t="s">
        <v>9262</v>
      </c>
      <c r="C3327" t="s">
        <v>5043</v>
      </c>
      <c r="D3327" t="s">
        <v>8401</v>
      </c>
    </row>
    <row r="3328" spans="1:4" ht="15" x14ac:dyDescent="0.25">
      <c r="A3328">
        <v>12301</v>
      </c>
      <c r="B3328" t="s">
        <v>9262</v>
      </c>
      <c r="C3328" t="s">
        <v>5043</v>
      </c>
      <c r="D3328" t="s">
        <v>8401</v>
      </c>
    </row>
    <row r="3329" spans="1:4" ht="15" x14ac:dyDescent="0.25">
      <c r="A3329">
        <v>7225</v>
      </c>
      <c r="B3329" t="s">
        <v>9262</v>
      </c>
      <c r="C3329" t="s">
        <v>5043</v>
      </c>
      <c r="D3329" t="s">
        <v>8401</v>
      </c>
    </row>
    <row r="3330" spans="1:4" ht="15" x14ac:dyDescent="0.25">
      <c r="A3330">
        <v>7289</v>
      </c>
      <c r="B3330" t="s">
        <v>9262</v>
      </c>
      <c r="C3330" t="s">
        <v>5043</v>
      </c>
      <c r="D3330" t="s">
        <v>8401</v>
      </c>
    </row>
    <row r="3331" spans="1:4" ht="15" x14ac:dyDescent="0.25">
      <c r="A3331">
        <v>8543</v>
      </c>
      <c r="B3331" t="s">
        <v>9262</v>
      </c>
      <c r="C3331" t="s">
        <v>5043</v>
      </c>
      <c r="D3331" t="s">
        <v>8401</v>
      </c>
    </row>
    <row r="3332" spans="1:4" ht="15" x14ac:dyDescent="0.25">
      <c r="A3332">
        <v>8753</v>
      </c>
      <c r="B3332" t="s">
        <v>9262</v>
      </c>
      <c r="C3332" t="s">
        <v>5043</v>
      </c>
      <c r="D3332" t="s">
        <v>8401</v>
      </c>
    </row>
    <row r="3333" spans="1:4" ht="15" x14ac:dyDescent="0.25">
      <c r="A3333">
        <v>9287</v>
      </c>
      <c r="B3333" t="s">
        <v>9262</v>
      </c>
      <c r="C3333" t="s">
        <v>5043</v>
      </c>
      <c r="D3333" t="s">
        <v>8401</v>
      </c>
    </row>
    <row r="3334" spans="1:4" ht="15" x14ac:dyDescent="0.25">
      <c r="A3334">
        <v>9412</v>
      </c>
      <c r="B3334" t="s">
        <v>9262</v>
      </c>
      <c r="C3334" t="s">
        <v>5043</v>
      </c>
      <c r="D3334" t="s">
        <v>8401</v>
      </c>
    </row>
    <row r="3335" spans="1:4" ht="15" x14ac:dyDescent="0.25">
      <c r="A3335">
        <v>9845</v>
      </c>
      <c r="B3335" t="s">
        <v>9262</v>
      </c>
      <c r="C3335" t="s">
        <v>5043</v>
      </c>
      <c r="D3335" t="s">
        <v>8401</v>
      </c>
    </row>
    <row r="3336" spans="1:4" ht="15" x14ac:dyDescent="0.25">
      <c r="A3336">
        <v>9884</v>
      </c>
      <c r="B3336" t="s">
        <v>9262</v>
      </c>
      <c r="C3336" t="s">
        <v>5043</v>
      </c>
      <c r="D3336" t="s">
        <v>8401</v>
      </c>
    </row>
    <row r="3337" spans="1:4" ht="15" x14ac:dyDescent="0.25">
      <c r="A3337">
        <v>11493</v>
      </c>
      <c r="B3337" t="s">
        <v>9263</v>
      </c>
      <c r="C3337" t="s">
        <v>5043</v>
      </c>
      <c r="D3337" t="s">
        <v>8401</v>
      </c>
    </row>
    <row r="3338" spans="1:4" ht="15" x14ac:dyDescent="0.25">
      <c r="A3338">
        <v>7777</v>
      </c>
      <c r="B3338" t="s">
        <v>9263</v>
      </c>
      <c r="C3338" t="s">
        <v>5043</v>
      </c>
      <c r="D3338" t="s">
        <v>8401</v>
      </c>
    </row>
    <row r="3339" spans="1:4" ht="15" x14ac:dyDescent="0.25">
      <c r="A3339">
        <v>11054</v>
      </c>
      <c r="B3339" t="s">
        <v>9264</v>
      </c>
      <c r="C3339" t="s">
        <v>5043</v>
      </c>
      <c r="D3339" t="s">
        <v>8401</v>
      </c>
    </row>
    <row r="3340" spans="1:4" ht="15" x14ac:dyDescent="0.25">
      <c r="A3340">
        <v>9437</v>
      </c>
      <c r="B3340" t="s">
        <v>9264</v>
      </c>
      <c r="C3340" t="s">
        <v>5043</v>
      </c>
      <c r="D3340" t="s">
        <v>8401</v>
      </c>
    </row>
    <row r="3341" spans="1:4" ht="15" x14ac:dyDescent="0.25">
      <c r="A3341">
        <v>9888</v>
      </c>
      <c r="B3341" t="s">
        <v>9264</v>
      </c>
      <c r="C3341" t="s">
        <v>5043</v>
      </c>
      <c r="D3341" t="s">
        <v>8401</v>
      </c>
    </row>
    <row r="3342" spans="1:4" ht="15" x14ac:dyDescent="0.25">
      <c r="A3342">
        <v>9958</v>
      </c>
      <c r="B3342" t="s">
        <v>9264</v>
      </c>
      <c r="C3342" t="s">
        <v>5043</v>
      </c>
      <c r="D3342" t="s">
        <v>8401</v>
      </c>
    </row>
    <row r="3343" spans="1:4" ht="15" x14ac:dyDescent="0.25">
      <c r="A3343">
        <v>9759</v>
      </c>
      <c r="B3343" t="s">
        <v>9265</v>
      </c>
      <c r="C3343" t="s">
        <v>5043</v>
      </c>
      <c r="D3343" t="s">
        <v>8401</v>
      </c>
    </row>
    <row r="3344" spans="1:4" ht="15" x14ac:dyDescent="0.25">
      <c r="A3344">
        <v>11027</v>
      </c>
      <c r="B3344" t="s">
        <v>9266</v>
      </c>
      <c r="C3344" t="s">
        <v>5043</v>
      </c>
      <c r="D3344" t="s">
        <v>8401</v>
      </c>
    </row>
    <row r="3345" spans="1:4" ht="15" x14ac:dyDescent="0.25">
      <c r="A3345">
        <v>11091</v>
      </c>
      <c r="B3345" t="s">
        <v>9266</v>
      </c>
      <c r="C3345" t="s">
        <v>5043</v>
      </c>
      <c r="D3345" t="s">
        <v>8401</v>
      </c>
    </row>
    <row r="3346" spans="1:4" ht="15" x14ac:dyDescent="0.25">
      <c r="A3346">
        <v>11398</v>
      </c>
      <c r="B3346" t="s">
        <v>9266</v>
      </c>
      <c r="C3346" t="s">
        <v>5043</v>
      </c>
      <c r="D3346" t="s">
        <v>8401</v>
      </c>
    </row>
    <row r="3347" spans="1:4" ht="15" x14ac:dyDescent="0.25">
      <c r="A3347">
        <v>7018</v>
      </c>
      <c r="B3347" t="s">
        <v>9266</v>
      </c>
      <c r="C3347" t="s">
        <v>5043</v>
      </c>
      <c r="D3347" t="s">
        <v>8401</v>
      </c>
    </row>
    <row r="3348" spans="1:4" ht="15" x14ac:dyDescent="0.25">
      <c r="A3348">
        <v>10528</v>
      </c>
      <c r="B3348" t="s">
        <v>9267</v>
      </c>
      <c r="C3348" t="s">
        <v>5043</v>
      </c>
      <c r="D3348" t="s">
        <v>8401</v>
      </c>
    </row>
    <row r="3349" spans="1:4" ht="15" x14ac:dyDescent="0.25">
      <c r="A3349">
        <v>11337</v>
      </c>
      <c r="B3349" t="s">
        <v>9267</v>
      </c>
      <c r="C3349" t="s">
        <v>5043</v>
      </c>
      <c r="D3349" t="s">
        <v>8401</v>
      </c>
    </row>
    <row r="3350" spans="1:4" ht="15" x14ac:dyDescent="0.25">
      <c r="A3350">
        <v>11526</v>
      </c>
      <c r="B3350" t="s">
        <v>9267</v>
      </c>
      <c r="C3350" t="s">
        <v>5043</v>
      </c>
      <c r="D3350" t="s">
        <v>8401</v>
      </c>
    </row>
    <row r="3351" spans="1:4" ht="15" x14ac:dyDescent="0.25">
      <c r="A3351">
        <v>7250</v>
      </c>
      <c r="B3351" t="s">
        <v>9267</v>
      </c>
      <c r="C3351" t="s">
        <v>5043</v>
      </c>
      <c r="D3351" t="s">
        <v>8401</v>
      </c>
    </row>
    <row r="3352" spans="1:4" ht="15" x14ac:dyDescent="0.25">
      <c r="A3352">
        <v>8951</v>
      </c>
      <c r="B3352" t="s">
        <v>9267</v>
      </c>
      <c r="C3352" t="s">
        <v>5043</v>
      </c>
      <c r="D3352" t="s">
        <v>8401</v>
      </c>
    </row>
    <row r="3353" spans="1:4" ht="15" x14ac:dyDescent="0.25">
      <c r="A3353">
        <v>10225</v>
      </c>
      <c r="B3353" t="s">
        <v>9268</v>
      </c>
      <c r="C3353" t="s">
        <v>5043</v>
      </c>
      <c r="D3353" t="s">
        <v>8401</v>
      </c>
    </row>
    <row r="3354" spans="1:4" ht="15" x14ac:dyDescent="0.25">
      <c r="A3354">
        <v>10431</v>
      </c>
      <c r="B3354" t="s">
        <v>9268</v>
      </c>
      <c r="C3354" t="s">
        <v>5043</v>
      </c>
      <c r="D3354" t="s">
        <v>8401</v>
      </c>
    </row>
    <row r="3355" spans="1:4" ht="15" x14ac:dyDescent="0.25">
      <c r="A3355">
        <v>10653</v>
      </c>
      <c r="B3355" t="s">
        <v>9268</v>
      </c>
      <c r="C3355" t="s">
        <v>5043</v>
      </c>
      <c r="D3355" t="s">
        <v>8401</v>
      </c>
    </row>
    <row r="3356" spans="1:4" ht="15" x14ac:dyDescent="0.25">
      <c r="A3356">
        <v>10754</v>
      </c>
      <c r="B3356" t="s">
        <v>9268</v>
      </c>
      <c r="C3356" t="s">
        <v>5043</v>
      </c>
      <c r="D3356" t="s">
        <v>8401</v>
      </c>
    </row>
    <row r="3357" spans="1:4" ht="15" x14ac:dyDescent="0.25">
      <c r="A3357">
        <v>10786</v>
      </c>
      <c r="B3357" t="s">
        <v>9268</v>
      </c>
      <c r="C3357" t="s">
        <v>5043</v>
      </c>
      <c r="D3357" t="s">
        <v>8401</v>
      </c>
    </row>
    <row r="3358" spans="1:4" ht="15" x14ac:dyDescent="0.25">
      <c r="A3358">
        <v>10885</v>
      </c>
      <c r="B3358" t="s">
        <v>9268</v>
      </c>
      <c r="C3358" t="s">
        <v>5043</v>
      </c>
      <c r="D3358" t="s">
        <v>8401</v>
      </c>
    </row>
    <row r="3359" spans="1:4" ht="15" x14ac:dyDescent="0.25">
      <c r="A3359">
        <v>10902</v>
      </c>
      <c r="B3359" t="s">
        <v>9268</v>
      </c>
      <c r="C3359" t="s">
        <v>5043</v>
      </c>
      <c r="D3359" t="s">
        <v>8401</v>
      </c>
    </row>
    <row r="3360" spans="1:4" ht="15" x14ac:dyDescent="0.25">
      <c r="A3360">
        <v>10920</v>
      </c>
      <c r="B3360" t="s">
        <v>9268</v>
      </c>
      <c r="C3360" t="s">
        <v>5043</v>
      </c>
      <c r="D3360" t="s">
        <v>8401</v>
      </c>
    </row>
    <row r="3361" spans="1:4" ht="15" x14ac:dyDescent="0.25">
      <c r="A3361">
        <v>10963</v>
      </c>
      <c r="B3361" t="s">
        <v>9268</v>
      </c>
      <c r="C3361" t="s">
        <v>5043</v>
      </c>
      <c r="D3361" t="s">
        <v>8401</v>
      </c>
    </row>
    <row r="3362" spans="1:4" ht="15" x14ac:dyDescent="0.25">
      <c r="A3362">
        <v>10991</v>
      </c>
      <c r="B3362" t="s">
        <v>9268</v>
      </c>
      <c r="C3362" t="s">
        <v>5043</v>
      </c>
      <c r="D3362" t="s">
        <v>8401</v>
      </c>
    </row>
    <row r="3363" spans="1:4" ht="15" x14ac:dyDescent="0.25">
      <c r="A3363">
        <v>11175</v>
      </c>
      <c r="B3363" t="s">
        <v>9268</v>
      </c>
      <c r="C3363" t="s">
        <v>5043</v>
      </c>
      <c r="D3363" t="s">
        <v>8401</v>
      </c>
    </row>
    <row r="3364" spans="1:4" ht="15" x14ac:dyDescent="0.25">
      <c r="A3364">
        <v>11196</v>
      </c>
      <c r="B3364" t="s">
        <v>9268</v>
      </c>
      <c r="C3364" t="s">
        <v>5043</v>
      </c>
      <c r="D3364" t="s">
        <v>8401</v>
      </c>
    </row>
    <row r="3365" spans="1:4" ht="15" x14ac:dyDescent="0.25">
      <c r="A3365">
        <v>11250</v>
      </c>
      <c r="B3365" t="s">
        <v>9268</v>
      </c>
      <c r="C3365" t="s">
        <v>5043</v>
      </c>
      <c r="D3365" t="s">
        <v>8401</v>
      </c>
    </row>
    <row r="3366" spans="1:4" ht="15" x14ac:dyDescent="0.25">
      <c r="A3366">
        <v>11251</v>
      </c>
      <c r="B3366" t="s">
        <v>9268</v>
      </c>
      <c r="C3366" t="s">
        <v>5043</v>
      </c>
      <c r="D3366" t="s">
        <v>8401</v>
      </c>
    </row>
    <row r="3367" spans="1:4" ht="15" x14ac:dyDescent="0.25">
      <c r="A3367">
        <v>11270</v>
      </c>
      <c r="B3367" t="s">
        <v>9268</v>
      </c>
      <c r="C3367" t="s">
        <v>5043</v>
      </c>
      <c r="D3367" t="s">
        <v>8401</v>
      </c>
    </row>
    <row r="3368" spans="1:4" ht="15" x14ac:dyDescent="0.25">
      <c r="A3368">
        <v>11309</v>
      </c>
      <c r="B3368" t="s">
        <v>9268</v>
      </c>
      <c r="C3368" t="s">
        <v>5043</v>
      </c>
      <c r="D3368" t="s">
        <v>8401</v>
      </c>
    </row>
    <row r="3369" spans="1:4" ht="15" x14ac:dyDescent="0.25">
      <c r="A3369">
        <v>11383</v>
      </c>
      <c r="B3369" t="s">
        <v>9268</v>
      </c>
      <c r="C3369" t="s">
        <v>5043</v>
      </c>
      <c r="D3369" t="s">
        <v>8401</v>
      </c>
    </row>
    <row r="3370" spans="1:4" ht="15" x14ac:dyDescent="0.25">
      <c r="A3370">
        <v>11513</v>
      </c>
      <c r="B3370" t="s">
        <v>9268</v>
      </c>
      <c r="C3370" t="s">
        <v>5043</v>
      </c>
      <c r="D3370" t="s">
        <v>8401</v>
      </c>
    </row>
    <row r="3371" spans="1:4" ht="15" x14ac:dyDescent="0.25">
      <c r="A3371">
        <v>11521</v>
      </c>
      <c r="B3371" t="s">
        <v>9268</v>
      </c>
      <c r="C3371" t="s">
        <v>5043</v>
      </c>
      <c r="D3371" t="s">
        <v>8401</v>
      </c>
    </row>
    <row r="3372" spans="1:4" ht="15" x14ac:dyDescent="0.25">
      <c r="A3372">
        <v>11646</v>
      </c>
      <c r="B3372" t="s">
        <v>9268</v>
      </c>
      <c r="C3372" t="s">
        <v>5043</v>
      </c>
      <c r="D3372" t="s">
        <v>8401</v>
      </c>
    </row>
    <row r="3373" spans="1:4" ht="15" x14ac:dyDescent="0.25">
      <c r="A3373">
        <v>11797</v>
      </c>
      <c r="B3373" t="s">
        <v>9268</v>
      </c>
      <c r="C3373" t="s">
        <v>5043</v>
      </c>
      <c r="D3373" t="s">
        <v>8401</v>
      </c>
    </row>
    <row r="3374" spans="1:4" ht="15" x14ac:dyDescent="0.25">
      <c r="A3374">
        <v>11891</v>
      </c>
      <c r="B3374" t="s">
        <v>9268</v>
      </c>
      <c r="C3374" t="s">
        <v>5043</v>
      </c>
      <c r="D3374" t="s">
        <v>8401</v>
      </c>
    </row>
    <row r="3375" spans="1:4" ht="15" x14ac:dyDescent="0.25">
      <c r="A3375">
        <v>11916</v>
      </c>
      <c r="B3375" t="s">
        <v>9268</v>
      </c>
      <c r="C3375" t="s">
        <v>5043</v>
      </c>
      <c r="D3375" t="s">
        <v>8401</v>
      </c>
    </row>
    <row r="3376" spans="1:4" ht="15" x14ac:dyDescent="0.25">
      <c r="A3376">
        <v>11936</v>
      </c>
      <c r="B3376" t="s">
        <v>9268</v>
      </c>
      <c r="C3376" t="s">
        <v>5043</v>
      </c>
      <c r="D3376" t="s">
        <v>8401</v>
      </c>
    </row>
    <row r="3377" spans="1:4" ht="15" x14ac:dyDescent="0.25">
      <c r="A3377">
        <v>11952</v>
      </c>
      <c r="B3377" t="s">
        <v>9268</v>
      </c>
      <c r="C3377" t="s">
        <v>5043</v>
      </c>
      <c r="D3377" t="s">
        <v>8401</v>
      </c>
    </row>
    <row r="3378" spans="1:4" ht="15" x14ac:dyDescent="0.25">
      <c r="A3378">
        <v>11984</v>
      </c>
      <c r="B3378" t="s">
        <v>9268</v>
      </c>
      <c r="C3378" t="s">
        <v>5043</v>
      </c>
      <c r="D3378" t="s">
        <v>8401</v>
      </c>
    </row>
    <row r="3379" spans="1:4" ht="15" x14ac:dyDescent="0.25">
      <c r="A3379">
        <v>6663</v>
      </c>
      <c r="B3379" t="s">
        <v>9268</v>
      </c>
      <c r="C3379" t="s">
        <v>5043</v>
      </c>
      <c r="D3379" t="s">
        <v>8401</v>
      </c>
    </row>
    <row r="3380" spans="1:4" ht="15" x14ac:dyDescent="0.25">
      <c r="A3380">
        <v>6796</v>
      </c>
      <c r="B3380" t="s">
        <v>9268</v>
      </c>
      <c r="C3380" t="s">
        <v>5043</v>
      </c>
      <c r="D3380" t="s">
        <v>8401</v>
      </c>
    </row>
    <row r="3381" spans="1:4" ht="15" x14ac:dyDescent="0.25">
      <c r="A3381">
        <v>6851</v>
      </c>
      <c r="B3381" t="s">
        <v>9268</v>
      </c>
      <c r="C3381" t="s">
        <v>5043</v>
      </c>
      <c r="D3381" t="s">
        <v>8401</v>
      </c>
    </row>
    <row r="3382" spans="1:4" ht="15" x14ac:dyDescent="0.25">
      <c r="A3382">
        <v>6926</v>
      </c>
      <c r="B3382" t="s">
        <v>9268</v>
      </c>
      <c r="C3382" t="s">
        <v>5043</v>
      </c>
      <c r="D3382" t="s">
        <v>8401</v>
      </c>
    </row>
    <row r="3383" spans="1:4" ht="15" x14ac:dyDescent="0.25">
      <c r="A3383">
        <v>6944</v>
      </c>
      <c r="B3383" t="s">
        <v>9268</v>
      </c>
      <c r="C3383" t="s">
        <v>5043</v>
      </c>
      <c r="D3383" t="s">
        <v>8401</v>
      </c>
    </row>
    <row r="3384" spans="1:4" ht="15" x14ac:dyDescent="0.25">
      <c r="A3384">
        <v>6947</v>
      </c>
      <c r="B3384" t="s">
        <v>9268</v>
      </c>
      <c r="C3384" t="s">
        <v>5043</v>
      </c>
      <c r="D3384" t="s">
        <v>8401</v>
      </c>
    </row>
    <row r="3385" spans="1:4" ht="15" x14ac:dyDescent="0.25">
      <c r="A3385">
        <v>6967</v>
      </c>
      <c r="B3385" t="s">
        <v>9268</v>
      </c>
      <c r="C3385" t="s">
        <v>5043</v>
      </c>
      <c r="D3385" t="s">
        <v>8401</v>
      </c>
    </row>
    <row r="3386" spans="1:4" ht="15" x14ac:dyDescent="0.25">
      <c r="A3386">
        <v>7059</v>
      </c>
      <c r="B3386" t="s">
        <v>9268</v>
      </c>
      <c r="C3386" t="s">
        <v>5043</v>
      </c>
      <c r="D3386" t="s">
        <v>8401</v>
      </c>
    </row>
    <row r="3387" spans="1:4" ht="15" x14ac:dyDescent="0.25">
      <c r="A3387">
        <v>7073</v>
      </c>
      <c r="B3387" t="s">
        <v>9268</v>
      </c>
      <c r="C3387" t="s">
        <v>5043</v>
      </c>
      <c r="D3387" t="s">
        <v>8401</v>
      </c>
    </row>
    <row r="3388" spans="1:4" ht="15" x14ac:dyDescent="0.25">
      <c r="A3388">
        <v>7095</v>
      </c>
      <c r="B3388" t="s">
        <v>9268</v>
      </c>
      <c r="C3388" t="s">
        <v>5043</v>
      </c>
      <c r="D3388" t="s">
        <v>8401</v>
      </c>
    </row>
    <row r="3389" spans="1:4" ht="15" x14ac:dyDescent="0.25">
      <c r="A3389">
        <v>7168</v>
      </c>
      <c r="B3389" t="s">
        <v>9268</v>
      </c>
      <c r="C3389" t="s">
        <v>5043</v>
      </c>
      <c r="D3389" t="s">
        <v>8401</v>
      </c>
    </row>
    <row r="3390" spans="1:4" ht="15" x14ac:dyDescent="0.25">
      <c r="A3390">
        <v>7175</v>
      </c>
      <c r="B3390" t="s">
        <v>9268</v>
      </c>
      <c r="C3390" t="s">
        <v>5043</v>
      </c>
      <c r="D3390" t="s">
        <v>8401</v>
      </c>
    </row>
    <row r="3391" spans="1:4" ht="15" x14ac:dyDescent="0.25">
      <c r="A3391">
        <v>7235</v>
      </c>
      <c r="B3391" t="s">
        <v>9268</v>
      </c>
      <c r="C3391" t="s">
        <v>5043</v>
      </c>
      <c r="D3391" t="s">
        <v>8401</v>
      </c>
    </row>
    <row r="3392" spans="1:4" ht="15" x14ac:dyDescent="0.25">
      <c r="A3392">
        <v>7387</v>
      </c>
      <c r="B3392" t="s">
        <v>9268</v>
      </c>
      <c r="C3392" t="s">
        <v>5043</v>
      </c>
      <c r="D3392" t="s">
        <v>8401</v>
      </c>
    </row>
    <row r="3393" spans="1:4" ht="15" x14ac:dyDescent="0.25">
      <c r="A3393">
        <v>7413</v>
      </c>
      <c r="B3393" t="s">
        <v>9268</v>
      </c>
      <c r="C3393" t="s">
        <v>5043</v>
      </c>
      <c r="D3393" t="s">
        <v>8401</v>
      </c>
    </row>
    <row r="3394" spans="1:4" ht="15" x14ac:dyDescent="0.25">
      <c r="A3394">
        <v>7476</v>
      </c>
      <c r="B3394" t="s">
        <v>9268</v>
      </c>
      <c r="C3394" t="s">
        <v>5043</v>
      </c>
      <c r="D3394" t="s">
        <v>8401</v>
      </c>
    </row>
    <row r="3395" spans="1:4" ht="15" x14ac:dyDescent="0.25">
      <c r="A3395">
        <v>7527</v>
      </c>
      <c r="B3395" t="s">
        <v>9268</v>
      </c>
      <c r="C3395" t="s">
        <v>5043</v>
      </c>
      <c r="D3395" t="s">
        <v>8401</v>
      </c>
    </row>
    <row r="3396" spans="1:4" ht="15" x14ac:dyDescent="0.25">
      <c r="A3396">
        <v>7537</v>
      </c>
      <c r="B3396" t="s">
        <v>9268</v>
      </c>
      <c r="C3396" t="s">
        <v>5043</v>
      </c>
      <c r="D3396" t="s">
        <v>8401</v>
      </c>
    </row>
    <row r="3397" spans="1:4" ht="15" x14ac:dyDescent="0.25">
      <c r="A3397">
        <v>7813</v>
      </c>
      <c r="B3397" t="s">
        <v>9268</v>
      </c>
      <c r="C3397" t="s">
        <v>5043</v>
      </c>
      <c r="D3397" t="s">
        <v>8401</v>
      </c>
    </row>
    <row r="3398" spans="1:4" ht="15" x14ac:dyDescent="0.25">
      <c r="A3398">
        <v>7844</v>
      </c>
      <c r="B3398" t="s">
        <v>9268</v>
      </c>
      <c r="C3398" t="s">
        <v>5043</v>
      </c>
      <c r="D3398" t="s">
        <v>8401</v>
      </c>
    </row>
    <row r="3399" spans="1:4" ht="15" x14ac:dyDescent="0.25">
      <c r="A3399">
        <v>7971</v>
      </c>
      <c r="B3399" t="s">
        <v>9268</v>
      </c>
      <c r="C3399" t="s">
        <v>5043</v>
      </c>
      <c r="D3399" t="s">
        <v>8401</v>
      </c>
    </row>
    <row r="3400" spans="1:4" ht="15" x14ac:dyDescent="0.25">
      <c r="A3400">
        <v>7973</v>
      </c>
      <c r="B3400" t="s">
        <v>9268</v>
      </c>
      <c r="C3400" t="s">
        <v>5043</v>
      </c>
      <c r="D3400" t="s">
        <v>8401</v>
      </c>
    </row>
    <row r="3401" spans="1:4" ht="15" x14ac:dyDescent="0.25">
      <c r="A3401">
        <v>8035</v>
      </c>
      <c r="B3401" t="s">
        <v>9268</v>
      </c>
      <c r="C3401" t="s">
        <v>5043</v>
      </c>
      <c r="D3401" t="s">
        <v>8401</v>
      </c>
    </row>
    <row r="3402" spans="1:4" ht="15" x14ac:dyDescent="0.25">
      <c r="A3402">
        <v>8062</v>
      </c>
      <c r="B3402" t="s">
        <v>9268</v>
      </c>
      <c r="C3402" t="s">
        <v>5043</v>
      </c>
      <c r="D3402" t="s">
        <v>8401</v>
      </c>
    </row>
    <row r="3403" spans="1:4" ht="15" x14ac:dyDescent="0.25">
      <c r="A3403">
        <v>8072</v>
      </c>
      <c r="B3403" t="s">
        <v>9268</v>
      </c>
      <c r="C3403" t="s">
        <v>5043</v>
      </c>
      <c r="D3403" t="s">
        <v>8401</v>
      </c>
    </row>
    <row r="3404" spans="1:4" ht="15" x14ac:dyDescent="0.25">
      <c r="A3404">
        <v>8194</v>
      </c>
      <c r="B3404" t="s">
        <v>9268</v>
      </c>
      <c r="C3404" t="s">
        <v>5043</v>
      </c>
      <c r="D3404" t="s">
        <v>8401</v>
      </c>
    </row>
    <row r="3405" spans="1:4" ht="15" x14ac:dyDescent="0.25">
      <c r="A3405">
        <v>8243</v>
      </c>
      <c r="B3405" t="s">
        <v>9268</v>
      </c>
      <c r="C3405" t="s">
        <v>5043</v>
      </c>
      <c r="D3405" t="s">
        <v>8401</v>
      </c>
    </row>
    <row r="3406" spans="1:4" ht="15" x14ac:dyDescent="0.25">
      <c r="A3406">
        <v>8253</v>
      </c>
      <c r="B3406" t="s">
        <v>9268</v>
      </c>
      <c r="C3406" t="s">
        <v>5043</v>
      </c>
      <c r="D3406" t="s">
        <v>8401</v>
      </c>
    </row>
    <row r="3407" spans="1:4" ht="15" x14ac:dyDescent="0.25">
      <c r="A3407">
        <v>8259</v>
      </c>
      <c r="B3407" t="s">
        <v>9268</v>
      </c>
      <c r="C3407" t="s">
        <v>5043</v>
      </c>
      <c r="D3407" t="s">
        <v>8401</v>
      </c>
    </row>
    <row r="3408" spans="1:4" ht="15" x14ac:dyDescent="0.25">
      <c r="A3408">
        <v>8265</v>
      </c>
      <c r="B3408" t="s">
        <v>9268</v>
      </c>
      <c r="C3408" t="s">
        <v>5043</v>
      </c>
      <c r="D3408" t="s">
        <v>8401</v>
      </c>
    </row>
    <row r="3409" spans="1:4" ht="15" x14ac:dyDescent="0.25">
      <c r="A3409">
        <v>8269</v>
      </c>
      <c r="B3409" t="s">
        <v>9268</v>
      </c>
      <c r="C3409" t="s">
        <v>5043</v>
      </c>
      <c r="D3409" t="s">
        <v>8401</v>
      </c>
    </row>
    <row r="3410" spans="1:4" ht="15" x14ac:dyDescent="0.25">
      <c r="A3410">
        <v>8271</v>
      </c>
      <c r="B3410" t="s">
        <v>9268</v>
      </c>
      <c r="C3410" t="s">
        <v>5043</v>
      </c>
      <c r="D3410" t="s">
        <v>8401</v>
      </c>
    </row>
    <row r="3411" spans="1:4" ht="15" x14ac:dyDescent="0.25">
      <c r="A3411">
        <v>8291</v>
      </c>
      <c r="B3411" t="s">
        <v>9268</v>
      </c>
      <c r="C3411" t="s">
        <v>5043</v>
      </c>
      <c r="D3411" t="s">
        <v>8401</v>
      </c>
    </row>
    <row r="3412" spans="1:4" ht="15" x14ac:dyDescent="0.25">
      <c r="A3412">
        <v>8313</v>
      </c>
      <c r="B3412" t="s">
        <v>9268</v>
      </c>
      <c r="C3412" t="s">
        <v>5043</v>
      </c>
      <c r="D3412" t="s">
        <v>8401</v>
      </c>
    </row>
    <row r="3413" spans="1:4" ht="15" x14ac:dyDescent="0.25">
      <c r="A3413">
        <v>8386</v>
      </c>
      <c r="B3413" t="s">
        <v>9268</v>
      </c>
      <c r="C3413" t="s">
        <v>5043</v>
      </c>
      <c r="D3413" t="s">
        <v>8401</v>
      </c>
    </row>
    <row r="3414" spans="1:4" ht="15" x14ac:dyDescent="0.25">
      <c r="A3414">
        <v>8398</v>
      </c>
      <c r="B3414" t="s">
        <v>9268</v>
      </c>
      <c r="C3414" t="s">
        <v>5043</v>
      </c>
      <c r="D3414" t="s">
        <v>8401</v>
      </c>
    </row>
    <row r="3415" spans="1:4" ht="15" x14ac:dyDescent="0.25">
      <c r="A3415">
        <v>8428</v>
      </c>
      <c r="B3415" t="s">
        <v>9268</v>
      </c>
      <c r="C3415" t="s">
        <v>5043</v>
      </c>
      <c r="D3415" t="s">
        <v>8401</v>
      </c>
    </row>
    <row r="3416" spans="1:4" ht="15" x14ac:dyDescent="0.25">
      <c r="A3416">
        <v>8433</v>
      </c>
      <c r="B3416" t="s">
        <v>9268</v>
      </c>
      <c r="C3416" t="s">
        <v>5043</v>
      </c>
      <c r="D3416" t="s">
        <v>8401</v>
      </c>
    </row>
    <row r="3417" spans="1:4" ht="15" x14ac:dyDescent="0.25">
      <c r="A3417">
        <v>8465</v>
      </c>
      <c r="B3417" t="s">
        <v>9268</v>
      </c>
      <c r="C3417" t="s">
        <v>5043</v>
      </c>
      <c r="D3417" t="s">
        <v>8401</v>
      </c>
    </row>
    <row r="3418" spans="1:4" ht="15" x14ac:dyDescent="0.25">
      <c r="A3418">
        <v>8484</v>
      </c>
      <c r="B3418" t="s">
        <v>9268</v>
      </c>
      <c r="C3418" t="s">
        <v>5043</v>
      </c>
      <c r="D3418" t="s">
        <v>8401</v>
      </c>
    </row>
    <row r="3419" spans="1:4" ht="15" x14ac:dyDescent="0.25">
      <c r="A3419">
        <v>8487</v>
      </c>
      <c r="B3419" t="s">
        <v>9268</v>
      </c>
      <c r="C3419" t="s">
        <v>5043</v>
      </c>
      <c r="D3419" t="s">
        <v>8401</v>
      </c>
    </row>
    <row r="3420" spans="1:4" ht="15" x14ac:dyDescent="0.25">
      <c r="A3420">
        <v>8524</v>
      </c>
      <c r="B3420" t="s">
        <v>9268</v>
      </c>
      <c r="C3420" t="s">
        <v>5043</v>
      </c>
      <c r="D3420" t="s">
        <v>8401</v>
      </c>
    </row>
    <row r="3421" spans="1:4" ht="15" x14ac:dyDescent="0.25">
      <c r="A3421">
        <v>8558</v>
      </c>
      <c r="B3421" t="s">
        <v>9268</v>
      </c>
      <c r="C3421" t="s">
        <v>5043</v>
      </c>
      <c r="D3421" t="s">
        <v>8401</v>
      </c>
    </row>
    <row r="3422" spans="1:4" ht="15" x14ac:dyDescent="0.25">
      <c r="A3422">
        <v>8562</v>
      </c>
      <c r="B3422" t="s">
        <v>9268</v>
      </c>
      <c r="C3422" t="s">
        <v>5043</v>
      </c>
      <c r="D3422" t="s">
        <v>8401</v>
      </c>
    </row>
    <row r="3423" spans="1:4" ht="15" x14ac:dyDescent="0.25">
      <c r="A3423">
        <v>8674</v>
      </c>
      <c r="B3423" t="s">
        <v>9268</v>
      </c>
      <c r="C3423" t="s">
        <v>5043</v>
      </c>
      <c r="D3423" t="s">
        <v>8401</v>
      </c>
    </row>
    <row r="3424" spans="1:4" ht="15" x14ac:dyDescent="0.25">
      <c r="A3424">
        <v>8710</v>
      </c>
      <c r="B3424" t="s">
        <v>9268</v>
      </c>
      <c r="C3424" t="s">
        <v>5043</v>
      </c>
      <c r="D3424" t="s">
        <v>8401</v>
      </c>
    </row>
    <row r="3425" spans="1:4" ht="15" x14ac:dyDescent="0.25">
      <c r="A3425">
        <v>8726</v>
      </c>
      <c r="B3425" t="s">
        <v>9268</v>
      </c>
      <c r="C3425" t="s">
        <v>5043</v>
      </c>
      <c r="D3425" t="s">
        <v>8401</v>
      </c>
    </row>
    <row r="3426" spans="1:4" ht="15" x14ac:dyDescent="0.25">
      <c r="A3426">
        <v>8788</v>
      </c>
      <c r="B3426" t="s">
        <v>9268</v>
      </c>
      <c r="C3426" t="s">
        <v>5043</v>
      </c>
      <c r="D3426" t="s">
        <v>8401</v>
      </c>
    </row>
    <row r="3427" spans="1:4" ht="15" x14ac:dyDescent="0.25">
      <c r="A3427">
        <v>8902</v>
      </c>
      <c r="B3427" t="s">
        <v>9268</v>
      </c>
      <c r="C3427" t="s">
        <v>5043</v>
      </c>
      <c r="D3427" t="s">
        <v>8401</v>
      </c>
    </row>
    <row r="3428" spans="1:4" ht="15" x14ac:dyDescent="0.25">
      <c r="A3428">
        <v>8967</v>
      </c>
      <c r="B3428" t="s">
        <v>9268</v>
      </c>
      <c r="C3428" t="s">
        <v>5043</v>
      </c>
      <c r="D3428" t="s">
        <v>8401</v>
      </c>
    </row>
    <row r="3429" spans="1:4" ht="15" x14ac:dyDescent="0.25">
      <c r="A3429">
        <v>9299</v>
      </c>
      <c r="B3429" t="s">
        <v>9268</v>
      </c>
      <c r="C3429" t="s">
        <v>5043</v>
      </c>
      <c r="D3429" t="s">
        <v>8401</v>
      </c>
    </row>
    <row r="3430" spans="1:4" ht="15" x14ac:dyDescent="0.25">
      <c r="A3430">
        <v>9322</v>
      </c>
      <c r="B3430" t="s">
        <v>9268</v>
      </c>
      <c r="C3430" t="s">
        <v>5043</v>
      </c>
      <c r="D3430" t="s">
        <v>8401</v>
      </c>
    </row>
    <row r="3431" spans="1:4" ht="15" x14ac:dyDescent="0.25">
      <c r="A3431">
        <v>9531</v>
      </c>
      <c r="B3431" t="s">
        <v>9268</v>
      </c>
      <c r="C3431" t="s">
        <v>5043</v>
      </c>
      <c r="D3431" t="s">
        <v>8401</v>
      </c>
    </row>
    <row r="3432" spans="1:4" ht="15" x14ac:dyDescent="0.25">
      <c r="A3432">
        <v>9554</v>
      </c>
      <c r="B3432" t="s">
        <v>9268</v>
      </c>
      <c r="C3432" t="s">
        <v>5043</v>
      </c>
      <c r="D3432" t="s">
        <v>8401</v>
      </c>
    </row>
    <row r="3433" spans="1:4" ht="15" x14ac:dyDescent="0.25">
      <c r="A3433">
        <v>9564</v>
      </c>
      <c r="B3433" t="s">
        <v>9268</v>
      </c>
      <c r="C3433" t="s">
        <v>5043</v>
      </c>
      <c r="D3433" t="s">
        <v>8401</v>
      </c>
    </row>
    <row r="3434" spans="1:4" ht="15" x14ac:dyDescent="0.25">
      <c r="A3434">
        <v>9809</v>
      </c>
      <c r="B3434" t="s">
        <v>9268</v>
      </c>
      <c r="C3434" t="s">
        <v>5043</v>
      </c>
      <c r="D3434" t="s">
        <v>8401</v>
      </c>
    </row>
    <row r="3435" spans="1:4" ht="15" x14ac:dyDescent="0.25">
      <c r="A3435">
        <v>9948</v>
      </c>
      <c r="B3435" t="s">
        <v>9268</v>
      </c>
      <c r="C3435" t="s">
        <v>5043</v>
      </c>
      <c r="D3435" t="s">
        <v>8401</v>
      </c>
    </row>
    <row r="3436" spans="1:4" ht="15" x14ac:dyDescent="0.25">
      <c r="A3436">
        <v>10114</v>
      </c>
      <c r="B3436" t="s">
        <v>9269</v>
      </c>
      <c r="C3436" t="s">
        <v>5043</v>
      </c>
      <c r="D3436" t="s">
        <v>8401</v>
      </c>
    </row>
    <row r="3437" spans="1:4" ht="15" x14ac:dyDescent="0.25">
      <c r="A3437">
        <v>10848</v>
      </c>
      <c r="B3437" t="s">
        <v>9269</v>
      </c>
      <c r="C3437" t="s">
        <v>5043</v>
      </c>
      <c r="D3437" t="s">
        <v>8401</v>
      </c>
    </row>
    <row r="3438" spans="1:4" ht="15" x14ac:dyDescent="0.25">
      <c r="A3438">
        <v>11252</v>
      </c>
      <c r="B3438" t="s">
        <v>9269</v>
      </c>
      <c r="C3438" t="s">
        <v>5043</v>
      </c>
      <c r="D3438" t="s">
        <v>8401</v>
      </c>
    </row>
    <row r="3439" spans="1:4" ht="15" x14ac:dyDescent="0.25">
      <c r="A3439">
        <v>8216</v>
      </c>
      <c r="B3439" t="s">
        <v>9269</v>
      </c>
      <c r="C3439" t="s">
        <v>5043</v>
      </c>
      <c r="D3439" t="s">
        <v>8401</v>
      </c>
    </row>
    <row r="3440" spans="1:4" ht="15" x14ac:dyDescent="0.25">
      <c r="A3440">
        <v>9316</v>
      </c>
      <c r="B3440" t="s">
        <v>9269</v>
      </c>
      <c r="C3440" t="s">
        <v>5043</v>
      </c>
      <c r="D3440" t="s">
        <v>8401</v>
      </c>
    </row>
    <row r="3441" spans="1:4" ht="15" x14ac:dyDescent="0.25">
      <c r="A3441">
        <v>10346</v>
      </c>
      <c r="B3441" t="s">
        <v>9270</v>
      </c>
      <c r="C3441" t="s">
        <v>5043</v>
      </c>
      <c r="D3441" t="s">
        <v>8401</v>
      </c>
    </row>
    <row r="3442" spans="1:4" ht="15" x14ac:dyDescent="0.25">
      <c r="A3442">
        <v>11609</v>
      </c>
      <c r="B3442" t="s">
        <v>9270</v>
      </c>
      <c r="C3442" t="s">
        <v>5043</v>
      </c>
      <c r="D3442" t="s">
        <v>8401</v>
      </c>
    </row>
    <row r="3443" spans="1:4" ht="15" x14ac:dyDescent="0.25">
      <c r="A3443">
        <v>10009</v>
      </c>
      <c r="B3443" t="s">
        <v>9271</v>
      </c>
      <c r="C3443" t="s">
        <v>5043</v>
      </c>
      <c r="D3443" t="s">
        <v>8401</v>
      </c>
    </row>
    <row r="3444" spans="1:4" ht="15" x14ac:dyDescent="0.25">
      <c r="A3444">
        <v>10125</v>
      </c>
      <c r="B3444" t="s">
        <v>9271</v>
      </c>
      <c r="C3444" t="s">
        <v>5043</v>
      </c>
      <c r="D3444" t="s">
        <v>8401</v>
      </c>
    </row>
    <row r="3445" spans="1:4" ht="15" x14ac:dyDescent="0.25">
      <c r="A3445">
        <v>10301</v>
      </c>
      <c r="B3445" t="s">
        <v>9271</v>
      </c>
      <c r="C3445" t="s">
        <v>5043</v>
      </c>
      <c r="D3445" t="s">
        <v>8401</v>
      </c>
    </row>
    <row r="3446" spans="1:4" ht="15" x14ac:dyDescent="0.25">
      <c r="A3446">
        <v>10788</v>
      </c>
      <c r="B3446" t="s">
        <v>9271</v>
      </c>
      <c r="C3446" t="s">
        <v>5043</v>
      </c>
      <c r="D3446" t="s">
        <v>8401</v>
      </c>
    </row>
    <row r="3447" spans="1:4" ht="15" x14ac:dyDescent="0.25">
      <c r="A3447">
        <v>11132</v>
      </c>
      <c r="B3447" t="s">
        <v>9271</v>
      </c>
      <c r="C3447" t="s">
        <v>5043</v>
      </c>
      <c r="D3447" t="s">
        <v>8401</v>
      </c>
    </row>
    <row r="3448" spans="1:4" ht="15" x14ac:dyDescent="0.25">
      <c r="A3448">
        <v>11156</v>
      </c>
      <c r="B3448" t="s">
        <v>9271</v>
      </c>
      <c r="C3448" t="s">
        <v>5043</v>
      </c>
      <c r="D3448" t="s">
        <v>8401</v>
      </c>
    </row>
    <row r="3449" spans="1:4" ht="15" x14ac:dyDescent="0.25">
      <c r="A3449">
        <v>11390</v>
      </c>
      <c r="B3449" t="s">
        <v>9271</v>
      </c>
      <c r="C3449" t="s">
        <v>5043</v>
      </c>
      <c r="D3449" t="s">
        <v>8401</v>
      </c>
    </row>
    <row r="3450" spans="1:4" ht="15" x14ac:dyDescent="0.25">
      <c r="A3450">
        <v>11524</v>
      </c>
      <c r="B3450" t="s">
        <v>9271</v>
      </c>
      <c r="C3450" t="s">
        <v>5043</v>
      </c>
      <c r="D3450" t="s">
        <v>8401</v>
      </c>
    </row>
    <row r="3451" spans="1:4" ht="15" x14ac:dyDescent="0.25">
      <c r="A3451">
        <v>6728</v>
      </c>
      <c r="B3451" t="s">
        <v>9271</v>
      </c>
      <c r="C3451" t="s">
        <v>5043</v>
      </c>
      <c r="D3451" t="s">
        <v>8401</v>
      </c>
    </row>
    <row r="3452" spans="1:4" ht="15" x14ac:dyDescent="0.25">
      <c r="A3452">
        <v>7090</v>
      </c>
      <c r="B3452" t="s">
        <v>9271</v>
      </c>
      <c r="C3452" t="s">
        <v>5043</v>
      </c>
      <c r="D3452" t="s">
        <v>8401</v>
      </c>
    </row>
    <row r="3453" spans="1:4" ht="15" x14ac:dyDescent="0.25">
      <c r="A3453">
        <v>7138</v>
      </c>
      <c r="B3453" t="s">
        <v>9271</v>
      </c>
      <c r="C3453" t="s">
        <v>5043</v>
      </c>
      <c r="D3453" t="s">
        <v>8401</v>
      </c>
    </row>
    <row r="3454" spans="1:4" ht="15" x14ac:dyDescent="0.25">
      <c r="A3454">
        <v>7305</v>
      </c>
      <c r="B3454" t="s">
        <v>9271</v>
      </c>
      <c r="C3454" t="s">
        <v>5043</v>
      </c>
      <c r="D3454" t="s">
        <v>8401</v>
      </c>
    </row>
    <row r="3455" spans="1:4" ht="15" x14ac:dyDescent="0.25">
      <c r="A3455">
        <v>7654</v>
      </c>
      <c r="B3455" t="s">
        <v>9271</v>
      </c>
      <c r="C3455" t="s">
        <v>5043</v>
      </c>
      <c r="D3455" t="s">
        <v>8401</v>
      </c>
    </row>
    <row r="3456" spans="1:4" ht="15" x14ac:dyDescent="0.25">
      <c r="A3456">
        <v>7756</v>
      </c>
      <c r="B3456" t="s">
        <v>9271</v>
      </c>
      <c r="C3456" t="s">
        <v>5043</v>
      </c>
      <c r="D3456" t="s">
        <v>8401</v>
      </c>
    </row>
    <row r="3457" spans="1:4" ht="15" x14ac:dyDescent="0.25">
      <c r="A3457">
        <v>7870</v>
      </c>
      <c r="B3457" t="s">
        <v>9271</v>
      </c>
      <c r="C3457" t="s">
        <v>5043</v>
      </c>
      <c r="D3457" t="s">
        <v>8401</v>
      </c>
    </row>
    <row r="3458" spans="1:4" ht="15" x14ac:dyDescent="0.25">
      <c r="A3458">
        <v>8102</v>
      </c>
      <c r="B3458" t="s">
        <v>9271</v>
      </c>
      <c r="C3458" t="s">
        <v>5043</v>
      </c>
      <c r="D3458" t="s">
        <v>8401</v>
      </c>
    </row>
    <row r="3459" spans="1:4" ht="15" x14ac:dyDescent="0.25">
      <c r="A3459">
        <v>8984</v>
      </c>
      <c r="B3459" t="s">
        <v>9271</v>
      </c>
      <c r="C3459" t="s">
        <v>5043</v>
      </c>
      <c r="D3459" t="s">
        <v>8401</v>
      </c>
    </row>
    <row r="3460" spans="1:4" ht="15" x14ac:dyDescent="0.25">
      <c r="A3460">
        <v>9026</v>
      </c>
      <c r="B3460" t="s">
        <v>9271</v>
      </c>
      <c r="C3460" t="s">
        <v>5043</v>
      </c>
      <c r="D3460" t="s">
        <v>8401</v>
      </c>
    </row>
    <row r="3461" spans="1:4" ht="15" x14ac:dyDescent="0.25">
      <c r="A3461">
        <v>9180</v>
      </c>
      <c r="B3461" t="s">
        <v>9271</v>
      </c>
      <c r="C3461" t="s">
        <v>5043</v>
      </c>
      <c r="D3461" t="s">
        <v>8401</v>
      </c>
    </row>
    <row r="3462" spans="1:4" ht="15" x14ac:dyDescent="0.25">
      <c r="A3462">
        <v>9326</v>
      </c>
      <c r="B3462" t="s">
        <v>9271</v>
      </c>
      <c r="C3462" t="s">
        <v>5043</v>
      </c>
      <c r="D3462" t="s">
        <v>8401</v>
      </c>
    </row>
    <row r="3463" spans="1:4" ht="15" x14ac:dyDescent="0.25">
      <c r="A3463">
        <v>9371</v>
      </c>
      <c r="B3463" t="s">
        <v>9271</v>
      </c>
      <c r="C3463" t="s">
        <v>5043</v>
      </c>
      <c r="D3463" t="s">
        <v>8401</v>
      </c>
    </row>
    <row r="3464" spans="1:4" ht="15" x14ac:dyDescent="0.25">
      <c r="A3464">
        <v>9495</v>
      </c>
      <c r="B3464" t="s">
        <v>9271</v>
      </c>
      <c r="C3464" t="s">
        <v>5043</v>
      </c>
      <c r="D3464" t="s">
        <v>8401</v>
      </c>
    </row>
    <row r="3465" spans="1:4" ht="15" x14ac:dyDescent="0.25">
      <c r="A3465">
        <v>9555</v>
      </c>
      <c r="B3465" t="s">
        <v>9271</v>
      </c>
      <c r="C3465" t="s">
        <v>5043</v>
      </c>
      <c r="D3465" t="s">
        <v>8401</v>
      </c>
    </row>
    <row r="3466" spans="1:4" ht="15" x14ac:dyDescent="0.25">
      <c r="A3466">
        <v>9962</v>
      </c>
      <c r="B3466" t="s">
        <v>9271</v>
      </c>
      <c r="C3466" t="s">
        <v>5043</v>
      </c>
      <c r="D3466" t="s">
        <v>8401</v>
      </c>
    </row>
    <row r="3467" spans="1:4" ht="15" x14ac:dyDescent="0.25">
      <c r="A3467">
        <v>10201</v>
      </c>
      <c r="B3467" t="s">
        <v>9272</v>
      </c>
      <c r="C3467" t="s">
        <v>5043</v>
      </c>
      <c r="D3467" t="s">
        <v>8401</v>
      </c>
    </row>
    <row r="3468" spans="1:4" ht="15" x14ac:dyDescent="0.25">
      <c r="A3468">
        <v>8251</v>
      </c>
      <c r="B3468" t="s">
        <v>11076</v>
      </c>
      <c r="C3468" t="s">
        <v>5043</v>
      </c>
      <c r="D3468" t="s">
        <v>8401</v>
      </c>
    </row>
    <row r="3469" spans="1:4" ht="15" x14ac:dyDescent="0.25">
      <c r="A3469">
        <v>8098</v>
      </c>
      <c r="B3469" t="s">
        <v>9273</v>
      </c>
      <c r="C3469" t="s">
        <v>5043</v>
      </c>
      <c r="D3469" t="s">
        <v>8401</v>
      </c>
    </row>
    <row r="3470" spans="1:4" ht="15" x14ac:dyDescent="0.25">
      <c r="A3470">
        <v>7839</v>
      </c>
      <c r="B3470" t="s">
        <v>11077</v>
      </c>
      <c r="C3470" t="s">
        <v>5043</v>
      </c>
      <c r="D3470" t="s">
        <v>8401</v>
      </c>
    </row>
    <row r="3471" spans="1:4" ht="15" x14ac:dyDescent="0.25">
      <c r="A3471">
        <v>11100</v>
      </c>
      <c r="B3471" t="s">
        <v>9274</v>
      </c>
      <c r="C3471" t="s">
        <v>5043</v>
      </c>
      <c r="D3471" t="s">
        <v>8401</v>
      </c>
    </row>
    <row r="3472" spans="1:4" ht="15" x14ac:dyDescent="0.25">
      <c r="A3472">
        <v>11850</v>
      </c>
      <c r="B3472" t="s">
        <v>9274</v>
      </c>
      <c r="C3472" t="s">
        <v>5043</v>
      </c>
      <c r="D3472" t="s">
        <v>8401</v>
      </c>
    </row>
    <row r="3473" spans="1:4" ht="15" x14ac:dyDescent="0.25">
      <c r="A3473">
        <v>11886</v>
      </c>
      <c r="B3473" t="s">
        <v>9274</v>
      </c>
      <c r="C3473" t="s">
        <v>5043</v>
      </c>
      <c r="D3473" t="s">
        <v>8401</v>
      </c>
    </row>
    <row r="3474" spans="1:4" ht="15" x14ac:dyDescent="0.25">
      <c r="A3474">
        <v>11899</v>
      </c>
      <c r="B3474" t="s">
        <v>9274</v>
      </c>
      <c r="C3474" t="s">
        <v>5043</v>
      </c>
      <c r="D3474" t="s">
        <v>8401</v>
      </c>
    </row>
    <row r="3475" spans="1:4" ht="15" x14ac:dyDescent="0.25">
      <c r="A3475">
        <v>9760</v>
      </c>
      <c r="B3475" t="s">
        <v>9274</v>
      </c>
      <c r="C3475" t="s">
        <v>5043</v>
      </c>
      <c r="D3475" t="s">
        <v>8401</v>
      </c>
    </row>
    <row r="3476" spans="1:4" ht="15" x14ac:dyDescent="0.25">
      <c r="A3476">
        <v>8359</v>
      </c>
      <c r="B3476" t="s">
        <v>11078</v>
      </c>
      <c r="C3476" t="s">
        <v>5043</v>
      </c>
      <c r="D3476" t="s">
        <v>8401</v>
      </c>
    </row>
    <row r="3477" spans="1:4" ht="15" x14ac:dyDescent="0.25">
      <c r="A3477">
        <v>10921</v>
      </c>
      <c r="B3477" t="s">
        <v>11079</v>
      </c>
      <c r="C3477" t="s">
        <v>5043</v>
      </c>
      <c r="D3477" t="s">
        <v>8401</v>
      </c>
    </row>
    <row r="3478" spans="1:4" ht="15" x14ac:dyDescent="0.25">
      <c r="A3478">
        <v>9310</v>
      </c>
      <c r="B3478" t="s">
        <v>11080</v>
      </c>
      <c r="C3478" t="s">
        <v>5043</v>
      </c>
      <c r="D3478" t="s">
        <v>8401</v>
      </c>
    </row>
    <row r="3479" spans="1:4" ht="15" x14ac:dyDescent="0.25">
      <c r="A3479">
        <v>9425</v>
      </c>
      <c r="B3479" t="s">
        <v>11080</v>
      </c>
      <c r="C3479" t="s">
        <v>5043</v>
      </c>
      <c r="D3479" t="s">
        <v>8401</v>
      </c>
    </row>
    <row r="3480" spans="1:4" ht="15" x14ac:dyDescent="0.25">
      <c r="A3480">
        <v>11193</v>
      </c>
      <c r="B3480" t="s">
        <v>11081</v>
      </c>
      <c r="C3480" t="s">
        <v>5043</v>
      </c>
      <c r="D3480" t="s">
        <v>8401</v>
      </c>
    </row>
    <row r="3481" spans="1:4" ht="15" x14ac:dyDescent="0.25">
      <c r="A3481">
        <v>10395</v>
      </c>
      <c r="B3481" t="s">
        <v>11082</v>
      </c>
      <c r="C3481" t="s">
        <v>5043</v>
      </c>
      <c r="D3481" t="s">
        <v>8401</v>
      </c>
    </row>
    <row r="3482" spans="1:4" ht="15" x14ac:dyDescent="0.25">
      <c r="A3482">
        <v>11380</v>
      </c>
      <c r="B3482" t="s">
        <v>11082</v>
      </c>
      <c r="C3482" t="s">
        <v>5043</v>
      </c>
      <c r="D3482" t="s">
        <v>8401</v>
      </c>
    </row>
    <row r="3483" spans="1:4" ht="15" x14ac:dyDescent="0.25">
      <c r="A3483">
        <v>8149</v>
      </c>
      <c r="B3483" t="s">
        <v>11082</v>
      </c>
      <c r="C3483" t="s">
        <v>5043</v>
      </c>
      <c r="D3483" t="s">
        <v>8401</v>
      </c>
    </row>
    <row r="3484" spans="1:4" ht="15" x14ac:dyDescent="0.25">
      <c r="A3484">
        <v>9214</v>
      </c>
      <c r="B3484" t="s">
        <v>11082</v>
      </c>
      <c r="C3484" t="s">
        <v>5043</v>
      </c>
      <c r="D3484" t="s">
        <v>8401</v>
      </c>
    </row>
    <row r="3485" spans="1:4" ht="15" x14ac:dyDescent="0.25">
      <c r="A3485">
        <v>9828</v>
      </c>
      <c r="B3485" t="s">
        <v>11082</v>
      </c>
      <c r="C3485" t="s">
        <v>5043</v>
      </c>
      <c r="D3485" t="s">
        <v>8401</v>
      </c>
    </row>
    <row r="3486" spans="1:4" ht="15" x14ac:dyDescent="0.25">
      <c r="A3486">
        <v>6772</v>
      </c>
      <c r="B3486" t="s">
        <v>9275</v>
      </c>
      <c r="C3486" t="s">
        <v>5043</v>
      </c>
      <c r="D3486" t="s">
        <v>8401</v>
      </c>
    </row>
    <row r="3487" spans="1:4" ht="15" x14ac:dyDescent="0.25">
      <c r="A3487">
        <v>7103</v>
      </c>
      <c r="B3487" t="s">
        <v>9275</v>
      </c>
      <c r="C3487" t="s">
        <v>5043</v>
      </c>
      <c r="D3487" t="s">
        <v>8401</v>
      </c>
    </row>
    <row r="3488" spans="1:4" ht="15" x14ac:dyDescent="0.25">
      <c r="A3488">
        <v>7506</v>
      </c>
      <c r="B3488" t="s">
        <v>9275</v>
      </c>
      <c r="C3488" t="s">
        <v>5043</v>
      </c>
      <c r="D3488" t="s">
        <v>8401</v>
      </c>
    </row>
    <row r="3489" spans="1:4" ht="15" x14ac:dyDescent="0.25">
      <c r="A3489">
        <v>7919</v>
      </c>
      <c r="B3489" t="s">
        <v>9275</v>
      </c>
      <c r="C3489" t="s">
        <v>5043</v>
      </c>
      <c r="D3489" t="s">
        <v>8401</v>
      </c>
    </row>
    <row r="3490" spans="1:4" ht="15" x14ac:dyDescent="0.25">
      <c r="A3490">
        <v>7368</v>
      </c>
      <c r="B3490" t="s">
        <v>9276</v>
      </c>
      <c r="C3490" t="s">
        <v>5043</v>
      </c>
      <c r="D3490" t="s">
        <v>8401</v>
      </c>
    </row>
    <row r="3491" spans="1:4" ht="15" x14ac:dyDescent="0.25">
      <c r="A3491">
        <v>9141</v>
      </c>
      <c r="B3491" t="s">
        <v>9277</v>
      </c>
      <c r="C3491" t="s">
        <v>5043</v>
      </c>
      <c r="D3491" t="s">
        <v>8401</v>
      </c>
    </row>
    <row r="3492" spans="1:4" ht="15" x14ac:dyDescent="0.25">
      <c r="A3492">
        <v>10940</v>
      </c>
      <c r="B3492" t="s">
        <v>9278</v>
      </c>
      <c r="C3492" t="s">
        <v>5043</v>
      </c>
      <c r="D3492" t="s">
        <v>8401</v>
      </c>
    </row>
    <row r="3493" spans="1:4" ht="15" x14ac:dyDescent="0.25">
      <c r="A3493">
        <v>251330</v>
      </c>
      <c r="B3493" t="s">
        <v>11586</v>
      </c>
      <c r="C3493" t="s">
        <v>5043</v>
      </c>
      <c r="D3493" t="s">
        <v>8401</v>
      </c>
    </row>
    <row r="3494" spans="1:4" ht="15" x14ac:dyDescent="0.25">
      <c r="A3494">
        <v>7251</v>
      </c>
      <c r="B3494" t="s">
        <v>9279</v>
      </c>
      <c r="C3494" t="s">
        <v>5043</v>
      </c>
      <c r="D3494" t="s">
        <v>8401</v>
      </c>
    </row>
    <row r="3495" spans="1:4" ht="15" x14ac:dyDescent="0.25">
      <c r="A3495">
        <v>8369</v>
      </c>
      <c r="B3495" t="s">
        <v>9279</v>
      </c>
      <c r="C3495" t="s">
        <v>5043</v>
      </c>
      <c r="D3495" t="s">
        <v>8401</v>
      </c>
    </row>
    <row r="3496" spans="1:4" ht="15" x14ac:dyDescent="0.25">
      <c r="A3496">
        <v>9328</v>
      </c>
      <c r="B3496" t="s">
        <v>11083</v>
      </c>
      <c r="C3496" t="s">
        <v>5043</v>
      </c>
      <c r="D3496" t="s">
        <v>8401</v>
      </c>
    </row>
    <row r="3497" spans="1:4" ht="15" x14ac:dyDescent="0.25">
      <c r="A3497">
        <v>11326</v>
      </c>
      <c r="B3497" t="s">
        <v>11084</v>
      </c>
      <c r="C3497" t="s">
        <v>5043</v>
      </c>
      <c r="D3497" t="s">
        <v>8401</v>
      </c>
    </row>
    <row r="3498" spans="1:4" ht="15" x14ac:dyDescent="0.25">
      <c r="A3498">
        <v>11786</v>
      </c>
      <c r="B3498" t="s">
        <v>11085</v>
      </c>
      <c r="C3498" t="s">
        <v>5043</v>
      </c>
      <c r="D3498" t="s">
        <v>8401</v>
      </c>
    </row>
    <row r="3499" spans="1:4" ht="15" x14ac:dyDescent="0.25">
      <c r="A3499">
        <v>6848</v>
      </c>
      <c r="B3499" t="s">
        <v>11086</v>
      </c>
      <c r="C3499" t="s">
        <v>5043</v>
      </c>
      <c r="D3499" t="s">
        <v>8401</v>
      </c>
    </row>
    <row r="3500" spans="1:4" ht="15" x14ac:dyDescent="0.25">
      <c r="A3500">
        <v>10595</v>
      </c>
      <c r="B3500" t="s">
        <v>11087</v>
      </c>
      <c r="C3500" t="s">
        <v>5043</v>
      </c>
      <c r="D3500" t="s">
        <v>8401</v>
      </c>
    </row>
    <row r="3501" spans="1:4" ht="15" x14ac:dyDescent="0.25">
      <c r="A3501">
        <v>11179</v>
      </c>
      <c r="B3501" t="s">
        <v>11087</v>
      </c>
      <c r="C3501" t="s">
        <v>5043</v>
      </c>
      <c r="D3501" t="s">
        <v>8401</v>
      </c>
    </row>
    <row r="3502" spans="1:4" ht="15" x14ac:dyDescent="0.25">
      <c r="A3502">
        <v>11749</v>
      </c>
      <c r="B3502" t="s">
        <v>11087</v>
      </c>
      <c r="C3502" t="s">
        <v>5043</v>
      </c>
      <c r="D3502" t="s">
        <v>8401</v>
      </c>
    </row>
    <row r="3503" spans="1:4" ht="15" x14ac:dyDescent="0.25">
      <c r="A3503">
        <v>7374</v>
      </c>
      <c r="B3503" t="s">
        <v>11087</v>
      </c>
      <c r="C3503" t="s">
        <v>5043</v>
      </c>
      <c r="D3503" t="s">
        <v>8401</v>
      </c>
    </row>
    <row r="3504" spans="1:4" ht="15" x14ac:dyDescent="0.25">
      <c r="A3504">
        <v>9864</v>
      </c>
      <c r="B3504" t="s">
        <v>11087</v>
      </c>
      <c r="C3504" t="s">
        <v>5043</v>
      </c>
      <c r="D3504" t="s">
        <v>8401</v>
      </c>
    </row>
    <row r="3505" spans="1:4" ht="15" x14ac:dyDescent="0.25">
      <c r="A3505">
        <v>10230</v>
      </c>
      <c r="B3505" t="s">
        <v>9280</v>
      </c>
      <c r="C3505" t="s">
        <v>5043</v>
      </c>
      <c r="D3505" t="s">
        <v>8401</v>
      </c>
    </row>
    <row r="3506" spans="1:4" ht="15" x14ac:dyDescent="0.25">
      <c r="A3506">
        <v>10282</v>
      </c>
      <c r="B3506" t="s">
        <v>9280</v>
      </c>
      <c r="C3506" t="s">
        <v>5043</v>
      </c>
      <c r="D3506" t="s">
        <v>8401</v>
      </c>
    </row>
    <row r="3507" spans="1:4" ht="15" x14ac:dyDescent="0.25">
      <c r="A3507">
        <v>10369</v>
      </c>
      <c r="B3507" t="s">
        <v>9280</v>
      </c>
      <c r="C3507" t="s">
        <v>5043</v>
      </c>
      <c r="D3507" t="s">
        <v>8401</v>
      </c>
    </row>
    <row r="3508" spans="1:4" ht="15" x14ac:dyDescent="0.25">
      <c r="A3508">
        <v>10918</v>
      </c>
      <c r="B3508" t="s">
        <v>9280</v>
      </c>
      <c r="C3508" t="s">
        <v>5043</v>
      </c>
      <c r="D3508" t="s">
        <v>8401</v>
      </c>
    </row>
    <row r="3509" spans="1:4" ht="15" x14ac:dyDescent="0.25">
      <c r="A3509">
        <v>10989</v>
      </c>
      <c r="B3509" t="s">
        <v>9280</v>
      </c>
      <c r="C3509" t="s">
        <v>5043</v>
      </c>
      <c r="D3509" t="s">
        <v>8401</v>
      </c>
    </row>
    <row r="3510" spans="1:4" ht="15" x14ac:dyDescent="0.25">
      <c r="A3510">
        <v>11146</v>
      </c>
      <c r="B3510" t="s">
        <v>9280</v>
      </c>
      <c r="C3510" t="s">
        <v>5043</v>
      </c>
      <c r="D3510" t="s">
        <v>8401</v>
      </c>
    </row>
    <row r="3511" spans="1:4" ht="15" x14ac:dyDescent="0.25">
      <c r="A3511">
        <v>11290</v>
      </c>
      <c r="B3511" t="s">
        <v>9280</v>
      </c>
      <c r="C3511" t="s">
        <v>5043</v>
      </c>
      <c r="D3511" t="s">
        <v>8401</v>
      </c>
    </row>
    <row r="3512" spans="1:4" ht="15" x14ac:dyDescent="0.25">
      <c r="A3512">
        <v>11868</v>
      </c>
      <c r="B3512" t="s">
        <v>9280</v>
      </c>
      <c r="C3512" t="s">
        <v>5043</v>
      </c>
      <c r="D3512" t="s">
        <v>8401</v>
      </c>
    </row>
    <row r="3513" spans="1:4" ht="15" x14ac:dyDescent="0.25">
      <c r="A3513">
        <v>11875</v>
      </c>
      <c r="B3513" t="s">
        <v>9280</v>
      </c>
      <c r="C3513" t="s">
        <v>5043</v>
      </c>
      <c r="D3513" t="s">
        <v>8401</v>
      </c>
    </row>
    <row r="3514" spans="1:4" ht="15" x14ac:dyDescent="0.25">
      <c r="A3514">
        <v>12107</v>
      </c>
      <c r="B3514" t="s">
        <v>9280</v>
      </c>
      <c r="C3514" t="s">
        <v>5043</v>
      </c>
      <c r="D3514" t="s">
        <v>8401</v>
      </c>
    </row>
    <row r="3515" spans="1:4" ht="15" x14ac:dyDescent="0.25">
      <c r="A3515">
        <v>6879</v>
      </c>
      <c r="B3515" t="s">
        <v>9280</v>
      </c>
      <c r="C3515" t="s">
        <v>5043</v>
      </c>
      <c r="D3515" t="s">
        <v>8401</v>
      </c>
    </row>
    <row r="3516" spans="1:4" ht="15" x14ac:dyDescent="0.25">
      <c r="A3516">
        <v>7895</v>
      </c>
      <c r="B3516" t="s">
        <v>9280</v>
      </c>
      <c r="C3516" t="s">
        <v>5043</v>
      </c>
      <c r="D3516" t="s">
        <v>8401</v>
      </c>
    </row>
    <row r="3517" spans="1:4" ht="15" x14ac:dyDescent="0.25">
      <c r="A3517">
        <v>7906</v>
      </c>
      <c r="B3517" t="s">
        <v>9280</v>
      </c>
      <c r="C3517" t="s">
        <v>5043</v>
      </c>
      <c r="D3517" t="s">
        <v>8401</v>
      </c>
    </row>
    <row r="3518" spans="1:4" ht="15" x14ac:dyDescent="0.25">
      <c r="A3518">
        <v>8134</v>
      </c>
      <c r="B3518" t="s">
        <v>9280</v>
      </c>
      <c r="C3518" t="s">
        <v>5043</v>
      </c>
      <c r="D3518" t="s">
        <v>8401</v>
      </c>
    </row>
    <row r="3519" spans="1:4" ht="15" x14ac:dyDescent="0.25">
      <c r="A3519">
        <v>8331</v>
      </c>
      <c r="B3519" t="s">
        <v>9280</v>
      </c>
      <c r="C3519" t="s">
        <v>5043</v>
      </c>
      <c r="D3519" t="s">
        <v>8401</v>
      </c>
    </row>
    <row r="3520" spans="1:4" ht="15" x14ac:dyDescent="0.25">
      <c r="A3520">
        <v>8684</v>
      </c>
      <c r="B3520" t="s">
        <v>9280</v>
      </c>
      <c r="C3520" t="s">
        <v>5043</v>
      </c>
      <c r="D3520" t="s">
        <v>8401</v>
      </c>
    </row>
    <row r="3521" spans="1:4" ht="15" x14ac:dyDescent="0.25">
      <c r="A3521">
        <v>8826</v>
      </c>
      <c r="B3521" t="s">
        <v>9280</v>
      </c>
      <c r="C3521" t="s">
        <v>5043</v>
      </c>
      <c r="D3521" t="s">
        <v>8401</v>
      </c>
    </row>
    <row r="3522" spans="1:4" ht="15" x14ac:dyDescent="0.25">
      <c r="A3522">
        <v>9016</v>
      </c>
      <c r="B3522" t="s">
        <v>9280</v>
      </c>
      <c r="C3522" t="s">
        <v>5043</v>
      </c>
      <c r="D3522" t="s">
        <v>8401</v>
      </c>
    </row>
    <row r="3523" spans="1:4" ht="15" x14ac:dyDescent="0.25">
      <c r="A3523">
        <v>9124</v>
      </c>
      <c r="B3523" t="s">
        <v>9280</v>
      </c>
      <c r="C3523" t="s">
        <v>5043</v>
      </c>
      <c r="D3523" t="s">
        <v>8401</v>
      </c>
    </row>
    <row r="3524" spans="1:4" ht="15" x14ac:dyDescent="0.25">
      <c r="A3524">
        <v>9216</v>
      </c>
      <c r="B3524" t="s">
        <v>9280</v>
      </c>
      <c r="C3524" t="s">
        <v>5043</v>
      </c>
      <c r="D3524" t="s">
        <v>8401</v>
      </c>
    </row>
    <row r="3525" spans="1:4" ht="15" x14ac:dyDescent="0.25">
      <c r="A3525">
        <v>9545</v>
      </c>
      <c r="B3525" t="s">
        <v>9280</v>
      </c>
      <c r="C3525" t="s">
        <v>5043</v>
      </c>
      <c r="D3525" t="s">
        <v>8401</v>
      </c>
    </row>
    <row r="3526" spans="1:4" ht="15" x14ac:dyDescent="0.25">
      <c r="A3526">
        <v>9655</v>
      </c>
      <c r="B3526" t="s">
        <v>9280</v>
      </c>
      <c r="C3526" t="s">
        <v>5043</v>
      </c>
      <c r="D3526" t="s">
        <v>8401</v>
      </c>
    </row>
    <row r="3527" spans="1:4" ht="15" x14ac:dyDescent="0.25">
      <c r="A3527">
        <v>7324</v>
      </c>
      <c r="B3527" t="s">
        <v>9281</v>
      </c>
      <c r="C3527" t="s">
        <v>5043</v>
      </c>
      <c r="D3527" t="s">
        <v>8401</v>
      </c>
    </row>
    <row r="3528" spans="1:4" ht="15" x14ac:dyDescent="0.25">
      <c r="A3528">
        <v>9179</v>
      </c>
      <c r="B3528" t="s">
        <v>11088</v>
      </c>
      <c r="C3528" t="s">
        <v>5043</v>
      </c>
      <c r="D3528" t="s">
        <v>8401</v>
      </c>
    </row>
    <row r="3529" spans="1:4" ht="15" x14ac:dyDescent="0.25">
      <c r="A3529">
        <v>11163</v>
      </c>
      <c r="B3529" t="s">
        <v>9282</v>
      </c>
      <c r="C3529" t="s">
        <v>5043</v>
      </c>
      <c r="D3529" t="s">
        <v>8401</v>
      </c>
    </row>
    <row r="3530" spans="1:4" ht="15" x14ac:dyDescent="0.25">
      <c r="A3530">
        <v>11249</v>
      </c>
      <c r="B3530" t="s">
        <v>9282</v>
      </c>
      <c r="C3530" t="s">
        <v>5043</v>
      </c>
      <c r="D3530" t="s">
        <v>8401</v>
      </c>
    </row>
    <row r="3531" spans="1:4" ht="15" x14ac:dyDescent="0.25">
      <c r="A3531">
        <v>11625</v>
      </c>
      <c r="B3531" t="s">
        <v>9282</v>
      </c>
      <c r="C3531" t="s">
        <v>5043</v>
      </c>
      <c r="D3531" t="s">
        <v>8401</v>
      </c>
    </row>
    <row r="3532" spans="1:4" ht="15" x14ac:dyDescent="0.25">
      <c r="A3532">
        <v>9462</v>
      </c>
      <c r="B3532" t="s">
        <v>9282</v>
      </c>
      <c r="C3532" t="s">
        <v>5043</v>
      </c>
      <c r="D3532" t="s">
        <v>8401</v>
      </c>
    </row>
    <row r="3533" spans="1:4" ht="15" x14ac:dyDescent="0.25">
      <c r="A3533">
        <v>8645</v>
      </c>
      <c r="B3533" t="s">
        <v>11089</v>
      </c>
      <c r="C3533" t="s">
        <v>5043</v>
      </c>
      <c r="D3533" t="s">
        <v>8401</v>
      </c>
    </row>
    <row r="3534" spans="1:4" ht="15" x14ac:dyDescent="0.25">
      <c r="A3534">
        <v>10327</v>
      </c>
      <c r="B3534" t="s">
        <v>11090</v>
      </c>
      <c r="C3534" t="s">
        <v>5043</v>
      </c>
      <c r="D3534" t="s">
        <v>8401</v>
      </c>
    </row>
    <row r="3535" spans="1:4" ht="15" x14ac:dyDescent="0.25">
      <c r="A3535">
        <v>10398</v>
      </c>
      <c r="B3535" t="s">
        <v>11090</v>
      </c>
      <c r="C3535" t="s">
        <v>5043</v>
      </c>
      <c r="D3535" t="s">
        <v>8401</v>
      </c>
    </row>
    <row r="3536" spans="1:4" ht="15" x14ac:dyDescent="0.25">
      <c r="A3536">
        <v>10539</v>
      </c>
      <c r="B3536" t="s">
        <v>11090</v>
      </c>
      <c r="C3536" t="s">
        <v>5043</v>
      </c>
      <c r="D3536" t="s">
        <v>8401</v>
      </c>
    </row>
    <row r="3537" spans="1:4" ht="15" x14ac:dyDescent="0.25">
      <c r="A3537">
        <v>10915</v>
      </c>
      <c r="B3537" t="s">
        <v>11090</v>
      </c>
      <c r="C3537" t="s">
        <v>5043</v>
      </c>
      <c r="D3537" t="s">
        <v>8401</v>
      </c>
    </row>
    <row r="3538" spans="1:4" ht="15" x14ac:dyDescent="0.25">
      <c r="A3538">
        <v>10922</v>
      </c>
      <c r="B3538" t="s">
        <v>11090</v>
      </c>
      <c r="C3538" t="s">
        <v>5043</v>
      </c>
      <c r="D3538" t="s">
        <v>8401</v>
      </c>
    </row>
    <row r="3539" spans="1:4" ht="15" x14ac:dyDescent="0.25">
      <c r="A3539">
        <v>10932</v>
      </c>
      <c r="B3539" t="s">
        <v>11090</v>
      </c>
      <c r="C3539" t="s">
        <v>5043</v>
      </c>
      <c r="D3539" t="s">
        <v>8401</v>
      </c>
    </row>
    <row r="3540" spans="1:4" ht="15" x14ac:dyDescent="0.25">
      <c r="A3540">
        <v>11003</v>
      </c>
      <c r="B3540" t="s">
        <v>11090</v>
      </c>
      <c r="C3540" t="s">
        <v>5043</v>
      </c>
      <c r="D3540" t="s">
        <v>8401</v>
      </c>
    </row>
    <row r="3541" spans="1:4" ht="15" x14ac:dyDescent="0.25">
      <c r="A3541">
        <v>11082</v>
      </c>
      <c r="B3541" t="s">
        <v>11090</v>
      </c>
      <c r="C3541" t="s">
        <v>5043</v>
      </c>
      <c r="D3541" t="s">
        <v>8401</v>
      </c>
    </row>
    <row r="3542" spans="1:4" ht="15" x14ac:dyDescent="0.25">
      <c r="A3542">
        <v>11379</v>
      </c>
      <c r="B3542" t="s">
        <v>11090</v>
      </c>
      <c r="C3542" t="s">
        <v>5043</v>
      </c>
      <c r="D3542" t="s">
        <v>8401</v>
      </c>
    </row>
    <row r="3543" spans="1:4" ht="15" x14ac:dyDescent="0.25">
      <c r="A3543">
        <v>11555</v>
      </c>
      <c r="B3543" t="s">
        <v>11090</v>
      </c>
      <c r="C3543" t="s">
        <v>5043</v>
      </c>
      <c r="D3543" t="s">
        <v>8401</v>
      </c>
    </row>
    <row r="3544" spans="1:4" ht="15" x14ac:dyDescent="0.25">
      <c r="A3544">
        <v>11635</v>
      </c>
      <c r="B3544" t="s">
        <v>11090</v>
      </c>
      <c r="C3544" t="s">
        <v>5043</v>
      </c>
      <c r="D3544" t="s">
        <v>8401</v>
      </c>
    </row>
    <row r="3545" spans="1:4" ht="15" x14ac:dyDescent="0.25">
      <c r="A3545">
        <v>11823</v>
      </c>
      <c r="B3545" t="s">
        <v>11090</v>
      </c>
      <c r="C3545" t="s">
        <v>5043</v>
      </c>
      <c r="D3545" t="s">
        <v>8401</v>
      </c>
    </row>
    <row r="3546" spans="1:4" ht="15" x14ac:dyDescent="0.25">
      <c r="A3546">
        <v>11991</v>
      </c>
      <c r="B3546" t="s">
        <v>11090</v>
      </c>
      <c r="C3546" t="s">
        <v>5043</v>
      </c>
      <c r="D3546" t="s">
        <v>8401</v>
      </c>
    </row>
    <row r="3547" spans="1:4" ht="15" x14ac:dyDescent="0.25">
      <c r="A3547">
        <v>6957</v>
      </c>
      <c r="B3547" t="s">
        <v>11090</v>
      </c>
      <c r="C3547" t="s">
        <v>5043</v>
      </c>
      <c r="D3547" t="s">
        <v>8401</v>
      </c>
    </row>
    <row r="3548" spans="1:4" ht="15" x14ac:dyDescent="0.25">
      <c r="A3548">
        <v>7052</v>
      </c>
      <c r="B3548" t="s">
        <v>11090</v>
      </c>
      <c r="C3548" t="s">
        <v>5043</v>
      </c>
      <c r="D3548" t="s">
        <v>8401</v>
      </c>
    </row>
    <row r="3549" spans="1:4" ht="15" x14ac:dyDescent="0.25">
      <c r="A3549">
        <v>7055</v>
      </c>
      <c r="B3549" t="s">
        <v>11090</v>
      </c>
      <c r="C3549" t="s">
        <v>5043</v>
      </c>
      <c r="D3549" t="s">
        <v>8401</v>
      </c>
    </row>
    <row r="3550" spans="1:4" ht="15" x14ac:dyDescent="0.25">
      <c r="A3550">
        <v>7140</v>
      </c>
      <c r="B3550" t="s">
        <v>11090</v>
      </c>
      <c r="C3550" t="s">
        <v>5043</v>
      </c>
      <c r="D3550" t="s">
        <v>8401</v>
      </c>
    </row>
    <row r="3551" spans="1:4" ht="15" x14ac:dyDescent="0.25">
      <c r="A3551">
        <v>7758</v>
      </c>
      <c r="B3551" t="s">
        <v>11090</v>
      </c>
      <c r="C3551" t="s">
        <v>5043</v>
      </c>
      <c r="D3551" t="s">
        <v>8401</v>
      </c>
    </row>
    <row r="3552" spans="1:4" ht="15" x14ac:dyDescent="0.25">
      <c r="A3552">
        <v>7820</v>
      </c>
      <c r="B3552" t="s">
        <v>11090</v>
      </c>
      <c r="C3552" t="s">
        <v>5043</v>
      </c>
      <c r="D3552" t="s">
        <v>8401</v>
      </c>
    </row>
    <row r="3553" spans="1:4" ht="15" x14ac:dyDescent="0.25">
      <c r="A3553">
        <v>7976</v>
      </c>
      <c r="B3553" t="s">
        <v>11090</v>
      </c>
      <c r="C3553" t="s">
        <v>5043</v>
      </c>
      <c r="D3553" t="s">
        <v>8401</v>
      </c>
    </row>
    <row r="3554" spans="1:4" ht="15" x14ac:dyDescent="0.25">
      <c r="A3554">
        <v>8027</v>
      </c>
      <c r="B3554" t="s">
        <v>11090</v>
      </c>
      <c r="C3554" t="s">
        <v>5043</v>
      </c>
      <c r="D3554" t="s">
        <v>8401</v>
      </c>
    </row>
    <row r="3555" spans="1:4" ht="15" x14ac:dyDescent="0.25">
      <c r="A3555">
        <v>8082</v>
      </c>
      <c r="B3555" t="s">
        <v>11090</v>
      </c>
      <c r="C3555" t="s">
        <v>5043</v>
      </c>
      <c r="D3555" t="s">
        <v>8401</v>
      </c>
    </row>
    <row r="3556" spans="1:4" ht="15" x14ac:dyDescent="0.25">
      <c r="A3556">
        <v>8220</v>
      </c>
      <c r="B3556" t="s">
        <v>11090</v>
      </c>
      <c r="C3556" t="s">
        <v>5043</v>
      </c>
      <c r="D3556" t="s">
        <v>8401</v>
      </c>
    </row>
    <row r="3557" spans="1:4" ht="15" x14ac:dyDescent="0.25">
      <c r="A3557">
        <v>8424</v>
      </c>
      <c r="B3557" t="s">
        <v>11090</v>
      </c>
      <c r="C3557" t="s">
        <v>5043</v>
      </c>
      <c r="D3557" t="s">
        <v>8401</v>
      </c>
    </row>
    <row r="3558" spans="1:4" ht="15" x14ac:dyDescent="0.25">
      <c r="A3558">
        <v>8468</v>
      </c>
      <c r="B3558" t="s">
        <v>11090</v>
      </c>
      <c r="C3558" t="s">
        <v>5043</v>
      </c>
      <c r="D3558" t="s">
        <v>8401</v>
      </c>
    </row>
    <row r="3559" spans="1:4" ht="15" x14ac:dyDescent="0.25">
      <c r="A3559">
        <v>8476</v>
      </c>
      <c r="B3559" t="s">
        <v>11090</v>
      </c>
      <c r="C3559" t="s">
        <v>5043</v>
      </c>
      <c r="D3559" t="s">
        <v>8401</v>
      </c>
    </row>
    <row r="3560" spans="1:4" ht="15" x14ac:dyDescent="0.25">
      <c r="A3560">
        <v>8662</v>
      </c>
      <c r="B3560" t="s">
        <v>11090</v>
      </c>
      <c r="C3560" t="s">
        <v>5043</v>
      </c>
      <c r="D3560" t="s">
        <v>8401</v>
      </c>
    </row>
    <row r="3561" spans="1:4" ht="15" x14ac:dyDescent="0.25">
      <c r="A3561">
        <v>9050</v>
      </c>
      <c r="B3561" t="s">
        <v>11090</v>
      </c>
      <c r="C3561" t="s">
        <v>5043</v>
      </c>
      <c r="D3561" t="s">
        <v>8401</v>
      </c>
    </row>
    <row r="3562" spans="1:4" ht="15" x14ac:dyDescent="0.25">
      <c r="A3562">
        <v>9321</v>
      </c>
      <c r="B3562" t="s">
        <v>11090</v>
      </c>
      <c r="C3562" t="s">
        <v>5043</v>
      </c>
      <c r="D3562" t="s">
        <v>8401</v>
      </c>
    </row>
    <row r="3563" spans="1:4" ht="15" x14ac:dyDescent="0.25">
      <c r="A3563">
        <v>9559</v>
      </c>
      <c r="B3563" t="s">
        <v>11090</v>
      </c>
      <c r="C3563" t="s">
        <v>5043</v>
      </c>
      <c r="D3563" t="s">
        <v>8401</v>
      </c>
    </row>
    <row r="3564" spans="1:4" ht="15" x14ac:dyDescent="0.25">
      <c r="A3564">
        <v>9577</v>
      </c>
      <c r="B3564" t="s">
        <v>11090</v>
      </c>
      <c r="C3564" t="s">
        <v>5043</v>
      </c>
      <c r="D3564" t="s">
        <v>8401</v>
      </c>
    </row>
    <row r="3565" spans="1:4" ht="15" x14ac:dyDescent="0.25">
      <c r="A3565">
        <v>9708</v>
      </c>
      <c r="B3565" t="s">
        <v>11090</v>
      </c>
      <c r="C3565" t="s">
        <v>5043</v>
      </c>
      <c r="D3565" t="s">
        <v>8401</v>
      </c>
    </row>
    <row r="3566" spans="1:4" ht="15" x14ac:dyDescent="0.25">
      <c r="A3566">
        <v>9967</v>
      </c>
      <c r="B3566" t="s">
        <v>11090</v>
      </c>
      <c r="C3566" t="s">
        <v>5043</v>
      </c>
      <c r="D3566" t="s">
        <v>8401</v>
      </c>
    </row>
    <row r="3567" spans="1:4" ht="15" x14ac:dyDescent="0.25">
      <c r="A3567">
        <v>10058</v>
      </c>
      <c r="B3567" t="s">
        <v>9283</v>
      </c>
      <c r="C3567" t="s">
        <v>5043</v>
      </c>
      <c r="D3567" t="s">
        <v>8401</v>
      </c>
    </row>
    <row r="3568" spans="1:4" ht="15" x14ac:dyDescent="0.25">
      <c r="A3568">
        <v>10071</v>
      </c>
      <c r="B3568" t="s">
        <v>9283</v>
      </c>
      <c r="C3568" t="s">
        <v>5043</v>
      </c>
      <c r="D3568" t="s">
        <v>8401</v>
      </c>
    </row>
    <row r="3569" spans="1:4" ht="15" x14ac:dyDescent="0.25">
      <c r="A3569">
        <v>10118</v>
      </c>
      <c r="B3569" t="s">
        <v>9283</v>
      </c>
      <c r="C3569" t="s">
        <v>5043</v>
      </c>
      <c r="D3569" t="s">
        <v>8401</v>
      </c>
    </row>
    <row r="3570" spans="1:4" ht="15" x14ac:dyDescent="0.25">
      <c r="A3570">
        <v>10781</v>
      </c>
      <c r="B3570" t="s">
        <v>9283</v>
      </c>
      <c r="C3570" t="s">
        <v>5043</v>
      </c>
      <c r="D3570" t="s">
        <v>8401</v>
      </c>
    </row>
    <row r="3571" spans="1:4" ht="15" x14ac:dyDescent="0.25">
      <c r="A3571">
        <v>10789</v>
      </c>
      <c r="B3571" t="s">
        <v>9283</v>
      </c>
      <c r="C3571" t="s">
        <v>5043</v>
      </c>
      <c r="D3571" t="s">
        <v>8401</v>
      </c>
    </row>
    <row r="3572" spans="1:4" ht="15" x14ac:dyDescent="0.25">
      <c r="A3572">
        <v>11021</v>
      </c>
      <c r="B3572" t="s">
        <v>9283</v>
      </c>
      <c r="C3572" t="s">
        <v>5043</v>
      </c>
      <c r="D3572" t="s">
        <v>8401</v>
      </c>
    </row>
    <row r="3573" spans="1:4" ht="15" x14ac:dyDescent="0.25">
      <c r="A3573">
        <v>11268</v>
      </c>
      <c r="B3573" t="s">
        <v>9283</v>
      </c>
      <c r="C3573" t="s">
        <v>5043</v>
      </c>
      <c r="D3573" t="s">
        <v>8401</v>
      </c>
    </row>
    <row r="3574" spans="1:4" ht="15" x14ac:dyDescent="0.25">
      <c r="A3574">
        <v>11376</v>
      </c>
      <c r="B3574" t="s">
        <v>9283</v>
      </c>
      <c r="C3574" t="s">
        <v>5043</v>
      </c>
      <c r="D3574" t="s">
        <v>8401</v>
      </c>
    </row>
    <row r="3575" spans="1:4" ht="15" x14ac:dyDescent="0.25">
      <c r="A3575">
        <v>11447</v>
      </c>
      <c r="B3575" t="s">
        <v>9283</v>
      </c>
      <c r="C3575" t="s">
        <v>5043</v>
      </c>
      <c r="D3575" t="s">
        <v>8401</v>
      </c>
    </row>
    <row r="3576" spans="1:4" ht="15" x14ac:dyDescent="0.25">
      <c r="A3576">
        <v>11557</v>
      </c>
      <c r="B3576" t="s">
        <v>9283</v>
      </c>
      <c r="C3576" t="s">
        <v>5043</v>
      </c>
      <c r="D3576" t="s">
        <v>8401</v>
      </c>
    </row>
    <row r="3577" spans="1:4" ht="15" x14ac:dyDescent="0.25">
      <c r="A3577">
        <v>12014</v>
      </c>
      <c r="B3577" t="s">
        <v>9283</v>
      </c>
      <c r="C3577" t="s">
        <v>5043</v>
      </c>
      <c r="D3577" t="s">
        <v>8401</v>
      </c>
    </row>
    <row r="3578" spans="1:4" ht="15" x14ac:dyDescent="0.25">
      <c r="A3578">
        <v>12093</v>
      </c>
      <c r="B3578" t="s">
        <v>9283</v>
      </c>
      <c r="C3578" t="s">
        <v>5043</v>
      </c>
      <c r="D3578" t="s">
        <v>8401</v>
      </c>
    </row>
    <row r="3579" spans="1:4" ht="15" x14ac:dyDescent="0.25">
      <c r="A3579">
        <v>6684</v>
      </c>
      <c r="B3579" t="s">
        <v>9283</v>
      </c>
      <c r="C3579" t="s">
        <v>5043</v>
      </c>
      <c r="D3579" t="s">
        <v>8401</v>
      </c>
    </row>
    <row r="3580" spans="1:4" ht="15" x14ac:dyDescent="0.25">
      <c r="A3580">
        <v>7023</v>
      </c>
      <c r="B3580" t="s">
        <v>9283</v>
      </c>
      <c r="C3580" t="s">
        <v>5043</v>
      </c>
      <c r="D3580" t="s">
        <v>8401</v>
      </c>
    </row>
    <row r="3581" spans="1:4" ht="15" x14ac:dyDescent="0.25">
      <c r="A3581">
        <v>7169</v>
      </c>
      <c r="B3581" t="s">
        <v>9283</v>
      </c>
      <c r="C3581" t="s">
        <v>5043</v>
      </c>
      <c r="D3581" t="s">
        <v>8401</v>
      </c>
    </row>
    <row r="3582" spans="1:4" ht="15" x14ac:dyDescent="0.25">
      <c r="A3582">
        <v>7188</v>
      </c>
      <c r="B3582" t="s">
        <v>9283</v>
      </c>
      <c r="C3582" t="s">
        <v>5043</v>
      </c>
      <c r="D3582" t="s">
        <v>8401</v>
      </c>
    </row>
    <row r="3583" spans="1:4" ht="15" x14ac:dyDescent="0.25">
      <c r="A3583">
        <v>7757</v>
      </c>
      <c r="B3583" t="s">
        <v>9283</v>
      </c>
      <c r="C3583" t="s">
        <v>5043</v>
      </c>
      <c r="D3583" t="s">
        <v>8401</v>
      </c>
    </row>
    <row r="3584" spans="1:4" ht="15" x14ac:dyDescent="0.25">
      <c r="A3584">
        <v>8991</v>
      </c>
      <c r="B3584" t="s">
        <v>9283</v>
      </c>
      <c r="C3584" t="s">
        <v>5043</v>
      </c>
      <c r="D3584" t="s">
        <v>8401</v>
      </c>
    </row>
    <row r="3585" spans="1:4" ht="15" x14ac:dyDescent="0.25">
      <c r="A3585">
        <v>9053</v>
      </c>
      <c r="B3585" t="s">
        <v>9283</v>
      </c>
      <c r="C3585" t="s">
        <v>5043</v>
      </c>
      <c r="D3585" t="s">
        <v>8401</v>
      </c>
    </row>
    <row r="3586" spans="1:4" ht="15" x14ac:dyDescent="0.25">
      <c r="A3586">
        <v>9565</v>
      </c>
      <c r="B3586" t="s">
        <v>9283</v>
      </c>
      <c r="C3586" t="s">
        <v>5043</v>
      </c>
      <c r="D3586" t="s">
        <v>8401</v>
      </c>
    </row>
    <row r="3587" spans="1:4" ht="15" x14ac:dyDescent="0.25">
      <c r="A3587">
        <v>10312</v>
      </c>
      <c r="B3587" t="s">
        <v>11091</v>
      </c>
      <c r="C3587" t="s">
        <v>5043</v>
      </c>
      <c r="D3587" t="s">
        <v>8401</v>
      </c>
    </row>
    <row r="3588" spans="1:4" ht="15" x14ac:dyDescent="0.25">
      <c r="A3588">
        <v>10551</v>
      </c>
      <c r="B3588" t="s">
        <v>11091</v>
      </c>
      <c r="C3588" t="s">
        <v>5043</v>
      </c>
      <c r="D3588" t="s">
        <v>8401</v>
      </c>
    </row>
    <row r="3589" spans="1:4" ht="15" x14ac:dyDescent="0.25">
      <c r="A3589">
        <v>10924</v>
      </c>
      <c r="B3589" t="s">
        <v>11091</v>
      </c>
      <c r="C3589" t="s">
        <v>5043</v>
      </c>
      <c r="D3589" t="s">
        <v>8401</v>
      </c>
    </row>
    <row r="3590" spans="1:4" ht="15" x14ac:dyDescent="0.25">
      <c r="A3590">
        <v>11638</v>
      </c>
      <c r="B3590" t="s">
        <v>11091</v>
      </c>
      <c r="C3590" t="s">
        <v>5043</v>
      </c>
      <c r="D3590" t="s">
        <v>8401</v>
      </c>
    </row>
    <row r="3591" spans="1:4" ht="15" x14ac:dyDescent="0.25">
      <c r="A3591">
        <v>6977</v>
      </c>
      <c r="B3591" t="s">
        <v>11091</v>
      </c>
      <c r="C3591" t="s">
        <v>5043</v>
      </c>
      <c r="D3591" t="s">
        <v>8401</v>
      </c>
    </row>
    <row r="3592" spans="1:4" ht="15" x14ac:dyDescent="0.25">
      <c r="A3592">
        <v>6982</v>
      </c>
      <c r="B3592" t="s">
        <v>11091</v>
      </c>
      <c r="C3592" t="s">
        <v>5043</v>
      </c>
      <c r="D3592" t="s">
        <v>8401</v>
      </c>
    </row>
    <row r="3593" spans="1:4" ht="15" x14ac:dyDescent="0.25">
      <c r="A3593">
        <v>7119</v>
      </c>
      <c r="B3593" t="s">
        <v>11091</v>
      </c>
      <c r="C3593" t="s">
        <v>5043</v>
      </c>
      <c r="D3593" t="s">
        <v>8401</v>
      </c>
    </row>
    <row r="3594" spans="1:4" ht="15" x14ac:dyDescent="0.25">
      <c r="A3594">
        <v>7124</v>
      </c>
      <c r="B3594" t="s">
        <v>11091</v>
      </c>
      <c r="C3594" t="s">
        <v>5043</v>
      </c>
      <c r="D3594" t="s">
        <v>8401</v>
      </c>
    </row>
    <row r="3595" spans="1:4" ht="15" x14ac:dyDescent="0.25">
      <c r="A3595">
        <v>7152</v>
      </c>
      <c r="B3595" t="s">
        <v>11091</v>
      </c>
      <c r="C3595" t="s">
        <v>5043</v>
      </c>
      <c r="D3595" t="s">
        <v>8401</v>
      </c>
    </row>
    <row r="3596" spans="1:4" ht="15" x14ac:dyDescent="0.25">
      <c r="A3596">
        <v>7264</v>
      </c>
      <c r="B3596" t="s">
        <v>11091</v>
      </c>
      <c r="C3596" t="s">
        <v>5043</v>
      </c>
      <c r="D3596" t="s">
        <v>8401</v>
      </c>
    </row>
    <row r="3597" spans="1:4" ht="15" x14ac:dyDescent="0.25">
      <c r="A3597">
        <v>7645</v>
      </c>
      <c r="B3597" t="s">
        <v>11091</v>
      </c>
      <c r="C3597" t="s">
        <v>5043</v>
      </c>
      <c r="D3597" t="s">
        <v>8401</v>
      </c>
    </row>
    <row r="3598" spans="1:4" ht="15" x14ac:dyDescent="0.25">
      <c r="A3598">
        <v>8128</v>
      </c>
      <c r="B3598" t="s">
        <v>11091</v>
      </c>
      <c r="C3598" t="s">
        <v>5043</v>
      </c>
      <c r="D3598" t="s">
        <v>8401</v>
      </c>
    </row>
    <row r="3599" spans="1:4" ht="15" x14ac:dyDescent="0.25">
      <c r="A3599">
        <v>8186</v>
      </c>
      <c r="B3599" t="s">
        <v>11091</v>
      </c>
      <c r="C3599" t="s">
        <v>5043</v>
      </c>
      <c r="D3599" t="s">
        <v>8401</v>
      </c>
    </row>
    <row r="3600" spans="1:4" ht="15" x14ac:dyDescent="0.25">
      <c r="A3600">
        <v>8232</v>
      </c>
      <c r="B3600" t="s">
        <v>11091</v>
      </c>
      <c r="C3600" t="s">
        <v>5043</v>
      </c>
      <c r="D3600" t="s">
        <v>8401</v>
      </c>
    </row>
    <row r="3601" spans="1:4" ht="15" x14ac:dyDescent="0.25">
      <c r="A3601">
        <v>8463</v>
      </c>
      <c r="B3601" t="s">
        <v>11091</v>
      </c>
      <c r="C3601" t="s">
        <v>5043</v>
      </c>
      <c r="D3601" t="s">
        <v>8401</v>
      </c>
    </row>
    <row r="3602" spans="1:4" ht="15" x14ac:dyDescent="0.25">
      <c r="A3602">
        <v>8535</v>
      </c>
      <c r="B3602" t="s">
        <v>11091</v>
      </c>
      <c r="C3602" t="s">
        <v>5043</v>
      </c>
      <c r="D3602" t="s">
        <v>8401</v>
      </c>
    </row>
    <row r="3603" spans="1:4" ht="15" x14ac:dyDescent="0.25">
      <c r="A3603">
        <v>8786</v>
      </c>
      <c r="B3603" t="s">
        <v>11091</v>
      </c>
      <c r="C3603" t="s">
        <v>5043</v>
      </c>
      <c r="D3603" t="s">
        <v>8401</v>
      </c>
    </row>
    <row r="3604" spans="1:4" ht="15" x14ac:dyDescent="0.25">
      <c r="A3604">
        <v>8983</v>
      </c>
      <c r="B3604" t="s">
        <v>11091</v>
      </c>
      <c r="C3604" t="s">
        <v>5043</v>
      </c>
      <c r="D3604" t="s">
        <v>8401</v>
      </c>
    </row>
    <row r="3605" spans="1:4" ht="15" x14ac:dyDescent="0.25">
      <c r="A3605">
        <v>9612</v>
      </c>
      <c r="B3605" t="s">
        <v>11091</v>
      </c>
      <c r="C3605" t="s">
        <v>5043</v>
      </c>
      <c r="D3605" t="s">
        <v>8401</v>
      </c>
    </row>
    <row r="3606" spans="1:4" ht="15" x14ac:dyDescent="0.25">
      <c r="A3606">
        <v>9654</v>
      </c>
      <c r="B3606" t="s">
        <v>11091</v>
      </c>
      <c r="C3606" t="s">
        <v>5043</v>
      </c>
      <c r="D3606" t="s">
        <v>8401</v>
      </c>
    </row>
    <row r="3607" spans="1:4" ht="15" x14ac:dyDescent="0.25">
      <c r="A3607">
        <v>9796</v>
      </c>
      <c r="B3607" t="s">
        <v>11091</v>
      </c>
      <c r="C3607" t="s">
        <v>5043</v>
      </c>
      <c r="D3607" t="s">
        <v>8401</v>
      </c>
    </row>
    <row r="3608" spans="1:4" ht="15" x14ac:dyDescent="0.25">
      <c r="A3608">
        <v>9117</v>
      </c>
      <c r="B3608" t="s">
        <v>11092</v>
      </c>
      <c r="C3608" t="s">
        <v>5043</v>
      </c>
      <c r="D3608" t="s">
        <v>8401</v>
      </c>
    </row>
    <row r="3609" spans="1:4" ht="15" x14ac:dyDescent="0.25">
      <c r="A3609">
        <v>10985</v>
      </c>
      <c r="B3609" t="s">
        <v>9284</v>
      </c>
      <c r="C3609" t="s">
        <v>5043</v>
      </c>
      <c r="D3609" t="s">
        <v>8401</v>
      </c>
    </row>
    <row r="3610" spans="1:4" ht="15" x14ac:dyDescent="0.25">
      <c r="A3610">
        <v>11070</v>
      </c>
      <c r="B3610" t="s">
        <v>11093</v>
      </c>
      <c r="C3610" t="s">
        <v>5043</v>
      </c>
      <c r="D3610" t="s">
        <v>8401</v>
      </c>
    </row>
    <row r="3611" spans="1:4" ht="15" x14ac:dyDescent="0.25">
      <c r="A3611">
        <v>7503</v>
      </c>
      <c r="B3611" t="s">
        <v>11093</v>
      </c>
      <c r="C3611" t="s">
        <v>5043</v>
      </c>
      <c r="D3611" t="s">
        <v>8401</v>
      </c>
    </row>
    <row r="3612" spans="1:4" ht="15" x14ac:dyDescent="0.25">
      <c r="A3612">
        <v>8434</v>
      </c>
      <c r="B3612" t="s">
        <v>11093</v>
      </c>
      <c r="C3612" t="s">
        <v>5043</v>
      </c>
      <c r="D3612" t="s">
        <v>8401</v>
      </c>
    </row>
    <row r="3613" spans="1:4" ht="15" x14ac:dyDescent="0.25">
      <c r="A3613">
        <v>10271</v>
      </c>
      <c r="B3613" t="s">
        <v>9285</v>
      </c>
      <c r="C3613" t="s">
        <v>5043</v>
      </c>
      <c r="D3613" t="s">
        <v>8401</v>
      </c>
    </row>
    <row r="3614" spans="1:4" ht="15" x14ac:dyDescent="0.25">
      <c r="A3614">
        <v>9317</v>
      </c>
      <c r="B3614" t="s">
        <v>9285</v>
      </c>
      <c r="C3614" t="s">
        <v>5043</v>
      </c>
      <c r="D3614" t="s">
        <v>8401</v>
      </c>
    </row>
    <row r="3615" spans="1:4" ht="15" x14ac:dyDescent="0.25">
      <c r="A3615">
        <v>9432</v>
      </c>
      <c r="B3615" t="s">
        <v>9285</v>
      </c>
      <c r="C3615" t="s">
        <v>5043</v>
      </c>
      <c r="D3615" t="s">
        <v>8401</v>
      </c>
    </row>
    <row r="3616" spans="1:4" ht="15" x14ac:dyDescent="0.25">
      <c r="A3616">
        <v>8404</v>
      </c>
      <c r="B3616" t="s">
        <v>11094</v>
      </c>
      <c r="C3616" t="s">
        <v>5043</v>
      </c>
      <c r="D3616" t="s">
        <v>8401</v>
      </c>
    </row>
    <row r="3617" spans="1:4" ht="15" x14ac:dyDescent="0.25">
      <c r="A3617">
        <v>6941</v>
      </c>
      <c r="B3617" t="s">
        <v>9286</v>
      </c>
      <c r="C3617" t="s">
        <v>5043</v>
      </c>
      <c r="D3617" t="s">
        <v>8401</v>
      </c>
    </row>
    <row r="3618" spans="1:4" ht="15" x14ac:dyDescent="0.25">
      <c r="A3618">
        <v>11399</v>
      </c>
      <c r="B3618" t="s">
        <v>9287</v>
      </c>
      <c r="C3618" t="s">
        <v>5043</v>
      </c>
      <c r="D3618" t="s">
        <v>8401</v>
      </c>
    </row>
    <row r="3619" spans="1:4" ht="15" x14ac:dyDescent="0.25">
      <c r="A3619">
        <v>6995</v>
      </c>
      <c r="B3619" t="s">
        <v>9287</v>
      </c>
      <c r="C3619" t="s">
        <v>5043</v>
      </c>
      <c r="D3619" t="s">
        <v>8401</v>
      </c>
    </row>
    <row r="3620" spans="1:4" ht="15" x14ac:dyDescent="0.25">
      <c r="A3620">
        <v>7116</v>
      </c>
      <c r="B3620" t="s">
        <v>9287</v>
      </c>
      <c r="C3620" t="s">
        <v>5043</v>
      </c>
      <c r="D3620" t="s">
        <v>8401</v>
      </c>
    </row>
    <row r="3621" spans="1:4" ht="15" x14ac:dyDescent="0.25">
      <c r="A3621">
        <v>7425</v>
      </c>
      <c r="B3621" t="s">
        <v>9287</v>
      </c>
      <c r="C3621" t="s">
        <v>5043</v>
      </c>
      <c r="D3621" t="s">
        <v>8401</v>
      </c>
    </row>
    <row r="3622" spans="1:4" ht="15" x14ac:dyDescent="0.25">
      <c r="A3622">
        <v>7437</v>
      </c>
      <c r="B3622" t="s">
        <v>9287</v>
      </c>
      <c r="C3622" t="s">
        <v>5043</v>
      </c>
      <c r="D3622" t="s">
        <v>8401</v>
      </c>
    </row>
    <row r="3623" spans="1:4" ht="15" x14ac:dyDescent="0.25">
      <c r="A3623">
        <v>7741</v>
      </c>
      <c r="B3623" t="s">
        <v>9287</v>
      </c>
      <c r="C3623" t="s">
        <v>5043</v>
      </c>
      <c r="D3623" t="s">
        <v>8401</v>
      </c>
    </row>
    <row r="3624" spans="1:4" ht="15" x14ac:dyDescent="0.25">
      <c r="A3624">
        <v>7957</v>
      </c>
      <c r="B3624" t="s">
        <v>9287</v>
      </c>
      <c r="C3624" t="s">
        <v>5043</v>
      </c>
      <c r="D3624" t="s">
        <v>8401</v>
      </c>
    </row>
    <row r="3625" spans="1:4" ht="15" x14ac:dyDescent="0.25">
      <c r="A3625">
        <v>7980</v>
      </c>
      <c r="B3625" t="s">
        <v>9287</v>
      </c>
      <c r="C3625" t="s">
        <v>5043</v>
      </c>
      <c r="D3625" t="s">
        <v>8401</v>
      </c>
    </row>
    <row r="3626" spans="1:4" ht="15" x14ac:dyDescent="0.25">
      <c r="A3626">
        <v>8067</v>
      </c>
      <c r="B3626" t="s">
        <v>9287</v>
      </c>
      <c r="C3626" t="s">
        <v>5043</v>
      </c>
      <c r="D3626" t="s">
        <v>8401</v>
      </c>
    </row>
    <row r="3627" spans="1:4" ht="15" x14ac:dyDescent="0.25">
      <c r="A3627">
        <v>8395</v>
      </c>
      <c r="B3627" t="s">
        <v>9287</v>
      </c>
      <c r="C3627" t="s">
        <v>5043</v>
      </c>
      <c r="D3627" t="s">
        <v>8401</v>
      </c>
    </row>
    <row r="3628" spans="1:4" ht="15" x14ac:dyDescent="0.25">
      <c r="A3628">
        <v>9692</v>
      </c>
      <c r="B3628" t="s">
        <v>9287</v>
      </c>
      <c r="C3628" t="s">
        <v>5043</v>
      </c>
      <c r="D3628" t="s">
        <v>8401</v>
      </c>
    </row>
    <row r="3629" spans="1:4" ht="15" x14ac:dyDescent="0.25">
      <c r="A3629">
        <v>9902</v>
      </c>
      <c r="B3629" t="s">
        <v>9287</v>
      </c>
      <c r="C3629" t="s">
        <v>5043</v>
      </c>
      <c r="D3629" t="s">
        <v>8401</v>
      </c>
    </row>
    <row r="3630" spans="1:4" ht="15" x14ac:dyDescent="0.25">
      <c r="A3630">
        <v>10214</v>
      </c>
      <c r="B3630" t="s">
        <v>9288</v>
      </c>
      <c r="C3630" t="s">
        <v>5043</v>
      </c>
      <c r="D3630" t="s">
        <v>8401</v>
      </c>
    </row>
    <row r="3631" spans="1:4" ht="15" x14ac:dyDescent="0.25">
      <c r="A3631">
        <v>10261</v>
      </c>
      <c r="B3631" t="s">
        <v>9288</v>
      </c>
      <c r="C3631" t="s">
        <v>5043</v>
      </c>
      <c r="D3631" t="s">
        <v>8401</v>
      </c>
    </row>
    <row r="3632" spans="1:4" ht="15" x14ac:dyDescent="0.25">
      <c r="A3632">
        <v>10372</v>
      </c>
      <c r="B3632" t="s">
        <v>9288</v>
      </c>
      <c r="C3632" t="s">
        <v>5043</v>
      </c>
      <c r="D3632" t="s">
        <v>8401</v>
      </c>
    </row>
    <row r="3633" spans="1:4" ht="15" x14ac:dyDescent="0.25">
      <c r="A3633">
        <v>10479</v>
      </c>
      <c r="B3633" t="s">
        <v>9288</v>
      </c>
      <c r="C3633" t="s">
        <v>5043</v>
      </c>
      <c r="D3633" t="s">
        <v>8401</v>
      </c>
    </row>
    <row r="3634" spans="1:4" ht="15" x14ac:dyDescent="0.25">
      <c r="A3634">
        <v>11611</v>
      </c>
      <c r="B3634" t="s">
        <v>9288</v>
      </c>
      <c r="C3634" t="s">
        <v>5043</v>
      </c>
      <c r="D3634" t="s">
        <v>8401</v>
      </c>
    </row>
    <row r="3635" spans="1:4" ht="15" x14ac:dyDescent="0.25">
      <c r="A3635">
        <v>11820</v>
      </c>
      <c r="B3635" t="s">
        <v>9288</v>
      </c>
      <c r="C3635" t="s">
        <v>5043</v>
      </c>
      <c r="D3635" t="s">
        <v>8401</v>
      </c>
    </row>
    <row r="3636" spans="1:4" ht="15" x14ac:dyDescent="0.25">
      <c r="A3636">
        <v>12115</v>
      </c>
      <c r="B3636" t="s">
        <v>9288</v>
      </c>
      <c r="C3636" t="s">
        <v>5043</v>
      </c>
      <c r="D3636" t="s">
        <v>8401</v>
      </c>
    </row>
    <row r="3637" spans="1:4" ht="15" x14ac:dyDescent="0.25">
      <c r="A3637">
        <v>6774</v>
      </c>
      <c r="B3637" t="s">
        <v>9288</v>
      </c>
      <c r="C3637" t="s">
        <v>5043</v>
      </c>
      <c r="D3637" t="s">
        <v>8401</v>
      </c>
    </row>
    <row r="3638" spans="1:4" ht="15" x14ac:dyDescent="0.25">
      <c r="A3638">
        <v>6973</v>
      </c>
      <c r="B3638" t="s">
        <v>9288</v>
      </c>
      <c r="C3638" t="s">
        <v>5043</v>
      </c>
      <c r="D3638" t="s">
        <v>8401</v>
      </c>
    </row>
    <row r="3639" spans="1:4" ht="15" x14ac:dyDescent="0.25">
      <c r="A3639">
        <v>7873</v>
      </c>
      <c r="B3639" t="s">
        <v>9288</v>
      </c>
      <c r="C3639" t="s">
        <v>5043</v>
      </c>
      <c r="D3639" t="s">
        <v>8401</v>
      </c>
    </row>
    <row r="3640" spans="1:4" ht="15" x14ac:dyDescent="0.25">
      <c r="A3640">
        <v>8191</v>
      </c>
      <c r="B3640" t="s">
        <v>9288</v>
      </c>
      <c r="C3640" t="s">
        <v>5043</v>
      </c>
      <c r="D3640" t="s">
        <v>8401</v>
      </c>
    </row>
    <row r="3641" spans="1:4" ht="15" x14ac:dyDescent="0.25">
      <c r="A3641">
        <v>8302</v>
      </c>
      <c r="B3641" t="s">
        <v>9288</v>
      </c>
      <c r="C3641" t="s">
        <v>5043</v>
      </c>
      <c r="D3641" t="s">
        <v>8401</v>
      </c>
    </row>
    <row r="3642" spans="1:4" ht="15" x14ac:dyDescent="0.25">
      <c r="A3642">
        <v>8901</v>
      </c>
      <c r="B3642" t="s">
        <v>9288</v>
      </c>
      <c r="C3642" t="s">
        <v>5043</v>
      </c>
      <c r="D3642" t="s">
        <v>8401</v>
      </c>
    </row>
    <row r="3643" spans="1:4" ht="15" x14ac:dyDescent="0.25">
      <c r="A3643">
        <v>9445</v>
      </c>
      <c r="B3643" t="s">
        <v>9288</v>
      </c>
      <c r="C3643" t="s">
        <v>5043</v>
      </c>
      <c r="D3643" t="s">
        <v>8401</v>
      </c>
    </row>
    <row r="3644" spans="1:4" ht="15" x14ac:dyDescent="0.25">
      <c r="A3644">
        <v>9743</v>
      </c>
      <c r="B3644" t="s">
        <v>9288</v>
      </c>
      <c r="C3644" t="s">
        <v>5043</v>
      </c>
      <c r="D3644" t="s">
        <v>8401</v>
      </c>
    </row>
    <row r="3645" spans="1:4" ht="15" x14ac:dyDescent="0.25">
      <c r="A3645">
        <v>10212</v>
      </c>
      <c r="B3645" t="s">
        <v>9289</v>
      </c>
      <c r="C3645" t="s">
        <v>5043</v>
      </c>
      <c r="D3645" t="s">
        <v>8401</v>
      </c>
    </row>
    <row r="3646" spans="1:4" ht="15" x14ac:dyDescent="0.25">
      <c r="A3646">
        <v>10326</v>
      </c>
      <c r="B3646" t="s">
        <v>9289</v>
      </c>
      <c r="C3646" t="s">
        <v>5043</v>
      </c>
      <c r="D3646" t="s">
        <v>8401</v>
      </c>
    </row>
    <row r="3647" spans="1:4" ht="15" x14ac:dyDescent="0.25">
      <c r="A3647">
        <v>10387</v>
      </c>
      <c r="B3647" t="s">
        <v>9289</v>
      </c>
      <c r="C3647" t="s">
        <v>5043</v>
      </c>
      <c r="D3647" t="s">
        <v>8401</v>
      </c>
    </row>
    <row r="3648" spans="1:4" ht="15" x14ac:dyDescent="0.25">
      <c r="A3648">
        <v>10541</v>
      </c>
      <c r="B3648" t="s">
        <v>9289</v>
      </c>
      <c r="C3648" t="s">
        <v>5043</v>
      </c>
      <c r="D3648" t="s">
        <v>8401</v>
      </c>
    </row>
    <row r="3649" spans="1:4" ht="15" x14ac:dyDescent="0.25">
      <c r="A3649">
        <v>10590</v>
      </c>
      <c r="B3649" t="s">
        <v>9289</v>
      </c>
      <c r="C3649" t="s">
        <v>5043</v>
      </c>
      <c r="D3649" t="s">
        <v>8401</v>
      </c>
    </row>
    <row r="3650" spans="1:4" ht="15" x14ac:dyDescent="0.25">
      <c r="A3650">
        <v>11005</v>
      </c>
      <c r="B3650" t="s">
        <v>9289</v>
      </c>
      <c r="C3650" t="s">
        <v>5043</v>
      </c>
      <c r="D3650" t="s">
        <v>8401</v>
      </c>
    </row>
    <row r="3651" spans="1:4" ht="15" x14ac:dyDescent="0.25">
      <c r="A3651">
        <v>11375</v>
      </c>
      <c r="B3651" t="s">
        <v>9289</v>
      </c>
      <c r="C3651" t="s">
        <v>5043</v>
      </c>
      <c r="D3651" t="s">
        <v>8401</v>
      </c>
    </row>
    <row r="3652" spans="1:4" ht="15" x14ac:dyDescent="0.25">
      <c r="A3652">
        <v>6709</v>
      </c>
      <c r="B3652" t="s">
        <v>9289</v>
      </c>
      <c r="C3652" t="s">
        <v>5043</v>
      </c>
      <c r="D3652" t="s">
        <v>8401</v>
      </c>
    </row>
    <row r="3653" spans="1:4" ht="15" x14ac:dyDescent="0.25">
      <c r="A3653">
        <v>7461</v>
      </c>
      <c r="B3653" t="s">
        <v>9289</v>
      </c>
      <c r="C3653" t="s">
        <v>5043</v>
      </c>
      <c r="D3653" t="s">
        <v>8401</v>
      </c>
    </row>
    <row r="3654" spans="1:4" ht="15" x14ac:dyDescent="0.25">
      <c r="A3654">
        <v>7934</v>
      </c>
      <c r="B3654" t="s">
        <v>9289</v>
      </c>
      <c r="C3654" t="s">
        <v>5043</v>
      </c>
      <c r="D3654" t="s">
        <v>8401</v>
      </c>
    </row>
    <row r="3655" spans="1:4" ht="15" x14ac:dyDescent="0.25">
      <c r="A3655">
        <v>8687</v>
      </c>
      <c r="B3655" t="s">
        <v>9289</v>
      </c>
      <c r="C3655" t="s">
        <v>5043</v>
      </c>
      <c r="D3655" t="s">
        <v>8401</v>
      </c>
    </row>
    <row r="3656" spans="1:4" ht="15" x14ac:dyDescent="0.25">
      <c r="A3656">
        <v>8829</v>
      </c>
      <c r="B3656" t="s">
        <v>9289</v>
      </c>
      <c r="C3656" t="s">
        <v>5043</v>
      </c>
      <c r="D3656" t="s">
        <v>8401</v>
      </c>
    </row>
    <row r="3657" spans="1:4" ht="15" x14ac:dyDescent="0.25">
      <c r="A3657">
        <v>8849</v>
      </c>
      <c r="B3657" t="s">
        <v>9289</v>
      </c>
      <c r="C3657" t="s">
        <v>5043</v>
      </c>
      <c r="D3657" t="s">
        <v>8401</v>
      </c>
    </row>
    <row r="3658" spans="1:4" ht="15" x14ac:dyDescent="0.25">
      <c r="A3658">
        <v>9404</v>
      </c>
      <c r="B3658" t="s">
        <v>9289</v>
      </c>
      <c r="C3658" t="s">
        <v>5043</v>
      </c>
      <c r="D3658" t="s">
        <v>8401</v>
      </c>
    </row>
    <row r="3659" spans="1:4" ht="15" x14ac:dyDescent="0.25">
      <c r="A3659">
        <v>9882</v>
      </c>
      <c r="B3659" t="s">
        <v>9289</v>
      </c>
      <c r="C3659" t="s">
        <v>5043</v>
      </c>
      <c r="D3659" t="s">
        <v>8401</v>
      </c>
    </row>
    <row r="3660" spans="1:4" ht="15" x14ac:dyDescent="0.25">
      <c r="A3660">
        <v>10324</v>
      </c>
      <c r="B3660" t="s">
        <v>9290</v>
      </c>
      <c r="C3660" t="s">
        <v>5043</v>
      </c>
      <c r="D3660" t="s">
        <v>8401</v>
      </c>
    </row>
    <row r="3661" spans="1:4" ht="15" x14ac:dyDescent="0.25">
      <c r="A3661">
        <v>10486</v>
      </c>
      <c r="B3661" t="s">
        <v>9290</v>
      </c>
      <c r="C3661" t="s">
        <v>5043</v>
      </c>
      <c r="D3661" t="s">
        <v>8401</v>
      </c>
    </row>
    <row r="3662" spans="1:4" ht="15" x14ac:dyDescent="0.25">
      <c r="A3662">
        <v>10549</v>
      </c>
      <c r="B3662" t="s">
        <v>9290</v>
      </c>
      <c r="C3662" t="s">
        <v>5043</v>
      </c>
      <c r="D3662" t="s">
        <v>8401</v>
      </c>
    </row>
    <row r="3663" spans="1:4" ht="15" x14ac:dyDescent="0.25">
      <c r="A3663">
        <v>10665</v>
      </c>
      <c r="B3663" t="s">
        <v>9290</v>
      </c>
      <c r="C3663" t="s">
        <v>5043</v>
      </c>
      <c r="D3663" t="s">
        <v>8401</v>
      </c>
    </row>
    <row r="3664" spans="1:4" ht="15" x14ac:dyDescent="0.25">
      <c r="A3664">
        <v>11212</v>
      </c>
      <c r="B3664" t="s">
        <v>9290</v>
      </c>
      <c r="C3664" t="s">
        <v>5043</v>
      </c>
      <c r="D3664" t="s">
        <v>8401</v>
      </c>
    </row>
    <row r="3665" spans="1:4" ht="15" x14ac:dyDescent="0.25">
      <c r="A3665">
        <v>11445</v>
      </c>
      <c r="B3665" t="s">
        <v>9290</v>
      </c>
      <c r="C3665" t="s">
        <v>5043</v>
      </c>
      <c r="D3665" t="s">
        <v>8401</v>
      </c>
    </row>
    <row r="3666" spans="1:4" ht="15" x14ac:dyDescent="0.25">
      <c r="A3666">
        <v>11481</v>
      </c>
      <c r="B3666" t="s">
        <v>9290</v>
      </c>
      <c r="C3666" t="s">
        <v>5043</v>
      </c>
      <c r="D3666" t="s">
        <v>8401</v>
      </c>
    </row>
    <row r="3667" spans="1:4" ht="15" x14ac:dyDescent="0.25">
      <c r="A3667">
        <v>11728</v>
      </c>
      <c r="B3667" t="s">
        <v>9290</v>
      </c>
      <c r="C3667" t="s">
        <v>5043</v>
      </c>
      <c r="D3667" t="s">
        <v>8401</v>
      </c>
    </row>
    <row r="3668" spans="1:4" ht="15" x14ac:dyDescent="0.25">
      <c r="A3668">
        <v>6737</v>
      </c>
      <c r="B3668" t="s">
        <v>9290</v>
      </c>
      <c r="C3668" t="s">
        <v>5043</v>
      </c>
      <c r="D3668" t="s">
        <v>8401</v>
      </c>
    </row>
    <row r="3669" spans="1:4" ht="15" x14ac:dyDescent="0.25">
      <c r="A3669">
        <v>6921</v>
      </c>
      <c r="B3669" t="s">
        <v>9290</v>
      </c>
      <c r="C3669" t="s">
        <v>5043</v>
      </c>
      <c r="D3669" t="s">
        <v>8401</v>
      </c>
    </row>
    <row r="3670" spans="1:4" ht="15" x14ac:dyDescent="0.25">
      <c r="A3670">
        <v>7037</v>
      </c>
      <c r="B3670" t="s">
        <v>9290</v>
      </c>
      <c r="C3670" t="s">
        <v>5043</v>
      </c>
      <c r="D3670" t="s">
        <v>8401</v>
      </c>
    </row>
    <row r="3671" spans="1:4" ht="15" x14ac:dyDescent="0.25">
      <c r="A3671">
        <v>7181</v>
      </c>
      <c r="B3671" t="s">
        <v>9290</v>
      </c>
      <c r="C3671" t="s">
        <v>5043</v>
      </c>
      <c r="D3671" t="s">
        <v>8401</v>
      </c>
    </row>
    <row r="3672" spans="1:4" ht="15" x14ac:dyDescent="0.25">
      <c r="A3672">
        <v>7715</v>
      </c>
      <c r="B3672" t="s">
        <v>9290</v>
      </c>
      <c r="C3672" t="s">
        <v>5043</v>
      </c>
      <c r="D3672" t="s">
        <v>8401</v>
      </c>
    </row>
    <row r="3673" spans="1:4" ht="15" x14ac:dyDescent="0.25">
      <c r="A3673">
        <v>7782</v>
      </c>
      <c r="B3673" t="s">
        <v>9290</v>
      </c>
      <c r="C3673" t="s">
        <v>5043</v>
      </c>
      <c r="D3673" t="s">
        <v>8401</v>
      </c>
    </row>
    <row r="3674" spans="1:4" ht="15" x14ac:dyDescent="0.25">
      <c r="A3674">
        <v>8142</v>
      </c>
      <c r="B3674" t="s">
        <v>9290</v>
      </c>
      <c r="C3674" t="s">
        <v>5043</v>
      </c>
      <c r="D3674" t="s">
        <v>8401</v>
      </c>
    </row>
    <row r="3675" spans="1:4" ht="15" x14ac:dyDescent="0.25">
      <c r="A3675">
        <v>8312</v>
      </c>
      <c r="B3675" t="s">
        <v>9290</v>
      </c>
      <c r="C3675" t="s">
        <v>5043</v>
      </c>
      <c r="D3675" t="s">
        <v>8401</v>
      </c>
    </row>
    <row r="3676" spans="1:4" ht="15" x14ac:dyDescent="0.25">
      <c r="A3676">
        <v>8332</v>
      </c>
      <c r="B3676" t="s">
        <v>9290</v>
      </c>
      <c r="C3676" t="s">
        <v>5043</v>
      </c>
      <c r="D3676" t="s">
        <v>8401</v>
      </c>
    </row>
    <row r="3677" spans="1:4" ht="15" x14ac:dyDescent="0.25">
      <c r="A3677">
        <v>8351</v>
      </c>
      <c r="B3677" t="s">
        <v>9290</v>
      </c>
      <c r="C3677" t="s">
        <v>5043</v>
      </c>
      <c r="D3677" t="s">
        <v>8401</v>
      </c>
    </row>
    <row r="3678" spans="1:4" ht="15" x14ac:dyDescent="0.25">
      <c r="A3678">
        <v>8448</v>
      </c>
      <c r="B3678" t="s">
        <v>9290</v>
      </c>
      <c r="C3678" t="s">
        <v>5043</v>
      </c>
      <c r="D3678" t="s">
        <v>8401</v>
      </c>
    </row>
    <row r="3679" spans="1:4" ht="15" x14ac:dyDescent="0.25">
      <c r="A3679">
        <v>8568</v>
      </c>
      <c r="B3679" t="s">
        <v>9290</v>
      </c>
      <c r="C3679" t="s">
        <v>5043</v>
      </c>
      <c r="D3679" t="s">
        <v>8401</v>
      </c>
    </row>
    <row r="3680" spans="1:4" ht="15" x14ac:dyDescent="0.25">
      <c r="A3680">
        <v>8787</v>
      </c>
      <c r="B3680" t="s">
        <v>9290</v>
      </c>
      <c r="C3680" t="s">
        <v>5043</v>
      </c>
      <c r="D3680" t="s">
        <v>8401</v>
      </c>
    </row>
    <row r="3681" spans="1:4" ht="15" x14ac:dyDescent="0.25">
      <c r="A3681">
        <v>8843</v>
      </c>
      <c r="B3681" t="s">
        <v>9290</v>
      </c>
      <c r="C3681" t="s">
        <v>5043</v>
      </c>
      <c r="D3681" t="s">
        <v>8401</v>
      </c>
    </row>
    <row r="3682" spans="1:4" ht="15" x14ac:dyDescent="0.25">
      <c r="A3682">
        <v>8911</v>
      </c>
      <c r="B3682" t="s">
        <v>9290</v>
      </c>
      <c r="C3682" t="s">
        <v>5043</v>
      </c>
      <c r="D3682" t="s">
        <v>8401</v>
      </c>
    </row>
    <row r="3683" spans="1:4" ht="15" x14ac:dyDescent="0.25">
      <c r="A3683">
        <v>9012</v>
      </c>
      <c r="B3683" t="s">
        <v>9290</v>
      </c>
      <c r="C3683" t="s">
        <v>5043</v>
      </c>
      <c r="D3683" t="s">
        <v>8401</v>
      </c>
    </row>
    <row r="3684" spans="1:4" ht="15" x14ac:dyDescent="0.25">
      <c r="A3684">
        <v>9193</v>
      </c>
      <c r="B3684" t="s">
        <v>9290</v>
      </c>
      <c r="C3684" t="s">
        <v>5043</v>
      </c>
      <c r="D3684" t="s">
        <v>8401</v>
      </c>
    </row>
    <row r="3685" spans="1:4" ht="15" x14ac:dyDescent="0.25">
      <c r="A3685">
        <v>9516</v>
      </c>
      <c r="B3685" t="s">
        <v>9290</v>
      </c>
      <c r="C3685" t="s">
        <v>5043</v>
      </c>
      <c r="D3685" t="s">
        <v>8401</v>
      </c>
    </row>
    <row r="3686" spans="1:4" ht="15" x14ac:dyDescent="0.25">
      <c r="A3686">
        <v>9518</v>
      </c>
      <c r="B3686" t="s">
        <v>9290</v>
      </c>
      <c r="C3686" t="s">
        <v>5043</v>
      </c>
      <c r="D3686" t="s">
        <v>8401</v>
      </c>
    </row>
    <row r="3687" spans="1:4" ht="15" x14ac:dyDescent="0.25">
      <c r="A3687">
        <v>9838</v>
      </c>
      <c r="B3687" t="s">
        <v>9290</v>
      </c>
      <c r="C3687" t="s">
        <v>5043</v>
      </c>
      <c r="D3687" t="s">
        <v>8401</v>
      </c>
    </row>
    <row r="3688" spans="1:4" ht="15" x14ac:dyDescent="0.25">
      <c r="A3688">
        <v>9846</v>
      </c>
      <c r="B3688" t="s">
        <v>9290</v>
      </c>
      <c r="C3688" t="s">
        <v>5043</v>
      </c>
      <c r="D3688" t="s">
        <v>8401</v>
      </c>
    </row>
    <row r="3689" spans="1:4" ht="15" x14ac:dyDescent="0.25">
      <c r="A3689">
        <v>9959</v>
      </c>
      <c r="B3689" t="s">
        <v>9290</v>
      </c>
      <c r="C3689" t="s">
        <v>5043</v>
      </c>
      <c r="D3689" t="s">
        <v>8401</v>
      </c>
    </row>
    <row r="3690" spans="1:4" ht="15" x14ac:dyDescent="0.25">
      <c r="A3690">
        <v>10077</v>
      </c>
      <c r="B3690" t="s">
        <v>9291</v>
      </c>
      <c r="C3690" t="s">
        <v>5043</v>
      </c>
      <c r="D3690" t="s">
        <v>8401</v>
      </c>
    </row>
    <row r="3691" spans="1:4" ht="15" x14ac:dyDescent="0.25">
      <c r="A3691">
        <v>8522</v>
      </c>
      <c r="B3691" t="s">
        <v>9291</v>
      </c>
      <c r="C3691" t="s">
        <v>5043</v>
      </c>
      <c r="D3691" t="s">
        <v>8401</v>
      </c>
    </row>
    <row r="3692" spans="1:4" ht="15" x14ac:dyDescent="0.25">
      <c r="A3692">
        <v>11918</v>
      </c>
      <c r="B3692" t="s">
        <v>9292</v>
      </c>
      <c r="C3692" t="s">
        <v>5043</v>
      </c>
      <c r="D3692" t="s">
        <v>8401</v>
      </c>
    </row>
    <row r="3693" spans="1:4" ht="15" x14ac:dyDescent="0.25">
      <c r="A3693">
        <v>7478</v>
      </c>
      <c r="B3693" t="s">
        <v>9292</v>
      </c>
      <c r="C3693" t="s">
        <v>5043</v>
      </c>
      <c r="D3693" t="s">
        <v>8401</v>
      </c>
    </row>
    <row r="3694" spans="1:4" ht="15" x14ac:dyDescent="0.25">
      <c r="A3694">
        <v>8604</v>
      </c>
      <c r="B3694" t="s">
        <v>9292</v>
      </c>
      <c r="C3694" t="s">
        <v>5043</v>
      </c>
      <c r="D3694" t="s">
        <v>8401</v>
      </c>
    </row>
    <row r="3695" spans="1:4" ht="15" x14ac:dyDescent="0.25">
      <c r="A3695">
        <v>9570</v>
      </c>
      <c r="B3695" t="s">
        <v>11095</v>
      </c>
      <c r="C3695" t="s">
        <v>5043</v>
      </c>
      <c r="D3695" t="s">
        <v>8401</v>
      </c>
    </row>
    <row r="3696" spans="1:4" ht="15" x14ac:dyDescent="0.25">
      <c r="A3696">
        <v>10165</v>
      </c>
      <c r="B3696" t="s">
        <v>9293</v>
      </c>
      <c r="C3696" t="s">
        <v>5043</v>
      </c>
      <c r="D3696" t="s">
        <v>8401</v>
      </c>
    </row>
    <row r="3697" spans="1:4" ht="15" x14ac:dyDescent="0.25">
      <c r="A3697">
        <v>11606</v>
      </c>
      <c r="B3697" t="s">
        <v>9293</v>
      </c>
      <c r="C3697" t="s">
        <v>5043</v>
      </c>
      <c r="D3697" t="s">
        <v>8401</v>
      </c>
    </row>
    <row r="3698" spans="1:4" ht="15" x14ac:dyDescent="0.25">
      <c r="A3698">
        <v>10652</v>
      </c>
      <c r="B3698" t="s">
        <v>11096</v>
      </c>
      <c r="C3698" t="s">
        <v>5043</v>
      </c>
      <c r="D3698" t="s">
        <v>8401</v>
      </c>
    </row>
    <row r="3699" spans="1:4" ht="15" x14ac:dyDescent="0.25">
      <c r="A3699">
        <v>7336</v>
      </c>
      <c r="B3699" t="s">
        <v>11096</v>
      </c>
      <c r="C3699" t="s">
        <v>5043</v>
      </c>
      <c r="D3699" t="s">
        <v>8401</v>
      </c>
    </row>
    <row r="3700" spans="1:4" ht="15" x14ac:dyDescent="0.25">
      <c r="A3700">
        <v>7829</v>
      </c>
      <c r="B3700" t="s">
        <v>9294</v>
      </c>
      <c r="C3700" t="s">
        <v>5043</v>
      </c>
      <c r="D3700" t="s">
        <v>8401</v>
      </c>
    </row>
    <row r="3701" spans="1:4" ht="15" x14ac:dyDescent="0.25">
      <c r="A3701">
        <v>7804</v>
      </c>
      <c r="B3701" t="s">
        <v>11097</v>
      </c>
      <c r="C3701" t="s">
        <v>5043</v>
      </c>
      <c r="D3701" t="s">
        <v>8401</v>
      </c>
    </row>
    <row r="3702" spans="1:4" ht="15" x14ac:dyDescent="0.25">
      <c r="A3702">
        <v>10488</v>
      </c>
      <c r="B3702" t="s">
        <v>9295</v>
      </c>
      <c r="C3702" t="s">
        <v>5043</v>
      </c>
      <c r="D3702" t="s">
        <v>8401</v>
      </c>
    </row>
    <row r="3703" spans="1:4" ht="15" x14ac:dyDescent="0.25">
      <c r="A3703">
        <v>11264</v>
      </c>
      <c r="B3703" t="s">
        <v>11098</v>
      </c>
      <c r="C3703" t="s">
        <v>5043</v>
      </c>
      <c r="D3703" t="s">
        <v>8401</v>
      </c>
    </row>
    <row r="3704" spans="1:4" ht="15" x14ac:dyDescent="0.25">
      <c r="A3704">
        <v>6871</v>
      </c>
      <c r="B3704" t="s">
        <v>11098</v>
      </c>
      <c r="C3704" t="s">
        <v>5043</v>
      </c>
      <c r="D3704" t="s">
        <v>8401</v>
      </c>
    </row>
    <row r="3705" spans="1:4" ht="15" x14ac:dyDescent="0.25">
      <c r="A3705">
        <v>8121</v>
      </c>
      <c r="B3705" t="s">
        <v>11098</v>
      </c>
      <c r="C3705" t="s">
        <v>5043</v>
      </c>
      <c r="D3705" t="s">
        <v>8401</v>
      </c>
    </row>
    <row r="3706" spans="1:4" ht="15" x14ac:dyDescent="0.25">
      <c r="A3706">
        <v>9347</v>
      </c>
      <c r="B3706" t="s">
        <v>11098</v>
      </c>
      <c r="C3706" t="s">
        <v>5043</v>
      </c>
      <c r="D3706" t="s">
        <v>8401</v>
      </c>
    </row>
    <row r="3707" spans="1:4" ht="15" x14ac:dyDescent="0.25">
      <c r="A3707">
        <v>12027</v>
      </c>
      <c r="B3707" t="s">
        <v>11099</v>
      </c>
      <c r="C3707" t="s">
        <v>5043</v>
      </c>
      <c r="D3707" t="s">
        <v>8401</v>
      </c>
    </row>
    <row r="3708" spans="1:4" ht="15" x14ac:dyDescent="0.25">
      <c r="A3708">
        <v>11275</v>
      </c>
      <c r="B3708" t="s">
        <v>9296</v>
      </c>
      <c r="C3708" t="s">
        <v>5043</v>
      </c>
      <c r="D3708" t="s">
        <v>8401</v>
      </c>
    </row>
    <row r="3709" spans="1:4" ht="15" x14ac:dyDescent="0.25">
      <c r="A3709">
        <v>8513</v>
      </c>
      <c r="B3709" t="s">
        <v>9297</v>
      </c>
      <c r="C3709" t="s">
        <v>5043</v>
      </c>
      <c r="D3709" t="s">
        <v>8401</v>
      </c>
    </row>
    <row r="3710" spans="1:4" ht="15" x14ac:dyDescent="0.25">
      <c r="A3710">
        <v>9993</v>
      </c>
      <c r="B3710" t="s">
        <v>9297</v>
      </c>
      <c r="C3710" t="s">
        <v>5043</v>
      </c>
      <c r="D3710" t="s">
        <v>8401</v>
      </c>
    </row>
    <row r="3711" spans="1:4" ht="15" x14ac:dyDescent="0.25">
      <c r="A3711">
        <v>10587</v>
      </c>
      <c r="B3711" t="s">
        <v>11100</v>
      </c>
      <c r="C3711" t="s">
        <v>5043</v>
      </c>
      <c r="D3711" t="s">
        <v>8401</v>
      </c>
    </row>
    <row r="3712" spans="1:4" ht="15" x14ac:dyDescent="0.25">
      <c r="A3712">
        <v>11143</v>
      </c>
      <c r="B3712" t="s">
        <v>11100</v>
      </c>
      <c r="C3712" t="s">
        <v>5043</v>
      </c>
      <c r="D3712" t="s">
        <v>8401</v>
      </c>
    </row>
    <row r="3713" spans="1:4" ht="15" x14ac:dyDescent="0.25">
      <c r="A3713">
        <v>11227</v>
      </c>
      <c r="B3713" t="s">
        <v>11100</v>
      </c>
      <c r="C3713" t="s">
        <v>5043</v>
      </c>
      <c r="D3713" t="s">
        <v>8401</v>
      </c>
    </row>
    <row r="3714" spans="1:4" ht="15" x14ac:dyDescent="0.25">
      <c r="A3714">
        <v>6679</v>
      </c>
      <c r="B3714" t="s">
        <v>11100</v>
      </c>
      <c r="C3714" t="s">
        <v>5043</v>
      </c>
      <c r="D3714" t="s">
        <v>8401</v>
      </c>
    </row>
    <row r="3715" spans="1:4" ht="15" x14ac:dyDescent="0.25">
      <c r="A3715">
        <v>8803</v>
      </c>
      <c r="B3715" t="s">
        <v>11100</v>
      </c>
      <c r="C3715" t="s">
        <v>5043</v>
      </c>
      <c r="D3715" t="s">
        <v>8401</v>
      </c>
    </row>
    <row r="3716" spans="1:4" ht="15" x14ac:dyDescent="0.25">
      <c r="A3716">
        <v>9464</v>
      </c>
      <c r="B3716" t="s">
        <v>11100</v>
      </c>
      <c r="C3716" t="s">
        <v>5043</v>
      </c>
      <c r="D3716" t="s">
        <v>8401</v>
      </c>
    </row>
    <row r="3717" spans="1:4" ht="15" x14ac:dyDescent="0.25">
      <c r="A3717">
        <v>7586</v>
      </c>
      <c r="B3717" t="s">
        <v>11101</v>
      </c>
      <c r="C3717" t="s">
        <v>5043</v>
      </c>
      <c r="D3717" t="s">
        <v>8401</v>
      </c>
    </row>
    <row r="3718" spans="1:4" ht="15" x14ac:dyDescent="0.25">
      <c r="A3718">
        <v>10533</v>
      </c>
      <c r="B3718" t="s">
        <v>11102</v>
      </c>
      <c r="C3718" t="s">
        <v>5043</v>
      </c>
      <c r="D3718" t="s">
        <v>8401</v>
      </c>
    </row>
    <row r="3719" spans="1:4" ht="15" x14ac:dyDescent="0.25">
      <c r="A3719">
        <v>11360</v>
      </c>
      <c r="B3719" t="s">
        <v>11103</v>
      </c>
      <c r="C3719" t="s">
        <v>5043</v>
      </c>
      <c r="D3719" t="s">
        <v>8401</v>
      </c>
    </row>
    <row r="3720" spans="1:4" ht="15" x14ac:dyDescent="0.25">
      <c r="A3720">
        <v>10454</v>
      </c>
      <c r="B3720" t="s">
        <v>9298</v>
      </c>
      <c r="C3720" t="s">
        <v>5043</v>
      </c>
      <c r="D3720" t="s">
        <v>8401</v>
      </c>
    </row>
    <row r="3721" spans="1:4" ht="15" x14ac:dyDescent="0.25">
      <c r="A3721">
        <v>11016</v>
      </c>
      <c r="B3721" t="s">
        <v>9298</v>
      </c>
      <c r="C3721" t="s">
        <v>5043</v>
      </c>
      <c r="D3721" t="s">
        <v>8401</v>
      </c>
    </row>
    <row r="3722" spans="1:4" ht="15" x14ac:dyDescent="0.25">
      <c r="A3722">
        <v>7956</v>
      </c>
      <c r="B3722" t="s">
        <v>9298</v>
      </c>
      <c r="C3722" t="s">
        <v>5043</v>
      </c>
      <c r="D3722" t="s">
        <v>8401</v>
      </c>
    </row>
    <row r="3723" spans="1:4" ht="15" x14ac:dyDescent="0.25">
      <c r="A3723">
        <v>9479</v>
      </c>
      <c r="B3723" t="s">
        <v>9298</v>
      </c>
      <c r="C3723" t="s">
        <v>5043</v>
      </c>
      <c r="D3723" t="s">
        <v>8401</v>
      </c>
    </row>
    <row r="3724" spans="1:4" ht="15" x14ac:dyDescent="0.25">
      <c r="A3724">
        <v>8759</v>
      </c>
      <c r="B3724" t="s">
        <v>11104</v>
      </c>
      <c r="C3724" t="s">
        <v>5043</v>
      </c>
      <c r="D3724" t="s">
        <v>8401</v>
      </c>
    </row>
    <row r="3725" spans="1:4" ht="15" x14ac:dyDescent="0.25">
      <c r="A3725">
        <v>9519</v>
      </c>
      <c r="B3725" t="s">
        <v>11104</v>
      </c>
      <c r="C3725" t="s">
        <v>5043</v>
      </c>
      <c r="D3725" t="s">
        <v>8401</v>
      </c>
    </row>
    <row r="3726" spans="1:4" ht="15" x14ac:dyDescent="0.25">
      <c r="A3726">
        <v>10872</v>
      </c>
      <c r="B3726" t="s">
        <v>9299</v>
      </c>
      <c r="C3726" t="s">
        <v>5043</v>
      </c>
      <c r="D3726" t="s">
        <v>8401</v>
      </c>
    </row>
    <row r="3727" spans="1:4" ht="15" x14ac:dyDescent="0.25">
      <c r="A3727">
        <v>10935</v>
      </c>
      <c r="B3727" t="s">
        <v>9300</v>
      </c>
      <c r="C3727" t="s">
        <v>5043</v>
      </c>
      <c r="D3727" t="s">
        <v>8401</v>
      </c>
    </row>
    <row r="3728" spans="1:4" ht="15" x14ac:dyDescent="0.25">
      <c r="A3728">
        <v>11023</v>
      </c>
      <c r="B3728" t="s">
        <v>9300</v>
      </c>
      <c r="C3728" t="s">
        <v>5043</v>
      </c>
      <c r="D3728" t="s">
        <v>8401</v>
      </c>
    </row>
    <row r="3729" spans="1:4" ht="15" x14ac:dyDescent="0.25">
      <c r="A3729">
        <v>8280</v>
      </c>
      <c r="B3729" t="s">
        <v>9300</v>
      </c>
      <c r="C3729" t="s">
        <v>5043</v>
      </c>
      <c r="D3729" t="s">
        <v>8401</v>
      </c>
    </row>
    <row r="3730" spans="1:4" ht="15" x14ac:dyDescent="0.25">
      <c r="A3730">
        <v>8827</v>
      </c>
      <c r="B3730" t="s">
        <v>9300</v>
      </c>
      <c r="C3730" t="s">
        <v>5043</v>
      </c>
      <c r="D3730" t="s">
        <v>8401</v>
      </c>
    </row>
    <row r="3731" spans="1:4" ht="15" x14ac:dyDescent="0.25">
      <c r="A3731">
        <v>9792</v>
      </c>
      <c r="B3731" t="s">
        <v>9300</v>
      </c>
      <c r="C3731" t="s">
        <v>5043</v>
      </c>
      <c r="D3731" t="s">
        <v>8401</v>
      </c>
    </row>
    <row r="3732" spans="1:4" ht="15" x14ac:dyDescent="0.25">
      <c r="A3732">
        <v>8750</v>
      </c>
      <c r="B3732" t="s">
        <v>9301</v>
      </c>
      <c r="C3732" t="s">
        <v>5043</v>
      </c>
      <c r="D3732" t="s">
        <v>8401</v>
      </c>
    </row>
    <row r="3733" spans="1:4" ht="15" x14ac:dyDescent="0.25">
      <c r="A3733">
        <v>6857</v>
      </c>
      <c r="B3733" t="s">
        <v>9302</v>
      </c>
      <c r="C3733" t="s">
        <v>5043</v>
      </c>
      <c r="D3733" t="s">
        <v>8401</v>
      </c>
    </row>
    <row r="3734" spans="1:4" ht="15" x14ac:dyDescent="0.25">
      <c r="A3734">
        <v>7232</v>
      </c>
      <c r="B3734" t="s">
        <v>9303</v>
      </c>
      <c r="C3734" t="s">
        <v>5043</v>
      </c>
      <c r="D3734" t="s">
        <v>8401</v>
      </c>
    </row>
    <row r="3735" spans="1:4" ht="15" x14ac:dyDescent="0.25">
      <c r="A3735">
        <v>8643</v>
      </c>
      <c r="B3735" t="s">
        <v>9304</v>
      </c>
      <c r="C3735" t="s">
        <v>5043</v>
      </c>
      <c r="D3735" t="s">
        <v>8401</v>
      </c>
    </row>
    <row r="3736" spans="1:4" ht="15" x14ac:dyDescent="0.25">
      <c r="A3736">
        <v>6978</v>
      </c>
      <c r="B3736" t="s">
        <v>9305</v>
      </c>
      <c r="C3736" t="s">
        <v>5043</v>
      </c>
      <c r="D3736" t="s">
        <v>8401</v>
      </c>
    </row>
    <row r="3737" spans="1:4" ht="15" x14ac:dyDescent="0.25">
      <c r="A3737">
        <v>9040</v>
      </c>
      <c r="B3737" t="s">
        <v>9305</v>
      </c>
      <c r="C3737" t="s">
        <v>5043</v>
      </c>
      <c r="D3737" t="s">
        <v>8401</v>
      </c>
    </row>
    <row r="3738" spans="1:4" ht="15" x14ac:dyDescent="0.25">
      <c r="A3738">
        <v>9949</v>
      </c>
      <c r="B3738" t="s">
        <v>9305</v>
      </c>
      <c r="C3738" t="s">
        <v>5043</v>
      </c>
      <c r="D3738" t="s">
        <v>8401</v>
      </c>
    </row>
    <row r="3739" spans="1:4" ht="15" x14ac:dyDescent="0.25">
      <c r="A3739">
        <v>6818</v>
      </c>
      <c r="B3739" t="s">
        <v>9306</v>
      </c>
      <c r="C3739" t="s">
        <v>5043</v>
      </c>
      <c r="D3739" t="s">
        <v>8401</v>
      </c>
    </row>
    <row r="3740" spans="1:4" ht="15" x14ac:dyDescent="0.25">
      <c r="A3740">
        <v>8848</v>
      </c>
      <c r="B3740" t="s">
        <v>9306</v>
      </c>
      <c r="C3740" t="s">
        <v>5043</v>
      </c>
      <c r="D3740" t="s">
        <v>8401</v>
      </c>
    </row>
    <row r="3741" spans="1:4" ht="15" x14ac:dyDescent="0.25">
      <c r="A3741">
        <v>11516</v>
      </c>
      <c r="B3741" t="s">
        <v>9307</v>
      </c>
      <c r="C3741" t="s">
        <v>5043</v>
      </c>
      <c r="D3741" t="s">
        <v>8401</v>
      </c>
    </row>
    <row r="3742" spans="1:4" ht="15" x14ac:dyDescent="0.25">
      <c r="A3742">
        <v>11199</v>
      </c>
      <c r="B3742" t="s">
        <v>11105</v>
      </c>
      <c r="C3742" t="s">
        <v>5043</v>
      </c>
      <c r="D3742" t="s">
        <v>8401</v>
      </c>
    </row>
    <row r="3743" spans="1:4" ht="15" x14ac:dyDescent="0.25">
      <c r="A3743">
        <v>11688</v>
      </c>
      <c r="B3743" t="s">
        <v>9308</v>
      </c>
      <c r="C3743" t="s">
        <v>5043</v>
      </c>
      <c r="D3743" t="s">
        <v>8401</v>
      </c>
    </row>
    <row r="3744" spans="1:4" ht="15" x14ac:dyDescent="0.25">
      <c r="A3744">
        <v>8583</v>
      </c>
      <c r="B3744" t="s">
        <v>9309</v>
      </c>
      <c r="C3744" t="s">
        <v>5043</v>
      </c>
      <c r="D3744" t="s">
        <v>8401</v>
      </c>
    </row>
    <row r="3745" spans="1:4" ht="15" x14ac:dyDescent="0.25">
      <c r="A3745">
        <v>11501</v>
      </c>
      <c r="B3745" t="s">
        <v>9310</v>
      </c>
      <c r="C3745" t="s">
        <v>5043</v>
      </c>
      <c r="D3745" t="s">
        <v>8401</v>
      </c>
    </row>
    <row r="3746" spans="1:4" ht="15" x14ac:dyDescent="0.25">
      <c r="A3746">
        <v>10569</v>
      </c>
      <c r="B3746" t="s">
        <v>9311</v>
      </c>
      <c r="C3746" t="s">
        <v>5043</v>
      </c>
      <c r="D3746" t="s">
        <v>8401</v>
      </c>
    </row>
    <row r="3747" spans="1:4" ht="15" x14ac:dyDescent="0.25">
      <c r="A3747">
        <v>8763</v>
      </c>
      <c r="B3747" t="s">
        <v>9312</v>
      </c>
      <c r="C3747" t="s">
        <v>5043</v>
      </c>
      <c r="D3747" t="s">
        <v>8401</v>
      </c>
    </row>
    <row r="3748" spans="1:4" ht="15" x14ac:dyDescent="0.25">
      <c r="A3748">
        <v>11939</v>
      </c>
      <c r="B3748" t="s">
        <v>11106</v>
      </c>
      <c r="C3748" t="s">
        <v>5043</v>
      </c>
      <c r="D3748" t="s">
        <v>8401</v>
      </c>
    </row>
    <row r="3749" spans="1:4" ht="15" x14ac:dyDescent="0.25">
      <c r="A3749">
        <v>10733</v>
      </c>
      <c r="B3749" t="s">
        <v>9313</v>
      </c>
      <c r="C3749" t="s">
        <v>5043</v>
      </c>
      <c r="D3749" t="s">
        <v>8401</v>
      </c>
    </row>
    <row r="3750" spans="1:4" ht="15" x14ac:dyDescent="0.25">
      <c r="A3750">
        <v>6723</v>
      </c>
      <c r="B3750" t="s">
        <v>9313</v>
      </c>
      <c r="C3750" t="s">
        <v>5043</v>
      </c>
      <c r="D3750" t="s">
        <v>8401</v>
      </c>
    </row>
    <row r="3751" spans="1:4" ht="15" x14ac:dyDescent="0.25">
      <c r="A3751">
        <v>6837</v>
      </c>
      <c r="B3751" t="s">
        <v>9313</v>
      </c>
      <c r="C3751" t="s">
        <v>5043</v>
      </c>
      <c r="D3751" t="s">
        <v>8401</v>
      </c>
    </row>
    <row r="3752" spans="1:4" ht="15" x14ac:dyDescent="0.25">
      <c r="A3752">
        <v>8461</v>
      </c>
      <c r="B3752" t="s">
        <v>9313</v>
      </c>
      <c r="C3752" t="s">
        <v>5043</v>
      </c>
      <c r="D3752" t="s">
        <v>8401</v>
      </c>
    </row>
    <row r="3753" spans="1:4" ht="15" x14ac:dyDescent="0.25">
      <c r="A3753">
        <v>8880</v>
      </c>
      <c r="B3753" t="s">
        <v>9313</v>
      </c>
      <c r="C3753" t="s">
        <v>5043</v>
      </c>
      <c r="D3753" t="s">
        <v>8401</v>
      </c>
    </row>
    <row r="3754" spans="1:4" ht="15" x14ac:dyDescent="0.25">
      <c r="A3754">
        <v>10129</v>
      </c>
      <c r="B3754" t="s">
        <v>9314</v>
      </c>
      <c r="C3754" t="s">
        <v>5043</v>
      </c>
      <c r="D3754" t="s">
        <v>8401</v>
      </c>
    </row>
    <row r="3755" spans="1:4" ht="15" x14ac:dyDescent="0.25">
      <c r="A3755">
        <v>7943</v>
      </c>
      <c r="B3755" t="s">
        <v>9314</v>
      </c>
      <c r="C3755" t="s">
        <v>5043</v>
      </c>
      <c r="D3755" t="s">
        <v>8401</v>
      </c>
    </row>
    <row r="3756" spans="1:4" ht="15" x14ac:dyDescent="0.25">
      <c r="A3756">
        <v>9749</v>
      </c>
      <c r="B3756" t="s">
        <v>9314</v>
      </c>
      <c r="C3756" t="s">
        <v>5043</v>
      </c>
      <c r="D3756" t="s">
        <v>8401</v>
      </c>
    </row>
    <row r="3757" spans="1:4" ht="15" x14ac:dyDescent="0.25">
      <c r="A3757">
        <v>11002</v>
      </c>
      <c r="B3757" t="s">
        <v>9315</v>
      </c>
      <c r="C3757" t="s">
        <v>5043</v>
      </c>
      <c r="D3757" t="s">
        <v>8401</v>
      </c>
    </row>
    <row r="3758" spans="1:4" ht="15" x14ac:dyDescent="0.25">
      <c r="A3758">
        <v>7058</v>
      </c>
      <c r="B3758" t="s">
        <v>9315</v>
      </c>
      <c r="C3758" t="s">
        <v>5043</v>
      </c>
      <c r="D3758" t="s">
        <v>8401</v>
      </c>
    </row>
    <row r="3759" spans="1:4" ht="15" x14ac:dyDescent="0.25">
      <c r="A3759">
        <v>7364</v>
      </c>
      <c r="B3759" t="s">
        <v>9315</v>
      </c>
      <c r="C3759" t="s">
        <v>5043</v>
      </c>
      <c r="D3759" t="s">
        <v>8401</v>
      </c>
    </row>
    <row r="3760" spans="1:4" ht="15" x14ac:dyDescent="0.25">
      <c r="A3760">
        <v>7795</v>
      </c>
      <c r="B3760" t="s">
        <v>9315</v>
      </c>
      <c r="C3760" t="s">
        <v>5043</v>
      </c>
      <c r="D3760" t="s">
        <v>8401</v>
      </c>
    </row>
    <row r="3761" spans="1:4" ht="15" x14ac:dyDescent="0.25">
      <c r="A3761">
        <v>9614</v>
      </c>
      <c r="B3761" t="s">
        <v>9315</v>
      </c>
      <c r="C3761" t="s">
        <v>5043</v>
      </c>
      <c r="D3761" t="s">
        <v>8401</v>
      </c>
    </row>
    <row r="3762" spans="1:4" ht="15" x14ac:dyDescent="0.25">
      <c r="A3762">
        <v>9863</v>
      </c>
      <c r="B3762" t="s">
        <v>9315</v>
      </c>
      <c r="C3762" t="s">
        <v>5043</v>
      </c>
      <c r="D3762" t="s">
        <v>8401</v>
      </c>
    </row>
    <row r="3763" spans="1:4" ht="15" x14ac:dyDescent="0.25">
      <c r="A3763">
        <v>10700</v>
      </c>
      <c r="B3763" t="s">
        <v>9316</v>
      </c>
      <c r="C3763" t="s">
        <v>5043</v>
      </c>
      <c r="D3763" t="s">
        <v>8401</v>
      </c>
    </row>
    <row r="3764" spans="1:4" ht="15" x14ac:dyDescent="0.25">
      <c r="A3764">
        <v>11532</v>
      </c>
      <c r="B3764" t="s">
        <v>9316</v>
      </c>
      <c r="C3764" t="s">
        <v>5043</v>
      </c>
      <c r="D3764" t="s">
        <v>8401</v>
      </c>
    </row>
    <row r="3765" spans="1:4" ht="15" x14ac:dyDescent="0.25">
      <c r="A3765">
        <v>10435</v>
      </c>
      <c r="B3765" t="s">
        <v>9317</v>
      </c>
      <c r="C3765" t="s">
        <v>5043</v>
      </c>
      <c r="D3765" t="s">
        <v>8401</v>
      </c>
    </row>
    <row r="3766" spans="1:4" ht="15" x14ac:dyDescent="0.25">
      <c r="A3766">
        <v>10540</v>
      </c>
      <c r="B3766" t="s">
        <v>9317</v>
      </c>
      <c r="C3766" t="s">
        <v>5043</v>
      </c>
      <c r="D3766" t="s">
        <v>8401</v>
      </c>
    </row>
    <row r="3767" spans="1:4" ht="15" x14ac:dyDescent="0.25">
      <c r="A3767">
        <v>6838</v>
      </c>
      <c r="B3767" t="s">
        <v>9317</v>
      </c>
      <c r="C3767" t="s">
        <v>5043</v>
      </c>
      <c r="D3767" t="s">
        <v>8401</v>
      </c>
    </row>
    <row r="3768" spans="1:4" ht="15" x14ac:dyDescent="0.25">
      <c r="A3768">
        <v>9156</v>
      </c>
      <c r="B3768" t="s">
        <v>11107</v>
      </c>
      <c r="C3768" t="s">
        <v>5043</v>
      </c>
      <c r="D3768" t="s">
        <v>8401</v>
      </c>
    </row>
    <row r="3769" spans="1:4" ht="15" x14ac:dyDescent="0.25">
      <c r="A3769">
        <v>9534</v>
      </c>
      <c r="B3769" t="s">
        <v>11107</v>
      </c>
      <c r="C3769" t="s">
        <v>5043</v>
      </c>
      <c r="D3769" t="s">
        <v>8401</v>
      </c>
    </row>
    <row r="3770" spans="1:4" ht="15" x14ac:dyDescent="0.25">
      <c r="A3770">
        <v>11438</v>
      </c>
      <c r="B3770" t="s">
        <v>9318</v>
      </c>
      <c r="C3770" t="s">
        <v>5043</v>
      </c>
      <c r="D3770" t="s">
        <v>8401</v>
      </c>
    </row>
    <row r="3771" spans="1:4" ht="15" x14ac:dyDescent="0.25">
      <c r="A3771">
        <v>6907</v>
      </c>
      <c r="B3771" t="s">
        <v>9318</v>
      </c>
      <c r="C3771" t="s">
        <v>5043</v>
      </c>
      <c r="D3771" t="s">
        <v>8401</v>
      </c>
    </row>
    <row r="3772" spans="1:4" ht="15" x14ac:dyDescent="0.25">
      <c r="A3772">
        <v>7248</v>
      </c>
      <c r="B3772" t="s">
        <v>9318</v>
      </c>
      <c r="C3772" t="s">
        <v>5043</v>
      </c>
      <c r="D3772" t="s">
        <v>8401</v>
      </c>
    </row>
    <row r="3773" spans="1:4" ht="15" x14ac:dyDescent="0.25">
      <c r="A3773">
        <v>8073</v>
      </c>
      <c r="B3773" t="s">
        <v>9318</v>
      </c>
      <c r="C3773" t="s">
        <v>5043</v>
      </c>
      <c r="D3773" t="s">
        <v>8401</v>
      </c>
    </row>
    <row r="3774" spans="1:4" ht="15" x14ac:dyDescent="0.25">
      <c r="A3774">
        <v>8110</v>
      </c>
      <c r="B3774" t="s">
        <v>9318</v>
      </c>
      <c r="C3774" t="s">
        <v>5043</v>
      </c>
      <c r="D3774" t="s">
        <v>8401</v>
      </c>
    </row>
    <row r="3775" spans="1:4" ht="15" x14ac:dyDescent="0.25">
      <c r="A3775">
        <v>8204</v>
      </c>
      <c r="B3775" t="s">
        <v>9318</v>
      </c>
      <c r="C3775" t="s">
        <v>5043</v>
      </c>
      <c r="D3775" t="s">
        <v>8401</v>
      </c>
    </row>
    <row r="3776" spans="1:4" ht="15" x14ac:dyDescent="0.25">
      <c r="A3776">
        <v>8606</v>
      </c>
      <c r="B3776" t="s">
        <v>9318</v>
      </c>
      <c r="C3776" t="s">
        <v>5043</v>
      </c>
      <c r="D3776" t="s">
        <v>8401</v>
      </c>
    </row>
    <row r="3777" spans="1:4" ht="15" x14ac:dyDescent="0.25">
      <c r="A3777">
        <v>8721</v>
      </c>
      <c r="B3777" t="s">
        <v>9318</v>
      </c>
      <c r="C3777" t="s">
        <v>5043</v>
      </c>
      <c r="D3777" t="s">
        <v>8401</v>
      </c>
    </row>
    <row r="3778" spans="1:4" ht="15" x14ac:dyDescent="0.25">
      <c r="A3778">
        <v>8782</v>
      </c>
      <c r="B3778" t="s">
        <v>9318</v>
      </c>
      <c r="C3778" t="s">
        <v>5043</v>
      </c>
      <c r="D3778" t="s">
        <v>8401</v>
      </c>
    </row>
    <row r="3779" spans="1:4" ht="15" x14ac:dyDescent="0.25">
      <c r="A3779">
        <v>8925</v>
      </c>
      <c r="B3779" t="s">
        <v>9318</v>
      </c>
      <c r="C3779" t="s">
        <v>5043</v>
      </c>
      <c r="D3779" t="s">
        <v>8401</v>
      </c>
    </row>
    <row r="3780" spans="1:4" ht="15" x14ac:dyDescent="0.25">
      <c r="A3780">
        <v>9017</v>
      </c>
      <c r="B3780" t="s">
        <v>9318</v>
      </c>
      <c r="C3780" t="s">
        <v>5043</v>
      </c>
      <c r="D3780" t="s">
        <v>8401</v>
      </c>
    </row>
    <row r="3781" spans="1:4" ht="15" x14ac:dyDescent="0.25">
      <c r="A3781">
        <v>9363</v>
      </c>
      <c r="B3781" t="s">
        <v>9318</v>
      </c>
      <c r="C3781" t="s">
        <v>5043</v>
      </c>
      <c r="D3781" t="s">
        <v>8401</v>
      </c>
    </row>
    <row r="3782" spans="1:4" ht="15" x14ac:dyDescent="0.25">
      <c r="A3782">
        <v>7014</v>
      </c>
      <c r="B3782" t="s">
        <v>11108</v>
      </c>
      <c r="C3782" t="s">
        <v>5043</v>
      </c>
      <c r="D3782" t="s">
        <v>8401</v>
      </c>
    </row>
    <row r="3783" spans="1:4" ht="15" x14ac:dyDescent="0.25">
      <c r="A3783">
        <v>9417</v>
      </c>
      <c r="B3783" t="s">
        <v>11108</v>
      </c>
      <c r="C3783" t="s">
        <v>5043</v>
      </c>
      <c r="D3783" t="s">
        <v>8401</v>
      </c>
    </row>
    <row r="3784" spans="1:4" ht="15" x14ac:dyDescent="0.25">
      <c r="A3784">
        <v>11037</v>
      </c>
      <c r="B3784" t="s">
        <v>9319</v>
      </c>
      <c r="C3784" t="s">
        <v>5043</v>
      </c>
      <c r="D3784" t="s">
        <v>8401</v>
      </c>
    </row>
    <row r="3785" spans="1:4" ht="15" x14ac:dyDescent="0.25">
      <c r="A3785">
        <v>9038</v>
      </c>
      <c r="B3785" t="s">
        <v>9320</v>
      </c>
      <c r="C3785" t="s">
        <v>5043</v>
      </c>
      <c r="D3785" t="s">
        <v>8401</v>
      </c>
    </row>
    <row r="3786" spans="1:4" ht="15" x14ac:dyDescent="0.25">
      <c r="A3786">
        <v>10184</v>
      </c>
      <c r="B3786" t="s">
        <v>9321</v>
      </c>
      <c r="C3786" t="s">
        <v>5043</v>
      </c>
      <c r="D3786" t="s">
        <v>8401</v>
      </c>
    </row>
    <row r="3787" spans="1:4" ht="15" x14ac:dyDescent="0.25">
      <c r="A3787">
        <v>11958</v>
      </c>
      <c r="B3787" t="s">
        <v>9322</v>
      </c>
      <c r="C3787" t="s">
        <v>5043</v>
      </c>
      <c r="D3787" t="s">
        <v>8401</v>
      </c>
    </row>
    <row r="3788" spans="1:4" ht="15" x14ac:dyDescent="0.25">
      <c r="A3788">
        <v>8846</v>
      </c>
      <c r="B3788" t="s">
        <v>9322</v>
      </c>
      <c r="C3788" t="s">
        <v>5043</v>
      </c>
      <c r="D3788" t="s">
        <v>8401</v>
      </c>
    </row>
    <row r="3789" spans="1:4" ht="15" x14ac:dyDescent="0.25">
      <c r="A3789">
        <v>9541</v>
      </c>
      <c r="B3789" t="s">
        <v>9322</v>
      </c>
      <c r="C3789" t="s">
        <v>5043</v>
      </c>
      <c r="D3789" t="s">
        <v>8401</v>
      </c>
    </row>
    <row r="3790" spans="1:4" ht="15" x14ac:dyDescent="0.25">
      <c r="A3790">
        <v>11644</v>
      </c>
      <c r="B3790" t="s">
        <v>9323</v>
      </c>
      <c r="C3790" t="s">
        <v>5043</v>
      </c>
      <c r="D3790" t="s">
        <v>8401</v>
      </c>
    </row>
    <row r="3791" spans="1:4" ht="15" x14ac:dyDescent="0.25">
      <c r="A3791">
        <v>12020</v>
      </c>
      <c r="B3791" t="s">
        <v>9324</v>
      </c>
      <c r="C3791" t="s">
        <v>5043</v>
      </c>
      <c r="D3791" t="s">
        <v>8401</v>
      </c>
    </row>
    <row r="3792" spans="1:4" ht="15" x14ac:dyDescent="0.25">
      <c r="A3792">
        <v>10295</v>
      </c>
      <c r="B3792" t="s">
        <v>9325</v>
      </c>
      <c r="C3792" t="s">
        <v>5043</v>
      </c>
      <c r="D3792" t="s">
        <v>8401</v>
      </c>
    </row>
    <row r="3793" spans="1:4" ht="15" x14ac:dyDescent="0.25">
      <c r="A3793">
        <v>6827</v>
      </c>
      <c r="B3793" t="s">
        <v>9325</v>
      </c>
      <c r="C3793" t="s">
        <v>5043</v>
      </c>
      <c r="D3793" t="s">
        <v>8401</v>
      </c>
    </row>
    <row r="3794" spans="1:4" ht="15" x14ac:dyDescent="0.25">
      <c r="A3794">
        <v>11599</v>
      </c>
      <c r="B3794" t="s">
        <v>9326</v>
      </c>
      <c r="C3794" t="s">
        <v>5043</v>
      </c>
      <c r="D3794" t="s">
        <v>8401</v>
      </c>
    </row>
    <row r="3795" spans="1:4" ht="15" x14ac:dyDescent="0.25">
      <c r="A3795">
        <v>11731</v>
      </c>
      <c r="B3795" t="s">
        <v>9326</v>
      </c>
      <c r="C3795" t="s">
        <v>5043</v>
      </c>
      <c r="D3795" t="s">
        <v>8401</v>
      </c>
    </row>
    <row r="3796" spans="1:4" ht="15" x14ac:dyDescent="0.25">
      <c r="A3796">
        <v>7349</v>
      </c>
      <c r="B3796" t="s">
        <v>9326</v>
      </c>
      <c r="C3796" t="s">
        <v>5043</v>
      </c>
      <c r="D3796" t="s">
        <v>8401</v>
      </c>
    </row>
    <row r="3797" spans="1:4" ht="15" x14ac:dyDescent="0.25">
      <c r="A3797">
        <v>11608</v>
      </c>
      <c r="B3797" t="s">
        <v>9327</v>
      </c>
      <c r="C3797" t="s">
        <v>5043</v>
      </c>
      <c r="D3797" t="s">
        <v>8401</v>
      </c>
    </row>
    <row r="3798" spans="1:4" ht="15" x14ac:dyDescent="0.25">
      <c r="A3798">
        <v>7549</v>
      </c>
      <c r="B3798" t="s">
        <v>9327</v>
      </c>
      <c r="C3798" t="s">
        <v>5043</v>
      </c>
      <c r="D3798" t="s">
        <v>8401</v>
      </c>
    </row>
    <row r="3799" spans="1:4" ht="15" x14ac:dyDescent="0.25">
      <c r="A3799">
        <v>7593</v>
      </c>
      <c r="B3799" t="s">
        <v>9327</v>
      </c>
      <c r="C3799" t="s">
        <v>5043</v>
      </c>
      <c r="D3799" t="s">
        <v>8401</v>
      </c>
    </row>
    <row r="3800" spans="1:4" ht="15" x14ac:dyDescent="0.25">
      <c r="A3800">
        <v>7864</v>
      </c>
      <c r="B3800" t="s">
        <v>9328</v>
      </c>
      <c r="C3800" t="s">
        <v>5043</v>
      </c>
      <c r="D3800" t="s">
        <v>8401</v>
      </c>
    </row>
    <row r="3801" spans="1:4" ht="15" x14ac:dyDescent="0.25">
      <c r="A3801">
        <v>9673</v>
      </c>
      <c r="B3801" t="s">
        <v>9328</v>
      </c>
      <c r="C3801" t="s">
        <v>5043</v>
      </c>
      <c r="D3801" t="s">
        <v>8401</v>
      </c>
    </row>
    <row r="3802" spans="1:4" ht="15" x14ac:dyDescent="0.25">
      <c r="A3802">
        <v>10802</v>
      </c>
      <c r="B3802" t="s">
        <v>9329</v>
      </c>
      <c r="C3802" t="s">
        <v>5043</v>
      </c>
      <c r="D3802" t="s">
        <v>8401</v>
      </c>
    </row>
    <row r="3803" spans="1:4" ht="15" x14ac:dyDescent="0.25">
      <c r="A3803">
        <v>8235</v>
      </c>
      <c r="B3803" t="s">
        <v>9329</v>
      </c>
      <c r="C3803" t="s">
        <v>5043</v>
      </c>
      <c r="D3803" t="s">
        <v>8401</v>
      </c>
    </row>
    <row r="3804" spans="1:4" ht="15" x14ac:dyDescent="0.25">
      <c r="A3804">
        <v>10084</v>
      </c>
      <c r="B3804" t="s">
        <v>9330</v>
      </c>
      <c r="C3804" t="s">
        <v>5043</v>
      </c>
      <c r="D3804" t="s">
        <v>8401</v>
      </c>
    </row>
    <row r="3805" spans="1:4" ht="15" x14ac:dyDescent="0.25">
      <c r="A3805">
        <v>11131</v>
      </c>
      <c r="B3805" t="s">
        <v>9330</v>
      </c>
      <c r="C3805" t="s">
        <v>5043</v>
      </c>
      <c r="D3805" t="s">
        <v>8401</v>
      </c>
    </row>
    <row r="3806" spans="1:4" ht="15" x14ac:dyDescent="0.25">
      <c r="A3806">
        <v>11142</v>
      </c>
      <c r="B3806" t="s">
        <v>9331</v>
      </c>
      <c r="C3806" t="s">
        <v>5043</v>
      </c>
      <c r="D3806" t="s">
        <v>8401</v>
      </c>
    </row>
    <row r="3807" spans="1:4" ht="15" x14ac:dyDescent="0.25">
      <c r="A3807">
        <v>10164</v>
      </c>
      <c r="B3807" t="s">
        <v>9332</v>
      </c>
      <c r="C3807" t="s">
        <v>5043</v>
      </c>
      <c r="D3807" t="s">
        <v>8401</v>
      </c>
    </row>
    <row r="3808" spans="1:4" ht="15" x14ac:dyDescent="0.25">
      <c r="A3808">
        <v>10497</v>
      </c>
      <c r="B3808" t="s">
        <v>9332</v>
      </c>
      <c r="C3808" t="s">
        <v>5043</v>
      </c>
      <c r="D3808" t="s">
        <v>8401</v>
      </c>
    </row>
    <row r="3809" spans="1:4" ht="15" x14ac:dyDescent="0.25">
      <c r="A3809">
        <v>12120</v>
      </c>
      <c r="B3809" t="s">
        <v>9332</v>
      </c>
      <c r="C3809" t="s">
        <v>5043</v>
      </c>
      <c r="D3809" t="s">
        <v>8401</v>
      </c>
    </row>
    <row r="3810" spans="1:4" ht="15" x14ac:dyDescent="0.25">
      <c r="A3810">
        <v>8002</v>
      </c>
      <c r="B3810" t="s">
        <v>9332</v>
      </c>
      <c r="C3810" t="s">
        <v>5043</v>
      </c>
      <c r="D3810" t="s">
        <v>8401</v>
      </c>
    </row>
    <row r="3811" spans="1:4" ht="15" x14ac:dyDescent="0.25">
      <c r="A3811">
        <v>6858</v>
      </c>
      <c r="B3811" t="s">
        <v>9333</v>
      </c>
      <c r="C3811" t="s">
        <v>5043</v>
      </c>
      <c r="D3811" t="s">
        <v>8401</v>
      </c>
    </row>
    <row r="3812" spans="1:4" ht="15" x14ac:dyDescent="0.25">
      <c r="A3812">
        <v>9087</v>
      </c>
      <c r="B3812" t="s">
        <v>9333</v>
      </c>
      <c r="C3812" t="s">
        <v>5043</v>
      </c>
      <c r="D3812" t="s">
        <v>8401</v>
      </c>
    </row>
    <row r="3813" spans="1:4" ht="15" x14ac:dyDescent="0.25">
      <c r="A3813">
        <v>9095</v>
      </c>
      <c r="B3813" t="s">
        <v>9333</v>
      </c>
      <c r="C3813" t="s">
        <v>5043</v>
      </c>
      <c r="D3813" t="s">
        <v>8401</v>
      </c>
    </row>
    <row r="3814" spans="1:4" ht="15" x14ac:dyDescent="0.25">
      <c r="A3814">
        <v>11967</v>
      </c>
      <c r="B3814" t="s">
        <v>9334</v>
      </c>
      <c r="C3814" t="s">
        <v>5043</v>
      </c>
      <c r="D3814" t="s">
        <v>8401</v>
      </c>
    </row>
    <row r="3815" spans="1:4" ht="15" x14ac:dyDescent="0.25">
      <c r="A3815">
        <v>7334</v>
      </c>
      <c r="B3815" t="s">
        <v>9334</v>
      </c>
      <c r="C3815" t="s">
        <v>5043</v>
      </c>
      <c r="D3815" t="s">
        <v>8401</v>
      </c>
    </row>
    <row r="3816" spans="1:4" ht="15" x14ac:dyDescent="0.25">
      <c r="A3816">
        <v>7315</v>
      </c>
      <c r="B3816" t="s">
        <v>9335</v>
      </c>
      <c r="C3816" t="s">
        <v>5043</v>
      </c>
      <c r="D3816" t="s">
        <v>8401</v>
      </c>
    </row>
    <row r="3817" spans="1:4" ht="15" x14ac:dyDescent="0.25">
      <c r="A3817">
        <v>9648</v>
      </c>
      <c r="B3817" t="s">
        <v>9335</v>
      </c>
      <c r="C3817" t="s">
        <v>5043</v>
      </c>
      <c r="D3817" t="s">
        <v>8401</v>
      </c>
    </row>
    <row r="3818" spans="1:4" ht="15" x14ac:dyDescent="0.25">
      <c r="A3818">
        <v>11568</v>
      </c>
      <c r="B3818" t="s">
        <v>9336</v>
      </c>
      <c r="C3818" t="s">
        <v>5043</v>
      </c>
      <c r="D3818" t="s">
        <v>8401</v>
      </c>
    </row>
    <row r="3819" spans="1:4" ht="15" x14ac:dyDescent="0.25">
      <c r="A3819">
        <v>12080</v>
      </c>
      <c r="B3819" t="s">
        <v>9336</v>
      </c>
      <c r="C3819" t="s">
        <v>5043</v>
      </c>
      <c r="D3819" t="s">
        <v>8401</v>
      </c>
    </row>
    <row r="3820" spans="1:4" ht="15" x14ac:dyDescent="0.25">
      <c r="A3820">
        <v>7137</v>
      </c>
      <c r="B3820" t="s">
        <v>9337</v>
      </c>
      <c r="C3820" t="s">
        <v>5043</v>
      </c>
      <c r="D3820" t="s">
        <v>8401</v>
      </c>
    </row>
    <row r="3821" spans="1:4" ht="15" x14ac:dyDescent="0.25">
      <c r="A3821">
        <v>10770</v>
      </c>
      <c r="B3821" t="s">
        <v>11109</v>
      </c>
      <c r="C3821" t="s">
        <v>5043</v>
      </c>
      <c r="D3821" t="s">
        <v>8401</v>
      </c>
    </row>
    <row r="3822" spans="1:4" ht="15" x14ac:dyDescent="0.25">
      <c r="A3822">
        <v>8946</v>
      </c>
      <c r="B3822" t="s">
        <v>11110</v>
      </c>
      <c r="C3822" t="s">
        <v>5043</v>
      </c>
      <c r="D3822" t="s">
        <v>8401</v>
      </c>
    </row>
    <row r="3823" spans="1:4" ht="15" x14ac:dyDescent="0.25">
      <c r="A3823">
        <v>6758</v>
      </c>
      <c r="B3823" t="s">
        <v>11111</v>
      </c>
      <c r="C3823" t="s">
        <v>5043</v>
      </c>
      <c r="D3823" t="s">
        <v>8401</v>
      </c>
    </row>
    <row r="3824" spans="1:4" ht="15" x14ac:dyDescent="0.25">
      <c r="A3824">
        <v>10684</v>
      </c>
      <c r="B3824" t="s">
        <v>9338</v>
      </c>
      <c r="C3824" t="s">
        <v>5043</v>
      </c>
      <c r="D3824" t="s">
        <v>8401</v>
      </c>
    </row>
    <row r="3825" spans="1:4" ht="15" x14ac:dyDescent="0.25">
      <c r="A3825">
        <v>9102</v>
      </c>
      <c r="B3825" t="s">
        <v>9338</v>
      </c>
      <c r="C3825" t="s">
        <v>5043</v>
      </c>
      <c r="D3825" t="s">
        <v>8401</v>
      </c>
    </row>
    <row r="3826" spans="1:4" ht="15" x14ac:dyDescent="0.25">
      <c r="A3826">
        <v>9642</v>
      </c>
      <c r="B3826" t="s">
        <v>9338</v>
      </c>
      <c r="C3826" t="s">
        <v>5043</v>
      </c>
      <c r="D3826" t="s">
        <v>8401</v>
      </c>
    </row>
    <row r="3827" spans="1:4" ht="15" x14ac:dyDescent="0.25">
      <c r="A3827">
        <v>11089</v>
      </c>
      <c r="B3827" t="s">
        <v>11112</v>
      </c>
      <c r="C3827" t="s">
        <v>5043</v>
      </c>
      <c r="D3827" t="s">
        <v>8401</v>
      </c>
    </row>
    <row r="3828" spans="1:4" ht="15" x14ac:dyDescent="0.25">
      <c r="A3828">
        <v>8729</v>
      </c>
      <c r="B3828" t="s">
        <v>11112</v>
      </c>
      <c r="C3828" t="s">
        <v>5043</v>
      </c>
      <c r="D3828" t="s">
        <v>8401</v>
      </c>
    </row>
    <row r="3829" spans="1:4" ht="15" x14ac:dyDescent="0.25">
      <c r="A3829">
        <v>9679</v>
      </c>
      <c r="B3829" t="s">
        <v>11112</v>
      </c>
      <c r="C3829" t="s">
        <v>5043</v>
      </c>
      <c r="D3829" t="s">
        <v>8401</v>
      </c>
    </row>
    <row r="3830" spans="1:4" ht="15" x14ac:dyDescent="0.25">
      <c r="A3830">
        <v>8658</v>
      </c>
      <c r="B3830" t="s">
        <v>9339</v>
      </c>
      <c r="C3830" t="s">
        <v>5043</v>
      </c>
      <c r="D3830" t="s">
        <v>8401</v>
      </c>
    </row>
    <row r="3831" spans="1:4" ht="15" x14ac:dyDescent="0.25">
      <c r="A3831">
        <v>6724</v>
      </c>
      <c r="B3831" t="s">
        <v>9340</v>
      </c>
      <c r="C3831" t="s">
        <v>5043</v>
      </c>
      <c r="D3831" t="s">
        <v>8401</v>
      </c>
    </row>
    <row r="3832" spans="1:4" ht="15" x14ac:dyDescent="0.25">
      <c r="A3832">
        <v>6729</v>
      </c>
      <c r="B3832" t="s">
        <v>11113</v>
      </c>
      <c r="C3832" t="s">
        <v>5043</v>
      </c>
      <c r="D3832" t="s">
        <v>8401</v>
      </c>
    </row>
    <row r="3833" spans="1:4" ht="15" x14ac:dyDescent="0.25">
      <c r="A3833">
        <v>6985</v>
      </c>
      <c r="B3833" t="s">
        <v>9341</v>
      </c>
      <c r="C3833" t="s">
        <v>5043</v>
      </c>
      <c r="D3833" t="s">
        <v>8401</v>
      </c>
    </row>
    <row r="3834" spans="1:4" ht="15" x14ac:dyDescent="0.25">
      <c r="A3834">
        <v>6813</v>
      </c>
      <c r="B3834" t="s">
        <v>9342</v>
      </c>
      <c r="C3834" t="s">
        <v>5043</v>
      </c>
      <c r="D3834" t="s">
        <v>8401</v>
      </c>
    </row>
    <row r="3835" spans="1:4" ht="15" x14ac:dyDescent="0.25">
      <c r="A3835">
        <v>6965</v>
      </c>
      <c r="B3835" t="s">
        <v>9342</v>
      </c>
      <c r="C3835" t="s">
        <v>5043</v>
      </c>
      <c r="D3835" t="s">
        <v>8401</v>
      </c>
    </row>
    <row r="3836" spans="1:4" ht="15" x14ac:dyDescent="0.25">
      <c r="A3836">
        <v>8702</v>
      </c>
      <c r="B3836" t="s">
        <v>9342</v>
      </c>
      <c r="C3836" t="s">
        <v>5043</v>
      </c>
      <c r="D3836" t="s">
        <v>8401</v>
      </c>
    </row>
    <row r="3837" spans="1:4" ht="15" x14ac:dyDescent="0.25">
      <c r="A3837">
        <v>7851</v>
      </c>
      <c r="B3837" t="s">
        <v>9343</v>
      </c>
      <c r="C3837" t="s">
        <v>5043</v>
      </c>
      <c r="D3837" t="s">
        <v>8401</v>
      </c>
    </row>
    <row r="3838" spans="1:4" ht="15" x14ac:dyDescent="0.25">
      <c r="A3838">
        <v>9616</v>
      </c>
      <c r="B3838" t="s">
        <v>11114</v>
      </c>
      <c r="C3838" t="s">
        <v>5043</v>
      </c>
      <c r="D3838" t="s">
        <v>8401</v>
      </c>
    </row>
    <row r="3839" spans="1:4" ht="15" x14ac:dyDescent="0.25">
      <c r="A3839">
        <v>10219</v>
      </c>
      <c r="B3839" t="s">
        <v>9344</v>
      </c>
      <c r="C3839" t="s">
        <v>5043</v>
      </c>
      <c r="D3839" t="s">
        <v>8401</v>
      </c>
    </row>
    <row r="3840" spans="1:4" ht="15" x14ac:dyDescent="0.25">
      <c r="A3840">
        <v>9136</v>
      </c>
      <c r="B3840" t="s">
        <v>9344</v>
      </c>
      <c r="C3840" t="s">
        <v>5043</v>
      </c>
      <c r="D3840" t="s">
        <v>8401</v>
      </c>
    </row>
    <row r="3841" spans="1:4" ht="15" x14ac:dyDescent="0.25">
      <c r="A3841">
        <v>10695</v>
      </c>
      <c r="B3841" t="s">
        <v>9345</v>
      </c>
      <c r="C3841" t="s">
        <v>5043</v>
      </c>
      <c r="D3841" t="s">
        <v>8401</v>
      </c>
    </row>
    <row r="3842" spans="1:4" ht="15" x14ac:dyDescent="0.25">
      <c r="A3842">
        <v>7233</v>
      </c>
      <c r="B3842" t="s">
        <v>9345</v>
      </c>
      <c r="C3842" t="s">
        <v>5043</v>
      </c>
      <c r="D3842" t="s">
        <v>8401</v>
      </c>
    </row>
    <row r="3843" spans="1:4" ht="15" x14ac:dyDescent="0.25">
      <c r="A3843">
        <v>8020</v>
      </c>
      <c r="B3843" t="s">
        <v>9345</v>
      </c>
      <c r="C3843" t="s">
        <v>5043</v>
      </c>
      <c r="D3843" t="s">
        <v>8401</v>
      </c>
    </row>
    <row r="3844" spans="1:4" ht="15" x14ac:dyDescent="0.25">
      <c r="A3844">
        <v>8985</v>
      </c>
      <c r="B3844" t="s">
        <v>9345</v>
      </c>
      <c r="C3844" t="s">
        <v>5043</v>
      </c>
      <c r="D3844" t="s">
        <v>8401</v>
      </c>
    </row>
    <row r="3845" spans="1:4" ht="15" x14ac:dyDescent="0.25">
      <c r="A3845">
        <v>10891</v>
      </c>
      <c r="B3845" t="s">
        <v>9346</v>
      </c>
      <c r="C3845" t="s">
        <v>5043</v>
      </c>
      <c r="D3845" t="s">
        <v>8401</v>
      </c>
    </row>
    <row r="3846" spans="1:4" ht="15" x14ac:dyDescent="0.25">
      <c r="A3846">
        <v>7656</v>
      </c>
      <c r="B3846" t="s">
        <v>9346</v>
      </c>
      <c r="C3846" t="s">
        <v>5043</v>
      </c>
      <c r="D3846" t="s">
        <v>8401</v>
      </c>
    </row>
    <row r="3847" spans="1:4" ht="15" x14ac:dyDescent="0.25">
      <c r="A3847">
        <v>7964</v>
      </c>
      <c r="B3847" t="s">
        <v>9346</v>
      </c>
      <c r="C3847" t="s">
        <v>5043</v>
      </c>
      <c r="D3847" t="s">
        <v>8401</v>
      </c>
    </row>
    <row r="3848" spans="1:4" ht="15" x14ac:dyDescent="0.25">
      <c r="A3848">
        <v>10605</v>
      </c>
      <c r="B3848" t="s">
        <v>9347</v>
      </c>
      <c r="C3848" t="s">
        <v>5043</v>
      </c>
      <c r="D3848" t="s">
        <v>8401</v>
      </c>
    </row>
    <row r="3849" spans="1:4" ht="15" x14ac:dyDescent="0.25">
      <c r="A3849">
        <v>10755</v>
      </c>
      <c r="B3849" t="s">
        <v>9347</v>
      </c>
      <c r="C3849" t="s">
        <v>5043</v>
      </c>
      <c r="D3849" t="s">
        <v>8401</v>
      </c>
    </row>
    <row r="3850" spans="1:4" ht="15" x14ac:dyDescent="0.25">
      <c r="A3850">
        <v>10743</v>
      </c>
      <c r="B3850" t="s">
        <v>9348</v>
      </c>
      <c r="C3850" t="s">
        <v>5043</v>
      </c>
      <c r="D3850" t="s">
        <v>8401</v>
      </c>
    </row>
    <row r="3851" spans="1:4" ht="15" x14ac:dyDescent="0.25">
      <c r="A3851">
        <v>8879</v>
      </c>
      <c r="B3851" t="s">
        <v>9348</v>
      </c>
      <c r="C3851" t="s">
        <v>5043</v>
      </c>
      <c r="D3851" t="s">
        <v>8401</v>
      </c>
    </row>
    <row r="3852" spans="1:4" ht="15" x14ac:dyDescent="0.25">
      <c r="A3852">
        <v>6996</v>
      </c>
      <c r="B3852" t="s">
        <v>9349</v>
      </c>
      <c r="C3852" t="s">
        <v>5043</v>
      </c>
      <c r="D3852" t="s">
        <v>8401</v>
      </c>
    </row>
    <row r="3853" spans="1:4" ht="15" x14ac:dyDescent="0.25">
      <c r="A3853">
        <v>10202</v>
      </c>
      <c r="B3853" t="s">
        <v>9350</v>
      </c>
      <c r="C3853" t="s">
        <v>5043</v>
      </c>
      <c r="D3853" t="s">
        <v>8401</v>
      </c>
    </row>
    <row r="3854" spans="1:4" ht="15" x14ac:dyDescent="0.25">
      <c r="A3854">
        <v>10461</v>
      </c>
      <c r="B3854" t="s">
        <v>9350</v>
      </c>
      <c r="C3854" t="s">
        <v>5043</v>
      </c>
      <c r="D3854" t="s">
        <v>8401</v>
      </c>
    </row>
    <row r="3855" spans="1:4" ht="15" x14ac:dyDescent="0.25">
      <c r="A3855">
        <v>9553</v>
      </c>
      <c r="B3855" t="s">
        <v>9350</v>
      </c>
      <c r="C3855" t="s">
        <v>5043</v>
      </c>
      <c r="D3855" t="s">
        <v>8401</v>
      </c>
    </row>
    <row r="3856" spans="1:4" ht="15" x14ac:dyDescent="0.25">
      <c r="A3856">
        <v>11144</v>
      </c>
      <c r="B3856" t="s">
        <v>9351</v>
      </c>
      <c r="C3856" t="s">
        <v>5043</v>
      </c>
      <c r="D3856" t="s">
        <v>8401</v>
      </c>
    </row>
    <row r="3857" spans="1:4" ht="15" x14ac:dyDescent="0.25">
      <c r="A3857">
        <v>7331</v>
      </c>
      <c r="B3857" t="s">
        <v>9352</v>
      </c>
      <c r="C3857" t="s">
        <v>5043</v>
      </c>
      <c r="D3857" t="s">
        <v>8401</v>
      </c>
    </row>
    <row r="3858" spans="1:4" ht="15" x14ac:dyDescent="0.25">
      <c r="A3858">
        <v>9906</v>
      </c>
      <c r="B3858" t="s">
        <v>9352</v>
      </c>
      <c r="C3858" t="s">
        <v>5043</v>
      </c>
      <c r="D3858" t="s">
        <v>8401</v>
      </c>
    </row>
    <row r="3859" spans="1:4" ht="15" x14ac:dyDescent="0.25">
      <c r="A3859">
        <v>11710</v>
      </c>
      <c r="B3859" t="s">
        <v>9353</v>
      </c>
      <c r="C3859" t="s">
        <v>5043</v>
      </c>
      <c r="D3859" t="s">
        <v>8401</v>
      </c>
    </row>
    <row r="3860" spans="1:4" ht="15" x14ac:dyDescent="0.25">
      <c r="A3860">
        <v>7894</v>
      </c>
      <c r="B3860" t="s">
        <v>9353</v>
      </c>
      <c r="C3860" t="s">
        <v>5043</v>
      </c>
      <c r="D3860" t="s">
        <v>8401</v>
      </c>
    </row>
    <row r="3861" spans="1:4" ht="15" x14ac:dyDescent="0.25">
      <c r="A3861">
        <v>10538</v>
      </c>
      <c r="B3861" t="s">
        <v>9354</v>
      </c>
      <c r="C3861" t="s">
        <v>5043</v>
      </c>
      <c r="D3861" t="s">
        <v>8401</v>
      </c>
    </row>
    <row r="3862" spans="1:4" ht="15" x14ac:dyDescent="0.25">
      <c r="A3862">
        <v>9747</v>
      </c>
      <c r="B3862" t="s">
        <v>9355</v>
      </c>
      <c r="C3862" t="s">
        <v>5043</v>
      </c>
      <c r="D3862" t="s">
        <v>8401</v>
      </c>
    </row>
    <row r="3863" spans="1:4" ht="15" x14ac:dyDescent="0.25">
      <c r="A3863">
        <v>9781</v>
      </c>
      <c r="B3863" t="s">
        <v>9355</v>
      </c>
      <c r="C3863" t="s">
        <v>5043</v>
      </c>
      <c r="D3863" t="s">
        <v>8401</v>
      </c>
    </row>
    <row r="3864" spans="1:4" ht="15" x14ac:dyDescent="0.25">
      <c r="A3864">
        <v>10884</v>
      </c>
      <c r="B3864" t="s">
        <v>9356</v>
      </c>
      <c r="C3864" t="s">
        <v>5043</v>
      </c>
      <c r="D3864" t="s">
        <v>8401</v>
      </c>
    </row>
    <row r="3865" spans="1:4" ht="15" x14ac:dyDescent="0.25">
      <c r="A3865">
        <v>11369</v>
      </c>
      <c r="B3865" t="s">
        <v>9356</v>
      </c>
      <c r="C3865" t="s">
        <v>5043</v>
      </c>
      <c r="D3865" t="s">
        <v>8401</v>
      </c>
    </row>
    <row r="3866" spans="1:4" ht="15" x14ac:dyDescent="0.25">
      <c r="A3866">
        <v>6969</v>
      </c>
      <c r="B3866" t="s">
        <v>9356</v>
      </c>
      <c r="C3866" t="s">
        <v>5043</v>
      </c>
      <c r="D3866" t="s">
        <v>8401</v>
      </c>
    </row>
    <row r="3867" spans="1:4" ht="15" x14ac:dyDescent="0.25">
      <c r="A3867">
        <v>9941</v>
      </c>
      <c r="B3867" t="s">
        <v>9356</v>
      </c>
      <c r="C3867" t="s">
        <v>5043</v>
      </c>
      <c r="D3867" t="s">
        <v>8401</v>
      </c>
    </row>
    <row r="3868" spans="1:4" ht="15" x14ac:dyDescent="0.25">
      <c r="A3868">
        <v>8000</v>
      </c>
      <c r="B3868" t="s">
        <v>9357</v>
      </c>
      <c r="C3868" t="s">
        <v>5043</v>
      </c>
      <c r="D3868" t="s">
        <v>8401</v>
      </c>
    </row>
    <row r="3869" spans="1:4" ht="15" x14ac:dyDescent="0.25">
      <c r="A3869">
        <v>7269</v>
      </c>
      <c r="B3869" t="s">
        <v>9358</v>
      </c>
      <c r="C3869" t="s">
        <v>5043</v>
      </c>
      <c r="D3869" t="s">
        <v>8401</v>
      </c>
    </row>
    <row r="3870" spans="1:4" ht="15" x14ac:dyDescent="0.25">
      <c r="A3870">
        <v>8714</v>
      </c>
      <c r="B3870" t="s">
        <v>9358</v>
      </c>
      <c r="C3870" t="s">
        <v>5043</v>
      </c>
      <c r="D3870" t="s">
        <v>8401</v>
      </c>
    </row>
    <row r="3871" spans="1:4" ht="15" x14ac:dyDescent="0.25">
      <c r="A3871">
        <v>10021</v>
      </c>
      <c r="B3871" t="s">
        <v>9359</v>
      </c>
      <c r="C3871" t="s">
        <v>5043</v>
      </c>
      <c r="D3871" t="s">
        <v>8401</v>
      </c>
    </row>
    <row r="3872" spans="1:4" ht="15" x14ac:dyDescent="0.25">
      <c r="A3872">
        <v>10480</v>
      </c>
      <c r="B3872" t="s">
        <v>9359</v>
      </c>
      <c r="C3872" t="s">
        <v>5043</v>
      </c>
      <c r="D3872" t="s">
        <v>8401</v>
      </c>
    </row>
    <row r="3873" spans="1:4" ht="15" x14ac:dyDescent="0.25">
      <c r="A3873">
        <v>10860</v>
      </c>
      <c r="B3873" t="s">
        <v>9359</v>
      </c>
      <c r="C3873" t="s">
        <v>5043</v>
      </c>
      <c r="D3873" t="s">
        <v>8401</v>
      </c>
    </row>
    <row r="3874" spans="1:4" ht="15" x14ac:dyDescent="0.25">
      <c r="A3874">
        <v>11283</v>
      </c>
      <c r="B3874" t="s">
        <v>9359</v>
      </c>
      <c r="C3874" t="s">
        <v>5043</v>
      </c>
      <c r="D3874" t="s">
        <v>8401</v>
      </c>
    </row>
    <row r="3875" spans="1:4" ht="15" x14ac:dyDescent="0.25">
      <c r="A3875">
        <v>11665</v>
      </c>
      <c r="B3875" t="s">
        <v>9359</v>
      </c>
      <c r="C3875" t="s">
        <v>5043</v>
      </c>
      <c r="D3875" t="s">
        <v>8401</v>
      </c>
    </row>
    <row r="3876" spans="1:4" ht="15" x14ac:dyDescent="0.25">
      <c r="A3876">
        <v>11738</v>
      </c>
      <c r="B3876" t="s">
        <v>9359</v>
      </c>
      <c r="C3876" t="s">
        <v>5043</v>
      </c>
      <c r="D3876" t="s">
        <v>8401</v>
      </c>
    </row>
    <row r="3877" spans="1:4" ht="15" x14ac:dyDescent="0.25">
      <c r="A3877">
        <v>11742</v>
      </c>
      <c r="B3877" t="s">
        <v>9359</v>
      </c>
      <c r="C3877" t="s">
        <v>5043</v>
      </c>
      <c r="D3877" t="s">
        <v>8401</v>
      </c>
    </row>
    <row r="3878" spans="1:4" ht="15" x14ac:dyDescent="0.25">
      <c r="A3878">
        <v>11985</v>
      </c>
      <c r="B3878" t="s">
        <v>9359</v>
      </c>
      <c r="C3878" t="s">
        <v>5043</v>
      </c>
      <c r="D3878" t="s">
        <v>8401</v>
      </c>
    </row>
    <row r="3879" spans="1:4" ht="15" x14ac:dyDescent="0.25">
      <c r="A3879">
        <v>12087</v>
      </c>
      <c r="B3879" t="s">
        <v>9359</v>
      </c>
      <c r="C3879" t="s">
        <v>5043</v>
      </c>
      <c r="D3879" t="s">
        <v>8401</v>
      </c>
    </row>
    <row r="3880" spans="1:4" ht="15" x14ac:dyDescent="0.25">
      <c r="A3880">
        <v>12096</v>
      </c>
      <c r="B3880" t="s">
        <v>9359</v>
      </c>
      <c r="C3880" t="s">
        <v>5043</v>
      </c>
      <c r="D3880" t="s">
        <v>8401</v>
      </c>
    </row>
    <row r="3881" spans="1:4" ht="15" x14ac:dyDescent="0.25">
      <c r="A3881">
        <v>6678</v>
      </c>
      <c r="B3881" t="s">
        <v>9359</v>
      </c>
      <c r="C3881" t="s">
        <v>5043</v>
      </c>
      <c r="D3881" t="s">
        <v>8401</v>
      </c>
    </row>
    <row r="3882" spans="1:4" ht="15" x14ac:dyDescent="0.25">
      <c r="A3882">
        <v>6888</v>
      </c>
      <c r="B3882" t="s">
        <v>9359</v>
      </c>
      <c r="C3882" t="s">
        <v>5043</v>
      </c>
      <c r="D3882" t="s">
        <v>8401</v>
      </c>
    </row>
    <row r="3883" spans="1:4" ht="15" x14ac:dyDescent="0.25">
      <c r="A3883">
        <v>7714</v>
      </c>
      <c r="B3883" t="s">
        <v>9359</v>
      </c>
      <c r="C3883" t="s">
        <v>5043</v>
      </c>
      <c r="D3883" t="s">
        <v>8401</v>
      </c>
    </row>
    <row r="3884" spans="1:4" ht="15" x14ac:dyDescent="0.25">
      <c r="A3884">
        <v>8241</v>
      </c>
      <c r="B3884" t="s">
        <v>9359</v>
      </c>
      <c r="C3884" t="s">
        <v>5043</v>
      </c>
      <c r="D3884" t="s">
        <v>8401</v>
      </c>
    </row>
    <row r="3885" spans="1:4" ht="15" x14ac:dyDescent="0.25">
      <c r="A3885">
        <v>8315</v>
      </c>
      <c r="B3885" t="s">
        <v>9359</v>
      </c>
      <c r="C3885" t="s">
        <v>5043</v>
      </c>
      <c r="D3885" t="s">
        <v>8401</v>
      </c>
    </row>
    <row r="3886" spans="1:4" ht="15" x14ac:dyDescent="0.25">
      <c r="A3886">
        <v>8496</v>
      </c>
      <c r="B3886" t="s">
        <v>9359</v>
      </c>
      <c r="C3886" t="s">
        <v>5043</v>
      </c>
      <c r="D3886" t="s">
        <v>8401</v>
      </c>
    </row>
    <row r="3887" spans="1:4" ht="15" x14ac:dyDescent="0.25">
      <c r="A3887">
        <v>10399</v>
      </c>
      <c r="B3887" t="s">
        <v>9360</v>
      </c>
      <c r="C3887" t="s">
        <v>5043</v>
      </c>
      <c r="D3887" t="s">
        <v>8401</v>
      </c>
    </row>
    <row r="3888" spans="1:4" ht="15" x14ac:dyDescent="0.25">
      <c r="A3888">
        <v>7655</v>
      </c>
      <c r="B3888" t="s">
        <v>9360</v>
      </c>
      <c r="C3888" t="s">
        <v>5043</v>
      </c>
      <c r="D3888" t="s">
        <v>8401</v>
      </c>
    </row>
    <row r="3889" spans="1:4" ht="15" x14ac:dyDescent="0.25">
      <c r="A3889">
        <v>6797</v>
      </c>
      <c r="B3889" t="s">
        <v>9361</v>
      </c>
      <c r="C3889" t="s">
        <v>5043</v>
      </c>
      <c r="D3889" t="s">
        <v>8401</v>
      </c>
    </row>
    <row r="3890" spans="1:4" ht="15" x14ac:dyDescent="0.25">
      <c r="A3890">
        <v>9955</v>
      </c>
      <c r="B3890" t="s">
        <v>9361</v>
      </c>
      <c r="C3890" t="s">
        <v>5043</v>
      </c>
      <c r="D3890" t="s">
        <v>8401</v>
      </c>
    </row>
    <row r="3891" spans="1:4" ht="15" x14ac:dyDescent="0.25">
      <c r="A3891">
        <v>12030</v>
      </c>
      <c r="B3891" t="s">
        <v>9362</v>
      </c>
      <c r="C3891" t="s">
        <v>5043</v>
      </c>
      <c r="D3891" t="s">
        <v>8401</v>
      </c>
    </row>
    <row r="3892" spans="1:4" ht="15" x14ac:dyDescent="0.25">
      <c r="A3892">
        <v>8419</v>
      </c>
      <c r="B3892" t="s">
        <v>9363</v>
      </c>
      <c r="C3892" t="s">
        <v>5043</v>
      </c>
      <c r="D3892" t="s">
        <v>8401</v>
      </c>
    </row>
    <row r="3893" spans="1:4" ht="15" x14ac:dyDescent="0.25">
      <c r="A3893">
        <v>9182</v>
      </c>
      <c r="B3893" t="s">
        <v>9363</v>
      </c>
      <c r="C3893" t="s">
        <v>5043</v>
      </c>
      <c r="D3893" t="s">
        <v>8401</v>
      </c>
    </row>
    <row r="3894" spans="1:4" ht="15" x14ac:dyDescent="0.25">
      <c r="A3894">
        <v>10211</v>
      </c>
      <c r="B3894" t="s">
        <v>9364</v>
      </c>
      <c r="C3894" t="s">
        <v>5043</v>
      </c>
      <c r="D3894" t="s">
        <v>8401</v>
      </c>
    </row>
    <row r="3895" spans="1:4" ht="15" x14ac:dyDescent="0.25">
      <c r="A3895">
        <v>10496</v>
      </c>
      <c r="B3895" t="s">
        <v>9364</v>
      </c>
      <c r="C3895" t="s">
        <v>5043</v>
      </c>
      <c r="D3895" t="s">
        <v>8401</v>
      </c>
    </row>
    <row r="3896" spans="1:4" ht="15" x14ac:dyDescent="0.25">
      <c r="A3896">
        <v>6876</v>
      </c>
      <c r="B3896" t="s">
        <v>9364</v>
      </c>
      <c r="C3896" t="s">
        <v>5043</v>
      </c>
      <c r="D3896" t="s">
        <v>8401</v>
      </c>
    </row>
    <row r="3897" spans="1:4" ht="15" x14ac:dyDescent="0.25">
      <c r="A3897">
        <v>11397</v>
      </c>
      <c r="B3897" t="s">
        <v>9365</v>
      </c>
      <c r="C3897" t="s">
        <v>5043</v>
      </c>
      <c r="D3897" t="s">
        <v>8401</v>
      </c>
    </row>
    <row r="3898" spans="1:4" ht="15" x14ac:dyDescent="0.25">
      <c r="A3898">
        <v>11489</v>
      </c>
      <c r="B3898" t="s">
        <v>9365</v>
      </c>
      <c r="C3898" t="s">
        <v>5043</v>
      </c>
      <c r="D3898" t="s">
        <v>8401</v>
      </c>
    </row>
    <row r="3899" spans="1:4" ht="15" x14ac:dyDescent="0.25">
      <c r="A3899">
        <v>8621</v>
      </c>
      <c r="B3899" t="s">
        <v>9365</v>
      </c>
      <c r="C3899" t="s">
        <v>5043</v>
      </c>
      <c r="D3899" t="s">
        <v>8401</v>
      </c>
    </row>
    <row r="3900" spans="1:4" ht="15" x14ac:dyDescent="0.25">
      <c r="A3900">
        <v>10425</v>
      </c>
      <c r="B3900" t="s">
        <v>9366</v>
      </c>
      <c r="C3900" t="s">
        <v>5043</v>
      </c>
      <c r="D3900" t="s">
        <v>8401</v>
      </c>
    </row>
    <row r="3901" spans="1:4" ht="15" x14ac:dyDescent="0.25">
      <c r="A3901">
        <v>10838</v>
      </c>
      <c r="B3901" t="s">
        <v>9366</v>
      </c>
      <c r="C3901" t="s">
        <v>5043</v>
      </c>
      <c r="D3901" t="s">
        <v>8401</v>
      </c>
    </row>
    <row r="3902" spans="1:4" ht="15" x14ac:dyDescent="0.25">
      <c r="A3902">
        <v>11448</v>
      </c>
      <c r="B3902" t="s">
        <v>9366</v>
      </c>
      <c r="C3902" t="s">
        <v>5043</v>
      </c>
      <c r="D3902" t="s">
        <v>8401</v>
      </c>
    </row>
    <row r="3903" spans="1:4" ht="15" x14ac:dyDescent="0.25">
      <c r="A3903">
        <v>11579</v>
      </c>
      <c r="B3903" t="s">
        <v>9366</v>
      </c>
      <c r="C3903" t="s">
        <v>5043</v>
      </c>
      <c r="D3903" t="s">
        <v>8401</v>
      </c>
    </row>
    <row r="3904" spans="1:4" ht="15" x14ac:dyDescent="0.25">
      <c r="A3904">
        <v>11788</v>
      </c>
      <c r="B3904" t="s">
        <v>9366</v>
      </c>
      <c r="C3904" t="s">
        <v>5043</v>
      </c>
      <c r="D3904" t="s">
        <v>8401</v>
      </c>
    </row>
    <row r="3905" spans="1:4" ht="15" x14ac:dyDescent="0.25">
      <c r="A3905">
        <v>7539</v>
      </c>
      <c r="B3905" t="s">
        <v>9366</v>
      </c>
      <c r="C3905" t="s">
        <v>5043</v>
      </c>
      <c r="D3905" t="s">
        <v>8401</v>
      </c>
    </row>
    <row r="3906" spans="1:4" ht="15" x14ac:dyDescent="0.25">
      <c r="A3906">
        <v>7916</v>
      </c>
      <c r="B3906" t="s">
        <v>9366</v>
      </c>
      <c r="C3906" t="s">
        <v>5043</v>
      </c>
      <c r="D3906" t="s">
        <v>8401</v>
      </c>
    </row>
    <row r="3907" spans="1:4" ht="15" x14ac:dyDescent="0.25">
      <c r="A3907">
        <v>8054</v>
      </c>
      <c r="B3907" t="s">
        <v>9366</v>
      </c>
      <c r="C3907" t="s">
        <v>5043</v>
      </c>
      <c r="D3907" t="s">
        <v>8401</v>
      </c>
    </row>
    <row r="3908" spans="1:4" ht="15" x14ac:dyDescent="0.25">
      <c r="A3908">
        <v>8083</v>
      </c>
      <c r="B3908" t="s">
        <v>9366</v>
      </c>
      <c r="C3908" t="s">
        <v>5043</v>
      </c>
      <c r="D3908" t="s">
        <v>8401</v>
      </c>
    </row>
    <row r="3909" spans="1:4" ht="15" x14ac:dyDescent="0.25">
      <c r="A3909">
        <v>8738</v>
      </c>
      <c r="B3909" t="s">
        <v>9366</v>
      </c>
      <c r="C3909" t="s">
        <v>5043</v>
      </c>
      <c r="D3909" t="s">
        <v>8401</v>
      </c>
    </row>
    <row r="3910" spans="1:4" ht="15" x14ac:dyDescent="0.25">
      <c r="A3910">
        <v>9537</v>
      </c>
      <c r="B3910" t="s">
        <v>9366</v>
      </c>
      <c r="C3910" t="s">
        <v>5043</v>
      </c>
      <c r="D3910" t="s">
        <v>8401</v>
      </c>
    </row>
    <row r="3911" spans="1:4" ht="15" x14ac:dyDescent="0.25">
      <c r="A3911">
        <v>10626</v>
      </c>
      <c r="B3911" t="s">
        <v>9367</v>
      </c>
      <c r="C3911" t="s">
        <v>5043</v>
      </c>
      <c r="D3911" t="s">
        <v>8401</v>
      </c>
    </row>
    <row r="3912" spans="1:4" ht="15" x14ac:dyDescent="0.25">
      <c r="A3912">
        <v>10694</v>
      </c>
      <c r="B3912" t="s">
        <v>9367</v>
      </c>
      <c r="C3912" t="s">
        <v>5043</v>
      </c>
      <c r="D3912" t="s">
        <v>8401</v>
      </c>
    </row>
    <row r="3913" spans="1:4" ht="15" x14ac:dyDescent="0.25">
      <c r="A3913">
        <v>11051</v>
      </c>
      <c r="B3913" t="s">
        <v>9367</v>
      </c>
      <c r="C3913" t="s">
        <v>5043</v>
      </c>
      <c r="D3913" t="s">
        <v>8401</v>
      </c>
    </row>
    <row r="3914" spans="1:4" ht="15" x14ac:dyDescent="0.25">
      <c r="A3914">
        <v>11628</v>
      </c>
      <c r="B3914" t="s">
        <v>9367</v>
      </c>
      <c r="C3914" t="s">
        <v>5043</v>
      </c>
      <c r="D3914" t="s">
        <v>8401</v>
      </c>
    </row>
    <row r="3915" spans="1:4" ht="15" x14ac:dyDescent="0.25">
      <c r="A3915">
        <v>8244</v>
      </c>
      <c r="B3915" t="s">
        <v>9367</v>
      </c>
      <c r="C3915" t="s">
        <v>5043</v>
      </c>
      <c r="D3915" t="s">
        <v>8401</v>
      </c>
    </row>
    <row r="3916" spans="1:4" ht="15" x14ac:dyDescent="0.25">
      <c r="A3916">
        <v>8612</v>
      </c>
      <c r="B3916" t="s">
        <v>9367</v>
      </c>
      <c r="C3916" t="s">
        <v>5043</v>
      </c>
      <c r="D3916" t="s">
        <v>8401</v>
      </c>
    </row>
    <row r="3917" spans="1:4" ht="15" x14ac:dyDescent="0.25">
      <c r="A3917">
        <v>8918</v>
      </c>
      <c r="B3917" t="s">
        <v>9367</v>
      </c>
      <c r="C3917" t="s">
        <v>5043</v>
      </c>
      <c r="D3917" t="s">
        <v>8401</v>
      </c>
    </row>
    <row r="3918" spans="1:4" ht="15" x14ac:dyDescent="0.25">
      <c r="A3918">
        <v>9064</v>
      </c>
      <c r="B3918" t="s">
        <v>9367</v>
      </c>
      <c r="C3918" t="s">
        <v>5043</v>
      </c>
      <c r="D3918" t="s">
        <v>8401</v>
      </c>
    </row>
    <row r="3919" spans="1:4" ht="15" x14ac:dyDescent="0.25">
      <c r="A3919">
        <v>8137</v>
      </c>
      <c r="B3919" t="s">
        <v>9368</v>
      </c>
      <c r="C3919" t="s">
        <v>5043</v>
      </c>
      <c r="D3919" t="s">
        <v>8401</v>
      </c>
    </row>
    <row r="3920" spans="1:4" ht="15" x14ac:dyDescent="0.25">
      <c r="A3920">
        <v>10472</v>
      </c>
      <c r="B3920" t="s">
        <v>9369</v>
      </c>
      <c r="C3920" t="s">
        <v>5043</v>
      </c>
      <c r="D3920" t="s">
        <v>8401</v>
      </c>
    </row>
    <row r="3921" spans="1:4" ht="15" x14ac:dyDescent="0.25">
      <c r="A3921">
        <v>11331</v>
      </c>
      <c r="B3921" t="s">
        <v>9369</v>
      </c>
      <c r="C3921" t="s">
        <v>5043</v>
      </c>
      <c r="D3921" t="s">
        <v>8401</v>
      </c>
    </row>
    <row r="3922" spans="1:4" ht="15" x14ac:dyDescent="0.25">
      <c r="A3922">
        <v>10825</v>
      </c>
      <c r="B3922" t="s">
        <v>9370</v>
      </c>
      <c r="C3922" t="s">
        <v>5043</v>
      </c>
      <c r="D3922" t="s">
        <v>8401</v>
      </c>
    </row>
    <row r="3923" spans="1:4" ht="15" x14ac:dyDescent="0.25">
      <c r="A3923">
        <v>12061</v>
      </c>
      <c r="B3923" t="s">
        <v>9370</v>
      </c>
      <c r="C3923" t="s">
        <v>5043</v>
      </c>
      <c r="D3923" t="s">
        <v>8401</v>
      </c>
    </row>
    <row r="3924" spans="1:4" ht="15" x14ac:dyDescent="0.25">
      <c r="A3924">
        <v>10319</v>
      </c>
      <c r="B3924" t="s">
        <v>9371</v>
      </c>
      <c r="C3924" t="s">
        <v>5043</v>
      </c>
      <c r="D3924" t="s">
        <v>8401</v>
      </c>
    </row>
    <row r="3925" spans="1:4" ht="15" x14ac:dyDescent="0.25">
      <c r="A3925">
        <v>7158</v>
      </c>
      <c r="B3925" t="s">
        <v>9371</v>
      </c>
      <c r="C3925" t="s">
        <v>5043</v>
      </c>
      <c r="D3925" t="s">
        <v>8401</v>
      </c>
    </row>
    <row r="3926" spans="1:4" ht="15" x14ac:dyDescent="0.25">
      <c r="A3926">
        <v>7984</v>
      </c>
      <c r="B3926" t="s">
        <v>9371</v>
      </c>
      <c r="C3926" t="s">
        <v>5043</v>
      </c>
      <c r="D3926" t="s">
        <v>8401</v>
      </c>
    </row>
    <row r="3927" spans="1:4" ht="15" x14ac:dyDescent="0.25">
      <c r="A3927">
        <v>9084</v>
      </c>
      <c r="B3927" t="s">
        <v>9371</v>
      </c>
      <c r="C3927" t="s">
        <v>5043</v>
      </c>
      <c r="D3927" t="s">
        <v>8401</v>
      </c>
    </row>
    <row r="3928" spans="1:4" ht="15" x14ac:dyDescent="0.25">
      <c r="A3928">
        <v>10806</v>
      </c>
      <c r="B3928" t="s">
        <v>9372</v>
      </c>
      <c r="C3928" t="s">
        <v>5043</v>
      </c>
      <c r="D3928" t="s">
        <v>8401</v>
      </c>
    </row>
    <row r="3929" spans="1:4" ht="15" x14ac:dyDescent="0.25">
      <c r="A3929">
        <v>10570</v>
      </c>
      <c r="B3929" t="s">
        <v>9373</v>
      </c>
      <c r="C3929" t="s">
        <v>5043</v>
      </c>
      <c r="D3929" t="s">
        <v>8401</v>
      </c>
    </row>
    <row r="3930" spans="1:4" ht="15" x14ac:dyDescent="0.25">
      <c r="A3930">
        <v>10750</v>
      </c>
      <c r="B3930" t="s">
        <v>9373</v>
      </c>
      <c r="C3930" t="s">
        <v>5043</v>
      </c>
      <c r="D3930" t="s">
        <v>8401</v>
      </c>
    </row>
    <row r="3931" spans="1:4" ht="15" x14ac:dyDescent="0.25">
      <c r="A3931">
        <v>9132</v>
      </c>
      <c r="B3931" t="s">
        <v>9373</v>
      </c>
      <c r="C3931" t="s">
        <v>5043</v>
      </c>
      <c r="D3931" t="s">
        <v>8401</v>
      </c>
    </row>
    <row r="3932" spans="1:4" ht="15" x14ac:dyDescent="0.25">
      <c r="A3932">
        <v>11734</v>
      </c>
      <c r="B3932" t="s">
        <v>9374</v>
      </c>
      <c r="C3932" t="s">
        <v>5043</v>
      </c>
      <c r="D3932" t="s">
        <v>8401</v>
      </c>
    </row>
    <row r="3933" spans="1:4" ht="15" x14ac:dyDescent="0.25">
      <c r="A3933">
        <v>11870</v>
      </c>
      <c r="B3933" t="s">
        <v>9375</v>
      </c>
      <c r="C3933" t="s">
        <v>5043</v>
      </c>
      <c r="D3933" t="s">
        <v>8401</v>
      </c>
    </row>
    <row r="3934" spans="1:4" ht="15" x14ac:dyDescent="0.25">
      <c r="A3934">
        <v>7342</v>
      </c>
      <c r="B3934" t="s">
        <v>9375</v>
      </c>
      <c r="C3934" t="s">
        <v>5043</v>
      </c>
      <c r="D3934" t="s">
        <v>8401</v>
      </c>
    </row>
    <row r="3935" spans="1:4" ht="15" x14ac:dyDescent="0.25">
      <c r="A3935">
        <v>7381</v>
      </c>
      <c r="B3935" t="s">
        <v>9375</v>
      </c>
      <c r="C3935" t="s">
        <v>5043</v>
      </c>
      <c r="D3935" t="s">
        <v>8401</v>
      </c>
    </row>
    <row r="3936" spans="1:4" ht="15" x14ac:dyDescent="0.25">
      <c r="A3936">
        <v>8089</v>
      </c>
      <c r="B3936" t="s">
        <v>9375</v>
      </c>
      <c r="C3936" t="s">
        <v>5043</v>
      </c>
      <c r="D3936" t="s">
        <v>8401</v>
      </c>
    </row>
    <row r="3937" spans="1:4" ht="15" x14ac:dyDescent="0.25">
      <c r="A3937">
        <v>8405</v>
      </c>
      <c r="B3937" t="s">
        <v>9375</v>
      </c>
      <c r="C3937" t="s">
        <v>5043</v>
      </c>
      <c r="D3937" t="s">
        <v>8401</v>
      </c>
    </row>
    <row r="3938" spans="1:4" ht="15" x14ac:dyDescent="0.25">
      <c r="A3938">
        <v>9900</v>
      </c>
      <c r="B3938" t="s">
        <v>9375</v>
      </c>
      <c r="C3938" t="s">
        <v>5043</v>
      </c>
      <c r="D3938" t="s">
        <v>8401</v>
      </c>
    </row>
    <row r="3939" spans="1:4" ht="15" x14ac:dyDescent="0.25">
      <c r="A3939">
        <v>10002</v>
      </c>
      <c r="B3939" t="s">
        <v>9376</v>
      </c>
      <c r="C3939" t="s">
        <v>5043</v>
      </c>
      <c r="D3939" t="s">
        <v>8401</v>
      </c>
    </row>
    <row r="3940" spans="1:4" ht="15" x14ac:dyDescent="0.25">
      <c r="A3940">
        <v>7040</v>
      </c>
      <c r="B3940" t="s">
        <v>9376</v>
      </c>
      <c r="C3940" t="s">
        <v>5043</v>
      </c>
      <c r="D3940" t="s">
        <v>8401</v>
      </c>
    </row>
    <row r="3941" spans="1:4" ht="15" x14ac:dyDescent="0.25">
      <c r="A3941">
        <v>7338</v>
      </c>
      <c r="B3941" t="s">
        <v>9376</v>
      </c>
      <c r="C3941" t="s">
        <v>5043</v>
      </c>
      <c r="D3941" t="s">
        <v>8401</v>
      </c>
    </row>
    <row r="3942" spans="1:4" ht="15" x14ac:dyDescent="0.25">
      <c r="A3942">
        <v>8438</v>
      </c>
      <c r="B3942" t="s">
        <v>9376</v>
      </c>
      <c r="C3942" t="s">
        <v>5043</v>
      </c>
      <c r="D3942" t="s">
        <v>8401</v>
      </c>
    </row>
    <row r="3943" spans="1:4" ht="15" x14ac:dyDescent="0.25">
      <c r="A3943">
        <v>9200</v>
      </c>
      <c r="B3943" t="s">
        <v>9376</v>
      </c>
      <c r="C3943" t="s">
        <v>5043</v>
      </c>
      <c r="D3943" t="s">
        <v>8401</v>
      </c>
    </row>
    <row r="3944" spans="1:4" ht="15" x14ac:dyDescent="0.25">
      <c r="A3944">
        <v>9683</v>
      </c>
      <c r="B3944" t="s">
        <v>9376</v>
      </c>
      <c r="C3944" t="s">
        <v>5043</v>
      </c>
      <c r="D3944" t="s">
        <v>8401</v>
      </c>
    </row>
    <row r="3945" spans="1:4" ht="15" x14ac:dyDescent="0.25">
      <c r="A3945">
        <v>7708</v>
      </c>
      <c r="B3945" t="s">
        <v>9377</v>
      </c>
      <c r="C3945" t="s">
        <v>5043</v>
      </c>
      <c r="D3945" t="s">
        <v>8401</v>
      </c>
    </row>
    <row r="3946" spans="1:4" ht="15" x14ac:dyDescent="0.25">
      <c r="A3946">
        <v>10367</v>
      </c>
      <c r="B3946" t="s">
        <v>9378</v>
      </c>
      <c r="C3946" t="s">
        <v>5043</v>
      </c>
      <c r="D3946" t="s">
        <v>8401</v>
      </c>
    </row>
    <row r="3947" spans="1:4" ht="15" x14ac:dyDescent="0.25">
      <c r="A3947">
        <v>11887</v>
      </c>
      <c r="B3947" t="s">
        <v>9379</v>
      </c>
      <c r="C3947" t="s">
        <v>5043</v>
      </c>
      <c r="D3947" t="s">
        <v>8401</v>
      </c>
    </row>
    <row r="3948" spans="1:4" ht="15" x14ac:dyDescent="0.25">
      <c r="A3948">
        <v>9793</v>
      </c>
      <c r="B3948" t="s">
        <v>9379</v>
      </c>
      <c r="C3948" t="s">
        <v>5043</v>
      </c>
      <c r="D3948" t="s">
        <v>8401</v>
      </c>
    </row>
    <row r="3949" spans="1:4" ht="15" x14ac:dyDescent="0.25">
      <c r="A3949">
        <v>10430</v>
      </c>
      <c r="B3949" t="s">
        <v>11115</v>
      </c>
      <c r="C3949" t="s">
        <v>5043</v>
      </c>
      <c r="D3949" t="s">
        <v>8401</v>
      </c>
    </row>
    <row r="3950" spans="1:4" ht="15" x14ac:dyDescent="0.25">
      <c r="A3950">
        <v>11970</v>
      </c>
      <c r="B3950" t="s">
        <v>11115</v>
      </c>
      <c r="C3950" t="s">
        <v>5043</v>
      </c>
      <c r="D3950" t="s">
        <v>8401</v>
      </c>
    </row>
    <row r="3951" spans="1:4" ht="15" x14ac:dyDescent="0.25">
      <c r="A3951">
        <v>6733</v>
      </c>
      <c r="B3951" t="s">
        <v>11115</v>
      </c>
      <c r="C3951" t="s">
        <v>5043</v>
      </c>
      <c r="D3951" t="s">
        <v>8401</v>
      </c>
    </row>
    <row r="3952" spans="1:4" ht="15" x14ac:dyDescent="0.25">
      <c r="A3952">
        <v>7435</v>
      </c>
      <c r="B3952" t="s">
        <v>11115</v>
      </c>
      <c r="C3952" t="s">
        <v>5043</v>
      </c>
      <c r="D3952" t="s">
        <v>8401</v>
      </c>
    </row>
    <row r="3953" spans="1:4" ht="15" x14ac:dyDescent="0.25">
      <c r="A3953">
        <v>7932</v>
      </c>
      <c r="B3953" t="s">
        <v>11115</v>
      </c>
      <c r="C3953" t="s">
        <v>5043</v>
      </c>
      <c r="D3953" t="s">
        <v>8401</v>
      </c>
    </row>
    <row r="3954" spans="1:4" ht="15" x14ac:dyDescent="0.25">
      <c r="A3954">
        <v>8076</v>
      </c>
      <c r="B3954" t="s">
        <v>11115</v>
      </c>
      <c r="C3954" t="s">
        <v>5043</v>
      </c>
      <c r="D3954" t="s">
        <v>8401</v>
      </c>
    </row>
    <row r="3955" spans="1:4" ht="15" x14ac:dyDescent="0.25">
      <c r="A3955">
        <v>8534</v>
      </c>
      <c r="B3955" t="s">
        <v>11115</v>
      </c>
      <c r="C3955" t="s">
        <v>5043</v>
      </c>
      <c r="D3955" t="s">
        <v>8401</v>
      </c>
    </row>
    <row r="3956" spans="1:4" ht="15" x14ac:dyDescent="0.25">
      <c r="A3956">
        <v>9994</v>
      </c>
      <c r="B3956" t="s">
        <v>11115</v>
      </c>
      <c r="C3956" t="s">
        <v>5043</v>
      </c>
      <c r="D3956" t="s">
        <v>8401</v>
      </c>
    </row>
    <row r="3957" spans="1:4" ht="15" x14ac:dyDescent="0.25">
      <c r="A3957">
        <v>10634</v>
      </c>
      <c r="B3957" t="s">
        <v>11116</v>
      </c>
      <c r="C3957" t="s">
        <v>5043</v>
      </c>
      <c r="D3957" t="s">
        <v>8401</v>
      </c>
    </row>
    <row r="3958" spans="1:4" ht="15" x14ac:dyDescent="0.25">
      <c r="A3958">
        <v>11694</v>
      </c>
      <c r="B3958" t="s">
        <v>11116</v>
      </c>
      <c r="C3958" t="s">
        <v>5043</v>
      </c>
      <c r="D3958" t="s">
        <v>8401</v>
      </c>
    </row>
    <row r="3959" spans="1:4" ht="15" x14ac:dyDescent="0.25">
      <c r="A3959">
        <v>7742</v>
      </c>
      <c r="B3959" t="s">
        <v>11116</v>
      </c>
      <c r="C3959" t="s">
        <v>5043</v>
      </c>
      <c r="D3959" t="s">
        <v>8401</v>
      </c>
    </row>
    <row r="3960" spans="1:4" ht="15" x14ac:dyDescent="0.25">
      <c r="A3960">
        <v>8379</v>
      </c>
      <c r="B3960" t="s">
        <v>11116</v>
      </c>
      <c r="C3960" t="s">
        <v>5043</v>
      </c>
      <c r="D3960" t="s">
        <v>8401</v>
      </c>
    </row>
    <row r="3961" spans="1:4" ht="15" x14ac:dyDescent="0.25">
      <c r="A3961">
        <v>9512</v>
      </c>
      <c r="B3961" t="s">
        <v>11116</v>
      </c>
      <c r="C3961" t="s">
        <v>5043</v>
      </c>
      <c r="D3961" t="s">
        <v>8401</v>
      </c>
    </row>
    <row r="3962" spans="1:4" ht="15" x14ac:dyDescent="0.25">
      <c r="A3962">
        <v>10997</v>
      </c>
      <c r="B3962" t="s">
        <v>11117</v>
      </c>
      <c r="C3962" t="s">
        <v>5043</v>
      </c>
      <c r="D3962" t="s">
        <v>8401</v>
      </c>
    </row>
    <row r="3963" spans="1:4" ht="15" x14ac:dyDescent="0.25">
      <c r="A3963">
        <v>7097</v>
      </c>
      <c r="B3963" t="s">
        <v>11117</v>
      </c>
      <c r="C3963" t="s">
        <v>5043</v>
      </c>
      <c r="D3963" t="s">
        <v>8401</v>
      </c>
    </row>
    <row r="3964" spans="1:4" ht="15" x14ac:dyDescent="0.25">
      <c r="A3964">
        <v>7234</v>
      </c>
      <c r="B3964" t="s">
        <v>11117</v>
      </c>
      <c r="C3964" t="s">
        <v>5043</v>
      </c>
      <c r="D3964" t="s">
        <v>8401</v>
      </c>
    </row>
    <row r="3965" spans="1:4" ht="15" x14ac:dyDescent="0.25">
      <c r="A3965">
        <v>8841</v>
      </c>
      <c r="B3965" t="s">
        <v>11117</v>
      </c>
      <c r="C3965" t="s">
        <v>5043</v>
      </c>
      <c r="D3965" t="s">
        <v>8401</v>
      </c>
    </row>
    <row r="3966" spans="1:4" ht="15" x14ac:dyDescent="0.25">
      <c r="A3966">
        <v>251582</v>
      </c>
      <c r="B3966" t="s">
        <v>11587</v>
      </c>
      <c r="C3966" t="s">
        <v>5043</v>
      </c>
      <c r="D3966" t="s">
        <v>8401</v>
      </c>
    </row>
    <row r="3967" spans="1:4" ht="15" x14ac:dyDescent="0.25">
      <c r="A3967">
        <v>251583</v>
      </c>
      <c r="B3967" t="s">
        <v>11587</v>
      </c>
      <c r="C3967" t="s">
        <v>5043</v>
      </c>
      <c r="D3967" t="s">
        <v>8401</v>
      </c>
    </row>
    <row r="3968" spans="1:4" ht="15" x14ac:dyDescent="0.25">
      <c r="A3968">
        <v>251584</v>
      </c>
      <c r="B3968" t="s">
        <v>11587</v>
      </c>
      <c r="C3968" t="s">
        <v>5043</v>
      </c>
      <c r="D3968" t="s">
        <v>8401</v>
      </c>
    </row>
    <row r="3969" spans="1:4" ht="15" x14ac:dyDescent="0.25">
      <c r="A3969">
        <v>251585</v>
      </c>
      <c r="B3969" t="s">
        <v>11587</v>
      </c>
      <c r="C3969" t="s">
        <v>5043</v>
      </c>
      <c r="D3969" t="s">
        <v>8401</v>
      </c>
    </row>
    <row r="3970" spans="1:4" ht="15" x14ac:dyDescent="0.25">
      <c r="A3970">
        <v>10831</v>
      </c>
      <c r="B3970" t="s">
        <v>11118</v>
      </c>
      <c r="C3970" t="s">
        <v>5043</v>
      </c>
      <c r="D3970" t="s">
        <v>8401</v>
      </c>
    </row>
    <row r="3971" spans="1:4" ht="15" x14ac:dyDescent="0.25">
      <c r="A3971">
        <v>10996</v>
      </c>
      <c r="B3971" t="s">
        <v>11118</v>
      </c>
      <c r="C3971" t="s">
        <v>5043</v>
      </c>
      <c r="D3971" t="s">
        <v>8401</v>
      </c>
    </row>
    <row r="3972" spans="1:4" ht="15" x14ac:dyDescent="0.25">
      <c r="A3972">
        <v>7032</v>
      </c>
      <c r="B3972" t="s">
        <v>11118</v>
      </c>
      <c r="C3972" t="s">
        <v>5043</v>
      </c>
      <c r="D3972" t="s">
        <v>8401</v>
      </c>
    </row>
    <row r="3973" spans="1:4" ht="15" x14ac:dyDescent="0.25">
      <c r="A3973">
        <v>11219</v>
      </c>
      <c r="B3973" t="s">
        <v>9380</v>
      </c>
      <c r="C3973" t="s">
        <v>5043</v>
      </c>
      <c r="D3973" t="s">
        <v>8401</v>
      </c>
    </row>
    <row r="3974" spans="1:4" ht="15" x14ac:dyDescent="0.25">
      <c r="A3974">
        <v>6736</v>
      </c>
      <c r="B3974" t="s">
        <v>9380</v>
      </c>
      <c r="C3974" t="s">
        <v>5043</v>
      </c>
      <c r="D3974" t="s">
        <v>8401</v>
      </c>
    </row>
    <row r="3975" spans="1:4" ht="15" x14ac:dyDescent="0.25">
      <c r="A3975">
        <v>10589</v>
      </c>
      <c r="B3975" t="s">
        <v>11119</v>
      </c>
      <c r="C3975" t="s">
        <v>5043</v>
      </c>
      <c r="D3975" t="s">
        <v>8401</v>
      </c>
    </row>
    <row r="3976" spans="1:4" ht="15" x14ac:dyDescent="0.25">
      <c r="A3976">
        <v>10993</v>
      </c>
      <c r="B3976" t="s">
        <v>11119</v>
      </c>
      <c r="C3976" t="s">
        <v>5043</v>
      </c>
      <c r="D3976" t="s">
        <v>8401</v>
      </c>
    </row>
    <row r="3977" spans="1:4" ht="15" x14ac:dyDescent="0.25">
      <c r="A3977">
        <v>11133</v>
      </c>
      <c r="B3977" t="s">
        <v>11119</v>
      </c>
      <c r="C3977" t="s">
        <v>5043</v>
      </c>
      <c r="D3977" t="s">
        <v>8401</v>
      </c>
    </row>
    <row r="3978" spans="1:4" ht="15" x14ac:dyDescent="0.25">
      <c r="A3978">
        <v>7706</v>
      </c>
      <c r="B3978" t="s">
        <v>11119</v>
      </c>
      <c r="C3978" t="s">
        <v>5043</v>
      </c>
      <c r="D3978" t="s">
        <v>8401</v>
      </c>
    </row>
    <row r="3979" spans="1:4" ht="15" x14ac:dyDescent="0.25">
      <c r="A3979">
        <v>8097</v>
      </c>
      <c r="B3979" t="s">
        <v>11119</v>
      </c>
      <c r="C3979" t="s">
        <v>5043</v>
      </c>
      <c r="D3979" t="s">
        <v>8401</v>
      </c>
    </row>
    <row r="3980" spans="1:4" ht="15" x14ac:dyDescent="0.25">
      <c r="A3980">
        <v>8124</v>
      </c>
      <c r="B3980" t="s">
        <v>11119</v>
      </c>
      <c r="C3980" t="s">
        <v>5043</v>
      </c>
      <c r="D3980" t="s">
        <v>8401</v>
      </c>
    </row>
    <row r="3981" spans="1:4" ht="15" x14ac:dyDescent="0.25">
      <c r="A3981">
        <v>9097</v>
      </c>
      <c r="B3981" t="s">
        <v>11120</v>
      </c>
      <c r="C3981" t="s">
        <v>5043</v>
      </c>
      <c r="D3981" t="s">
        <v>8401</v>
      </c>
    </row>
    <row r="3982" spans="1:4" ht="15" x14ac:dyDescent="0.25">
      <c r="A3982">
        <v>10607</v>
      </c>
      <c r="B3982" t="s">
        <v>9381</v>
      </c>
      <c r="C3982" t="s">
        <v>5043</v>
      </c>
      <c r="D3982" t="s">
        <v>8401</v>
      </c>
    </row>
    <row r="3983" spans="1:4" ht="15" x14ac:dyDescent="0.25">
      <c r="A3983">
        <v>8451</v>
      </c>
      <c r="B3983" t="s">
        <v>9381</v>
      </c>
      <c r="C3983" t="s">
        <v>5043</v>
      </c>
      <c r="D3983" t="s">
        <v>8401</v>
      </c>
    </row>
    <row r="3984" spans="1:4" ht="15" x14ac:dyDescent="0.25">
      <c r="A3984">
        <v>10796</v>
      </c>
      <c r="B3984" t="s">
        <v>11121</v>
      </c>
      <c r="C3984" t="s">
        <v>5043</v>
      </c>
      <c r="D3984" t="s">
        <v>8401</v>
      </c>
    </row>
    <row r="3985" spans="1:4" ht="15" x14ac:dyDescent="0.25">
      <c r="A3985">
        <v>10797</v>
      </c>
      <c r="B3985" t="s">
        <v>11121</v>
      </c>
      <c r="C3985" t="s">
        <v>5043</v>
      </c>
      <c r="D3985" t="s">
        <v>8401</v>
      </c>
    </row>
    <row r="3986" spans="1:4" ht="15" x14ac:dyDescent="0.25">
      <c r="A3986">
        <v>6903</v>
      </c>
      <c r="B3986" t="s">
        <v>11121</v>
      </c>
      <c r="C3986" t="s">
        <v>5043</v>
      </c>
      <c r="D3986" t="s">
        <v>8401</v>
      </c>
    </row>
    <row r="3987" spans="1:4" ht="15" x14ac:dyDescent="0.25">
      <c r="A3987">
        <v>6984</v>
      </c>
      <c r="B3987" t="s">
        <v>11121</v>
      </c>
      <c r="C3987" t="s">
        <v>5043</v>
      </c>
      <c r="D3987" t="s">
        <v>8401</v>
      </c>
    </row>
    <row r="3988" spans="1:4" ht="15" x14ac:dyDescent="0.25">
      <c r="A3988">
        <v>7212</v>
      </c>
      <c r="B3988" t="s">
        <v>11121</v>
      </c>
      <c r="C3988" t="s">
        <v>5043</v>
      </c>
      <c r="D3988" t="s">
        <v>8401</v>
      </c>
    </row>
    <row r="3989" spans="1:4" ht="15" x14ac:dyDescent="0.25">
      <c r="A3989">
        <v>8982</v>
      </c>
      <c r="B3989" t="s">
        <v>11121</v>
      </c>
      <c r="C3989" t="s">
        <v>5043</v>
      </c>
      <c r="D3989" t="s">
        <v>8401</v>
      </c>
    </row>
    <row r="3990" spans="1:4" ht="15" x14ac:dyDescent="0.25">
      <c r="A3990">
        <v>8362</v>
      </c>
      <c r="B3990" t="s">
        <v>11122</v>
      </c>
      <c r="C3990" t="s">
        <v>5043</v>
      </c>
      <c r="D3990" t="s">
        <v>8401</v>
      </c>
    </row>
    <row r="3991" spans="1:4" ht="15" x14ac:dyDescent="0.25">
      <c r="A3991">
        <v>8031</v>
      </c>
      <c r="B3991" t="s">
        <v>9382</v>
      </c>
      <c r="C3991" t="s">
        <v>5043</v>
      </c>
      <c r="D3991" t="s">
        <v>8401</v>
      </c>
    </row>
    <row r="3992" spans="1:4" ht="15" x14ac:dyDescent="0.25">
      <c r="A3992">
        <v>11374</v>
      </c>
      <c r="B3992" t="s">
        <v>9383</v>
      </c>
      <c r="C3992" t="s">
        <v>5043</v>
      </c>
      <c r="D3992" t="s">
        <v>8401</v>
      </c>
    </row>
    <row r="3993" spans="1:4" ht="15" x14ac:dyDescent="0.25">
      <c r="A3993">
        <v>8074</v>
      </c>
      <c r="B3993" t="s">
        <v>9384</v>
      </c>
      <c r="C3993" t="s">
        <v>5043</v>
      </c>
      <c r="D3993" t="s">
        <v>8401</v>
      </c>
    </row>
    <row r="3994" spans="1:4" ht="15" x14ac:dyDescent="0.25">
      <c r="A3994">
        <v>11890</v>
      </c>
      <c r="B3994" t="s">
        <v>9385</v>
      </c>
      <c r="C3994" t="s">
        <v>5043</v>
      </c>
      <c r="D3994" t="s">
        <v>8401</v>
      </c>
    </row>
    <row r="3995" spans="1:4" ht="15" x14ac:dyDescent="0.25">
      <c r="A3995">
        <v>11937</v>
      </c>
      <c r="B3995" t="s">
        <v>9385</v>
      </c>
      <c r="C3995" t="s">
        <v>5043</v>
      </c>
      <c r="D3995" t="s">
        <v>8401</v>
      </c>
    </row>
    <row r="3996" spans="1:4" ht="15" x14ac:dyDescent="0.25">
      <c r="A3996">
        <v>8314</v>
      </c>
      <c r="B3996" t="s">
        <v>9385</v>
      </c>
      <c r="C3996" t="s">
        <v>5043</v>
      </c>
      <c r="D3996" t="s">
        <v>8401</v>
      </c>
    </row>
    <row r="3997" spans="1:4" ht="15" x14ac:dyDescent="0.25">
      <c r="A3997">
        <v>11497</v>
      </c>
      <c r="B3997" t="s">
        <v>9386</v>
      </c>
      <c r="C3997" t="s">
        <v>5043</v>
      </c>
      <c r="D3997" t="s">
        <v>8401</v>
      </c>
    </row>
    <row r="3998" spans="1:4" ht="15" x14ac:dyDescent="0.25">
      <c r="A3998">
        <v>11697</v>
      </c>
      <c r="B3998" t="s">
        <v>9386</v>
      </c>
      <c r="C3998" t="s">
        <v>5043</v>
      </c>
      <c r="D3998" t="s">
        <v>8401</v>
      </c>
    </row>
    <row r="3999" spans="1:4" ht="15" x14ac:dyDescent="0.25">
      <c r="A3999">
        <v>7978</v>
      </c>
      <c r="B3999" t="s">
        <v>9386</v>
      </c>
      <c r="C3999" t="s">
        <v>5043</v>
      </c>
      <c r="D3999" t="s">
        <v>8401</v>
      </c>
    </row>
    <row r="4000" spans="1:4" ht="15" x14ac:dyDescent="0.25">
      <c r="A4000">
        <v>10804</v>
      </c>
      <c r="B4000" t="s">
        <v>9387</v>
      </c>
      <c r="C4000" t="s">
        <v>5043</v>
      </c>
      <c r="D4000" t="s">
        <v>8401</v>
      </c>
    </row>
    <row r="4001" spans="1:4" ht="15" x14ac:dyDescent="0.25">
      <c r="A4001">
        <v>11883</v>
      </c>
      <c r="B4001" t="s">
        <v>9388</v>
      </c>
      <c r="C4001" t="s">
        <v>5043</v>
      </c>
      <c r="D4001" t="s">
        <v>8401</v>
      </c>
    </row>
    <row r="4002" spans="1:4" ht="15" x14ac:dyDescent="0.25">
      <c r="A4002">
        <v>11614</v>
      </c>
      <c r="B4002" t="s">
        <v>9389</v>
      </c>
      <c r="C4002" t="s">
        <v>5043</v>
      </c>
      <c r="D4002" t="s">
        <v>8401</v>
      </c>
    </row>
    <row r="4003" spans="1:4" ht="15" x14ac:dyDescent="0.25">
      <c r="A4003">
        <v>11855</v>
      </c>
      <c r="B4003" t="s">
        <v>9390</v>
      </c>
      <c r="C4003" t="s">
        <v>5043</v>
      </c>
      <c r="D4003" t="s">
        <v>8401</v>
      </c>
    </row>
    <row r="4004" spans="1:4" ht="15" x14ac:dyDescent="0.25">
      <c r="A4004">
        <v>6811</v>
      </c>
      <c r="B4004" t="s">
        <v>9390</v>
      </c>
      <c r="C4004" t="s">
        <v>5043</v>
      </c>
      <c r="D4004" t="s">
        <v>8401</v>
      </c>
    </row>
    <row r="4005" spans="1:4" ht="15" x14ac:dyDescent="0.25">
      <c r="A4005">
        <v>6849</v>
      </c>
      <c r="B4005" t="s">
        <v>9390</v>
      </c>
      <c r="C4005" t="s">
        <v>5043</v>
      </c>
      <c r="D4005" t="s">
        <v>8401</v>
      </c>
    </row>
    <row r="4006" spans="1:4" ht="15" x14ac:dyDescent="0.25">
      <c r="A4006">
        <v>9225</v>
      </c>
      <c r="B4006" t="s">
        <v>9390</v>
      </c>
      <c r="C4006" t="s">
        <v>5043</v>
      </c>
      <c r="D4006" t="s">
        <v>8401</v>
      </c>
    </row>
    <row r="4007" spans="1:4" ht="15" x14ac:dyDescent="0.25">
      <c r="A4007">
        <v>9509</v>
      </c>
      <c r="B4007" t="s">
        <v>9390</v>
      </c>
      <c r="C4007" t="s">
        <v>5043</v>
      </c>
      <c r="D4007" t="s">
        <v>8401</v>
      </c>
    </row>
    <row r="4008" spans="1:4" ht="15" x14ac:dyDescent="0.25">
      <c r="A4008">
        <v>11450</v>
      </c>
      <c r="B4008" t="s">
        <v>11123</v>
      </c>
      <c r="C4008" t="s">
        <v>5043</v>
      </c>
      <c r="D4008" t="s">
        <v>8401</v>
      </c>
    </row>
    <row r="4009" spans="1:4" ht="15" x14ac:dyDescent="0.25">
      <c r="A4009">
        <v>11550</v>
      </c>
      <c r="B4009" t="s">
        <v>11123</v>
      </c>
      <c r="C4009" t="s">
        <v>5043</v>
      </c>
      <c r="D4009" t="s">
        <v>8401</v>
      </c>
    </row>
    <row r="4010" spans="1:4" ht="15" x14ac:dyDescent="0.25">
      <c r="A4010">
        <v>10099</v>
      </c>
      <c r="B4010" t="s">
        <v>9391</v>
      </c>
      <c r="C4010" t="s">
        <v>5043</v>
      </c>
      <c r="D4010" t="s">
        <v>8401</v>
      </c>
    </row>
    <row r="4011" spans="1:4" ht="15" x14ac:dyDescent="0.25">
      <c r="A4011">
        <v>10297</v>
      </c>
      <c r="B4011" t="s">
        <v>9391</v>
      </c>
      <c r="C4011" t="s">
        <v>5043</v>
      </c>
      <c r="D4011" t="s">
        <v>8401</v>
      </c>
    </row>
    <row r="4012" spans="1:4" ht="15" x14ac:dyDescent="0.25">
      <c r="A4012">
        <v>11427</v>
      </c>
      <c r="B4012" t="s">
        <v>9391</v>
      </c>
      <c r="C4012" t="s">
        <v>5043</v>
      </c>
      <c r="D4012" t="s">
        <v>8401</v>
      </c>
    </row>
    <row r="4013" spans="1:4" ht="15" x14ac:dyDescent="0.25">
      <c r="A4013">
        <v>6831</v>
      </c>
      <c r="B4013" t="s">
        <v>9391</v>
      </c>
      <c r="C4013" t="s">
        <v>5043</v>
      </c>
      <c r="D4013" t="s">
        <v>8401</v>
      </c>
    </row>
    <row r="4014" spans="1:4" ht="15" x14ac:dyDescent="0.25">
      <c r="A4014">
        <v>7034</v>
      </c>
      <c r="B4014" t="s">
        <v>9391</v>
      </c>
      <c r="C4014" t="s">
        <v>5043</v>
      </c>
      <c r="D4014" t="s">
        <v>8401</v>
      </c>
    </row>
    <row r="4015" spans="1:4" ht="15" x14ac:dyDescent="0.25">
      <c r="A4015">
        <v>7379</v>
      </c>
      <c r="B4015" t="s">
        <v>9391</v>
      </c>
      <c r="C4015" t="s">
        <v>5043</v>
      </c>
      <c r="D4015" t="s">
        <v>8401</v>
      </c>
    </row>
    <row r="4016" spans="1:4" ht="15" x14ac:dyDescent="0.25">
      <c r="A4016">
        <v>8284</v>
      </c>
      <c r="B4016" t="s">
        <v>9391</v>
      </c>
      <c r="C4016" t="s">
        <v>5043</v>
      </c>
      <c r="D4016" t="s">
        <v>8401</v>
      </c>
    </row>
    <row r="4017" spans="1:4" ht="15" x14ac:dyDescent="0.25">
      <c r="A4017">
        <v>9155</v>
      </c>
      <c r="B4017" t="s">
        <v>9391</v>
      </c>
      <c r="C4017" t="s">
        <v>5043</v>
      </c>
      <c r="D4017" t="s">
        <v>8401</v>
      </c>
    </row>
    <row r="4018" spans="1:4" ht="15" x14ac:dyDescent="0.25">
      <c r="A4018">
        <v>9400</v>
      </c>
      <c r="B4018" t="s">
        <v>9391</v>
      </c>
      <c r="C4018" t="s">
        <v>5043</v>
      </c>
      <c r="D4018" t="s">
        <v>8401</v>
      </c>
    </row>
    <row r="4019" spans="1:4" ht="15" x14ac:dyDescent="0.25">
      <c r="A4019">
        <v>10150</v>
      </c>
      <c r="B4019" t="s">
        <v>9392</v>
      </c>
      <c r="C4019" t="s">
        <v>5043</v>
      </c>
      <c r="D4019" t="s">
        <v>8401</v>
      </c>
    </row>
    <row r="4020" spans="1:4" ht="15" x14ac:dyDescent="0.25">
      <c r="A4020">
        <v>10341</v>
      </c>
      <c r="B4020" t="s">
        <v>11124</v>
      </c>
      <c r="C4020" t="s">
        <v>5043</v>
      </c>
      <c r="D4020" t="s">
        <v>8401</v>
      </c>
    </row>
    <row r="4021" spans="1:4" ht="15" x14ac:dyDescent="0.25">
      <c r="A4021">
        <v>10487</v>
      </c>
      <c r="B4021" t="s">
        <v>11124</v>
      </c>
      <c r="C4021" t="s">
        <v>5043</v>
      </c>
      <c r="D4021" t="s">
        <v>8401</v>
      </c>
    </row>
    <row r="4022" spans="1:4" ht="15" x14ac:dyDescent="0.25">
      <c r="A4022">
        <v>11034</v>
      </c>
      <c r="B4022" t="s">
        <v>11124</v>
      </c>
      <c r="C4022" t="s">
        <v>5043</v>
      </c>
      <c r="D4022" t="s">
        <v>8401</v>
      </c>
    </row>
    <row r="4023" spans="1:4" ht="15" x14ac:dyDescent="0.25">
      <c r="A4023">
        <v>11097</v>
      </c>
      <c r="B4023" t="s">
        <v>11124</v>
      </c>
      <c r="C4023" t="s">
        <v>5043</v>
      </c>
      <c r="D4023" t="s">
        <v>8401</v>
      </c>
    </row>
    <row r="4024" spans="1:4" ht="15" x14ac:dyDescent="0.25">
      <c r="A4024">
        <v>11542</v>
      </c>
      <c r="B4024" t="s">
        <v>9393</v>
      </c>
      <c r="C4024" t="s">
        <v>5043</v>
      </c>
      <c r="D4024" t="s">
        <v>8401</v>
      </c>
    </row>
    <row r="4025" spans="1:4" ht="15" x14ac:dyDescent="0.25">
      <c r="A4025">
        <v>9684</v>
      </c>
      <c r="B4025" t="s">
        <v>9393</v>
      </c>
      <c r="C4025" t="s">
        <v>5043</v>
      </c>
      <c r="D4025" t="s">
        <v>8401</v>
      </c>
    </row>
    <row r="4026" spans="1:4" ht="15" x14ac:dyDescent="0.25">
      <c r="A4026">
        <v>11863</v>
      </c>
      <c r="B4026" t="s">
        <v>9394</v>
      </c>
      <c r="C4026" t="s">
        <v>5043</v>
      </c>
      <c r="D4026" t="s">
        <v>8401</v>
      </c>
    </row>
    <row r="4027" spans="1:4" ht="15" x14ac:dyDescent="0.25">
      <c r="A4027">
        <v>7214</v>
      </c>
      <c r="B4027" t="s">
        <v>9394</v>
      </c>
      <c r="C4027" t="s">
        <v>5043</v>
      </c>
      <c r="D4027" t="s">
        <v>8401</v>
      </c>
    </row>
    <row r="4028" spans="1:4" ht="15" x14ac:dyDescent="0.25">
      <c r="A4028">
        <v>6968</v>
      </c>
      <c r="B4028" t="s">
        <v>11125</v>
      </c>
      <c r="C4028" t="s">
        <v>5043</v>
      </c>
      <c r="D4028" t="s">
        <v>8401</v>
      </c>
    </row>
    <row r="4029" spans="1:4" ht="15" x14ac:dyDescent="0.25">
      <c r="A4029">
        <v>9895</v>
      </c>
      <c r="B4029" t="s">
        <v>11126</v>
      </c>
      <c r="C4029" t="s">
        <v>5043</v>
      </c>
      <c r="D4029" t="s">
        <v>8401</v>
      </c>
    </row>
    <row r="4030" spans="1:4" ht="15" x14ac:dyDescent="0.25">
      <c r="A4030">
        <v>7350</v>
      </c>
      <c r="B4030" t="s">
        <v>11127</v>
      </c>
      <c r="C4030" t="s">
        <v>5043</v>
      </c>
      <c r="D4030" t="s">
        <v>8401</v>
      </c>
    </row>
    <row r="4031" spans="1:4" ht="15" x14ac:dyDescent="0.25">
      <c r="A4031">
        <v>11350</v>
      </c>
      <c r="B4031" t="s">
        <v>11128</v>
      </c>
      <c r="C4031" t="s">
        <v>5043</v>
      </c>
      <c r="D4031" t="s">
        <v>8401</v>
      </c>
    </row>
    <row r="4032" spans="1:4" ht="15" x14ac:dyDescent="0.25">
      <c r="A4032">
        <v>7064</v>
      </c>
      <c r="B4032" t="s">
        <v>9395</v>
      </c>
      <c r="C4032" t="s">
        <v>5043</v>
      </c>
      <c r="D4032" t="s">
        <v>8401</v>
      </c>
    </row>
    <row r="4033" spans="1:4" ht="15" x14ac:dyDescent="0.25">
      <c r="A4033">
        <v>9713</v>
      </c>
      <c r="B4033" t="s">
        <v>9395</v>
      </c>
      <c r="C4033" t="s">
        <v>5043</v>
      </c>
      <c r="D4033" t="s">
        <v>8401</v>
      </c>
    </row>
    <row r="4034" spans="1:4" ht="15" x14ac:dyDescent="0.25">
      <c r="A4034">
        <v>10038</v>
      </c>
      <c r="B4034" t="s">
        <v>11129</v>
      </c>
      <c r="C4034" t="s">
        <v>5043</v>
      </c>
      <c r="D4034" t="s">
        <v>8401</v>
      </c>
    </row>
    <row r="4035" spans="1:4" ht="15" x14ac:dyDescent="0.25">
      <c r="A4035">
        <v>10089</v>
      </c>
      <c r="B4035" t="s">
        <v>11129</v>
      </c>
      <c r="C4035" t="s">
        <v>5043</v>
      </c>
      <c r="D4035" t="s">
        <v>8401</v>
      </c>
    </row>
    <row r="4036" spans="1:4" ht="15" x14ac:dyDescent="0.25">
      <c r="A4036">
        <v>10524</v>
      </c>
      <c r="B4036" t="s">
        <v>11129</v>
      </c>
      <c r="C4036" t="s">
        <v>5043</v>
      </c>
      <c r="D4036" t="s">
        <v>8401</v>
      </c>
    </row>
    <row r="4037" spans="1:4" ht="15" x14ac:dyDescent="0.25">
      <c r="A4037">
        <v>7907</v>
      </c>
      <c r="B4037" t="s">
        <v>11129</v>
      </c>
      <c r="C4037" t="s">
        <v>5043</v>
      </c>
      <c r="D4037" t="s">
        <v>8401</v>
      </c>
    </row>
    <row r="4038" spans="1:4" ht="15" x14ac:dyDescent="0.25">
      <c r="A4038">
        <v>8107</v>
      </c>
      <c r="B4038" t="s">
        <v>11129</v>
      </c>
      <c r="C4038" t="s">
        <v>5043</v>
      </c>
      <c r="D4038" t="s">
        <v>8401</v>
      </c>
    </row>
    <row r="4039" spans="1:4" ht="15" x14ac:dyDescent="0.25">
      <c r="A4039">
        <v>8385</v>
      </c>
      <c r="B4039" t="s">
        <v>11129</v>
      </c>
      <c r="C4039" t="s">
        <v>5043</v>
      </c>
      <c r="D4039" t="s">
        <v>8401</v>
      </c>
    </row>
    <row r="4040" spans="1:4" ht="15" x14ac:dyDescent="0.25">
      <c r="A4040">
        <v>9332</v>
      </c>
      <c r="B4040" t="s">
        <v>11129</v>
      </c>
      <c r="C4040" t="s">
        <v>5043</v>
      </c>
      <c r="D4040" t="s">
        <v>8401</v>
      </c>
    </row>
    <row r="4041" spans="1:4" ht="15" x14ac:dyDescent="0.25">
      <c r="A4041">
        <v>10059</v>
      </c>
      <c r="B4041" t="s">
        <v>11130</v>
      </c>
      <c r="C4041" t="s">
        <v>5043</v>
      </c>
      <c r="D4041" t="s">
        <v>8401</v>
      </c>
    </row>
    <row r="4042" spans="1:4" ht="15" x14ac:dyDescent="0.25">
      <c r="A4042">
        <v>10783</v>
      </c>
      <c r="B4042" t="s">
        <v>11130</v>
      </c>
      <c r="C4042" t="s">
        <v>5043</v>
      </c>
      <c r="D4042" t="s">
        <v>8401</v>
      </c>
    </row>
    <row r="4043" spans="1:4" ht="15" x14ac:dyDescent="0.25">
      <c r="A4043">
        <v>11864</v>
      </c>
      <c r="B4043" t="s">
        <v>11130</v>
      </c>
      <c r="C4043" t="s">
        <v>5043</v>
      </c>
      <c r="D4043" t="s">
        <v>8401</v>
      </c>
    </row>
    <row r="4044" spans="1:4" ht="15" x14ac:dyDescent="0.25">
      <c r="A4044">
        <v>7041</v>
      </c>
      <c r="B4044" t="s">
        <v>11130</v>
      </c>
      <c r="C4044" t="s">
        <v>5043</v>
      </c>
      <c r="D4044" t="s">
        <v>8401</v>
      </c>
    </row>
    <row r="4045" spans="1:4" ht="15" x14ac:dyDescent="0.25">
      <c r="A4045">
        <v>7927</v>
      </c>
      <c r="B4045" t="s">
        <v>11131</v>
      </c>
      <c r="C4045" t="s">
        <v>5043</v>
      </c>
      <c r="D4045" t="s">
        <v>8401</v>
      </c>
    </row>
    <row r="4046" spans="1:4" ht="15" x14ac:dyDescent="0.25">
      <c r="A4046">
        <v>8995</v>
      </c>
      <c r="B4046" t="s">
        <v>11131</v>
      </c>
      <c r="C4046" t="s">
        <v>5043</v>
      </c>
      <c r="D4046" t="s">
        <v>8401</v>
      </c>
    </row>
    <row r="4047" spans="1:4" ht="15" x14ac:dyDescent="0.25">
      <c r="A4047">
        <v>10819</v>
      </c>
      <c r="B4047" t="s">
        <v>11132</v>
      </c>
      <c r="C4047" t="s">
        <v>5043</v>
      </c>
      <c r="D4047" t="s">
        <v>8401</v>
      </c>
    </row>
    <row r="4048" spans="1:4" ht="15" x14ac:dyDescent="0.25">
      <c r="A4048">
        <v>9048</v>
      </c>
      <c r="B4048" t="s">
        <v>11132</v>
      </c>
      <c r="C4048" t="s">
        <v>5043</v>
      </c>
      <c r="D4048" t="s">
        <v>8401</v>
      </c>
    </row>
    <row r="4049" spans="1:4" ht="15" x14ac:dyDescent="0.25">
      <c r="A4049">
        <v>10457</v>
      </c>
      <c r="B4049" t="s">
        <v>11133</v>
      </c>
      <c r="C4049" t="s">
        <v>5043</v>
      </c>
      <c r="D4049" t="s">
        <v>8401</v>
      </c>
    </row>
    <row r="4050" spans="1:4" ht="15" x14ac:dyDescent="0.25">
      <c r="A4050">
        <v>10339</v>
      </c>
      <c r="B4050" t="s">
        <v>11134</v>
      </c>
      <c r="C4050" t="s">
        <v>5043</v>
      </c>
      <c r="D4050" t="s">
        <v>8401</v>
      </c>
    </row>
    <row r="4051" spans="1:4" ht="15" x14ac:dyDescent="0.25">
      <c r="A4051">
        <v>10585</v>
      </c>
      <c r="B4051" t="s">
        <v>11134</v>
      </c>
      <c r="C4051" t="s">
        <v>5043</v>
      </c>
      <c r="D4051" t="s">
        <v>8401</v>
      </c>
    </row>
    <row r="4052" spans="1:4" ht="15" x14ac:dyDescent="0.25">
      <c r="A4052">
        <v>7423</v>
      </c>
      <c r="B4052" t="s">
        <v>11134</v>
      </c>
      <c r="C4052" t="s">
        <v>5043</v>
      </c>
      <c r="D4052" t="s">
        <v>8401</v>
      </c>
    </row>
    <row r="4053" spans="1:4" ht="15" x14ac:dyDescent="0.25">
      <c r="A4053">
        <v>6743</v>
      </c>
      <c r="B4053" t="s">
        <v>11135</v>
      </c>
      <c r="C4053" t="s">
        <v>5043</v>
      </c>
      <c r="D4053" t="s">
        <v>8401</v>
      </c>
    </row>
    <row r="4054" spans="1:4" ht="15" x14ac:dyDescent="0.25">
      <c r="A4054">
        <v>7947</v>
      </c>
      <c r="B4054" t="s">
        <v>11135</v>
      </c>
      <c r="C4054" t="s">
        <v>5043</v>
      </c>
      <c r="D4054" t="s">
        <v>8401</v>
      </c>
    </row>
    <row r="4055" spans="1:4" ht="15" x14ac:dyDescent="0.25">
      <c r="A4055">
        <v>8689</v>
      </c>
      <c r="B4055" t="s">
        <v>11135</v>
      </c>
      <c r="C4055" t="s">
        <v>5043</v>
      </c>
      <c r="D4055" t="s">
        <v>8401</v>
      </c>
    </row>
    <row r="4056" spans="1:4" ht="15" x14ac:dyDescent="0.25">
      <c r="A4056">
        <v>6764</v>
      </c>
      <c r="B4056" t="s">
        <v>11136</v>
      </c>
      <c r="C4056" t="s">
        <v>5043</v>
      </c>
      <c r="D4056" t="s">
        <v>8401</v>
      </c>
    </row>
    <row r="4057" spans="1:4" ht="15" x14ac:dyDescent="0.25">
      <c r="A4057">
        <v>6955</v>
      </c>
      <c r="B4057" t="s">
        <v>11137</v>
      </c>
      <c r="C4057" t="s">
        <v>5043</v>
      </c>
      <c r="D4057" t="s">
        <v>8401</v>
      </c>
    </row>
    <row r="4058" spans="1:4" ht="15" x14ac:dyDescent="0.25">
      <c r="A4058">
        <v>11675</v>
      </c>
      <c r="B4058" t="s">
        <v>11138</v>
      </c>
      <c r="C4058" t="s">
        <v>5043</v>
      </c>
      <c r="D4058" t="s">
        <v>8401</v>
      </c>
    </row>
    <row r="4059" spans="1:4" ht="15" x14ac:dyDescent="0.25">
      <c r="A4059">
        <v>7199</v>
      </c>
      <c r="B4059" t="s">
        <v>11138</v>
      </c>
      <c r="C4059" t="s">
        <v>5043</v>
      </c>
      <c r="D4059" t="s">
        <v>8401</v>
      </c>
    </row>
    <row r="4060" spans="1:4" ht="15" x14ac:dyDescent="0.25">
      <c r="A4060">
        <v>9343</v>
      </c>
      <c r="B4060" t="s">
        <v>11138</v>
      </c>
      <c r="C4060" t="s">
        <v>5043</v>
      </c>
      <c r="D4060" t="s">
        <v>8401</v>
      </c>
    </row>
    <row r="4061" spans="1:4" ht="15" x14ac:dyDescent="0.25">
      <c r="A4061">
        <v>10209</v>
      </c>
      <c r="B4061" t="s">
        <v>11139</v>
      </c>
      <c r="C4061" t="s">
        <v>5043</v>
      </c>
      <c r="D4061" t="s">
        <v>8401</v>
      </c>
    </row>
    <row r="4062" spans="1:4" ht="15" x14ac:dyDescent="0.25">
      <c r="A4062">
        <v>10063</v>
      </c>
      <c r="B4062" t="s">
        <v>11140</v>
      </c>
      <c r="C4062" t="s">
        <v>5043</v>
      </c>
      <c r="D4062" t="s">
        <v>8401</v>
      </c>
    </row>
    <row r="4063" spans="1:4" ht="15" x14ac:dyDescent="0.25">
      <c r="A4063">
        <v>7185</v>
      </c>
      <c r="B4063" t="s">
        <v>11141</v>
      </c>
      <c r="C4063" t="s">
        <v>5043</v>
      </c>
      <c r="D4063" t="s">
        <v>8401</v>
      </c>
    </row>
    <row r="4064" spans="1:4" ht="15" x14ac:dyDescent="0.25">
      <c r="A4064">
        <v>9898</v>
      </c>
      <c r="B4064" t="s">
        <v>11142</v>
      </c>
      <c r="C4064" t="s">
        <v>5043</v>
      </c>
      <c r="D4064" t="s">
        <v>8401</v>
      </c>
    </row>
    <row r="4065" spans="1:4" ht="15" x14ac:dyDescent="0.25">
      <c r="A4065">
        <v>10388</v>
      </c>
      <c r="B4065" t="s">
        <v>11143</v>
      </c>
      <c r="C4065" t="s">
        <v>5043</v>
      </c>
      <c r="D4065" t="s">
        <v>8401</v>
      </c>
    </row>
    <row r="4066" spans="1:4" ht="15" x14ac:dyDescent="0.25">
      <c r="A4066">
        <v>10737</v>
      </c>
      <c r="B4066" t="s">
        <v>11144</v>
      </c>
      <c r="C4066" t="s">
        <v>5043</v>
      </c>
      <c r="D4066" t="s">
        <v>8401</v>
      </c>
    </row>
    <row r="4067" spans="1:4" ht="15" x14ac:dyDescent="0.25">
      <c r="A4067">
        <v>8113</v>
      </c>
      <c r="B4067" t="s">
        <v>11144</v>
      </c>
      <c r="C4067" t="s">
        <v>5043</v>
      </c>
      <c r="D4067" t="s">
        <v>8401</v>
      </c>
    </row>
    <row r="4068" spans="1:4" ht="15" x14ac:dyDescent="0.25">
      <c r="A4068">
        <v>8327</v>
      </c>
      <c r="B4068" t="s">
        <v>11144</v>
      </c>
      <c r="C4068" t="s">
        <v>5043</v>
      </c>
      <c r="D4068" t="s">
        <v>8401</v>
      </c>
    </row>
    <row r="4069" spans="1:4" ht="15" x14ac:dyDescent="0.25">
      <c r="A4069">
        <v>8742</v>
      </c>
      <c r="B4069" t="s">
        <v>11145</v>
      </c>
      <c r="C4069" t="s">
        <v>5043</v>
      </c>
      <c r="D4069" t="s">
        <v>8401</v>
      </c>
    </row>
    <row r="4070" spans="1:4" ht="15" x14ac:dyDescent="0.25">
      <c r="A4070">
        <v>9730</v>
      </c>
      <c r="B4070" t="s">
        <v>11146</v>
      </c>
      <c r="C4070" t="s">
        <v>5043</v>
      </c>
      <c r="D4070" t="s">
        <v>8401</v>
      </c>
    </row>
    <row r="4071" spans="1:4" ht="15" x14ac:dyDescent="0.25">
      <c r="A4071">
        <v>10965</v>
      </c>
      <c r="B4071" t="s">
        <v>9396</v>
      </c>
      <c r="C4071" t="s">
        <v>5043</v>
      </c>
      <c r="D4071" t="s">
        <v>8401</v>
      </c>
    </row>
    <row r="4072" spans="1:4" ht="15" x14ac:dyDescent="0.25">
      <c r="A4072">
        <v>10065</v>
      </c>
      <c r="B4072" t="s">
        <v>11147</v>
      </c>
      <c r="C4072" t="s">
        <v>5043</v>
      </c>
      <c r="D4072" t="s">
        <v>8401</v>
      </c>
    </row>
    <row r="4073" spans="1:4" ht="15" x14ac:dyDescent="0.25">
      <c r="A4073">
        <v>10051</v>
      </c>
      <c r="B4073" t="s">
        <v>11148</v>
      </c>
      <c r="C4073" t="s">
        <v>5043</v>
      </c>
      <c r="D4073" t="s">
        <v>8401</v>
      </c>
    </row>
    <row r="4074" spans="1:4" ht="15" x14ac:dyDescent="0.25">
      <c r="A4074">
        <v>10957</v>
      </c>
      <c r="B4074" t="s">
        <v>11148</v>
      </c>
      <c r="C4074" t="s">
        <v>5043</v>
      </c>
      <c r="D4074" t="s">
        <v>8401</v>
      </c>
    </row>
    <row r="4075" spans="1:4" ht="15" x14ac:dyDescent="0.25">
      <c r="A4075">
        <v>11094</v>
      </c>
      <c r="B4075" t="s">
        <v>11148</v>
      </c>
      <c r="C4075" t="s">
        <v>5043</v>
      </c>
      <c r="D4075" t="s">
        <v>8401</v>
      </c>
    </row>
    <row r="4076" spans="1:4" ht="15" x14ac:dyDescent="0.25">
      <c r="A4076">
        <v>7028</v>
      </c>
      <c r="B4076" t="s">
        <v>11148</v>
      </c>
      <c r="C4076" t="s">
        <v>5043</v>
      </c>
      <c r="D4076" t="s">
        <v>8401</v>
      </c>
    </row>
    <row r="4077" spans="1:4" ht="15" x14ac:dyDescent="0.25">
      <c r="A4077">
        <v>7887</v>
      </c>
      <c r="B4077" t="s">
        <v>11148</v>
      </c>
      <c r="C4077" t="s">
        <v>5043</v>
      </c>
      <c r="D4077" t="s">
        <v>8401</v>
      </c>
    </row>
    <row r="4078" spans="1:4" ht="15" x14ac:dyDescent="0.25">
      <c r="A4078">
        <v>8305</v>
      </c>
      <c r="B4078" t="s">
        <v>11148</v>
      </c>
      <c r="C4078" t="s">
        <v>5043</v>
      </c>
      <c r="D4078" t="s">
        <v>8401</v>
      </c>
    </row>
    <row r="4079" spans="1:4" ht="15" x14ac:dyDescent="0.25">
      <c r="A4079">
        <v>9194</v>
      </c>
      <c r="B4079" t="s">
        <v>11148</v>
      </c>
      <c r="C4079" t="s">
        <v>5043</v>
      </c>
      <c r="D4079" t="s">
        <v>8401</v>
      </c>
    </row>
    <row r="4080" spans="1:4" ht="15" x14ac:dyDescent="0.25">
      <c r="A4080">
        <v>9877</v>
      </c>
      <c r="B4080" t="s">
        <v>11148</v>
      </c>
      <c r="C4080" t="s">
        <v>5043</v>
      </c>
      <c r="D4080" t="s">
        <v>8401</v>
      </c>
    </row>
    <row r="4081" spans="1:4" ht="15" x14ac:dyDescent="0.25">
      <c r="A4081">
        <v>6671</v>
      </c>
      <c r="B4081" t="s">
        <v>9397</v>
      </c>
      <c r="C4081" t="s">
        <v>5043</v>
      </c>
      <c r="D4081" t="s">
        <v>8401</v>
      </c>
    </row>
    <row r="4082" spans="1:4" ht="15" x14ac:dyDescent="0.25">
      <c r="A4082">
        <v>9442</v>
      </c>
      <c r="B4082" t="s">
        <v>9397</v>
      </c>
      <c r="C4082" t="s">
        <v>5043</v>
      </c>
      <c r="D4082" t="s">
        <v>8401</v>
      </c>
    </row>
    <row r="4083" spans="1:4" ht="15" x14ac:dyDescent="0.25">
      <c r="A4083">
        <v>10095</v>
      </c>
      <c r="B4083" t="s">
        <v>9398</v>
      </c>
      <c r="C4083" t="s">
        <v>5043</v>
      </c>
      <c r="D4083" t="s">
        <v>8401</v>
      </c>
    </row>
    <row r="4084" spans="1:4" ht="15" x14ac:dyDescent="0.25">
      <c r="A4084">
        <v>11203</v>
      </c>
      <c r="B4084" t="s">
        <v>9398</v>
      </c>
      <c r="C4084" t="s">
        <v>5043</v>
      </c>
      <c r="D4084" t="s">
        <v>8401</v>
      </c>
    </row>
    <row r="4085" spans="1:4" ht="15" x14ac:dyDescent="0.25">
      <c r="A4085">
        <v>11208</v>
      </c>
      <c r="B4085" t="s">
        <v>9398</v>
      </c>
      <c r="C4085" t="s">
        <v>5043</v>
      </c>
      <c r="D4085" t="s">
        <v>8401</v>
      </c>
    </row>
    <row r="4086" spans="1:4" ht="15" x14ac:dyDescent="0.25">
      <c r="A4086">
        <v>11430</v>
      </c>
      <c r="B4086" t="s">
        <v>9398</v>
      </c>
      <c r="C4086" t="s">
        <v>5043</v>
      </c>
      <c r="D4086" t="s">
        <v>8401</v>
      </c>
    </row>
    <row r="4087" spans="1:4" ht="15" x14ac:dyDescent="0.25">
      <c r="A4087">
        <v>7378</v>
      </c>
      <c r="B4087" t="s">
        <v>9398</v>
      </c>
      <c r="C4087" t="s">
        <v>5043</v>
      </c>
      <c r="D4087" t="s">
        <v>8401</v>
      </c>
    </row>
    <row r="4088" spans="1:4" ht="15" x14ac:dyDescent="0.25">
      <c r="A4088">
        <v>7862</v>
      </c>
      <c r="B4088" t="s">
        <v>9398</v>
      </c>
      <c r="C4088" t="s">
        <v>5043</v>
      </c>
      <c r="D4088" t="s">
        <v>8401</v>
      </c>
    </row>
    <row r="4089" spans="1:4" ht="15" x14ac:dyDescent="0.25">
      <c r="A4089">
        <v>8213</v>
      </c>
      <c r="B4089" t="s">
        <v>9398</v>
      </c>
      <c r="C4089" t="s">
        <v>5043</v>
      </c>
      <c r="D4089" t="s">
        <v>8401</v>
      </c>
    </row>
    <row r="4090" spans="1:4" ht="15" x14ac:dyDescent="0.25">
      <c r="A4090">
        <v>8551</v>
      </c>
      <c r="B4090" t="s">
        <v>9398</v>
      </c>
      <c r="C4090" t="s">
        <v>5043</v>
      </c>
      <c r="D4090" t="s">
        <v>8401</v>
      </c>
    </row>
    <row r="4091" spans="1:4" ht="15" x14ac:dyDescent="0.25">
      <c r="A4091">
        <v>8865</v>
      </c>
      <c r="B4091" t="s">
        <v>9398</v>
      </c>
      <c r="C4091" t="s">
        <v>5043</v>
      </c>
      <c r="D4091" t="s">
        <v>8401</v>
      </c>
    </row>
    <row r="4092" spans="1:4" ht="15" x14ac:dyDescent="0.25">
      <c r="A4092">
        <v>11263</v>
      </c>
      <c r="B4092" t="s">
        <v>9399</v>
      </c>
      <c r="C4092" t="s">
        <v>5043</v>
      </c>
      <c r="D4092" t="s">
        <v>8401</v>
      </c>
    </row>
    <row r="4093" spans="1:4" ht="15" x14ac:dyDescent="0.25">
      <c r="A4093">
        <v>7403</v>
      </c>
      <c r="B4093" t="s">
        <v>9399</v>
      </c>
      <c r="C4093" t="s">
        <v>5043</v>
      </c>
      <c r="D4093" t="s">
        <v>8401</v>
      </c>
    </row>
    <row r="4094" spans="1:4" ht="15" x14ac:dyDescent="0.25">
      <c r="A4094">
        <v>8322</v>
      </c>
      <c r="B4094" t="s">
        <v>9399</v>
      </c>
      <c r="C4094" t="s">
        <v>5043</v>
      </c>
      <c r="D4094" t="s">
        <v>8401</v>
      </c>
    </row>
    <row r="4095" spans="1:4" ht="15" x14ac:dyDescent="0.25">
      <c r="A4095">
        <v>8443</v>
      </c>
      <c r="B4095" t="s">
        <v>9399</v>
      </c>
      <c r="C4095" t="s">
        <v>5043</v>
      </c>
      <c r="D4095" t="s">
        <v>8401</v>
      </c>
    </row>
    <row r="4096" spans="1:4" ht="15" x14ac:dyDescent="0.25">
      <c r="A4096">
        <v>9074</v>
      </c>
      <c r="B4096" t="s">
        <v>9399</v>
      </c>
      <c r="C4096" t="s">
        <v>5043</v>
      </c>
      <c r="D4096" t="s">
        <v>8401</v>
      </c>
    </row>
    <row r="4097" spans="1:4" ht="15" x14ac:dyDescent="0.25">
      <c r="A4097">
        <v>9899</v>
      </c>
      <c r="B4097" t="s">
        <v>9399</v>
      </c>
      <c r="C4097" t="s">
        <v>5043</v>
      </c>
      <c r="D4097" t="s">
        <v>8401</v>
      </c>
    </row>
    <row r="4098" spans="1:4" ht="15" x14ac:dyDescent="0.25">
      <c r="A4098">
        <v>12097</v>
      </c>
      <c r="B4098" t="s">
        <v>9400</v>
      </c>
      <c r="C4098" t="s">
        <v>5043</v>
      </c>
      <c r="D4098" t="s">
        <v>8401</v>
      </c>
    </row>
    <row r="4099" spans="1:4" ht="15" x14ac:dyDescent="0.25">
      <c r="A4099">
        <v>10236</v>
      </c>
      <c r="B4099" t="s">
        <v>9401</v>
      </c>
      <c r="C4099" t="s">
        <v>5043</v>
      </c>
      <c r="D4099" t="s">
        <v>8401</v>
      </c>
    </row>
    <row r="4100" spans="1:4" ht="15" x14ac:dyDescent="0.25">
      <c r="A4100">
        <v>10464</v>
      </c>
      <c r="B4100" t="s">
        <v>9401</v>
      </c>
      <c r="C4100" t="s">
        <v>5043</v>
      </c>
      <c r="D4100" t="s">
        <v>8401</v>
      </c>
    </row>
    <row r="4101" spans="1:4" ht="15" x14ac:dyDescent="0.25">
      <c r="A4101">
        <v>12110</v>
      </c>
      <c r="B4101" t="s">
        <v>9401</v>
      </c>
      <c r="C4101" t="s">
        <v>5043</v>
      </c>
      <c r="D4101" t="s">
        <v>8401</v>
      </c>
    </row>
    <row r="4102" spans="1:4" ht="15" x14ac:dyDescent="0.25">
      <c r="A4102">
        <v>6789</v>
      </c>
      <c r="B4102" t="s">
        <v>9401</v>
      </c>
      <c r="C4102" t="s">
        <v>5043</v>
      </c>
      <c r="D4102" t="s">
        <v>8401</v>
      </c>
    </row>
    <row r="4103" spans="1:4" ht="15" x14ac:dyDescent="0.25">
      <c r="A4103">
        <v>6970</v>
      </c>
      <c r="B4103" t="s">
        <v>9401</v>
      </c>
      <c r="C4103" t="s">
        <v>5043</v>
      </c>
      <c r="D4103" t="s">
        <v>8401</v>
      </c>
    </row>
    <row r="4104" spans="1:4" ht="15" x14ac:dyDescent="0.25">
      <c r="A4104">
        <v>7013</v>
      </c>
      <c r="B4104" t="s">
        <v>9401</v>
      </c>
      <c r="C4104" t="s">
        <v>5043</v>
      </c>
      <c r="D4104" t="s">
        <v>8401</v>
      </c>
    </row>
    <row r="4105" spans="1:4" ht="15" x14ac:dyDescent="0.25">
      <c r="A4105">
        <v>8472</v>
      </c>
      <c r="B4105" t="s">
        <v>9401</v>
      </c>
      <c r="C4105" t="s">
        <v>5043</v>
      </c>
      <c r="D4105" t="s">
        <v>8401</v>
      </c>
    </row>
    <row r="4106" spans="1:4" ht="15" x14ac:dyDescent="0.25">
      <c r="A4106">
        <v>11540</v>
      </c>
      <c r="B4106" t="s">
        <v>11149</v>
      </c>
      <c r="C4106" t="s">
        <v>5043</v>
      </c>
      <c r="D4106" t="s">
        <v>8401</v>
      </c>
    </row>
    <row r="4107" spans="1:4" ht="15" x14ac:dyDescent="0.25">
      <c r="A4107">
        <v>7473</v>
      </c>
      <c r="B4107" t="s">
        <v>11149</v>
      </c>
      <c r="C4107" t="s">
        <v>5043</v>
      </c>
      <c r="D4107" t="s">
        <v>8401</v>
      </c>
    </row>
    <row r="4108" spans="1:4" ht="15" x14ac:dyDescent="0.25">
      <c r="A4108">
        <v>10778</v>
      </c>
      <c r="B4108" t="s">
        <v>11150</v>
      </c>
      <c r="C4108" t="s">
        <v>5043</v>
      </c>
      <c r="D4108" t="s">
        <v>8401</v>
      </c>
    </row>
    <row r="4109" spans="1:4" ht="15" x14ac:dyDescent="0.25">
      <c r="A4109">
        <v>6918</v>
      </c>
      <c r="B4109" t="s">
        <v>11150</v>
      </c>
      <c r="C4109" t="s">
        <v>5043</v>
      </c>
      <c r="D4109" t="s">
        <v>8401</v>
      </c>
    </row>
    <row r="4110" spans="1:4" ht="15" x14ac:dyDescent="0.25">
      <c r="A4110">
        <v>9165</v>
      </c>
      <c r="B4110" t="s">
        <v>11150</v>
      </c>
      <c r="C4110" t="s">
        <v>5043</v>
      </c>
      <c r="D4110" t="s">
        <v>8401</v>
      </c>
    </row>
    <row r="4111" spans="1:4" ht="15" x14ac:dyDescent="0.25">
      <c r="A4111">
        <v>7784</v>
      </c>
      <c r="B4111" t="s">
        <v>11151</v>
      </c>
      <c r="C4111" t="s">
        <v>5043</v>
      </c>
      <c r="D4111" t="s">
        <v>8401</v>
      </c>
    </row>
    <row r="4112" spans="1:4" ht="15" x14ac:dyDescent="0.25">
      <c r="A4112">
        <v>9449</v>
      </c>
      <c r="B4112" t="s">
        <v>11151</v>
      </c>
      <c r="C4112" t="s">
        <v>5043</v>
      </c>
      <c r="D4112" t="s">
        <v>8401</v>
      </c>
    </row>
    <row r="4113" spans="1:4" ht="15" x14ac:dyDescent="0.25">
      <c r="A4113">
        <v>9478</v>
      </c>
      <c r="B4113" t="s">
        <v>11151</v>
      </c>
      <c r="C4113" t="s">
        <v>5043</v>
      </c>
      <c r="D4113" t="s">
        <v>8401</v>
      </c>
    </row>
    <row r="4114" spans="1:4" ht="15" x14ac:dyDescent="0.25">
      <c r="A4114">
        <v>11050</v>
      </c>
      <c r="B4114" t="s">
        <v>11152</v>
      </c>
      <c r="C4114" t="s">
        <v>5043</v>
      </c>
      <c r="D4114" t="s">
        <v>8401</v>
      </c>
    </row>
    <row r="4115" spans="1:4" ht="15" x14ac:dyDescent="0.25">
      <c r="A4115">
        <v>6730</v>
      </c>
      <c r="B4115" t="s">
        <v>11152</v>
      </c>
      <c r="C4115" t="s">
        <v>5043</v>
      </c>
      <c r="D4115" t="s">
        <v>8401</v>
      </c>
    </row>
    <row r="4116" spans="1:4" ht="15" x14ac:dyDescent="0.25">
      <c r="A4116">
        <v>8731</v>
      </c>
      <c r="B4116" t="s">
        <v>11152</v>
      </c>
      <c r="C4116" t="s">
        <v>5043</v>
      </c>
      <c r="D4116" t="s">
        <v>8401</v>
      </c>
    </row>
    <row r="4117" spans="1:4" ht="15" x14ac:dyDescent="0.25">
      <c r="A4117">
        <v>10832</v>
      </c>
      <c r="B4117" t="s">
        <v>11153</v>
      </c>
      <c r="C4117" t="s">
        <v>5043</v>
      </c>
      <c r="D4117" t="s">
        <v>8401</v>
      </c>
    </row>
    <row r="4118" spans="1:4" ht="15" x14ac:dyDescent="0.25">
      <c r="A4118">
        <v>10712</v>
      </c>
      <c r="B4118" t="s">
        <v>11154</v>
      </c>
      <c r="C4118" t="s">
        <v>5043</v>
      </c>
      <c r="D4118" t="s">
        <v>8401</v>
      </c>
    </row>
    <row r="4119" spans="1:4" ht="15" x14ac:dyDescent="0.25">
      <c r="A4119">
        <v>10820</v>
      </c>
      <c r="B4119" t="s">
        <v>11154</v>
      </c>
      <c r="C4119" t="s">
        <v>5043</v>
      </c>
      <c r="D4119" t="s">
        <v>8401</v>
      </c>
    </row>
    <row r="4120" spans="1:4" ht="15" x14ac:dyDescent="0.25">
      <c r="A4120">
        <v>11637</v>
      </c>
      <c r="B4120" t="s">
        <v>11154</v>
      </c>
      <c r="C4120" t="s">
        <v>5043</v>
      </c>
      <c r="D4120" t="s">
        <v>8401</v>
      </c>
    </row>
    <row r="4121" spans="1:4" ht="15" x14ac:dyDescent="0.25">
      <c r="A4121">
        <v>11654</v>
      </c>
      <c r="B4121" t="s">
        <v>11154</v>
      </c>
      <c r="C4121" t="s">
        <v>5043</v>
      </c>
      <c r="D4121" t="s">
        <v>8401</v>
      </c>
    </row>
    <row r="4122" spans="1:4" ht="15" x14ac:dyDescent="0.25">
      <c r="A4122">
        <v>11703</v>
      </c>
      <c r="B4122" t="s">
        <v>11154</v>
      </c>
      <c r="C4122" t="s">
        <v>5043</v>
      </c>
      <c r="D4122" t="s">
        <v>8401</v>
      </c>
    </row>
    <row r="4123" spans="1:4" ht="15" x14ac:dyDescent="0.25">
      <c r="A4123">
        <v>6868</v>
      </c>
      <c r="B4123" t="s">
        <v>11154</v>
      </c>
      <c r="C4123" t="s">
        <v>5043</v>
      </c>
      <c r="D4123" t="s">
        <v>8401</v>
      </c>
    </row>
    <row r="4124" spans="1:4" ht="15" x14ac:dyDescent="0.25">
      <c r="A4124">
        <v>7024</v>
      </c>
      <c r="B4124" t="s">
        <v>11154</v>
      </c>
      <c r="C4124" t="s">
        <v>5043</v>
      </c>
      <c r="D4124" t="s">
        <v>8401</v>
      </c>
    </row>
    <row r="4125" spans="1:4" ht="15" x14ac:dyDescent="0.25">
      <c r="A4125">
        <v>7029</v>
      </c>
      <c r="B4125" t="s">
        <v>11155</v>
      </c>
      <c r="C4125" t="s">
        <v>5043</v>
      </c>
      <c r="D4125" t="s">
        <v>8401</v>
      </c>
    </row>
    <row r="4126" spans="1:4" ht="15" x14ac:dyDescent="0.25">
      <c r="A4126">
        <v>9138</v>
      </c>
      <c r="B4126" t="s">
        <v>11155</v>
      </c>
      <c r="C4126" t="s">
        <v>5043</v>
      </c>
      <c r="D4126" t="s">
        <v>8401</v>
      </c>
    </row>
    <row r="4127" spans="1:4" ht="15" x14ac:dyDescent="0.25">
      <c r="A4127">
        <v>11896</v>
      </c>
      <c r="B4127" t="s">
        <v>11156</v>
      </c>
      <c r="C4127" t="s">
        <v>5043</v>
      </c>
      <c r="D4127" t="s">
        <v>8401</v>
      </c>
    </row>
    <row r="4128" spans="1:4" ht="15" x14ac:dyDescent="0.25">
      <c r="A4128">
        <v>11741</v>
      </c>
      <c r="B4128" t="s">
        <v>11157</v>
      </c>
      <c r="C4128" t="s">
        <v>5043</v>
      </c>
      <c r="D4128" t="s">
        <v>8401</v>
      </c>
    </row>
    <row r="4129" spans="1:4" ht="15" x14ac:dyDescent="0.25">
      <c r="A4129">
        <v>7292</v>
      </c>
      <c r="B4129" t="s">
        <v>11157</v>
      </c>
      <c r="C4129" t="s">
        <v>5043</v>
      </c>
      <c r="D4129" t="s">
        <v>8401</v>
      </c>
    </row>
    <row r="4130" spans="1:4" ht="15" x14ac:dyDescent="0.25">
      <c r="A4130">
        <v>9020</v>
      </c>
      <c r="B4130" t="s">
        <v>11158</v>
      </c>
      <c r="C4130" t="s">
        <v>5043</v>
      </c>
      <c r="D4130" t="s">
        <v>8401</v>
      </c>
    </row>
    <row r="4131" spans="1:4" ht="15" x14ac:dyDescent="0.25">
      <c r="A4131">
        <v>9270</v>
      </c>
      <c r="B4131" t="s">
        <v>11158</v>
      </c>
      <c r="C4131" t="s">
        <v>5043</v>
      </c>
      <c r="D4131" t="s">
        <v>8401</v>
      </c>
    </row>
    <row r="4132" spans="1:4" ht="15" x14ac:dyDescent="0.25">
      <c r="A4132">
        <v>10183</v>
      </c>
      <c r="B4132" t="s">
        <v>11159</v>
      </c>
      <c r="C4132" t="s">
        <v>5043</v>
      </c>
      <c r="D4132" t="s">
        <v>8401</v>
      </c>
    </row>
    <row r="4133" spans="1:4" ht="15" x14ac:dyDescent="0.25">
      <c r="A4133">
        <v>8566</v>
      </c>
      <c r="B4133" t="s">
        <v>11159</v>
      </c>
      <c r="C4133" t="s">
        <v>5043</v>
      </c>
      <c r="D4133" t="s">
        <v>8401</v>
      </c>
    </row>
    <row r="4134" spans="1:4" ht="15" x14ac:dyDescent="0.25">
      <c r="A4134">
        <v>7275</v>
      </c>
      <c r="B4134" t="s">
        <v>11160</v>
      </c>
      <c r="C4134" t="s">
        <v>5043</v>
      </c>
      <c r="D4134" t="s">
        <v>8401</v>
      </c>
    </row>
    <row r="4135" spans="1:4" ht="15" x14ac:dyDescent="0.25">
      <c r="A4135">
        <v>11479</v>
      </c>
      <c r="B4135" t="s">
        <v>11161</v>
      </c>
      <c r="C4135" t="s">
        <v>5043</v>
      </c>
      <c r="D4135" t="s">
        <v>8401</v>
      </c>
    </row>
    <row r="4136" spans="1:4" ht="15" x14ac:dyDescent="0.25">
      <c r="A4136">
        <v>6875</v>
      </c>
      <c r="B4136" t="s">
        <v>11161</v>
      </c>
      <c r="C4136" t="s">
        <v>5043</v>
      </c>
      <c r="D4136" t="s">
        <v>8401</v>
      </c>
    </row>
    <row r="4137" spans="1:4" ht="15" x14ac:dyDescent="0.25">
      <c r="A4137">
        <v>8189</v>
      </c>
      <c r="B4137" t="s">
        <v>11161</v>
      </c>
      <c r="C4137" t="s">
        <v>5043</v>
      </c>
      <c r="D4137" t="s">
        <v>8401</v>
      </c>
    </row>
    <row r="4138" spans="1:4" ht="15" x14ac:dyDescent="0.25">
      <c r="A4138">
        <v>8536</v>
      </c>
      <c r="B4138" t="s">
        <v>11161</v>
      </c>
      <c r="C4138" t="s">
        <v>5043</v>
      </c>
      <c r="D4138" t="s">
        <v>8401</v>
      </c>
    </row>
    <row r="4139" spans="1:4" ht="15" x14ac:dyDescent="0.25">
      <c r="A4139">
        <v>8766</v>
      </c>
      <c r="B4139" t="s">
        <v>11161</v>
      </c>
      <c r="C4139" t="s">
        <v>5043</v>
      </c>
      <c r="D4139" t="s">
        <v>8401</v>
      </c>
    </row>
    <row r="4140" spans="1:4" ht="15" x14ac:dyDescent="0.25">
      <c r="A4140">
        <v>9678</v>
      </c>
      <c r="B4140" t="s">
        <v>11161</v>
      </c>
      <c r="C4140" t="s">
        <v>5043</v>
      </c>
      <c r="D4140" t="s">
        <v>8401</v>
      </c>
    </row>
    <row r="4141" spans="1:4" ht="15" x14ac:dyDescent="0.25">
      <c r="A4141">
        <v>10328</v>
      </c>
      <c r="B4141" t="s">
        <v>11162</v>
      </c>
      <c r="C4141" t="s">
        <v>5043</v>
      </c>
      <c r="D4141" t="s">
        <v>8401</v>
      </c>
    </row>
    <row r="4142" spans="1:4" ht="15" x14ac:dyDescent="0.25">
      <c r="A4142">
        <v>10397</v>
      </c>
      <c r="B4142" t="s">
        <v>11162</v>
      </c>
      <c r="C4142" t="s">
        <v>5043</v>
      </c>
      <c r="D4142" t="s">
        <v>8401</v>
      </c>
    </row>
    <row r="4143" spans="1:4" ht="15" x14ac:dyDescent="0.25">
      <c r="A4143">
        <v>10710</v>
      </c>
      <c r="B4143" t="s">
        <v>11162</v>
      </c>
      <c r="C4143" t="s">
        <v>5043</v>
      </c>
      <c r="D4143" t="s">
        <v>8401</v>
      </c>
    </row>
    <row r="4144" spans="1:4" ht="15" x14ac:dyDescent="0.25">
      <c r="A4144">
        <v>10907</v>
      </c>
      <c r="B4144" t="s">
        <v>11162</v>
      </c>
      <c r="C4144" t="s">
        <v>5043</v>
      </c>
      <c r="D4144" t="s">
        <v>8401</v>
      </c>
    </row>
    <row r="4145" spans="1:4" ht="15" x14ac:dyDescent="0.25">
      <c r="A4145">
        <v>12026</v>
      </c>
      <c r="B4145" t="s">
        <v>11162</v>
      </c>
      <c r="C4145" t="s">
        <v>5043</v>
      </c>
      <c r="D4145" t="s">
        <v>8401</v>
      </c>
    </row>
    <row r="4146" spans="1:4" ht="15" x14ac:dyDescent="0.25">
      <c r="A4146">
        <v>7975</v>
      </c>
      <c r="B4146" t="s">
        <v>11162</v>
      </c>
      <c r="C4146" t="s">
        <v>5043</v>
      </c>
      <c r="D4146" t="s">
        <v>8401</v>
      </c>
    </row>
    <row r="4147" spans="1:4" ht="15" x14ac:dyDescent="0.25">
      <c r="A4147">
        <v>8174</v>
      </c>
      <c r="B4147" t="s">
        <v>11162</v>
      </c>
      <c r="C4147" t="s">
        <v>5043</v>
      </c>
      <c r="D4147" t="s">
        <v>8401</v>
      </c>
    </row>
    <row r="4148" spans="1:4" ht="15" x14ac:dyDescent="0.25">
      <c r="A4148">
        <v>9027</v>
      </c>
      <c r="B4148" t="s">
        <v>11162</v>
      </c>
      <c r="C4148" t="s">
        <v>5043</v>
      </c>
      <c r="D4148" t="s">
        <v>8401</v>
      </c>
    </row>
    <row r="4149" spans="1:4" ht="15" x14ac:dyDescent="0.25">
      <c r="A4149">
        <v>9727</v>
      </c>
      <c r="B4149" t="s">
        <v>11162</v>
      </c>
      <c r="C4149" t="s">
        <v>5043</v>
      </c>
      <c r="D4149" t="s">
        <v>8401</v>
      </c>
    </row>
    <row r="4150" spans="1:4" ht="15" x14ac:dyDescent="0.25">
      <c r="A4150">
        <v>10868</v>
      </c>
      <c r="B4150" t="s">
        <v>11163</v>
      </c>
      <c r="C4150" t="s">
        <v>5043</v>
      </c>
      <c r="D4150" t="s">
        <v>8401</v>
      </c>
    </row>
    <row r="4151" spans="1:4" ht="15" x14ac:dyDescent="0.25">
      <c r="A4151">
        <v>7262</v>
      </c>
      <c r="B4151" t="s">
        <v>11163</v>
      </c>
      <c r="C4151" t="s">
        <v>5043</v>
      </c>
      <c r="D4151" t="s">
        <v>8401</v>
      </c>
    </row>
    <row r="4152" spans="1:4" ht="15" x14ac:dyDescent="0.25">
      <c r="A4152">
        <v>8959</v>
      </c>
      <c r="B4152" t="s">
        <v>11163</v>
      </c>
      <c r="C4152" t="s">
        <v>5043</v>
      </c>
      <c r="D4152" t="s">
        <v>8401</v>
      </c>
    </row>
    <row r="4153" spans="1:4" ht="15" x14ac:dyDescent="0.25">
      <c r="A4153">
        <v>8913</v>
      </c>
      <c r="B4153" t="s">
        <v>11164</v>
      </c>
      <c r="C4153" t="s">
        <v>5043</v>
      </c>
      <c r="D4153" t="s">
        <v>8401</v>
      </c>
    </row>
    <row r="4154" spans="1:4" ht="15" x14ac:dyDescent="0.25">
      <c r="A4154">
        <v>7279</v>
      </c>
      <c r="B4154" t="s">
        <v>11165</v>
      </c>
      <c r="C4154" t="s">
        <v>5043</v>
      </c>
      <c r="D4154" t="s">
        <v>8401</v>
      </c>
    </row>
    <row r="4155" spans="1:4" ht="15" x14ac:dyDescent="0.25">
      <c r="A4155">
        <v>7827</v>
      </c>
      <c r="B4155" t="s">
        <v>11165</v>
      </c>
      <c r="C4155" t="s">
        <v>5043</v>
      </c>
      <c r="D4155" t="s">
        <v>8401</v>
      </c>
    </row>
    <row r="4156" spans="1:4" ht="15" x14ac:dyDescent="0.25">
      <c r="A4156">
        <v>10982</v>
      </c>
      <c r="B4156" t="s">
        <v>9402</v>
      </c>
      <c r="C4156" t="s">
        <v>5043</v>
      </c>
      <c r="D4156" t="s">
        <v>8401</v>
      </c>
    </row>
    <row r="4157" spans="1:4" ht="15" x14ac:dyDescent="0.25">
      <c r="A4157">
        <v>11934</v>
      </c>
      <c r="B4157" t="s">
        <v>9403</v>
      </c>
      <c r="C4157" t="s">
        <v>5043</v>
      </c>
      <c r="D4157" t="s">
        <v>8401</v>
      </c>
    </row>
    <row r="4158" spans="1:4" ht="15" x14ac:dyDescent="0.25">
      <c r="A4158">
        <v>8955</v>
      </c>
      <c r="B4158" t="s">
        <v>9403</v>
      </c>
      <c r="C4158" t="s">
        <v>5043</v>
      </c>
      <c r="D4158" t="s">
        <v>8401</v>
      </c>
    </row>
    <row r="4159" spans="1:4" ht="15" x14ac:dyDescent="0.25">
      <c r="A4159">
        <v>9608</v>
      </c>
      <c r="B4159" t="s">
        <v>9403</v>
      </c>
      <c r="C4159" t="s">
        <v>5043</v>
      </c>
      <c r="D4159" t="s">
        <v>8401</v>
      </c>
    </row>
    <row r="4160" spans="1:4" ht="15" x14ac:dyDescent="0.25">
      <c r="A4160">
        <v>11804</v>
      </c>
      <c r="B4160" t="s">
        <v>11166</v>
      </c>
      <c r="C4160" t="s">
        <v>5043</v>
      </c>
      <c r="D4160" t="s">
        <v>8401</v>
      </c>
    </row>
    <row r="4161" spans="1:4" ht="15" x14ac:dyDescent="0.25">
      <c r="A4161">
        <v>10642</v>
      </c>
      <c r="B4161" t="s">
        <v>9404</v>
      </c>
      <c r="C4161" t="s">
        <v>5043</v>
      </c>
      <c r="D4161" t="s">
        <v>8401</v>
      </c>
    </row>
    <row r="4162" spans="1:4" ht="15" x14ac:dyDescent="0.25">
      <c r="A4162">
        <v>11748</v>
      </c>
      <c r="B4162" t="s">
        <v>9404</v>
      </c>
      <c r="C4162" t="s">
        <v>5043</v>
      </c>
      <c r="D4162" t="s">
        <v>8401</v>
      </c>
    </row>
    <row r="4163" spans="1:4" ht="15" x14ac:dyDescent="0.25">
      <c r="A4163">
        <v>8064</v>
      </c>
      <c r="B4163" t="s">
        <v>9404</v>
      </c>
      <c r="C4163" t="s">
        <v>5043</v>
      </c>
      <c r="D4163" t="s">
        <v>8401</v>
      </c>
    </row>
    <row r="4164" spans="1:4" ht="15" x14ac:dyDescent="0.25">
      <c r="A4164">
        <v>7776</v>
      </c>
      <c r="B4164" t="s">
        <v>9405</v>
      </c>
      <c r="C4164" t="s">
        <v>5043</v>
      </c>
      <c r="D4164" t="s">
        <v>8401</v>
      </c>
    </row>
    <row r="4165" spans="1:4" ht="15" x14ac:dyDescent="0.25">
      <c r="A4165">
        <v>8320</v>
      </c>
      <c r="B4165" t="s">
        <v>9405</v>
      </c>
      <c r="C4165" t="s">
        <v>5043</v>
      </c>
      <c r="D4165" t="s">
        <v>8401</v>
      </c>
    </row>
    <row r="4166" spans="1:4" ht="15" x14ac:dyDescent="0.25">
      <c r="A4166">
        <v>11511</v>
      </c>
      <c r="B4166" t="s">
        <v>9406</v>
      </c>
      <c r="C4166" t="s">
        <v>5043</v>
      </c>
      <c r="D4166" t="s">
        <v>8401</v>
      </c>
    </row>
    <row r="4167" spans="1:4" ht="15" x14ac:dyDescent="0.25">
      <c r="A4167">
        <v>9461</v>
      </c>
      <c r="B4167" t="s">
        <v>9406</v>
      </c>
      <c r="C4167" t="s">
        <v>5043</v>
      </c>
      <c r="D4167" t="s">
        <v>8401</v>
      </c>
    </row>
    <row r="4168" spans="1:4" ht="15" x14ac:dyDescent="0.25">
      <c r="A4168">
        <v>9836</v>
      </c>
      <c r="B4168" t="s">
        <v>9406</v>
      </c>
      <c r="C4168" t="s">
        <v>5043</v>
      </c>
      <c r="D4168" t="s">
        <v>8401</v>
      </c>
    </row>
    <row r="4169" spans="1:4" ht="15" x14ac:dyDescent="0.25">
      <c r="A4169">
        <v>10408</v>
      </c>
      <c r="B4169" t="s">
        <v>11167</v>
      </c>
      <c r="C4169" t="s">
        <v>5043</v>
      </c>
      <c r="D4169" t="s">
        <v>8401</v>
      </c>
    </row>
    <row r="4170" spans="1:4" ht="15" x14ac:dyDescent="0.25">
      <c r="A4170">
        <v>7929</v>
      </c>
      <c r="B4170" t="s">
        <v>11167</v>
      </c>
      <c r="C4170" t="s">
        <v>5043</v>
      </c>
      <c r="D4170" t="s">
        <v>8401</v>
      </c>
    </row>
    <row r="4171" spans="1:4" ht="15" x14ac:dyDescent="0.25">
      <c r="A4171">
        <v>11517</v>
      </c>
      <c r="B4171" t="s">
        <v>11168</v>
      </c>
      <c r="C4171" t="s">
        <v>5043</v>
      </c>
      <c r="D4171" t="s">
        <v>8401</v>
      </c>
    </row>
    <row r="4172" spans="1:4" ht="15" x14ac:dyDescent="0.25">
      <c r="A4172">
        <v>6954</v>
      </c>
      <c r="B4172" t="s">
        <v>11168</v>
      </c>
      <c r="C4172" t="s">
        <v>5043</v>
      </c>
      <c r="D4172" t="s">
        <v>8401</v>
      </c>
    </row>
    <row r="4173" spans="1:4" ht="15" x14ac:dyDescent="0.25">
      <c r="A4173">
        <v>9015</v>
      </c>
      <c r="B4173" t="s">
        <v>11169</v>
      </c>
      <c r="C4173" t="s">
        <v>5043</v>
      </c>
      <c r="D4173" t="s">
        <v>8401</v>
      </c>
    </row>
    <row r="4174" spans="1:4" ht="15" x14ac:dyDescent="0.25">
      <c r="A4174">
        <v>10882</v>
      </c>
      <c r="B4174" t="s">
        <v>11170</v>
      </c>
      <c r="C4174" t="s">
        <v>5043</v>
      </c>
      <c r="D4174" t="s">
        <v>8401</v>
      </c>
    </row>
    <row r="4175" spans="1:4" ht="15" x14ac:dyDescent="0.25">
      <c r="A4175">
        <v>6966</v>
      </c>
      <c r="B4175" t="s">
        <v>9407</v>
      </c>
      <c r="C4175" t="s">
        <v>5043</v>
      </c>
      <c r="D4175" t="s">
        <v>8401</v>
      </c>
    </row>
    <row r="4176" spans="1:4" ht="15" x14ac:dyDescent="0.25">
      <c r="A4176">
        <v>7966</v>
      </c>
      <c r="B4176" t="s">
        <v>9408</v>
      </c>
      <c r="C4176" t="s">
        <v>5043</v>
      </c>
      <c r="D4176" t="s">
        <v>8401</v>
      </c>
    </row>
    <row r="4177" spans="1:4" ht="15" x14ac:dyDescent="0.25">
      <c r="A4177">
        <v>6989</v>
      </c>
      <c r="B4177" t="s">
        <v>11171</v>
      </c>
      <c r="C4177" t="s">
        <v>5043</v>
      </c>
      <c r="D4177" t="s">
        <v>8401</v>
      </c>
    </row>
    <row r="4178" spans="1:4" ht="15" x14ac:dyDescent="0.25">
      <c r="A4178">
        <v>8394</v>
      </c>
      <c r="B4178" t="s">
        <v>11171</v>
      </c>
      <c r="C4178" t="s">
        <v>5043</v>
      </c>
      <c r="D4178" t="s">
        <v>8401</v>
      </c>
    </row>
    <row r="4179" spans="1:4" ht="15" x14ac:dyDescent="0.25">
      <c r="A4179">
        <v>11624</v>
      </c>
      <c r="B4179" t="s">
        <v>11172</v>
      </c>
      <c r="C4179" t="s">
        <v>5043</v>
      </c>
      <c r="D4179" t="s">
        <v>8401</v>
      </c>
    </row>
    <row r="4180" spans="1:4" ht="15" x14ac:dyDescent="0.25">
      <c r="A4180">
        <v>11759</v>
      </c>
      <c r="B4180" t="s">
        <v>11172</v>
      </c>
      <c r="C4180" t="s">
        <v>5043</v>
      </c>
      <c r="D4180" t="s">
        <v>8401</v>
      </c>
    </row>
    <row r="4181" spans="1:4" ht="15" x14ac:dyDescent="0.25">
      <c r="A4181">
        <v>10001</v>
      </c>
      <c r="B4181" t="s">
        <v>9409</v>
      </c>
      <c r="C4181" t="s">
        <v>5043</v>
      </c>
      <c r="D4181" t="s">
        <v>8401</v>
      </c>
    </row>
    <row r="4182" spans="1:4" ht="15" x14ac:dyDescent="0.25">
      <c r="A4182">
        <v>7661</v>
      </c>
      <c r="B4182" t="s">
        <v>9410</v>
      </c>
      <c r="C4182" t="s">
        <v>5043</v>
      </c>
      <c r="D4182" t="s">
        <v>8401</v>
      </c>
    </row>
    <row r="4183" spans="1:4" ht="15" x14ac:dyDescent="0.25">
      <c r="A4183">
        <v>8893</v>
      </c>
      <c r="B4183" t="s">
        <v>9410</v>
      </c>
      <c r="C4183" t="s">
        <v>5043</v>
      </c>
      <c r="D4183" t="s">
        <v>8401</v>
      </c>
    </row>
    <row r="4184" spans="1:4" ht="15" x14ac:dyDescent="0.25">
      <c r="A4184">
        <v>8961</v>
      </c>
      <c r="B4184" t="s">
        <v>9410</v>
      </c>
      <c r="C4184" t="s">
        <v>5043</v>
      </c>
      <c r="D4184" t="s">
        <v>8401</v>
      </c>
    </row>
    <row r="4185" spans="1:4" ht="15" x14ac:dyDescent="0.25">
      <c r="A4185">
        <v>11506</v>
      </c>
      <c r="B4185" t="s">
        <v>11173</v>
      </c>
      <c r="C4185" t="s">
        <v>5043</v>
      </c>
      <c r="D4185" t="s">
        <v>8401</v>
      </c>
    </row>
    <row r="4186" spans="1:4" ht="15" x14ac:dyDescent="0.25">
      <c r="A4186">
        <v>11627</v>
      </c>
      <c r="B4186" t="s">
        <v>9411</v>
      </c>
      <c r="C4186" t="s">
        <v>5043</v>
      </c>
      <c r="D4186" t="s">
        <v>8401</v>
      </c>
    </row>
    <row r="4187" spans="1:4" ht="15" x14ac:dyDescent="0.25">
      <c r="A4187">
        <v>10591</v>
      </c>
      <c r="B4187" t="s">
        <v>9412</v>
      </c>
      <c r="C4187" t="s">
        <v>5043</v>
      </c>
      <c r="D4187" t="s">
        <v>8401</v>
      </c>
    </row>
    <row r="4188" spans="1:4" ht="15" x14ac:dyDescent="0.25">
      <c r="A4188">
        <v>8090</v>
      </c>
      <c r="B4188" t="s">
        <v>9412</v>
      </c>
      <c r="C4188" t="s">
        <v>5043</v>
      </c>
      <c r="D4188" t="s">
        <v>8401</v>
      </c>
    </row>
    <row r="4189" spans="1:4" ht="15" x14ac:dyDescent="0.25">
      <c r="A4189">
        <v>9444</v>
      </c>
      <c r="B4189" t="s">
        <v>9412</v>
      </c>
      <c r="C4189" t="s">
        <v>5043</v>
      </c>
      <c r="D4189" t="s">
        <v>8401</v>
      </c>
    </row>
    <row r="4190" spans="1:4" ht="15" x14ac:dyDescent="0.25">
      <c r="A4190">
        <v>6752</v>
      </c>
      <c r="B4190" t="s">
        <v>11174</v>
      </c>
      <c r="C4190" t="s">
        <v>5043</v>
      </c>
      <c r="D4190" t="s">
        <v>8401</v>
      </c>
    </row>
    <row r="4191" spans="1:4" ht="15" x14ac:dyDescent="0.25">
      <c r="A4191">
        <v>9001</v>
      </c>
      <c r="B4191" t="s">
        <v>9413</v>
      </c>
      <c r="C4191" t="s">
        <v>5043</v>
      </c>
      <c r="D4191" t="s">
        <v>8401</v>
      </c>
    </row>
    <row r="4192" spans="1:4" ht="15" x14ac:dyDescent="0.25">
      <c r="A4192">
        <v>10745</v>
      </c>
      <c r="B4192" t="s">
        <v>9414</v>
      </c>
      <c r="C4192" t="s">
        <v>5043</v>
      </c>
      <c r="D4192" t="s">
        <v>8401</v>
      </c>
    </row>
    <row r="4193" spans="1:4" ht="15" x14ac:dyDescent="0.25">
      <c r="A4193">
        <v>11273</v>
      </c>
      <c r="B4193" t="s">
        <v>9414</v>
      </c>
      <c r="C4193" t="s">
        <v>5043</v>
      </c>
      <c r="D4193" t="s">
        <v>8401</v>
      </c>
    </row>
    <row r="4194" spans="1:4" ht="15" x14ac:dyDescent="0.25">
      <c r="A4194">
        <v>11955</v>
      </c>
      <c r="B4194" t="s">
        <v>9414</v>
      </c>
      <c r="C4194" t="s">
        <v>5043</v>
      </c>
      <c r="D4194" t="s">
        <v>8401</v>
      </c>
    </row>
    <row r="4195" spans="1:4" ht="15" x14ac:dyDescent="0.25">
      <c r="A4195">
        <v>7322</v>
      </c>
      <c r="B4195" t="s">
        <v>9414</v>
      </c>
      <c r="C4195" t="s">
        <v>5043</v>
      </c>
      <c r="D4195" t="s">
        <v>8401</v>
      </c>
    </row>
    <row r="4196" spans="1:4" ht="15" x14ac:dyDescent="0.25">
      <c r="A4196">
        <v>7355</v>
      </c>
      <c r="B4196" t="s">
        <v>9414</v>
      </c>
      <c r="C4196" t="s">
        <v>5043</v>
      </c>
      <c r="D4196" t="s">
        <v>8401</v>
      </c>
    </row>
    <row r="4197" spans="1:4" ht="15" x14ac:dyDescent="0.25">
      <c r="A4197">
        <v>7426</v>
      </c>
      <c r="B4197" t="s">
        <v>9414</v>
      </c>
      <c r="C4197" t="s">
        <v>5043</v>
      </c>
      <c r="D4197" t="s">
        <v>8401</v>
      </c>
    </row>
    <row r="4198" spans="1:4" ht="15" x14ac:dyDescent="0.25">
      <c r="A4198">
        <v>7618</v>
      </c>
      <c r="B4198" t="s">
        <v>9414</v>
      </c>
      <c r="C4198" t="s">
        <v>5043</v>
      </c>
      <c r="D4198" t="s">
        <v>8401</v>
      </c>
    </row>
    <row r="4199" spans="1:4" ht="15" x14ac:dyDescent="0.25">
      <c r="A4199">
        <v>8038</v>
      </c>
      <c r="B4199" t="s">
        <v>9414</v>
      </c>
      <c r="C4199" t="s">
        <v>5043</v>
      </c>
      <c r="D4199" t="s">
        <v>8401</v>
      </c>
    </row>
    <row r="4200" spans="1:4" ht="15" x14ac:dyDescent="0.25">
      <c r="A4200">
        <v>8180</v>
      </c>
      <c r="B4200" t="s">
        <v>9414</v>
      </c>
      <c r="C4200" t="s">
        <v>5043</v>
      </c>
      <c r="D4200" t="s">
        <v>8401</v>
      </c>
    </row>
    <row r="4201" spans="1:4" ht="15" x14ac:dyDescent="0.25">
      <c r="A4201">
        <v>8357</v>
      </c>
      <c r="B4201" t="s">
        <v>9414</v>
      </c>
      <c r="C4201" t="s">
        <v>5043</v>
      </c>
      <c r="D4201" t="s">
        <v>8401</v>
      </c>
    </row>
    <row r="4202" spans="1:4" ht="15" x14ac:dyDescent="0.25">
      <c r="A4202">
        <v>8748</v>
      </c>
      <c r="B4202" t="s">
        <v>9414</v>
      </c>
      <c r="C4202" t="s">
        <v>5043</v>
      </c>
      <c r="D4202" t="s">
        <v>8401</v>
      </c>
    </row>
    <row r="4203" spans="1:4" ht="15" x14ac:dyDescent="0.25">
      <c r="A4203">
        <v>9288</v>
      </c>
      <c r="B4203" t="s">
        <v>9414</v>
      </c>
      <c r="C4203" t="s">
        <v>5043</v>
      </c>
      <c r="D4203" t="s">
        <v>8401</v>
      </c>
    </row>
    <row r="4204" spans="1:4" ht="15" x14ac:dyDescent="0.25">
      <c r="A4204">
        <v>9500</v>
      </c>
      <c r="B4204" t="s">
        <v>9414</v>
      </c>
      <c r="C4204" t="s">
        <v>5043</v>
      </c>
      <c r="D4204" t="s">
        <v>8401</v>
      </c>
    </row>
    <row r="4205" spans="1:4" ht="15" x14ac:dyDescent="0.25">
      <c r="A4205">
        <v>9668</v>
      </c>
      <c r="B4205" t="s">
        <v>9414</v>
      </c>
      <c r="C4205" t="s">
        <v>5043</v>
      </c>
      <c r="D4205" t="s">
        <v>8401</v>
      </c>
    </row>
    <row r="4206" spans="1:4" ht="15" x14ac:dyDescent="0.25">
      <c r="A4206">
        <v>9546</v>
      </c>
      <c r="B4206" t="s">
        <v>11175</v>
      </c>
      <c r="C4206" t="s">
        <v>5043</v>
      </c>
      <c r="D4206" t="s">
        <v>8401</v>
      </c>
    </row>
    <row r="4207" spans="1:4" ht="15" x14ac:dyDescent="0.25">
      <c r="A4207">
        <v>10442</v>
      </c>
      <c r="B4207" t="s">
        <v>9415</v>
      </c>
      <c r="C4207" t="s">
        <v>5043</v>
      </c>
      <c r="D4207" t="s">
        <v>8401</v>
      </c>
    </row>
    <row r="4208" spans="1:4" ht="15" x14ac:dyDescent="0.25">
      <c r="A4208">
        <v>10931</v>
      </c>
      <c r="B4208" t="s">
        <v>9415</v>
      </c>
      <c r="C4208" t="s">
        <v>5043</v>
      </c>
      <c r="D4208" t="s">
        <v>8401</v>
      </c>
    </row>
    <row r="4209" spans="1:4" ht="15" x14ac:dyDescent="0.25">
      <c r="A4209">
        <v>11418</v>
      </c>
      <c r="B4209" t="s">
        <v>9415</v>
      </c>
      <c r="C4209" t="s">
        <v>5043</v>
      </c>
      <c r="D4209" t="s">
        <v>8401</v>
      </c>
    </row>
    <row r="4210" spans="1:4" ht="15" x14ac:dyDescent="0.25">
      <c r="A4210">
        <v>11422</v>
      </c>
      <c r="B4210" t="s">
        <v>9415</v>
      </c>
      <c r="C4210" t="s">
        <v>5043</v>
      </c>
      <c r="D4210" t="s">
        <v>8401</v>
      </c>
    </row>
    <row r="4211" spans="1:4" ht="15" x14ac:dyDescent="0.25">
      <c r="A4211">
        <v>11576</v>
      </c>
      <c r="B4211" t="s">
        <v>9415</v>
      </c>
      <c r="C4211" t="s">
        <v>5043</v>
      </c>
      <c r="D4211" t="s">
        <v>8401</v>
      </c>
    </row>
    <row r="4212" spans="1:4" ht="15" x14ac:dyDescent="0.25">
      <c r="A4212">
        <v>6862</v>
      </c>
      <c r="B4212" t="s">
        <v>9415</v>
      </c>
      <c r="C4212" t="s">
        <v>5043</v>
      </c>
      <c r="D4212" t="s">
        <v>8401</v>
      </c>
    </row>
    <row r="4213" spans="1:4" ht="15" x14ac:dyDescent="0.25">
      <c r="A4213">
        <v>6927</v>
      </c>
      <c r="B4213" t="s">
        <v>9415</v>
      </c>
      <c r="C4213" t="s">
        <v>5043</v>
      </c>
      <c r="D4213" t="s">
        <v>8401</v>
      </c>
    </row>
    <row r="4214" spans="1:4" ht="15" x14ac:dyDescent="0.25">
      <c r="A4214">
        <v>7066</v>
      </c>
      <c r="B4214" t="s">
        <v>9415</v>
      </c>
      <c r="C4214" t="s">
        <v>5043</v>
      </c>
      <c r="D4214" t="s">
        <v>8401</v>
      </c>
    </row>
    <row r="4215" spans="1:4" ht="15" x14ac:dyDescent="0.25">
      <c r="A4215">
        <v>7994</v>
      </c>
      <c r="B4215" t="s">
        <v>9415</v>
      </c>
      <c r="C4215" t="s">
        <v>5043</v>
      </c>
      <c r="D4215" t="s">
        <v>8401</v>
      </c>
    </row>
    <row r="4216" spans="1:4" ht="15" x14ac:dyDescent="0.25">
      <c r="A4216">
        <v>8325</v>
      </c>
      <c r="B4216" t="s">
        <v>9415</v>
      </c>
      <c r="C4216" t="s">
        <v>5043</v>
      </c>
      <c r="D4216" t="s">
        <v>8401</v>
      </c>
    </row>
    <row r="4217" spans="1:4" ht="15" x14ac:dyDescent="0.25">
      <c r="A4217">
        <v>8569</v>
      </c>
      <c r="B4217" t="s">
        <v>9415</v>
      </c>
      <c r="C4217" t="s">
        <v>5043</v>
      </c>
      <c r="D4217" t="s">
        <v>8401</v>
      </c>
    </row>
    <row r="4218" spans="1:4" ht="15" x14ac:dyDescent="0.25">
      <c r="A4218">
        <v>8774</v>
      </c>
      <c r="B4218" t="s">
        <v>9415</v>
      </c>
      <c r="C4218" t="s">
        <v>5043</v>
      </c>
      <c r="D4218" t="s">
        <v>8401</v>
      </c>
    </row>
    <row r="4219" spans="1:4" ht="15" x14ac:dyDescent="0.25">
      <c r="A4219">
        <v>8973</v>
      </c>
      <c r="B4219" t="s">
        <v>9415</v>
      </c>
      <c r="C4219" t="s">
        <v>5043</v>
      </c>
      <c r="D4219" t="s">
        <v>8401</v>
      </c>
    </row>
    <row r="4220" spans="1:4" ht="15" x14ac:dyDescent="0.25">
      <c r="A4220">
        <v>11009</v>
      </c>
      <c r="B4220" t="s">
        <v>11176</v>
      </c>
      <c r="C4220" t="s">
        <v>5043</v>
      </c>
      <c r="D4220" t="s">
        <v>8401</v>
      </c>
    </row>
    <row r="4221" spans="1:4" ht="15" x14ac:dyDescent="0.25">
      <c r="A4221">
        <v>8119</v>
      </c>
      <c r="B4221" t="s">
        <v>9416</v>
      </c>
      <c r="C4221" t="s">
        <v>5043</v>
      </c>
      <c r="D4221" t="s">
        <v>8401</v>
      </c>
    </row>
    <row r="4222" spans="1:4" ht="15" x14ac:dyDescent="0.25">
      <c r="A4222">
        <v>9843</v>
      </c>
      <c r="B4222" t="s">
        <v>9416</v>
      </c>
      <c r="C4222" t="s">
        <v>5043</v>
      </c>
      <c r="D4222" t="s">
        <v>8401</v>
      </c>
    </row>
    <row r="4223" spans="1:4" ht="15" x14ac:dyDescent="0.25">
      <c r="A4223">
        <v>11178</v>
      </c>
      <c r="B4223" t="s">
        <v>11177</v>
      </c>
      <c r="C4223" t="s">
        <v>5043</v>
      </c>
      <c r="D4223" t="s">
        <v>8401</v>
      </c>
    </row>
    <row r="4224" spans="1:4" ht="15" x14ac:dyDescent="0.25">
      <c r="A4224">
        <v>11798</v>
      </c>
      <c r="B4224" t="s">
        <v>11177</v>
      </c>
      <c r="C4224" t="s">
        <v>5043</v>
      </c>
      <c r="D4224" t="s">
        <v>8401</v>
      </c>
    </row>
    <row r="4225" spans="1:4" ht="15" x14ac:dyDescent="0.25">
      <c r="A4225">
        <v>8337</v>
      </c>
      <c r="B4225" t="s">
        <v>9417</v>
      </c>
      <c r="C4225" t="s">
        <v>5043</v>
      </c>
      <c r="D4225" t="s">
        <v>8401</v>
      </c>
    </row>
    <row r="4226" spans="1:4" ht="15" x14ac:dyDescent="0.25">
      <c r="A4226">
        <v>7765</v>
      </c>
      <c r="B4226" t="s">
        <v>11178</v>
      </c>
      <c r="C4226" t="s">
        <v>5043</v>
      </c>
      <c r="D4226" t="s">
        <v>8401</v>
      </c>
    </row>
    <row r="4227" spans="1:4" ht="15" x14ac:dyDescent="0.25">
      <c r="A4227">
        <v>8690</v>
      </c>
      <c r="B4227" t="s">
        <v>11178</v>
      </c>
      <c r="C4227" t="s">
        <v>5043</v>
      </c>
      <c r="D4227" t="s">
        <v>8401</v>
      </c>
    </row>
    <row r="4228" spans="1:4" ht="15" x14ac:dyDescent="0.25">
      <c r="A4228">
        <v>11676</v>
      </c>
      <c r="B4228" t="s">
        <v>11179</v>
      </c>
      <c r="C4228" t="s">
        <v>5043</v>
      </c>
      <c r="D4228" t="s">
        <v>8401</v>
      </c>
    </row>
    <row r="4229" spans="1:4" ht="15" x14ac:dyDescent="0.25">
      <c r="A4229">
        <v>9258</v>
      </c>
      <c r="B4229" t="s">
        <v>11179</v>
      </c>
      <c r="C4229" t="s">
        <v>5043</v>
      </c>
      <c r="D4229" t="s">
        <v>8401</v>
      </c>
    </row>
    <row r="4230" spans="1:4" ht="15" x14ac:dyDescent="0.25">
      <c r="A4230">
        <v>251360</v>
      </c>
      <c r="B4230" t="s">
        <v>11588</v>
      </c>
      <c r="C4230" t="s">
        <v>5043</v>
      </c>
      <c r="D4230" t="s">
        <v>8401</v>
      </c>
    </row>
    <row r="4231" spans="1:4" ht="15" x14ac:dyDescent="0.25">
      <c r="A4231">
        <v>251361</v>
      </c>
      <c r="B4231" t="s">
        <v>11588</v>
      </c>
      <c r="C4231" t="s">
        <v>5043</v>
      </c>
      <c r="D4231" t="s">
        <v>8401</v>
      </c>
    </row>
    <row r="4232" spans="1:4" ht="15" x14ac:dyDescent="0.25">
      <c r="A4232">
        <v>8673</v>
      </c>
      <c r="B4232" t="s">
        <v>11180</v>
      </c>
      <c r="C4232" t="s">
        <v>5043</v>
      </c>
      <c r="D4232" t="s">
        <v>8401</v>
      </c>
    </row>
    <row r="4233" spans="1:4" ht="15" x14ac:dyDescent="0.25">
      <c r="A4233">
        <v>9834</v>
      </c>
      <c r="B4233" t="s">
        <v>11180</v>
      </c>
      <c r="C4233" t="s">
        <v>5043</v>
      </c>
      <c r="D4233" t="s">
        <v>8401</v>
      </c>
    </row>
    <row r="4234" spans="1:4" ht="15" x14ac:dyDescent="0.25">
      <c r="A4234">
        <v>8030</v>
      </c>
      <c r="B4234" t="s">
        <v>11181</v>
      </c>
      <c r="C4234" t="s">
        <v>5043</v>
      </c>
      <c r="D4234" t="s">
        <v>8401</v>
      </c>
    </row>
    <row r="4235" spans="1:4" ht="15" x14ac:dyDescent="0.25">
      <c r="A4235">
        <v>9223</v>
      </c>
      <c r="B4235" t="s">
        <v>11181</v>
      </c>
      <c r="C4235" t="s">
        <v>5043</v>
      </c>
      <c r="D4235" t="s">
        <v>8401</v>
      </c>
    </row>
    <row r="4236" spans="1:4" ht="15" x14ac:dyDescent="0.25">
      <c r="A4236">
        <v>10976</v>
      </c>
      <c r="B4236" t="s">
        <v>11182</v>
      </c>
      <c r="C4236" t="s">
        <v>5043</v>
      </c>
      <c r="D4236" t="s">
        <v>8401</v>
      </c>
    </row>
    <row r="4237" spans="1:4" ht="15" x14ac:dyDescent="0.25">
      <c r="A4237">
        <v>11530</v>
      </c>
      <c r="B4237" t="s">
        <v>11182</v>
      </c>
      <c r="C4237" t="s">
        <v>5043</v>
      </c>
      <c r="D4237" t="s">
        <v>8401</v>
      </c>
    </row>
    <row r="4238" spans="1:4" ht="15" x14ac:dyDescent="0.25">
      <c r="A4238">
        <v>12105</v>
      </c>
      <c r="B4238" t="s">
        <v>11183</v>
      </c>
      <c r="C4238" t="s">
        <v>5043</v>
      </c>
      <c r="D4238" t="s">
        <v>8401</v>
      </c>
    </row>
    <row r="4239" spans="1:4" ht="15" x14ac:dyDescent="0.25">
      <c r="A4239">
        <v>7221</v>
      </c>
      <c r="B4239" t="s">
        <v>11183</v>
      </c>
      <c r="C4239" t="s">
        <v>5043</v>
      </c>
      <c r="D4239" t="s">
        <v>8401</v>
      </c>
    </row>
    <row r="4240" spans="1:4" ht="15" x14ac:dyDescent="0.25">
      <c r="A4240">
        <v>8473</v>
      </c>
      <c r="B4240" t="s">
        <v>11183</v>
      </c>
      <c r="C4240" t="s">
        <v>5043</v>
      </c>
      <c r="D4240" t="s">
        <v>8401</v>
      </c>
    </row>
    <row r="4241" spans="1:4" ht="15" x14ac:dyDescent="0.25">
      <c r="A4241">
        <v>8771</v>
      </c>
      <c r="B4241" t="s">
        <v>11183</v>
      </c>
      <c r="C4241" t="s">
        <v>5043</v>
      </c>
      <c r="D4241" t="s">
        <v>8401</v>
      </c>
    </row>
    <row r="4242" spans="1:4" ht="15" x14ac:dyDescent="0.25">
      <c r="A4242">
        <v>10237</v>
      </c>
      <c r="B4242" t="s">
        <v>11184</v>
      </c>
      <c r="C4242" t="s">
        <v>5043</v>
      </c>
      <c r="D4242" t="s">
        <v>8401</v>
      </c>
    </row>
    <row r="4243" spans="1:4" ht="15" x14ac:dyDescent="0.25">
      <c r="A4243">
        <v>7134</v>
      </c>
      <c r="B4243" t="s">
        <v>11184</v>
      </c>
      <c r="C4243" t="s">
        <v>5043</v>
      </c>
      <c r="D4243" t="s">
        <v>8401</v>
      </c>
    </row>
    <row r="4244" spans="1:4" ht="15" x14ac:dyDescent="0.25">
      <c r="A4244">
        <v>9542</v>
      </c>
      <c r="B4244" t="s">
        <v>11184</v>
      </c>
      <c r="C4244" t="s">
        <v>5043</v>
      </c>
      <c r="D4244" t="s">
        <v>8401</v>
      </c>
    </row>
    <row r="4245" spans="1:4" ht="15" x14ac:dyDescent="0.25">
      <c r="A4245">
        <v>11895</v>
      </c>
      <c r="B4245" t="s">
        <v>11185</v>
      </c>
      <c r="C4245" t="s">
        <v>5043</v>
      </c>
      <c r="D4245" t="s">
        <v>8401</v>
      </c>
    </row>
    <row r="4246" spans="1:4" ht="15" x14ac:dyDescent="0.25">
      <c r="A4246">
        <v>7471</v>
      </c>
      <c r="B4246" t="s">
        <v>11185</v>
      </c>
      <c r="C4246" t="s">
        <v>5043</v>
      </c>
      <c r="D4246" t="s">
        <v>8401</v>
      </c>
    </row>
    <row r="4247" spans="1:4" ht="15" x14ac:dyDescent="0.25">
      <c r="A4247">
        <v>12102</v>
      </c>
      <c r="B4247" t="s">
        <v>11186</v>
      </c>
      <c r="C4247" t="s">
        <v>5043</v>
      </c>
      <c r="D4247" t="s">
        <v>8401</v>
      </c>
    </row>
    <row r="4248" spans="1:4" ht="15" x14ac:dyDescent="0.25">
      <c r="A4248">
        <v>8464</v>
      </c>
      <c r="B4248" t="s">
        <v>11186</v>
      </c>
      <c r="C4248" t="s">
        <v>5043</v>
      </c>
      <c r="D4248" t="s">
        <v>8401</v>
      </c>
    </row>
    <row r="4249" spans="1:4" ht="15" x14ac:dyDescent="0.25">
      <c r="A4249">
        <v>7016</v>
      </c>
      <c r="B4249" t="s">
        <v>11187</v>
      </c>
      <c r="C4249" t="s">
        <v>5043</v>
      </c>
      <c r="D4249" t="s">
        <v>8401</v>
      </c>
    </row>
    <row r="4250" spans="1:4" ht="15" x14ac:dyDescent="0.25">
      <c r="A4250">
        <v>7790</v>
      </c>
      <c r="B4250" t="s">
        <v>11187</v>
      </c>
      <c r="C4250" t="s">
        <v>5043</v>
      </c>
      <c r="D4250" t="s">
        <v>8401</v>
      </c>
    </row>
    <row r="4251" spans="1:4" ht="15" x14ac:dyDescent="0.25">
      <c r="A4251">
        <v>7858</v>
      </c>
      <c r="B4251" t="s">
        <v>11188</v>
      </c>
      <c r="C4251" t="s">
        <v>5043</v>
      </c>
      <c r="D4251" t="s">
        <v>8401</v>
      </c>
    </row>
    <row r="4252" spans="1:4" ht="15" x14ac:dyDescent="0.25">
      <c r="A4252">
        <v>8715</v>
      </c>
      <c r="B4252" t="s">
        <v>11188</v>
      </c>
      <c r="C4252" t="s">
        <v>5043</v>
      </c>
      <c r="D4252" t="s">
        <v>8401</v>
      </c>
    </row>
    <row r="4253" spans="1:4" ht="15" x14ac:dyDescent="0.25">
      <c r="A4253">
        <v>8736</v>
      </c>
      <c r="B4253" t="s">
        <v>11188</v>
      </c>
      <c r="C4253" t="s">
        <v>5043</v>
      </c>
      <c r="D4253" t="s">
        <v>8401</v>
      </c>
    </row>
    <row r="4254" spans="1:4" ht="15" x14ac:dyDescent="0.25">
      <c r="A4254">
        <v>6863</v>
      </c>
      <c r="B4254" t="s">
        <v>11189</v>
      </c>
      <c r="C4254" t="s">
        <v>5043</v>
      </c>
      <c r="D4254" t="s">
        <v>8401</v>
      </c>
    </row>
    <row r="4255" spans="1:4" ht="15" x14ac:dyDescent="0.25">
      <c r="A4255">
        <v>8127</v>
      </c>
      <c r="B4255" t="s">
        <v>11189</v>
      </c>
      <c r="C4255" t="s">
        <v>5043</v>
      </c>
      <c r="D4255" t="s">
        <v>8401</v>
      </c>
    </row>
    <row r="4256" spans="1:4" ht="15" x14ac:dyDescent="0.25">
      <c r="A4256">
        <v>251546</v>
      </c>
      <c r="B4256" t="s">
        <v>11589</v>
      </c>
      <c r="C4256" t="s">
        <v>5043</v>
      </c>
      <c r="D4256" t="s">
        <v>8401</v>
      </c>
    </row>
    <row r="4257" spans="1:4" ht="15" x14ac:dyDescent="0.25">
      <c r="A4257">
        <v>251547</v>
      </c>
      <c r="B4257" t="s">
        <v>11589</v>
      </c>
      <c r="C4257" t="s">
        <v>5043</v>
      </c>
      <c r="D4257" t="s">
        <v>8401</v>
      </c>
    </row>
    <row r="4258" spans="1:4" ht="15" x14ac:dyDescent="0.25">
      <c r="A4258">
        <v>251548</v>
      </c>
      <c r="B4258" t="s">
        <v>11589</v>
      </c>
      <c r="C4258" t="s">
        <v>5043</v>
      </c>
      <c r="D4258" t="s">
        <v>8401</v>
      </c>
    </row>
    <row r="4259" spans="1:4" ht="15" x14ac:dyDescent="0.25">
      <c r="A4259">
        <v>251550</v>
      </c>
      <c r="B4259" t="s">
        <v>11589</v>
      </c>
      <c r="C4259" t="s">
        <v>5043</v>
      </c>
      <c r="D4259" t="s">
        <v>8401</v>
      </c>
    </row>
    <row r="4260" spans="1:4" ht="15" x14ac:dyDescent="0.25">
      <c r="A4260">
        <v>251551</v>
      </c>
      <c r="B4260" t="s">
        <v>11589</v>
      </c>
      <c r="C4260" t="s">
        <v>5043</v>
      </c>
      <c r="D4260" t="s">
        <v>8401</v>
      </c>
    </row>
    <row r="4261" spans="1:4" ht="15" x14ac:dyDescent="0.25">
      <c r="A4261">
        <v>251552</v>
      </c>
      <c r="B4261" t="s">
        <v>11589</v>
      </c>
      <c r="C4261" t="s">
        <v>5043</v>
      </c>
      <c r="D4261" t="s">
        <v>8401</v>
      </c>
    </row>
    <row r="4262" spans="1:4" ht="15" x14ac:dyDescent="0.25">
      <c r="A4262">
        <v>251554</v>
      </c>
      <c r="B4262" t="s">
        <v>11589</v>
      </c>
      <c r="C4262" t="s">
        <v>5043</v>
      </c>
      <c r="D4262" t="s">
        <v>8401</v>
      </c>
    </row>
    <row r="4263" spans="1:4" ht="15" x14ac:dyDescent="0.25">
      <c r="A4263">
        <v>251555</v>
      </c>
      <c r="B4263" t="s">
        <v>11589</v>
      </c>
      <c r="C4263" t="s">
        <v>5043</v>
      </c>
      <c r="D4263" t="s">
        <v>8401</v>
      </c>
    </row>
    <row r="4264" spans="1:4" ht="15" x14ac:dyDescent="0.25">
      <c r="A4264">
        <v>251556</v>
      </c>
      <c r="B4264" t="s">
        <v>11589</v>
      </c>
      <c r="C4264" t="s">
        <v>5043</v>
      </c>
      <c r="D4264" t="s">
        <v>8401</v>
      </c>
    </row>
    <row r="4265" spans="1:4" ht="15" x14ac:dyDescent="0.25">
      <c r="A4265">
        <v>251558</v>
      </c>
      <c r="B4265" t="s">
        <v>11589</v>
      </c>
      <c r="C4265" t="s">
        <v>5043</v>
      </c>
      <c r="D4265" t="s">
        <v>8401</v>
      </c>
    </row>
    <row r="4266" spans="1:4" ht="15" x14ac:dyDescent="0.25">
      <c r="A4266">
        <v>251559</v>
      </c>
      <c r="B4266" t="s">
        <v>11589</v>
      </c>
      <c r="C4266" t="s">
        <v>5043</v>
      </c>
      <c r="D4266" t="s">
        <v>8401</v>
      </c>
    </row>
    <row r="4267" spans="1:4" ht="15" x14ac:dyDescent="0.25">
      <c r="A4267">
        <v>251560</v>
      </c>
      <c r="B4267" t="s">
        <v>11589</v>
      </c>
      <c r="C4267" t="s">
        <v>5043</v>
      </c>
      <c r="D4267" t="s">
        <v>8401</v>
      </c>
    </row>
    <row r="4268" spans="1:4" ht="15" x14ac:dyDescent="0.25">
      <c r="A4268">
        <v>251562</v>
      </c>
      <c r="B4268" t="s">
        <v>11589</v>
      </c>
      <c r="C4268" t="s">
        <v>5043</v>
      </c>
      <c r="D4268" t="s">
        <v>8401</v>
      </c>
    </row>
    <row r="4269" spans="1:4" ht="15" x14ac:dyDescent="0.25">
      <c r="A4269">
        <v>251563</v>
      </c>
      <c r="B4269" t="s">
        <v>11589</v>
      </c>
      <c r="C4269" t="s">
        <v>5043</v>
      </c>
      <c r="D4269" t="s">
        <v>8401</v>
      </c>
    </row>
    <row r="4270" spans="1:4" ht="15" x14ac:dyDescent="0.25">
      <c r="A4270">
        <v>251564</v>
      </c>
      <c r="B4270" t="s">
        <v>11589</v>
      </c>
      <c r="C4270" t="s">
        <v>5043</v>
      </c>
      <c r="D4270" t="s">
        <v>8401</v>
      </c>
    </row>
    <row r="4271" spans="1:4" ht="15" x14ac:dyDescent="0.25">
      <c r="A4271">
        <v>251565</v>
      </c>
      <c r="B4271" t="s">
        <v>11589</v>
      </c>
      <c r="C4271" t="s">
        <v>5043</v>
      </c>
      <c r="D4271" t="s">
        <v>8401</v>
      </c>
    </row>
    <row r="4272" spans="1:4" ht="15" x14ac:dyDescent="0.25">
      <c r="A4272">
        <v>251566</v>
      </c>
      <c r="B4272" t="s">
        <v>11589</v>
      </c>
      <c r="C4272" t="s">
        <v>5043</v>
      </c>
      <c r="D4272" t="s">
        <v>8401</v>
      </c>
    </row>
    <row r="4273" spans="1:4" ht="15" x14ac:dyDescent="0.25">
      <c r="A4273">
        <v>251567</v>
      </c>
      <c r="B4273" t="s">
        <v>11589</v>
      </c>
      <c r="C4273" t="s">
        <v>5043</v>
      </c>
      <c r="D4273" t="s">
        <v>8401</v>
      </c>
    </row>
    <row r="4274" spans="1:4" ht="15" x14ac:dyDescent="0.25">
      <c r="A4274">
        <v>251568</v>
      </c>
      <c r="B4274" t="s">
        <v>11589</v>
      </c>
      <c r="C4274" t="s">
        <v>5043</v>
      </c>
      <c r="D4274" t="s">
        <v>8401</v>
      </c>
    </row>
    <row r="4275" spans="1:4" ht="15" x14ac:dyDescent="0.25">
      <c r="A4275">
        <v>8361</v>
      </c>
      <c r="B4275" t="s">
        <v>11190</v>
      </c>
      <c r="C4275" t="s">
        <v>5043</v>
      </c>
      <c r="D4275" t="s">
        <v>8401</v>
      </c>
    </row>
    <row r="4276" spans="1:4" ht="15" x14ac:dyDescent="0.25">
      <c r="A4276">
        <v>9580</v>
      </c>
      <c r="B4276" t="s">
        <v>11190</v>
      </c>
      <c r="C4276" t="s">
        <v>5043</v>
      </c>
      <c r="D4276" t="s">
        <v>8401</v>
      </c>
    </row>
    <row r="4277" spans="1:4" ht="15" x14ac:dyDescent="0.25">
      <c r="A4277">
        <v>8931</v>
      </c>
      <c r="B4277" t="s">
        <v>9418</v>
      </c>
      <c r="C4277" t="s">
        <v>5043</v>
      </c>
      <c r="D4277" t="s">
        <v>8401</v>
      </c>
    </row>
    <row r="4278" spans="1:4" ht="15" x14ac:dyDescent="0.25">
      <c r="A4278">
        <v>10357</v>
      </c>
      <c r="B4278" t="s">
        <v>9419</v>
      </c>
      <c r="C4278" t="s">
        <v>5043</v>
      </c>
      <c r="D4278" t="s">
        <v>8401</v>
      </c>
    </row>
    <row r="4279" spans="1:4" ht="15" x14ac:dyDescent="0.25">
      <c r="A4279">
        <v>10765</v>
      </c>
      <c r="B4279" t="s">
        <v>9419</v>
      </c>
      <c r="C4279" t="s">
        <v>5043</v>
      </c>
      <c r="D4279" t="s">
        <v>8401</v>
      </c>
    </row>
    <row r="4280" spans="1:4" ht="15" x14ac:dyDescent="0.25">
      <c r="A4280">
        <v>7853</v>
      </c>
      <c r="B4280" t="s">
        <v>9419</v>
      </c>
      <c r="C4280" t="s">
        <v>5043</v>
      </c>
      <c r="D4280" t="s">
        <v>8401</v>
      </c>
    </row>
    <row r="4281" spans="1:4" ht="15" x14ac:dyDescent="0.25">
      <c r="A4281">
        <v>7703</v>
      </c>
      <c r="B4281" t="s">
        <v>11191</v>
      </c>
      <c r="C4281" t="s">
        <v>5043</v>
      </c>
      <c r="D4281" t="s">
        <v>8401</v>
      </c>
    </row>
    <row r="4282" spans="1:4" ht="15" x14ac:dyDescent="0.25">
      <c r="A4282">
        <v>8255</v>
      </c>
      <c r="B4282" t="s">
        <v>11191</v>
      </c>
      <c r="C4282" t="s">
        <v>5043</v>
      </c>
      <c r="D4282" t="s">
        <v>8401</v>
      </c>
    </row>
    <row r="4283" spans="1:4" ht="15" x14ac:dyDescent="0.25">
      <c r="A4283">
        <v>10078</v>
      </c>
      <c r="B4283" t="s">
        <v>11192</v>
      </c>
      <c r="C4283" t="s">
        <v>5043</v>
      </c>
      <c r="D4283" t="s">
        <v>8401</v>
      </c>
    </row>
    <row r="4284" spans="1:4" ht="15" x14ac:dyDescent="0.25">
      <c r="A4284">
        <v>9960</v>
      </c>
      <c r="B4284" t="s">
        <v>11192</v>
      </c>
      <c r="C4284" t="s">
        <v>5043</v>
      </c>
      <c r="D4284" t="s">
        <v>8401</v>
      </c>
    </row>
    <row r="4285" spans="1:4" ht="15" x14ac:dyDescent="0.25">
      <c r="A4285">
        <v>7652</v>
      </c>
      <c r="B4285" t="s">
        <v>11193</v>
      </c>
      <c r="C4285" t="s">
        <v>5043</v>
      </c>
      <c r="D4285" t="s">
        <v>8401</v>
      </c>
    </row>
    <row r="4286" spans="1:4" ht="15" x14ac:dyDescent="0.25">
      <c r="A4286">
        <v>9780</v>
      </c>
      <c r="B4286" t="s">
        <v>11193</v>
      </c>
      <c r="C4286" t="s">
        <v>5043</v>
      </c>
      <c r="D4286" t="s">
        <v>8401</v>
      </c>
    </row>
    <row r="4287" spans="1:4" ht="15" x14ac:dyDescent="0.25">
      <c r="A4287">
        <v>251407</v>
      </c>
      <c r="B4287" t="s">
        <v>11194</v>
      </c>
      <c r="C4287" t="s">
        <v>5043</v>
      </c>
      <c r="D4287" t="s">
        <v>8401</v>
      </c>
    </row>
    <row r="4288" spans="1:4" ht="15" x14ac:dyDescent="0.25">
      <c r="A4288">
        <v>12440</v>
      </c>
      <c r="B4288" t="s">
        <v>11195</v>
      </c>
      <c r="C4288" t="s">
        <v>5043</v>
      </c>
      <c r="D4288" t="s">
        <v>8401</v>
      </c>
    </row>
    <row r="4289" spans="1:4" ht="15" x14ac:dyDescent="0.25">
      <c r="A4289">
        <v>12441</v>
      </c>
      <c r="B4289" t="s">
        <v>11195</v>
      </c>
      <c r="C4289" t="s">
        <v>5043</v>
      </c>
      <c r="D4289" t="s">
        <v>8401</v>
      </c>
    </row>
    <row r="4290" spans="1:4" ht="15" x14ac:dyDescent="0.25">
      <c r="A4290">
        <v>12480</v>
      </c>
      <c r="B4290" t="s">
        <v>11195</v>
      </c>
      <c r="C4290" t="s">
        <v>5043</v>
      </c>
      <c r="D4290" t="s">
        <v>8401</v>
      </c>
    </row>
    <row r="4291" spans="1:4" ht="15" x14ac:dyDescent="0.25">
      <c r="A4291">
        <v>11388</v>
      </c>
      <c r="B4291" t="s">
        <v>11196</v>
      </c>
      <c r="C4291" t="s">
        <v>5043</v>
      </c>
      <c r="D4291" t="s">
        <v>8401</v>
      </c>
    </row>
    <row r="4292" spans="1:4" ht="15" x14ac:dyDescent="0.25">
      <c r="A4292">
        <v>11953</v>
      </c>
      <c r="B4292" t="s">
        <v>11196</v>
      </c>
      <c r="C4292" t="s">
        <v>5043</v>
      </c>
      <c r="D4292" t="s">
        <v>8401</v>
      </c>
    </row>
    <row r="4293" spans="1:4" ht="15" x14ac:dyDescent="0.25">
      <c r="A4293">
        <v>12481</v>
      </c>
      <c r="B4293" t="s">
        <v>11518</v>
      </c>
      <c r="C4293" t="s">
        <v>5043</v>
      </c>
      <c r="D4293" t="s">
        <v>8401</v>
      </c>
    </row>
    <row r="4294" spans="1:4" ht="15" x14ac:dyDescent="0.25">
      <c r="A4294">
        <v>7098</v>
      </c>
      <c r="B4294" t="s">
        <v>11197</v>
      </c>
      <c r="C4294" t="s">
        <v>5043</v>
      </c>
      <c r="D4294" t="s">
        <v>8401</v>
      </c>
    </row>
    <row r="4295" spans="1:4" ht="15" x14ac:dyDescent="0.25">
      <c r="A4295">
        <v>8347</v>
      </c>
      <c r="B4295" t="s">
        <v>11197</v>
      </c>
      <c r="C4295" t="s">
        <v>5043</v>
      </c>
      <c r="D4295" t="s">
        <v>8401</v>
      </c>
    </row>
    <row r="4296" spans="1:4" ht="15" x14ac:dyDescent="0.25">
      <c r="A4296">
        <v>11774</v>
      </c>
      <c r="B4296" t="s">
        <v>11198</v>
      </c>
      <c r="C4296" t="s">
        <v>5043</v>
      </c>
      <c r="D4296" t="s">
        <v>8401</v>
      </c>
    </row>
    <row r="4297" spans="1:4" ht="15" x14ac:dyDescent="0.25">
      <c r="A4297">
        <v>8935</v>
      </c>
      <c r="B4297" t="s">
        <v>11198</v>
      </c>
      <c r="C4297" t="s">
        <v>5043</v>
      </c>
      <c r="D4297" t="s">
        <v>8401</v>
      </c>
    </row>
    <row r="4298" spans="1:4" ht="15" x14ac:dyDescent="0.25">
      <c r="A4298">
        <v>8539</v>
      </c>
      <c r="B4298" t="s">
        <v>11199</v>
      </c>
      <c r="C4298" t="s">
        <v>5043</v>
      </c>
      <c r="D4298" t="s">
        <v>8401</v>
      </c>
    </row>
    <row r="4299" spans="1:4" ht="15" x14ac:dyDescent="0.25">
      <c r="A4299">
        <v>9311</v>
      </c>
      <c r="B4299" t="s">
        <v>11199</v>
      </c>
      <c r="C4299" t="s">
        <v>5043</v>
      </c>
      <c r="D4299" t="s">
        <v>8401</v>
      </c>
    </row>
    <row r="4300" spans="1:4" ht="15" x14ac:dyDescent="0.25">
      <c r="A4300">
        <v>12512</v>
      </c>
      <c r="B4300" t="s">
        <v>11590</v>
      </c>
      <c r="C4300" t="s">
        <v>5043</v>
      </c>
      <c r="D4300" t="s">
        <v>8401</v>
      </c>
    </row>
    <row r="4301" spans="1:4" ht="15" x14ac:dyDescent="0.25">
      <c r="A4301">
        <v>12513</v>
      </c>
      <c r="B4301" t="s">
        <v>11590</v>
      </c>
      <c r="C4301" t="s">
        <v>5043</v>
      </c>
      <c r="D4301" t="s">
        <v>8401</v>
      </c>
    </row>
    <row r="4302" spans="1:4" ht="15" x14ac:dyDescent="0.25">
      <c r="A4302">
        <v>12514</v>
      </c>
      <c r="B4302" t="s">
        <v>11590</v>
      </c>
      <c r="C4302" t="s">
        <v>5043</v>
      </c>
      <c r="D4302" t="s">
        <v>8401</v>
      </c>
    </row>
    <row r="4303" spans="1:4" ht="15" x14ac:dyDescent="0.25">
      <c r="A4303">
        <v>12515</v>
      </c>
      <c r="B4303" t="s">
        <v>11590</v>
      </c>
      <c r="C4303" t="s">
        <v>5043</v>
      </c>
      <c r="D4303" t="s">
        <v>8401</v>
      </c>
    </row>
    <row r="4304" spans="1:4" ht="15" x14ac:dyDescent="0.25">
      <c r="A4304">
        <v>12516</v>
      </c>
      <c r="B4304" t="s">
        <v>11590</v>
      </c>
      <c r="C4304" t="s">
        <v>5043</v>
      </c>
      <c r="D4304" t="s">
        <v>8401</v>
      </c>
    </row>
    <row r="4305" spans="1:4" ht="15" x14ac:dyDescent="0.25">
      <c r="A4305">
        <v>12517</v>
      </c>
      <c r="B4305" t="s">
        <v>11590</v>
      </c>
      <c r="C4305" t="s">
        <v>5043</v>
      </c>
      <c r="D4305" t="s">
        <v>8401</v>
      </c>
    </row>
    <row r="4306" spans="1:4" ht="15" x14ac:dyDescent="0.25">
      <c r="A4306">
        <v>12518</v>
      </c>
      <c r="B4306" t="s">
        <v>11590</v>
      </c>
      <c r="C4306" t="s">
        <v>5043</v>
      </c>
      <c r="D4306" t="s">
        <v>8401</v>
      </c>
    </row>
    <row r="4307" spans="1:4" ht="15" x14ac:dyDescent="0.25">
      <c r="A4307">
        <v>12519</v>
      </c>
      <c r="B4307" t="s">
        <v>11590</v>
      </c>
      <c r="C4307" t="s">
        <v>5043</v>
      </c>
      <c r="D4307" t="s">
        <v>8401</v>
      </c>
    </row>
    <row r="4308" spans="1:4" ht="15" x14ac:dyDescent="0.25">
      <c r="A4308">
        <v>12520</v>
      </c>
      <c r="B4308" t="s">
        <v>11590</v>
      </c>
      <c r="C4308" t="s">
        <v>5043</v>
      </c>
      <c r="D4308" t="s">
        <v>8401</v>
      </c>
    </row>
    <row r="4309" spans="1:4" ht="15" x14ac:dyDescent="0.25">
      <c r="A4309">
        <v>12521</v>
      </c>
      <c r="B4309" t="s">
        <v>11590</v>
      </c>
      <c r="C4309" t="s">
        <v>5043</v>
      </c>
      <c r="D4309" t="s">
        <v>8401</v>
      </c>
    </row>
    <row r="4310" spans="1:4" ht="15" x14ac:dyDescent="0.25">
      <c r="A4310">
        <v>12522</v>
      </c>
      <c r="B4310" t="s">
        <v>11590</v>
      </c>
      <c r="C4310" t="s">
        <v>5043</v>
      </c>
      <c r="D4310" t="s">
        <v>8401</v>
      </c>
    </row>
    <row r="4311" spans="1:4" ht="15" x14ac:dyDescent="0.25">
      <c r="A4311">
        <v>12523</v>
      </c>
      <c r="B4311" t="s">
        <v>11590</v>
      </c>
      <c r="C4311" t="s">
        <v>5043</v>
      </c>
      <c r="D4311" t="s">
        <v>8401</v>
      </c>
    </row>
    <row r="4312" spans="1:4" ht="15" x14ac:dyDescent="0.25">
      <c r="A4312">
        <v>12524</v>
      </c>
      <c r="B4312" t="s">
        <v>11590</v>
      </c>
      <c r="C4312" t="s">
        <v>5043</v>
      </c>
      <c r="D4312" t="s">
        <v>8401</v>
      </c>
    </row>
    <row r="4313" spans="1:4" ht="15" x14ac:dyDescent="0.25">
      <c r="A4313">
        <v>12525</v>
      </c>
      <c r="B4313" t="s">
        <v>11590</v>
      </c>
      <c r="C4313" t="s">
        <v>5043</v>
      </c>
      <c r="D4313" t="s">
        <v>8401</v>
      </c>
    </row>
    <row r="4314" spans="1:4" ht="15" x14ac:dyDescent="0.25">
      <c r="A4314">
        <v>10677</v>
      </c>
      <c r="B4314" t="s">
        <v>11200</v>
      </c>
      <c r="C4314" t="s">
        <v>5043</v>
      </c>
      <c r="D4314" t="s">
        <v>8401</v>
      </c>
    </row>
    <row r="4315" spans="1:4" ht="15" x14ac:dyDescent="0.25">
      <c r="A4315">
        <v>7544</v>
      </c>
      <c r="B4315" t="s">
        <v>11200</v>
      </c>
      <c r="C4315" t="s">
        <v>5043</v>
      </c>
      <c r="D4315" t="s">
        <v>8401</v>
      </c>
    </row>
    <row r="4316" spans="1:4" ht="15" x14ac:dyDescent="0.25">
      <c r="A4316">
        <v>11499</v>
      </c>
      <c r="B4316" t="s">
        <v>11201</v>
      </c>
      <c r="C4316" t="s">
        <v>5043</v>
      </c>
      <c r="D4316" t="s">
        <v>8401</v>
      </c>
    </row>
    <row r="4317" spans="1:4" ht="15" x14ac:dyDescent="0.25">
      <c r="A4317">
        <v>10394</v>
      </c>
      <c r="B4317" t="s">
        <v>9420</v>
      </c>
      <c r="C4317" t="s">
        <v>5043</v>
      </c>
      <c r="D4317" t="s">
        <v>8401</v>
      </c>
    </row>
    <row r="4318" spans="1:4" ht="15" x14ac:dyDescent="0.25">
      <c r="A4318">
        <v>11966</v>
      </c>
      <c r="B4318" t="s">
        <v>9420</v>
      </c>
      <c r="C4318" t="s">
        <v>5043</v>
      </c>
      <c r="D4318" t="s">
        <v>8401</v>
      </c>
    </row>
    <row r="4319" spans="1:4" ht="15" x14ac:dyDescent="0.25">
      <c r="A4319">
        <v>7142</v>
      </c>
      <c r="B4319" t="s">
        <v>9420</v>
      </c>
      <c r="C4319" t="s">
        <v>5043</v>
      </c>
      <c r="D4319" t="s">
        <v>8401</v>
      </c>
    </row>
    <row r="4320" spans="1:4" ht="15" x14ac:dyDescent="0.25">
      <c r="A4320">
        <v>7360</v>
      </c>
      <c r="B4320" t="s">
        <v>9420</v>
      </c>
      <c r="C4320" t="s">
        <v>5043</v>
      </c>
      <c r="D4320" t="s">
        <v>8401</v>
      </c>
    </row>
    <row r="4321" spans="1:4" ht="15" x14ac:dyDescent="0.25">
      <c r="A4321">
        <v>8169</v>
      </c>
      <c r="B4321" t="s">
        <v>9421</v>
      </c>
      <c r="C4321" t="s">
        <v>5043</v>
      </c>
      <c r="D4321" t="s">
        <v>8401</v>
      </c>
    </row>
    <row r="4322" spans="1:4" ht="15" x14ac:dyDescent="0.25">
      <c r="A4322">
        <v>9489</v>
      </c>
      <c r="B4322" t="s">
        <v>9421</v>
      </c>
      <c r="C4322" t="s">
        <v>5043</v>
      </c>
      <c r="D4322" t="s">
        <v>8401</v>
      </c>
    </row>
    <row r="4323" spans="1:4" ht="15" x14ac:dyDescent="0.25">
      <c r="A4323">
        <v>11747</v>
      </c>
      <c r="B4323" t="s">
        <v>9422</v>
      </c>
      <c r="C4323" t="s">
        <v>5043</v>
      </c>
      <c r="D4323" t="s">
        <v>8401</v>
      </c>
    </row>
    <row r="4324" spans="1:4" ht="15" x14ac:dyDescent="0.25">
      <c r="A4324">
        <v>7127</v>
      </c>
      <c r="B4324" t="s">
        <v>9422</v>
      </c>
      <c r="C4324" t="s">
        <v>5043</v>
      </c>
      <c r="D4324" t="s">
        <v>8401</v>
      </c>
    </row>
    <row r="4325" spans="1:4" ht="15" x14ac:dyDescent="0.25">
      <c r="A4325">
        <v>9536</v>
      </c>
      <c r="B4325" t="s">
        <v>9422</v>
      </c>
      <c r="C4325" t="s">
        <v>5043</v>
      </c>
      <c r="D4325" t="s">
        <v>8401</v>
      </c>
    </row>
    <row r="4326" spans="1:4" ht="15" x14ac:dyDescent="0.25">
      <c r="A4326">
        <v>7697</v>
      </c>
      <c r="B4326" t="s">
        <v>9423</v>
      </c>
      <c r="C4326" t="s">
        <v>5043</v>
      </c>
      <c r="D4326" t="s">
        <v>8401</v>
      </c>
    </row>
    <row r="4327" spans="1:4" ht="15" x14ac:dyDescent="0.25">
      <c r="A4327">
        <v>10544</v>
      </c>
      <c r="B4327" t="s">
        <v>11202</v>
      </c>
      <c r="C4327" t="s">
        <v>5043</v>
      </c>
      <c r="D4327" t="s">
        <v>8401</v>
      </c>
    </row>
    <row r="4328" spans="1:4" ht="15" x14ac:dyDescent="0.25">
      <c r="A4328">
        <v>7033</v>
      </c>
      <c r="B4328" t="s">
        <v>11202</v>
      </c>
      <c r="C4328" t="s">
        <v>5043</v>
      </c>
      <c r="D4328" t="s">
        <v>8401</v>
      </c>
    </row>
    <row r="4329" spans="1:4" ht="15" x14ac:dyDescent="0.25">
      <c r="A4329">
        <v>10088</v>
      </c>
      <c r="B4329" t="s">
        <v>9424</v>
      </c>
      <c r="C4329" t="s">
        <v>5043</v>
      </c>
      <c r="D4329" t="s">
        <v>8401</v>
      </c>
    </row>
    <row r="4330" spans="1:4" ht="15" x14ac:dyDescent="0.25">
      <c r="A4330">
        <v>10320</v>
      </c>
      <c r="B4330" t="s">
        <v>9424</v>
      </c>
      <c r="C4330" t="s">
        <v>5043</v>
      </c>
      <c r="D4330" t="s">
        <v>8401</v>
      </c>
    </row>
    <row r="4331" spans="1:4" ht="15" x14ac:dyDescent="0.25">
      <c r="A4331">
        <v>6769</v>
      </c>
      <c r="B4331" t="s">
        <v>9424</v>
      </c>
      <c r="C4331" t="s">
        <v>5043</v>
      </c>
      <c r="D4331" t="s">
        <v>8401</v>
      </c>
    </row>
    <row r="4332" spans="1:4" ht="15" x14ac:dyDescent="0.25">
      <c r="A4332">
        <v>9571</v>
      </c>
      <c r="B4332" t="s">
        <v>9424</v>
      </c>
      <c r="C4332" t="s">
        <v>5043</v>
      </c>
      <c r="D4332" t="s">
        <v>8401</v>
      </c>
    </row>
    <row r="4333" spans="1:4" ht="15" x14ac:dyDescent="0.25">
      <c r="A4333">
        <v>10076</v>
      </c>
      <c r="B4333" t="s">
        <v>9425</v>
      </c>
      <c r="C4333" t="s">
        <v>5043</v>
      </c>
      <c r="D4333" t="s">
        <v>8401</v>
      </c>
    </row>
    <row r="4334" spans="1:4" ht="15" x14ac:dyDescent="0.25">
      <c r="A4334">
        <v>10122</v>
      </c>
      <c r="B4334" t="s">
        <v>9425</v>
      </c>
      <c r="C4334" t="s">
        <v>5043</v>
      </c>
      <c r="D4334" t="s">
        <v>8401</v>
      </c>
    </row>
    <row r="4335" spans="1:4" ht="15" x14ac:dyDescent="0.25">
      <c r="A4335">
        <v>11033</v>
      </c>
      <c r="B4335" t="s">
        <v>9425</v>
      </c>
      <c r="C4335" t="s">
        <v>5043</v>
      </c>
      <c r="D4335" t="s">
        <v>8401</v>
      </c>
    </row>
    <row r="4336" spans="1:4" ht="15" x14ac:dyDescent="0.25">
      <c r="A4336">
        <v>11825</v>
      </c>
      <c r="B4336" t="s">
        <v>9425</v>
      </c>
      <c r="C4336" t="s">
        <v>5043</v>
      </c>
      <c r="D4336" t="s">
        <v>8401</v>
      </c>
    </row>
    <row r="4337" spans="1:4" ht="15" x14ac:dyDescent="0.25">
      <c r="A4337">
        <v>8655</v>
      </c>
      <c r="B4337" t="s">
        <v>9425</v>
      </c>
      <c r="C4337" t="s">
        <v>5043</v>
      </c>
      <c r="D4337" t="s">
        <v>8401</v>
      </c>
    </row>
    <row r="4338" spans="1:4" ht="15" x14ac:dyDescent="0.25">
      <c r="A4338">
        <v>10004</v>
      </c>
      <c r="B4338" t="s">
        <v>9426</v>
      </c>
      <c r="C4338" t="s">
        <v>5043</v>
      </c>
      <c r="D4338" t="s">
        <v>8401</v>
      </c>
    </row>
    <row r="4339" spans="1:4" ht="15" x14ac:dyDescent="0.25">
      <c r="A4339">
        <v>7385</v>
      </c>
      <c r="B4339" t="s">
        <v>9426</v>
      </c>
      <c r="C4339" t="s">
        <v>5043</v>
      </c>
      <c r="D4339" t="s">
        <v>8401</v>
      </c>
    </row>
    <row r="4340" spans="1:4" ht="15" x14ac:dyDescent="0.25">
      <c r="A4340">
        <v>10259</v>
      </c>
      <c r="B4340" t="s">
        <v>9427</v>
      </c>
      <c r="C4340" t="s">
        <v>5043</v>
      </c>
      <c r="D4340" t="s">
        <v>8401</v>
      </c>
    </row>
    <row r="4341" spans="1:4" ht="15" x14ac:dyDescent="0.25">
      <c r="A4341">
        <v>10698</v>
      </c>
      <c r="B4341" t="s">
        <v>9427</v>
      </c>
      <c r="C4341" t="s">
        <v>5043</v>
      </c>
      <c r="D4341" t="s">
        <v>8401</v>
      </c>
    </row>
    <row r="4342" spans="1:4" ht="15" x14ac:dyDescent="0.25">
      <c r="A4342">
        <v>11022</v>
      </c>
      <c r="B4342" t="s">
        <v>9427</v>
      </c>
      <c r="C4342" t="s">
        <v>5043</v>
      </c>
      <c r="D4342" t="s">
        <v>8401</v>
      </c>
    </row>
    <row r="4343" spans="1:4" ht="15" x14ac:dyDescent="0.25">
      <c r="A4343">
        <v>6668</v>
      </c>
      <c r="B4343" t="s">
        <v>9427</v>
      </c>
      <c r="C4343" t="s">
        <v>5043</v>
      </c>
      <c r="D4343" t="s">
        <v>8401</v>
      </c>
    </row>
    <row r="4344" spans="1:4" ht="15" x14ac:dyDescent="0.25">
      <c r="A4344">
        <v>7632</v>
      </c>
      <c r="B4344" t="s">
        <v>9427</v>
      </c>
      <c r="C4344" t="s">
        <v>5043</v>
      </c>
      <c r="D4344" t="s">
        <v>8401</v>
      </c>
    </row>
    <row r="4345" spans="1:4" ht="15" x14ac:dyDescent="0.25">
      <c r="A4345">
        <v>9507</v>
      </c>
      <c r="B4345" t="s">
        <v>9427</v>
      </c>
      <c r="C4345" t="s">
        <v>5043</v>
      </c>
      <c r="D4345" t="s">
        <v>8401</v>
      </c>
    </row>
    <row r="4346" spans="1:4" ht="15" x14ac:dyDescent="0.25">
      <c r="A4346">
        <v>11406</v>
      </c>
      <c r="B4346" t="s">
        <v>9428</v>
      </c>
      <c r="C4346" t="s">
        <v>5043</v>
      </c>
      <c r="D4346" t="s">
        <v>8401</v>
      </c>
    </row>
    <row r="4347" spans="1:4" ht="15" x14ac:dyDescent="0.25">
      <c r="A4347">
        <v>11910</v>
      </c>
      <c r="B4347" t="s">
        <v>9428</v>
      </c>
      <c r="C4347" t="s">
        <v>5043</v>
      </c>
      <c r="D4347" t="s">
        <v>8401</v>
      </c>
    </row>
    <row r="4348" spans="1:4" ht="15" x14ac:dyDescent="0.25">
      <c r="A4348">
        <v>11969</v>
      </c>
      <c r="B4348" t="s">
        <v>9428</v>
      </c>
      <c r="C4348" t="s">
        <v>5043</v>
      </c>
      <c r="D4348" t="s">
        <v>8401</v>
      </c>
    </row>
    <row r="4349" spans="1:4" ht="15" x14ac:dyDescent="0.25">
      <c r="A4349">
        <v>8591</v>
      </c>
      <c r="B4349" t="s">
        <v>9428</v>
      </c>
      <c r="C4349" t="s">
        <v>5043</v>
      </c>
      <c r="D4349" t="s">
        <v>8401</v>
      </c>
    </row>
    <row r="4350" spans="1:4" ht="15" x14ac:dyDescent="0.25">
      <c r="A4350">
        <v>9340</v>
      </c>
      <c r="B4350" t="s">
        <v>9428</v>
      </c>
      <c r="C4350" t="s">
        <v>5043</v>
      </c>
      <c r="D4350" t="s">
        <v>8401</v>
      </c>
    </row>
    <row r="4351" spans="1:4" ht="15" x14ac:dyDescent="0.25">
      <c r="A4351">
        <v>11381</v>
      </c>
      <c r="B4351" t="s">
        <v>9429</v>
      </c>
      <c r="C4351" t="s">
        <v>5043</v>
      </c>
      <c r="D4351" t="s">
        <v>8401</v>
      </c>
    </row>
    <row r="4352" spans="1:4" ht="15" x14ac:dyDescent="0.25">
      <c r="A4352">
        <v>7717</v>
      </c>
      <c r="B4352" t="s">
        <v>9429</v>
      </c>
      <c r="C4352" t="s">
        <v>5043</v>
      </c>
      <c r="D4352" t="s">
        <v>8401</v>
      </c>
    </row>
    <row r="4353" spans="1:4" ht="15" x14ac:dyDescent="0.25">
      <c r="A4353">
        <v>12039</v>
      </c>
      <c r="B4353" t="s">
        <v>11203</v>
      </c>
      <c r="C4353" t="s">
        <v>5043</v>
      </c>
      <c r="D4353" t="s">
        <v>8401</v>
      </c>
    </row>
    <row r="4354" spans="1:4" ht="15" x14ac:dyDescent="0.25">
      <c r="A4354">
        <v>8483</v>
      </c>
      <c r="B4354" t="s">
        <v>11203</v>
      </c>
      <c r="C4354" t="s">
        <v>5043</v>
      </c>
      <c r="D4354" t="s">
        <v>8401</v>
      </c>
    </row>
    <row r="4355" spans="1:4" ht="15" x14ac:dyDescent="0.25">
      <c r="A4355">
        <v>11661</v>
      </c>
      <c r="B4355" t="s">
        <v>11204</v>
      </c>
      <c r="C4355" t="s">
        <v>5043</v>
      </c>
      <c r="D4355" t="s">
        <v>8401</v>
      </c>
    </row>
    <row r="4356" spans="1:4" ht="15" x14ac:dyDescent="0.25">
      <c r="A4356">
        <v>9588</v>
      </c>
      <c r="B4356" t="s">
        <v>11204</v>
      </c>
      <c r="C4356" t="s">
        <v>5043</v>
      </c>
      <c r="D4356" t="s">
        <v>8401</v>
      </c>
    </row>
    <row r="4357" spans="1:4" ht="15" x14ac:dyDescent="0.25">
      <c r="A4357">
        <v>10895</v>
      </c>
      <c r="B4357" t="s">
        <v>11205</v>
      </c>
      <c r="C4357" t="s">
        <v>5043</v>
      </c>
      <c r="D4357" t="s">
        <v>8401</v>
      </c>
    </row>
    <row r="4358" spans="1:4" ht="15" x14ac:dyDescent="0.25">
      <c r="A4358">
        <v>9159</v>
      </c>
      <c r="B4358" t="s">
        <v>11205</v>
      </c>
      <c r="C4358" t="s">
        <v>5043</v>
      </c>
      <c r="D4358" t="s">
        <v>8401</v>
      </c>
    </row>
    <row r="4359" spans="1:4" ht="15" x14ac:dyDescent="0.25">
      <c r="A4359">
        <v>10608</v>
      </c>
      <c r="B4359" t="s">
        <v>11206</v>
      </c>
      <c r="C4359" t="s">
        <v>5043</v>
      </c>
      <c r="D4359" t="s">
        <v>8401</v>
      </c>
    </row>
    <row r="4360" spans="1:4" ht="15" x14ac:dyDescent="0.25">
      <c r="A4360">
        <v>10795</v>
      </c>
      <c r="B4360" t="s">
        <v>11206</v>
      </c>
      <c r="C4360" t="s">
        <v>5043</v>
      </c>
      <c r="D4360" t="s">
        <v>8401</v>
      </c>
    </row>
    <row r="4361" spans="1:4" ht="15" x14ac:dyDescent="0.25">
      <c r="A4361">
        <v>8650</v>
      </c>
      <c r="B4361" t="s">
        <v>11206</v>
      </c>
      <c r="C4361" t="s">
        <v>5043</v>
      </c>
      <c r="D4361" t="s">
        <v>8401</v>
      </c>
    </row>
    <row r="4362" spans="1:4" ht="15" x14ac:dyDescent="0.25">
      <c r="A4362">
        <v>12003</v>
      </c>
      <c r="B4362" t="s">
        <v>9430</v>
      </c>
      <c r="C4362" t="s">
        <v>5043</v>
      </c>
      <c r="D4362" t="s">
        <v>8401</v>
      </c>
    </row>
    <row r="4363" spans="1:4" ht="15" x14ac:dyDescent="0.25">
      <c r="A4363">
        <v>6991</v>
      </c>
      <c r="B4363" t="s">
        <v>9431</v>
      </c>
      <c r="C4363" t="s">
        <v>5043</v>
      </c>
      <c r="D4363" t="s">
        <v>8401</v>
      </c>
    </row>
    <row r="4364" spans="1:4" ht="15" x14ac:dyDescent="0.25">
      <c r="A4364">
        <v>7273</v>
      </c>
      <c r="B4364" t="s">
        <v>9431</v>
      </c>
      <c r="C4364" t="s">
        <v>5043</v>
      </c>
      <c r="D4364" t="s">
        <v>8401</v>
      </c>
    </row>
    <row r="4365" spans="1:4" ht="15" x14ac:dyDescent="0.25">
      <c r="A4365">
        <v>8116</v>
      </c>
      <c r="B4365" t="s">
        <v>9431</v>
      </c>
      <c r="C4365" t="s">
        <v>5043</v>
      </c>
      <c r="D4365" t="s">
        <v>8401</v>
      </c>
    </row>
    <row r="4366" spans="1:4" ht="15" x14ac:dyDescent="0.25">
      <c r="A4366">
        <v>10040</v>
      </c>
      <c r="B4366" t="s">
        <v>9432</v>
      </c>
      <c r="C4366" t="s">
        <v>5043</v>
      </c>
      <c r="D4366" t="s">
        <v>8401</v>
      </c>
    </row>
    <row r="4367" spans="1:4" ht="15" x14ac:dyDescent="0.25">
      <c r="A4367">
        <v>10681</v>
      </c>
      <c r="B4367" t="s">
        <v>9432</v>
      </c>
      <c r="C4367" t="s">
        <v>5043</v>
      </c>
      <c r="D4367" t="s">
        <v>8401</v>
      </c>
    </row>
    <row r="4368" spans="1:4" ht="15" x14ac:dyDescent="0.25">
      <c r="A4368">
        <v>12011</v>
      </c>
      <c r="B4368" t="s">
        <v>9432</v>
      </c>
      <c r="C4368" t="s">
        <v>5043</v>
      </c>
      <c r="D4368" t="s">
        <v>8401</v>
      </c>
    </row>
    <row r="4369" spans="1:4" ht="15" x14ac:dyDescent="0.25">
      <c r="A4369">
        <v>8246</v>
      </c>
      <c r="B4369" t="s">
        <v>9432</v>
      </c>
      <c r="C4369" t="s">
        <v>5043</v>
      </c>
      <c r="D4369" t="s">
        <v>8401</v>
      </c>
    </row>
    <row r="4370" spans="1:4" ht="15" x14ac:dyDescent="0.25">
      <c r="A4370">
        <v>10908</v>
      </c>
      <c r="B4370" t="s">
        <v>9433</v>
      </c>
      <c r="C4370" t="s">
        <v>5043</v>
      </c>
      <c r="D4370" t="s">
        <v>8401</v>
      </c>
    </row>
    <row r="4371" spans="1:4" ht="15" x14ac:dyDescent="0.25">
      <c r="A4371">
        <v>11191</v>
      </c>
      <c r="B4371" t="s">
        <v>9433</v>
      </c>
      <c r="C4371" t="s">
        <v>5043</v>
      </c>
      <c r="D4371" t="s">
        <v>8401</v>
      </c>
    </row>
    <row r="4372" spans="1:4" ht="15" x14ac:dyDescent="0.25">
      <c r="A4372">
        <v>12052</v>
      </c>
      <c r="B4372" t="s">
        <v>9433</v>
      </c>
      <c r="C4372" t="s">
        <v>5043</v>
      </c>
      <c r="D4372" t="s">
        <v>8401</v>
      </c>
    </row>
    <row r="4373" spans="1:4" ht="15" x14ac:dyDescent="0.25">
      <c r="A4373">
        <v>7797</v>
      </c>
      <c r="B4373" t="s">
        <v>9433</v>
      </c>
      <c r="C4373" t="s">
        <v>5043</v>
      </c>
      <c r="D4373" t="s">
        <v>8401</v>
      </c>
    </row>
    <row r="4374" spans="1:4" ht="15" x14ac:dyDescent="0.25">
      <c r="A4374">
        <v>8399</v>
      </c>
      <c r="B4374" t="s">
        <v>9433</v>
      </c>
      <c r="C4374" t="s">
        <v>5043</v>
      </c>
      <c r="D4374" t="s">
        <v>8401</v>
      </c>
    </row>
    <row r="4375" spans="1:4" ht="15" x14ac:dyDescent="0.25">
      <c r="A4375">
        <v>9116</v>
      </c>
      <c r="B4375" t="s">
        <v>9433</v>
      </c>
      <c r="C4375" t="s">
        <v>5043</v>
      </c>
      <c r="D4375" t="s">
        <v>8401</v>
      </c>
    </row>
    <row r="4376" spans="1:4" ht="15" x14ac:dyDescent="0.25">
      <c r="A4376">
        <v>8001</v>
      </c>
      <c r="B4376" t="s">
        <v>11207</v>
      </c>
      <c r="C4376" t="s">
        <v>5043</v>
      </c>
      <c r="D4376" t="s">
        <v>8401</v>
      </c>
    </row>
    <row r="4377" spans="1:4" ht="15" x14ac:dyDescent="0.25">
      <c r="A4377">
        <v>9523</v>
      </c>
      <c r="B4377" t="s">
        <v>11207</v>
      </c>
      <c r="C4377" t="s">
        <v>5043</v>
      </c>
      <c r="D4377" t="s">
        <v>8401</v>
      </c>
    </row>
    <row r="4378" spans="1:4" ht="15" x14ac:dyDescent="0.25">
      <c r="A4378">
        <v>11315</v>
      </c>
      <c r="B4378" t="s">
        <v>11208</v>
      </c>
      <c r="C4378" t="s">
        <v>5043</v>
      </c>
      <c r="D4378" t="s">
        <v>8401</v>
      </c>
    </row>
    <row r="4379" spans="1:4" ht="15" x14ac:dyDescent="0.25">
      <c r="A4379">
        <v>9005</v>
      </c>
      <c r="B4379" t="s">
        <v>11208</v>
      </c>
      <c r="C4379" t="s">
        <v>5043</v>
      </c>
      <c r="D4379" t="s">
        <v>8401</v>
      </c>
    </row>
    <row r="4380" spans="1:4" ht="15" x14ac:dyDescent="0.25">
      <c r="A4380">
        <v>11106</v>
      </c>
      <c r="B4380" t="s">
        <v>9434</v>
      </c>
      <c r="C4380" t="s">
        <v>5043</v>
      </c>
      <c r="D4380" t="s">
        <v>8401</v>
      </c>
    </row>
    <row r="4381" spans="1:4" ht="15" x14ac:dyDescent="0.25">
      <c r="A4381">
        <v>11816</v>
      </c>
      <c r="B4381" t="s">
        <v>9434</v>
      </c>
      <c r="C4381" t="s">
        <v>5043</v>
      </c>
      <c r="D4381" t="s">
        <v>8401</v>
      </c>
    </row>
    <row r="4382" spans="1:4" ht="15" x14ac:dyDescent="0.25">
      <c r="A4382">
        <v>8311</v>
      </c>
      <c r="B4382" t="s">
        <v>9434</v>
      </c>
      <c r="C4382" t="s">
        <v>5043</v>
      </c>
      <c r="D4382" t="s">
        <v>8401</v>
      </c>
    </row>
    <row r="4383" spans="1:4" ht="15" x14ac:dyDescent="0.25">
      <c r="A4383">
        <v>10513</v>
      </c>
      <c r="B4383" t="s">
        <v>9435</v>
      </c>
      <c r="C4383" t="s">
        <v>5043</v>
      </c>
      <c r="D4383" t="s">
        <v>8401</v>
      </c>
    </row>
    <row r="4384" spans="1:4" ht="15" x14ac:dyDescent="0.25">
      <c r="A4384">
        <v>10995</v>
      </c>
      <c r="B4384" t="s">
        <v>9435</v>
      </c>
      <c r="C4384" t="s">
        <v>5043</v>
      </c>
      <c r="D4384" t="s">
        <v>8401</v>
      </c>
    </row>
    <row r="4385" spans="1:4" ht="15" x14ac:dyDescent="0.25">
      <c r="A4385">
        <v>11118</v>
      </c>
      <c r="B4385" t="s">
        <v>9435</v>
      </c>
      <c r="C4385" t="s">
        <v>5043</v>
      </c>
      <c r="D4385" t="s">
        <v>8401</v>
      </c>
    </row>
    <row r="4386" spans="1:4" ht="15" x14ac:dyDescent="0.25">
      <c r="A4386">
        <v>11192</v>
      </c>
      <c r="B4386" t="s">
        <v>9435</v>
      </c>
      <c r="C4386" t="s">
        <v>5043</v>
      </c>
      <c r="D4386" t="s">
        <v>8401</v>
      </c>
    </row>
    <row r="4387" spans="1:4" ht="15" x14ac:dyDescent="0.25">
      <c r="A4387">
        <v>11432</v>
      </c>
      <c r="B4387" t="s">
        <v>9435</v>
      </c>
      <c r="C4387" t="s">
        <v>5043</v>
      </c>
      <c r="D4387" t="s">
        <v>8401</v>
      </c>
    </row>
    <row r="4388" spans="1:4" ht="15" x14ac:dyDescent="0.25">
      <c r="A4388">
        <v>11671</v>
      </c>
      <c r="B4388" t="s">
        <v>9435</v>
      </c>
      <c r="C4388" t="s">
        <v>5043</v>
      </c>
      <c r="D4388" t="s">
        <v>8401</v>
      </c>
    </row>
    <row r="4389" spans="1:4" ht="15" x14ac:dyDescent="0.25">
      <c r="A4389">
        <v>12050</v>
      </c>
      <c r="B4389" t="s">
        <v>9435</v>
      </c>
      <c r="C4389" t="s">
        <v>5043</v>
      </c>
      <c r="D4389" t="s">
        <v>8401</v>
      </c>
    </row>
    <row r="4390" spans="1:4" ht="15" x14ac:dyDescent="0.25">
      <c r="A4390">
        <v>7263</v>
      </c>
      <c r="B4390" t="s">
        <v>9435</v>
      </c>
      <c r="C4390" t="s">
        <v>5043</v>
      </c>
      <c r="D4390" t="s">
        <v>8401</v>
      </c>
    </row>
    <row r="4391" spans="1:4" ht="15" x14ac:dyDescent="0.25">
      <c r="A4391">
        <v>7285</v>
      </c>
      <c r="B4391" t="s">
        <v>9435</v>
      </c>
      <c r="C4391" t="s">
        <v>5043</v>
      </c>
      <c r="D4391" t="s">
        <v>8401</v>
      </c>
    </row>
    <row r="4392" spans="1:4" ht="15" x14ac:dyDescent="0.25">
      <c r="A4392">
        <v>7673</v>
      </c>
      <c r="B4392" t="s">
        <v>9435</v>
      </c>
      <c r="C4392" t="s">
        <v>5043</v>
      </c>
      <c r="D4392" t="s">
        <v>8401</v>
      </c>
    </row>
    <row r="4393" spans="1:4" ht="15" x14ac:dyDescent="0.25">
      <c r="A4393">
        <v>7763</v>
      </c>
      <c r="B4393" t="s">
        <v>9435</v>
      </c>
      <c r="C4393" t="s">
        <v>5043</v>
      </c>
      <c r="D4393" t="s">
        <v>8401</v>
      </c>
    </row>
    <row r="4394" spans="1:4" ht="15" x14ac:dyDescent="0.25">
      <c r="A4394">
        <v>7898</v>
      </c>
      <c r="B4394" t="s">
        <v>9435</v>
      </c>
      <c r="C4394" t="s">
        <v>5043</v>
      </c>
      <c r="D4394" t="s">
        <v>8401</v>
      </c>
    </row>
    <row r="4395" spans="1:4" ht="15" x14ac:dyDescent="0.25">
      <c r="A4395">
        <v>8252</v>
      </c>
      <c r="B4395" t="s">
        <v>9435</v>
      </c>
      <c r="C4395" t="s">
        <v>5043</v>
      </c>
      <c r="D4395" t="s">
        <v>8401</v>
      </c>
    </row>
    <row r="4396" spans="1:4" ht="15" x14ac:dyDescent="0.25">
      <c r="A4396">
        <v>8511</v>
      </c>
      <c r="B4396" t="s">
        <v>9435</v>
      </c>
      <c r="C4396" t="s">
        <v>5043</v>
      </c>
      <c r="D4396" t="s">
        <v>8401</v>
      </c>
    </row>
    <row r="4397" spans="1:4" ht="15" x14ac:dyDescent="0.25">
      <c r="A4397">
        <v>8706</v>
      </c>
      <c r="B4397" t="s">
        <v>9435</v>
      </c>
      <c r="C4397" t="s">
        <v>5043</v>
      </c>
      <c r="D4397" t="s">
        <v>8401</v>
      </c>
    </row>
    <row r="4398" spans="1:4" ht="15" x14ac:dyDescent="0.25">
      <c r="A4398">
        <v>8927</v>
      </c>
      <c r="B4398" t="s">
        <v>9435</v>
      </c>
      <c r="C4398" t="s">
        <v>5043</v>
      </c>
      <c r="D4398" t="s">
        <v>8401</v>
      </c>
    </row>
    <row r="4399" spans="1:4" ht="15" x14ac:dyDescent="0.25">
      <c r="A4399">
        <v>9252</v>
      </c>
      <c r="B4399" t="s">
        <v>9435</v>
      </c>
      <c r="C4399" t="s">
        <v>5043</v>
      </c>
      <c r="D4399" t="s">
        <v>8401</v>
      </c>
    </row>
    <row r="4400" spans="1:4" ht="15" x14ac:dyDescent="0.25">
      <c r="A4400">
        <v>9842</v>
      </c>
      <c r="B4400" t="s">
        <v>9435</v>
      </c>
      <c r="C4400" t="s">
        <v>5043</v>
      </c>
      <c r="D4400" t="s">
        <v>8401</v>
      </c>
    </row>
    <row r="4401" spans="1:4" ht="15" x14ac:dyDescent="0.25">
      <c r="A4401">
        <v>8616</v>
      </c>
      <c r="B4401" t="s">
        <v>11209</v>
      </c>
      <c r="C4401" t="s">
        <v>5043</v>
      </c>
      <c r="D4401" t="s">
        <v>8401</v>
      </c>
    </row>
    <row r="4402" spans="1:4" ht="15" x14ac:dyDescent="0.25">
      <c r="A4402">
        <v>8756</v>
      </c>
      <c r="B4402" t="s">
        <v>11209</v>
      </c>
      <c r="C4402" t="s">
        <v>5043</v>
      </c>
      <c r="D4402" t="s">
        <v>8401</v>
      </c>
    </row>
    <row r="4403" spans="1:4" ht="15" x14ac:dyDescent="0.25">
      <c r="A4403">
        <v>11083</v>
      </c>
      <c r="B4403" t="s">
        <v>11210</v>
      </c>
      <c r="C4403" t="s">
        <v>5043</v>
      </c>
      <c r="D4403" t="s">
        <v>8401</v>
      </c>
    </row>
    <row r="4404" spans="1:4" ht="15" x14ac:dyDescent="0.25">
      <c r="A4404">
        <v>8862</v>
      </c>
      <c r="B4404" t="s">
        <v>9436</v>
      </c>
      <c r="C4404" t="s">
        <v>5043</v>
      </c>
      <c r="D4404" t="s">
        <v>8401</v>
      </c>
    </row>
    <row r="4405" spans="1:4" ht="15" x14ac:dyDescent="0.25">
      <c r="A4405">
        <v>9652</v>
      </c>
      <c r="B4405" t="s">
        <v>9436</v>
      </c>
      <c r="C4405" t="s">
        <v>5043</v>
      </c>
      <c r="D4405" t="s">
        <v>8401</v>
      </c>
    </row>
    <row r="4406" spans="1:4" ht="15" x14ac:dyDescent="0.25">
      <c r="A4406">
        <v>11014</v>
      </c>
      <c r="B4406" t="s">
        <v>11211</v>
      </c>
      <c r="C4406" t="s">
        <v>5043</v>
      </c>
      <c r="D4406" t="s">
        <v>8401</v>
      </c>
    </row>
    <row r="4407" spans="1:4" ht="15" x14ac:dyDescent="0.25">
      <c r="A4407">
        <v>8043</v>
      </c>
      <c r="B4407" t="s">
        <v>11212</v>
      </c>
      <c r="C4407" t="s">
        <v>5043</v>
      </c>
      <c r="D4407" t="s">
        <v>8401</v>
      </c>
    </row>
    <row r="4408" spans="1:4" ht="15" x14ac:dyDescent="0.25">
      <c r="A4408">
        <v>8053</v>
      </c>
      <c r="B4408" t="s">
        <v>11213</v>
      </c>
      <c r="C4408" t="s">
        <v>5043</v>
      </c>
      <c r="D4408" t="s">
        <v>8401</v>
      </c>
    </row>
    <row r="4409" spans="1:4" ht="15" x14ac:dyDescent="0.25">
      <c r="A4409">
        <v>10041</v>
      </c>
      <c r="B4409" t="s">
        <v>11214</v>
      </c>
      <c r="C4409" t="s">
        <v>5043</v>
      </c>
      <c r="D4409" t="s">
        <v>8401</v>
      </c>
    </row>
    <row r="4410" spans="1:4" ht="15" x14ac:dyDescent="0.25">
      <c r="A4410">
        <v>9825</v>
      </c>
      <c r="B4410" t="s">
        <v>11214</v>
      </c>
      <c r="C4410" t="s">
        <v>5043</v>
      </c>
      <c r="D4410" t="s">
        <v>8401</v>
      </c>
    </row>
    <row r="4411" spans="1:4" ht="15" x14ac:dyDescent="0.25">
      <c r="A4411">
        <v>6718</v>
      </c>
      <c r="B4411" t="s">
        <v>9437</v>
      </c>
      <c r="C4411" t="s">
        <v>5043</v>
      </c>
      <c r="D4411" t="s">
        <v>8401</v>
      </c>
    </row>
    <row r="4412" spans="1:4" ht="15" x14ac:dyDescent="0.25">
      <c r="A4412">
        <v>6976</v>
      </c>
      <c r="B4412" t="s">
        <v>9437</v>
      </c>
      <c r="C4412" t="s">
        <v>5043</v>
      </c>
      <c r="D4412" t="s">
        <v>8401</v>
      </c>
    </row>
    <row r="4413" spans="1:4" ht="15" x14ac:dyDescent="0.25">
      <c r="A4413">
        <v>8713</v>
      </c>
      <c r="B4413" t="s">
        <v>9437</v>
      </c>
      <c r="C4413" t="s">
        <v>5043</v>
      </c>
      <c r="D4413" t="s">
        <v>8401</v>
      </c>
    </row>
    <row r="4414" spans="1:4" ht="15" x14ac:dyDescent="0.25">
      <c r="A4414">
        <v>12016</v>
      </c>
      <c r="B4414" t="s">
        <v>9438</v>
      </c>
      <c r="C4414" t="s">
        <v>5043</v>
      </c>
      <c r="D4414" t="s">
        <v>8401</v>
      </c>
    </row>
    <row r="4415" spans="1:4" ht="15" x14ac:dyDescent="0.25">
      <c r="A4415">
        <v>6870</v>
      </c>
      <c r="B4415" t="s">
        <v>9438</v>
      </c>
      <c r="C4415" t="s">
        <v>5043</v>
      </c>
      <c r="D4415" t="s">
        <v>8401</v>
      </c>
    </row>
    <row r="4416" spans="1:4" ht="15" x14ac:dyDescent="0.25">
      <c r="A4416">
        <v>7434</v>
      </c>
      <c r="B4416" t="s">
        <v>9438</v>
      </c>
      <c r="C4416" t="s">
        <v>5043</v>
      </c>
      <c r="D4416" t="s">
        <v>8401</v>
      </c>
    </row>
    <row r="4417" spans="1:4" ht="15" x14ac:dyDescent="0.25">
      <c r="A4417">
        <v>10024</v>
      </c>
      <c r="B4417" t="s">
        <v>11215</v>
      </c>
      <c r="C4417" t="s">
        <v>5043</v>
      </c>
      <c r="D4417" t="s">
        <v>8401</v>
      </c>
    </row>
    <row r="4418" spans="1:4" ht="15" x14ac:dyDescent="0.25">
      <c r="A4418">
        <v>11064</v>
      </c>
      <c r="B4418" t="s">
        <v>11215</v>
      </c>
      <c r="C4418" t="s">
        <v>5043</v>
      </c>
      <c r="D4418" t="s">
        <v>8401</v>
      </c>
    </row>
    <row r="4419" spans="1:4" ht="15" x14ac:dyDescent="0.25">
      <c r="A4419">
        <v>11483</v>
      </c>
      <c r="B4419" t="s">
        <v>11215</v>
      </c>
      <c r="C4419" t="s">
        <v>5043</v>
      </c>
      <c r="D4419" t="s">
        <v>8401</v>
      </c>
    </row>
    <row r="4420" spans="1:4" ht="15" x14ac:dyDescent="0.25">
      <c r="A4420">
        <v>11712</v>
      </c>
      <c r="B4420" t="s">
        <v>11215</v>
      </c>
      <c r="C4420" t="s">
        <v>5043</v>
      </c>
      <c r="D4420" t="s">
        <v>8401</v>
      </c>
    </row>
    <row r="4421" spans="1:4" ht="15" x14ac:dyDescent="0.25">
      <c r="A4421">
        <v>12029</v>
      </c>
      <c r="B4421" t="s">
        <v>11215</v>
      </c>
      <c r="C4421" t="s">
        <v>5043</v>
      </c>
      <c r="D4421" t="s">
        <v>8401</v>
      </c>
    </row>
    <row r="4422" spans="1:4" ht="15" x14ac:dyDescent="0.25">
      <c r="A4422">
        <v>12057</v>
      </c>
      <c r="B4422" t="s">
        <v>11215</v>
      </c>
      <c r="C4422" t="s">
        <v>5043</v>
      </c>
      <c r="D4422" t="s">
        <v>8401</v>
      </c>
    </row>
    <row r="4423" spans="1:4" ht="15" x14ac:dyDescent="0.25">
      <c r="A4423">
        <v>6778</v>
      </c>
      <c r="B4423" t="s">
        <v>11215</v>
      </c>
      <c r="C4423" t="s">
        <v>5043</v>
      </c>
      <c r="D4423" t="s">
        <v>8401</v>
      </c>
    </row>
    <row r="4424" spans="1:4" ht="15" x14ac:dyDescent="0.25">
      <c r="A4424">
        <v>7108</v>
      </c>
      <c r="B4424" t="s">
        <v>11215</v>
      </c>
      <c r="C4424" t="s">
        <v>5043</v>
      </c>
      <c r="D4424" t="s">
        <v>8401</v>
      </c>
    </row>
    <row r="4425" spans="1:4" ht="15" x14ac:dyDescent="0.25">
      <c r="A4425">
        <v>7190</v>
      </c>
      <c r="B4425" t="s">
        <v>11215</v>
      </c>
      <c r="C4425" t="s">
        <v>5043</v>
      </c>
      <c r="D4425" t="s">
        <v>8401</v>
      </c>
    </row>
    <row r="4426" spans="1:4" ht="15" x14ac:dyDescent="0.25">
      <c r="A4426">
        <v>7696</v>
      </c>
      <c r="B4426" t="s">
        <v>11215</v>
      </c>
      <c r="C4426" t="s">
        <v>5043</v>
      </c>
      <c r="D4426" t="s">
        <v>8401</v>
      </c>
    </row>
    <row r="4427" spans="1:4" ht="15" x14ac:dyDescent="0.25">
      <c r="A4427">
        <v>7721</v>
      </c>
      <c r="B4427" t="s">
        <v>11215</v>
      </c>
      <c r="C4427" t="s">
        <v>5043</v>
      </c>
      <c r="D4427" t="s">
        <v>8401</v>
      </c>
    </row>
    <row r="4428" spans="1:4" ht="15" x14ac:dyDescent="0.25">
      <c r="A4428">
        <v>7869</v>
      </c>
      <c r="B4428" t="s">
        <v>11215</v>
      </c>
      <c r="C4428" t="s">
        <v>5043</v>
      </c>
      <c r="D4428" t="s">
        <v>8401</v>
      </c>
    </row>
    <row r="4429" spans="1:4" ht="15" x14ac:dyDescent="0.25">
      <c r="A4429">
        <v>7872</v>
      </c>
      <c r="B4429" t="s">
        <v>11215</v>
      </c>
      <c r="C4429" t="s">
        <v>5043</v>
      </c>
      <c r="D4429" t="s">
        <v>8401</v>
      </c>
    </row>
    <row r="4430" spans="1:4" ht="15" x14ac:dyDescent="0.25">
      <c r="A4430">
        <v>8744</v>
      </c>
      <c r="B4430" t="s">
        <v>11215</v>
      </c>
      <c r="C4430" t="s">
        <v>5043</v>
      </c>
      <c r="D4430" t="s">
        <v>8401</v>
      </c>
    </row>
    <row r="4431" spans="1:4" ht="15" x14ac:dyDescent="0.25">
      <c r="A4431">
        <v>9623</v>
      </c>
      <c r="B4431" t="s">
        <v>11215</v>
      </c>
      <c r="C4431" t="s">
        <v>5043</v>
      </c>
      <c r="D4431" t="s">
        <v>8401</v>
      </c>
    </row>
    <row r="4432" spans="1:4" ht="15" x14ac:dyDescent="0.25">
      <c r="A4432">
        <v>9672</v>
      </c>
      <c r="B4432" t="s">
        <v>11215</v>
      </c>
      <c r="C4432" t="s">
        <v>5043</v>
      </c>
      <c r="D4432" t="s">
        <v>8401</v>
      </c>
    </row>
    <row r="4433" spans="1:4" ht="15" x14ac:dyDescent="0.25">
      <c r="A4433">
        <v>9682</v>
      </c>
      <c r="B4433" t="s">
        <v>11215</v>
      </c>
      <c r="C4433" t="s">
        <v>5043</v>
      </c>
      <c r="D4433" t="s">
        <v>8401</v>
      </c>
    </row>
    <row r="4434" spans="1:4" ht="15" x14ac:dyDescent="0.25">
      <c r="A4434">
        <v>9701</v>
      </c>
      <c r="B4434" t="s">
        <v>11215</v>
      </c>
      <c r="C4434" t="s">
        <v>5043</v>
      </c>
      <c r="D4434" t="s">
        <v>8401</v>
      </c>
    </row>
    <row r="4435" spans="1:4" ht="15" x14ac:dyDescent="0.25">
      <c r="A4435">
        <v>7867</v>
      </c>
      <c r="B4435" t="s">
        <v>11216</v>
      </c>
      <c r="C4435" t="s">
        <v>5043</v>
      </c>
      <c r="D4435" t="s">
        <v>8401</v>
      </c>
    </row>
    <row r="4436" spans="1:4" ht="15" x14ac:dyDescent="0.25">
      <c r="A4436">
        <v>9540</v>
      </c>
      <c r="B4436" t="s">
        <v>11216</v>
      </c>
      <c r="C4436" t="s">
        <v>5043</v>
      </c>
      <c r="D4436" t="s">
        <v>8401</v>
      </c>
    </row>
    <row r="4437" spans="1:4" ht="15" x14ac:dyDescent="0.25">
      <c r="A4437">
        <v>11704</v>
      </c>
      <c r="B4437" t="s">
        <v>11217</v>
      </c>
      <c r="C4437" t="s">
        <v>5043</v>
      </c>
      <c r="D4437" t="s">
        <v>8401</v>
      </c>
    </row>
    <row r="4438" spans="1:4" ht="15" x14ac:dyDescent="0.25">
      <c r="A4438">
        <v>7443</v>
      </c>
      <c r="B4438" t="s">
        <v>11217</v>
      </c>
      <c r="C4438" t="s">
        <v>5043</v>
      </c>
      <c r="D4438" t="s">
        <v>8401</v>
      </c>
    </row>
    <row r="4439" spans="1:4" ht="15" x14ac:dyDescent="0.25">
      <c r="A4439">
        <v>10215</v>
      </c>
      <c r="B4439" t="s">
        <v>11218</v>
      </c>
      <c r="C4439" t="s">
        <v>5043</v>
      </c>
      <c r="D4439" t="s">
        <v>8401</v>
      </c>
    </row>
    <row r="4440" spans="1:4" ht="15" x14ac:dyDescent="0.25">
      <c r="A4440">
        <v>10522</v>
      </c>
      <c r="B4440" t="s">
        <v>11218</v>
      </c>
      <c r="C4440" t="s">
        <v>5043</v>
      </c>
      <c r="D4440" t="s">
        <v>8401</v>
      </c>
    </row>
    <row r="4441" spans="1:4" ht="15" x14ac:dyDescent="0.25">
      <c r="A4441">
        <v>11333</v>
      </c>
      <c r="B4441" t="s">
        <v>11218</v>
      </c>
      <c r="C4441" t="s">
        <v>5043</v>
      </c>
      <c r="D4441" t="s">
        <v>8401</v>
      </c>
    </row>
    <row r="4442" spans="1:4" ht="15" x14ac:dyDescent="0.25">
      <c r="A4442">
        <v>11848</v>
      </c>
      <c r="B4442" t="s">
        <v>11218</v>
      </c>
      <c r="C4442" t="s">
        <v>5043</v>
      </c>
      <c r="D4442" t="s">
        <v>8401</v>
      </c>
    </row>
    <row r="4443" spans="1:4" ht="15" x14ac:dyDescent="0.25">
      <c r="A4443">
        <v>11892</v>
      </c>
      <c r="B4443" t="s">
        <v>11218</v>
      </c>
      <c r="C4443" t="s">
        <v>5043</v>
      </c>
      <c r="D4443" t="s">
        <v>8401</v>
      </c>
    </row>
    <row r="4444" spans="1:4" ht="15" x14ac:dyDescent="0.25">
      <c r="A4444">
        <v>6705</v>
      </c>
      <c r="B4444" t="s">
        <v>11218</v>
      </c>
      <c r="C4444" t="s">
        <v>5043</v>
      </c>
      <c r="D4444" t="s">
        <v>8401</v>
      </c>
    </row>
    <row r="4445" spans="1:4" ht="15" x14ac:dyDescent="0.25">
      <c r="A4445">
        <v>8092</v>
      </c>
      <c r="B4445" t="s">
        <v>11218</v>
      </c>
      <c r="C4445" t="s">
        <v>5043</v>
      </c>
      <c r="D4445" t="s">
        <v>8401</v>
      </c>
    </row>
    <row r="4446" spans="1:4" ht="15" x14ac:dyDescent="0.25">
      <c r="A4446">
        <v>8629</v>
      </c>
      <c r="B4446" t="s">
        <v>11218</v>
      </c>
      <c r="C4446" t="s">
        <v>5043</v>
      </c>
      <c r="D4446" t="s">
        <v>8401</v>
      </c>
    </row>
    <row r="4447" spans="1:4" ht="15" x14ac:dyDescent="0.25">
      <c r="A4447">
        <v>9230</v>
      </c>
      <c r="B4447" t="s">
        <v>11218</v>
      </c>
      <c r="C4447" t="s">
        <v>5043</v>
      </c>
      <c r="D4447" t="s">
        <v>8401</v>
      </c>
    </row>
    <row r="4448" spans="1:4" ht="15" x14ac:dyDescent="0.25">
      <c r="A4448">
        <v>8319</v>
      </c>
      <c r="B4448" t="s">
        <v>9439</v>
      </c>
      <c r="C4448" t="s">
        <v>5043</v>
      </c>
      <c r="D4448" t="s">
        <v>8401</v>
      </c>
    </row>
    <row r="4449" spans="1:4" ht="15" x14ac:dyDescent="0.25">
      <c r="A4449">
        <v>11128</v>
      </c>
      <c r="B4449" t="s">
        <v>11219</v>
      </c>
      <c r="C4449" t="s">
        <v>5043</v>
      </c>
      <c r="D4449" t="s">
        <v>8401</v>
      </c>
    </row>
    <row r="4450" spans="1:4" ht="15" x14ac:dyDescent="0.25">
      <c r="A4450">
        <v>11456</v>
      </c>
      <c r="B4450" t="s">
        <v>11219</v>
      </c>
      <c r="C4450" t="s">
        <v>5043</v>
      </c>
      <c r="D4450" t="s">
        <v>8401</v>
      </c>
    </row>
    <row r="4451" spans="1:4" ht="15" x14ac:dyDescent="0.25">
      <c r="A4451">
        <v>11709</v>
      </c>
      <c r="B4451" t="s">
        <v>11219</v>
      </c>
      <c r="C4451" t="s">
        <v>5043</v>
      </c>
      <c r="D4451" t="s">
        <v>8401</v>
      </c>
    </row>
    <row r="4452" spans="1:4" ht="15" x14ac:dyDescent="0.25">
      <c r="A4452">
        <v>12063</v>
      </c>
      <c r="B4452" t="s">
        <v>11219</v>
      </c>
      <c r="C4452" t="s">
        <v>5043</v>
      </c>
      <c r="D4452" t="s">
        <v>8401</v>
      </c>
    </row>
    <row r="4453" spans="1:4" ht="15" x14ac:dyDescent="0.25">
      <c r="A4453">
        <v>6786</v>
      </c>
      <c r="B4453" t="s">
        <v>11219</v>
      </c>
      <c r="C4453" t="s">
        <v>5043</v>
      </c>
      <c r="D4453" t="s">
        <v>8401</v>
      </c>
    </row>
    <row r="4454" spans="1:4" ht="15" x14ac:dyDescent="0.25">
      <c r="A4454">
        <v>7402</v>
      </c>
      <c r="B4454" t="s">
        <v>11219</v>
      </c>
      <c r="C4454" t="s">
        <v>5043</v>
      </c>
      <c r="D4454" t="s">
        <v>8401</v>
      </c>
    </row>
    <row r="4455" spans="1:4" ht="15" x14ac:dyDescent="0.25">
      <c r="A4455">
        <v>7568</v>
      </c>
      <c r="B4455" t="s">
        <v>11219</v>
      </c>
      <c r="C4455" t="s">
        <v>5043</v>
      </c>
      <c r="D4455" t="s">
        <v>8401</v>
      </c>
    </row>
    <row r="4456" spans="1:4" ht="15" x14ac:dyDescent="0.25">
      <c r="A4456">
        <v>8768</v>
      </c>
      <c r="B4456" t="s">
        <v>11219</v>
      </c>
      <c r="C4456" t="s">
        <v>5043</v>
      </c>
      <c r="D4456" t="s">
        <v>8401</v>
      </c>
    </row>
    <row r="4457" spans="1:4" ht="15" x14ac:dyDescent="0.25">
      <c r="A4457">
        <v>8808</v>
      </c>
      <c r="B4457" t="s">
        <v>11219</v>
      </c>
      <c r="C4457" t="s">
        <v>5043</v>
      </c>
      <c r="D4457" t="s">
        <v>8401</v>
      </c>
    </row>
    <row r="4458" spans="1:4" ht="15" x14ac:dyDescent="0.25">
      <c r="A4458">
        <v>9383</v>
      </c>
      <c r="B4458" t="s">
        <v>11219</v>
      </c>
      <c r="C4458" t="s">
        <v>5043</v>
      </c>
      <c r="D4458" t="s">
        <v>8401</v>
      </c>
    </row>
    <row r="4459" spans="1:4" ht="15" x14ac:dyDescent="0.25">
      <c r="A4459">
        <v>9582</v>
      </c>
      <c r="B4459" t="s">
        <v>11219</v>
      </c>
      <c r="C4459" t="s">
        <v>5043</v>
      </c>
      <c r="D4459" t="s">
        <v>8401</v>
      </c>
    </row>
    <row r="4460" spans="1:4" ht="15" x14ac:dyDescent="0.25">
      <c r="A4460">
        <v>9584</v>
      </c>
      <c r="B4460" t="s">
        <v>11219</v>
      </c>
      <c r="C4460" t="s">
        <v>5043</v>
      </c>
      <c r="D4460" t="s">
        <v>8401</v>
      </c>
    </row>
    <row r="4461" spans="1:4" ht="15" x14ac:dyDescent="0.25">
      <c r="A4461">
        <v>9934</v>
      </c>
      <c r="B4461" t="s">
        <v>11219</v>
      </c>
      <c r="C4461" t="s">
        <v>5043</v>
      </c>
      <c r="D4461" t="s">
        <v>8401</v>
      </c>
    </row>
    <row r="4462" spans="1:4" ht="15" x14ac:dyDescent="0.25">
      <c r="A4462">
        <v>8828</v>
      </c>
      <c r="B4462" t="s">
        <v>11220</v>
      </c>
      <c r="C4462" t="s">
        <v>5043</v>
      </c>
      <c r="D4462" t="s">
        <v>8401</v>
      </c>
    </row>
    <row r="4463" spans="1:4" ht="15" x14ac:dyDescent="0.25">
      <c r="A4463">
        <v>9290</v>
      </c>
      <c r="B4463" t="s">
        <v>11220</v>
      </c>
      <c r="C4463" t="s">
        <v>5043</v>
      </c>
      <c r="D4463" t="s">
        <v>8401</v>
      </c>
    </row>
    <row r="4464" spans="1:4" ht="15" x14ac:dyDescent="0.25">
      <c r="A4464">
        <v>6777</v>
      </c>
      <c r="B4464" t="s">
        <v>9440</v>
      </c>
      <c r="C4464" t="s">
        <v>5043</v>
      </c>
      <c r="D4464" t="s">
        <v>8401</v>
      </c>
    </row>
    <row r="4465" spans="1:4" ht="15" x14ac:dyDescent="0.25">
      <c r="A4465">
        <v>8146</v>
      </c>
      <c r="B4465" t="s">
        <v>9440</v>
      </c>
      <c r="C4465" t="s">
        <v>5043</v>
      </c>
      <c r="D4465" t="s">
        <v>8401</v>
      </c>
    </row>
    <row r="4466" spans="1:4" ht="15" x14ac:dyDescent="0.25">
      <c r="A4466">
        <v>8656</v>
      </c>
      <c r="B4466" t="s">
        <v>9440</v>
      </c>
      <c r="C4466" t="s">
        <v>5043</v>
      </c>
      <c r="D4466" t="s">
        <v>8401</v>
      </c>
    </row>
    <row r="4467" spans="1:4" ht="15" x14ac:dyDescent="0.25">
      <c r="A4467">
        <v>11838</v>
      </c>
      <c r="B4467" t="s">
        <v>9441</v>
      </c>
      <c r="C4467" t="s">
        <v>5043</v>
      </c>
      <c r="D4467" t="s">
        <v>8401</v>
      </c>
    </row>
    <row r="4468" spans="1:4" ht="15" x14ac:dyDescent="0.25">
      <c r="A4468">
        <v>7604</v>
      </c>
      <c r="B4468" t="s">
        <v>9441</v>
      </c>
      <c r="C4468" t="s">
        <v>5043</v>
      </c>
      <c r="D4468" t="s">
        <v>8401</v>
      </c>
    </row>
    <row r="4469" spans="1:4" ht="15" x14ac:dyDescent="0.25">
      <c r="A4469">
        <v>7626</v>
      </c>
      <c r="B4469" t="s">
        <v>9441</v>
      </c>
      <c r="C4469" t="s">
        <v>5043</v>
      </c>
      <c r="D4469" t="s">
        <v>8401</v>
      </c>
    </row>
    <row r="4470" spans="1:4" ht="15" x14ac:dyDescent="0.25">
      <c r="A4470">
        <v>11010</v>
      </c>
      <c r="B4470" t="s">
        <v>11221</v>
      </c>
      <c r="C4470" t="s">
        <v>5043</v>
      </c>
      <c r="D4470" t="s">
        <v>8401</v>
      </c>
    </row>
    <row r="4471" spans="1:4" ht="15" x14ac:dyDescent="0.25">
      <c r="A4471">
        <v>7277</v>
      </c>
      <c r="B4471" t="s">
        <v>11221</v>
      </c>
      <c r="C4471" t="s">
        <v>5043</v>
      </c>
      <c r="D4471" t="s">
        <v>8401</v>
      </c>
    </row>
    <row r="4472" spans="1:4" ht="15" x14ac:dyDescent="0.25">
      <c r="A4472">
        <v>10493</v>
      </c>
      <c r="B4472" t="s">
        <v>11222</v>
      </c>
      <c r="C4472" t="s">
        <v>5043</v>
      </c>
      <c r="D4472" t="s">
        <v>8401</v>
      </c>
    </row>
    <row r="4473" spans="1:4" ht="15" x14ac:dyDescent="0.25">
      <c r="A4473">
        <v>9787</v>
      </c>
      <c r="B4473" t="s">
        <v>11222</v>
      </c>
      <c r="C4473" t="s">
        <v>5043</v>
      </c>
      <c r="D4473" t="s">
        <v>8401</v>
      </c>
    </row>
    <row r="4474" spans="1:4" ht="15" x14ac:dyDescent="0.25">
      <c r="A4474">
        <v>10771</v>
      </c>
      <c r="B4474" t="s">
        <v>9442</v>
      </c>
      <c r="C4474" t="s">
        <v>5043</v>
      </c>
      <c r="D4474" t="s">
        <v>8401</v>
      </c>
    </row>
    <row r="4475" spans="1:4" ht="15" x14ac:dyDescent="0.25">
      <c r="A4475">
        <v>10927</v>
      </c>
      <c r="B4475" t="s">
        <v>9442</v>
      </c>
      <c r="C4475" t="s">
        <v>5043</v>
      </c>
      <c r="D4475" t="s">
        <v>8401</v>
      </c>
    </row>
    <row r="4476" spans="1:4" ht="15" x14ac:dyDescent="0.25">
      <c r="A4476">
        <v>11071</v>
      </c>
      <c r="B4476" t="s">
        <v>9442</v>
      </c>
      <c r="C4476" t="s">
        <v>5043</v>
      </c>
      <c r="D4476" t="s">
        <v>8401</v>
      </c>
    </row>
    <row r="4477" spans="1:4" ht="15" x14ac:dyDescent="0.25">
      <c r="A4477">
        <v>12116</v>
      </c>
      <c r="B4477" t="s">
        <v>9442</v>
      </c>
      <c r="C4477" t="s">
        <v>5043</v>
      </c>
      <c r="D4477" t="s">
        <v>8401</v>
      </c>
    </row>
    <row r="4478" spans="1:4" ht="15" x14ac:dyDescent="0.25">
      <c r="A4478">
        <v>6803</v>
      </c>
      <c r="B4478" t="s">
        <v>9442</v>
      </c>
      <c r="C4478" t="s">
        <v>5043</v>
      </c>
      <c r="D4478" t="s">
        <v>8401</v>
      </c>
    </row>
    <row r="4479" spans="1:4" ht="15" x14ac:dyDescent="0.25">
      <c r="A4479">
        <v>6806</v>
      </c>
      <c r="B4479" t="s">
        <v>9442</v>
      </c>
      <c r="C4479" t="s">
        <v>5043</v>
      </c>
      <c r="D4479" t="s">
        <v>8401</v>
      </c>
    </row>
    <row r="4480" spans="1:4" ht="15" x14ac:dyDescent="0.25">
      <c r="A4480">
        <v>7395</v>
      </c>
      <c r="B4480" t="s">
        <v>9442</v>
      </c>
      <c r="C4480" t="s">
        <v>5043</v>
      </c>
      <c r="D4480" t="s">
        <v>8401</v>
      </c>
    </row>
    <row r="4481" spans="1:4" ht="15" x14ac:dyDescent="0.25">
      <c r="A4481">
        <v>7432</v>
      </c>
      <c r="B4481" t="s">
        <v>9442</v>
      </c>
      <c r="C4481" t="s">
        <v>5043</v>
      </c>
      <c r="D4481" t="s">
        <v>8401</v>
      </c>
    </row>
    <row r="4482" spans="1:4" ht="15" x14ac:dyDescent="0.25">
      <c r="A4482">
        <v>8150</v>
      </c>
      <c r="B4482" t="s">
        <v>9442</v>
      </c>
      <c r="C4482" t="s">
        <v>5043</v>
      </c>
      <c r="D4482" t="s">
        <v>8401</v>
      </c>
    </row>
    <row r="4483" spans="1:4" ht="15" x14ac:dyDescent="0.25">
      <c r="A4483">
        <v>8373</v>
      </c>
      <c r="B4483" t="s">
        <v>9442</v>
      </c>
      <c r="C4483" t="s">
        <v>5043</v>
      </c>
      <c r="D4483" t="s">
        <v>8401</v>
      </c>
    </row>
    <row r="4484" spans="1:4" ht="15" x14ac:dyDescent="0.25">
      <c r="A4484">
        <v>8716</v>
      </c>
      <c r="B4484" t="s">
        <v>9442</v>
      </c>
      <c r="C4484" t="s">
        <v>5043</v>
      </c>
      <c r="D4484" t="s">
        <v>8401</v>
      </c>
    </row>
    <row r="4485" spans="1:4" ht="15" x14ac:dyDescent="0.25">
      <c r="A4485">
        <v>9131</v>
      </c>
      <c r="B4485" t="s">
        <v>9442</v>
      </c>
      <c r="C4485" t="s">
        <v>5043</v>
      </c>
      <c r="D4485" t="s">
        <v>8401</v>
      </c>
    </row>
    <row r="4486" spans="1:4" ht="15" x14ac:dyDescent="0.25">
      <c r="A4486">
        <v>9830</v>
      </c>
      <c r="B4486" t="s">
        <v>9442</v>
      </c>
      <c r="C4486" t="s">
        <v>5043</v>
      </c>
      <c r="D4486" t="s">
        <v>8401</v>
      </c>
    </row>
    <row r="4487" spans="1:4" ht="15" x14ac:dyDescent="0.25">
      <c r="A4487">
        <v>10325</v>
      </c>
      <c r="B4487" t="s">
        <v>11223</v>
      </c>
      <c r="C4487" t="s">
        <v>5043</v>
      </c>
      <c r="D4487" t="s">
        <v>8401</v>
      </c>
    </row>
    <row r="4488" spans="1:4" ht="15" x14ac:dyDescent="0.25">
      <c r="A4488">
        <v>10011</v>
      </c>
      <c r="B4488" t="s">
        <v>9443</v>
      </c>
      <c r="C4488" t="s">
        <v>5043</v>
      </c>
      <c r="D4488" t="s">
        <v>8401</v>
      </c>
    </row>
    <row r="4489" spans="1:4" ht="15" x14ac:dyDescent="0.25">
      <c r="A4489">
        <v>10393</v>
      </c>
      <c r="B4489" t="s">
        <v>9443</v>
      </c>
      <c r="C4489" t="s">
        <v>5043</v>
      </c>
      <c r="D4489" t="s">
        <v>8401</v>
      </c>
    </row>
    <row r="4490" spans="1:4" ht="15" x14ac:dyDescent="0.25">
      <c r="A4490">
        <v>10414</v>
      </c>
      <c r="B4490" t="s">
        <v>9443</v>
      </c>
      <c r="C4490" t="s">
        <v>5043</v>
      </c>
      <c r="D4490" t="s">
        <v>8401</v>
      </c>
    </row>
    <row r="4491" spans="1:4" ht="15" x14ac:dyDescent="0.25">
      <c r="A4491">
        <v>10532</v>
      </c>
      <c r="B4491" t="s">
        <v>9443</v>
      </c>
      <c r="C4491" t="s">
        <v>5043</v>
      </c>
      <c r="D4491" t="s">
        <v>8401</v>
      </c>
    </row>
    <row r="4492" spans="1:4" ht="15" x14ac:dyDescent="0.25">
      <c r="A4492">
        <v>10949</v>
      </c>
      <c r="B4492" t="s">
        <v>9443</v>
      </c>
      <c r="C4492" t="s">
        <v>5043</v>
      </c>
      <c r="D4492" t="s">
        <v>8401</v>
      </c>
    </row>
    <row r="4493" spans="1:4" ht="15" x14ac:dyDescent="0.25">
      <c r="A4493">
        <v>11473</v>
      </c>
      <c r="B4493" t="s">
        <v>9443</v>
      </c>
      <c r="C4493" t="s">
        <v>5043</v>
      </c>
      <c r="D4493" t="s">
        <v>8401</v>
      </c>
    </row>
    <row r="4494" spans="1:4" ht="15" x14ac:dyDescent="0.25">
      <c r="A4494">
        <v>11853</v>
      </c>
      <c r="B4494" t="s">
        <v>9443</v>
      </c>
      <c r="C4494" t="s">
        <v>5043</v>
      </c>
      <c r="D4494" t="s">
        <v>8401</v>
      </c>
    </row>
    <row r="4495" spans="1:4" ht="15" x14ac:dyDescent="0.25">
      <c r="A4495">
        <v>12058</v>
      </c>
      <c r="B4495" t="s">
        <v>9443</v>
      </c>
      <c r="C4495" t="s">
        <v>5043</v>
      </c>
      <c r="D4495" t="s">
        <v>8401</v>
      </c>
    </row>
    <row r="4496" spans="1:4" ht="15" x14ac:dyDescent="0.25">
      <c r="A4496">
        <v>6945</v>
      </c>
      <c r="B4496" t="s">
        <v>9443</v>
      </c>
      <c r="C4496" t="s">
        <v>5043</v>
      </c>
      <c r="D4496" t="s">
        <v>8401</v>
      </c>
    </row>
    <row r="4497" spans="1:4" ht="15" x14ac:dyDescent="0.25">
      <c r="A4497">
        <v>7126</v>
      </c>
      <c r="B4497" t="s">
        <v>9443</v>
      </c>
      <c r="C4497" t="s">
        <v>5043</v>
      </c>
      <c r="D4497" t="s">
        <v>8401</v>
      </c>
    </row>
    <row r="4498" spans="1:4" ht="15" x14ac:dyDescent="0.25">
      <c r="A4498">
        <v>7294</v>
      </c>
      <c r="B4498" t="s">
        <v>9443</v>
      </c>
      <c r="C4498" t="s">
        <v>5043</v>
      </c>
      <c r="D4498" t="s">
        <v>8401</v>
      </c>
    </row>
    <row r="4499" spans="1:4" ht="15" x14ac:dyDescent="0.25">
      <c r="A4499">
        <v>7475</v>
      </c>
      <c r="B4499" t="s">
        <v>9443</v>
      </c>
      <c r="C4499" t="s">
        <v>5043</v>
      </c>
      <c r="D4499" t="s">
        <v>8401</v>
      </c>
    </row>
    <row r="4500" spans="1:4" ht="15" x14ac:dyDescent="0.25">
      <c r="A4500">
        <v>8050</v>
      </c>
      <c r="B4500" t="s">
        <v>9443</v>
      </c>
      <c r="C4500" t="s">
        <v>5043</v>
      </c>
      <c r="D4500" t="s">
        <v>8401</v>
      </c>
    </row>
    <row r="4501" spans="1:4" ht="15" x14ac:dyDescent="0.25">
      <c r="A4501">
        <v>8366</v>
      </c>
      <c r="B4501" t="s">
        <v>9443</v>
      </c>
      <c r="C4501" t="s">
        <v>5043</v>
      </c>
      <c r="D4501" t="s">
        <v>8401</v>
      </c>
    </row>
    <row r="4502" spans="1:4" ht="15" x14ac:dyDescent="0.25">
      <c r="A4502">
        <v>8447</v>
      </c>
      <c r="B4502" t="s">
        <v>9443</v>
      </c>
      <c r="C4502" t="s">
        <v>5043</v>
      </c>
      <c r="D4502" t="s">
        <v>8401</v>
      </c>
    </row>
    <row r="4503" spans="1:4" ht="15" x14ac:dyDescent="0.25">
      <c r="A4503">
        <v>9205</v>
      </c>
      <c r="B4503" t="s">
        <v>9443</v>
      </c>
      <c r="C4503" t="s">
        <v>5043</v>
      </c>
      <c r="D4503" t="s">
        <v>8401</v>
      </c>
    </row>
    <row r="4504" spans="1:4" ht="15" x14ac:dyDescent="0.25">
      <c r="A4504">
        <v>11057</v>
      </c>
      <c r="B4504" t="s">
        <v>9444</v>
      </c>
      <c r="C4504" t="s">
        <v>5043</v>
      </c>
      <c r="D4504" t="s">
        <v>8401</v>
      </c>
    </row>
    <row r="4505" spans="1:4" ht="15" x14ac:dyDescent="0.25">
      <c r="A4505">
        <v>8185</v>
      </c>
      <c r="B4505" t="s">
        <v>9445</v>
      </c>
      <c r="C4505" t="s">
        <v>5043</v>
      </c>
      <c r="D4505" t="s">
        <v>8401</v>
      </c>
    </row>
    <row r="4506" spans="1:4" ht="15" x14ac:dyDescent="0.25">
      <c r="A4506">
        <v>7164</v>
      </c>
      <c r="B4506" t="s">
        <v>11224</v>
      </c>
      <c r="C4506" t="s">
        <v>5043</v>
      </c>
      <c r="D4506" t="s">
        <v>8401</v>
      </c>
    </row>
    <row r="4507" spans="1:4" ht="15" x14ac:dyDescent="0.25">
      <c r="A4507">
        <v>8801</v>
      </c>
      <c r="B4507" t="s">
        <v>11224</v>
      </c>
      <c r="C4507" t="s">
        <v>5043</v>
      </c>
      <c r="D4507" t="s">
        <v>8401</v>
      </c>
    </row>
    <row r="4508" spans="1:4" ht="15" x14ac:dyDescent="0.25">
      <c r="A4508">
        <v>9504</v>
      </c>
      <c r="B4508" t="s">
        <v>11224</v>
      </c>
      <c r="C4508" t="s">
        <v>5043</v>
      </c>
      <c r="D4508" t="s">
        <v>8401</v>
      </c>
    </row>
    <row r="4509" spans="1:4" ht="15" x14ac:dyDescent="0.25">
      <c r="A4509">
        <v>7962</v>
      </c>
      <c r="B4509" t="s">
        <v>9446</v>
      </c>
      <c r="C4509" t="s">
        <v>5043</v>
      </c>
      <c r="D4509" t="s">
        <v>8401</v>
      </c>
    </row>
    <row r="4510" spans="1:4" ht="15" x14ac:dyDescent="0.25">
      <c r="A4510">
        <v>10245</v>
      </c>
      <c r="B4510" t="s">
        <v>11225</v>
      </c>
      <c r="C4510" t="s">
        <v>5043</v>
      </c>
      <c r="D4510" t="s">
        <v>8401</v>
      </c>
    </row>
    <row r="4511" spans="1:4" ht="15" x14ac:dyDescent="0.25">
      <c r="A4511">
        <v>10568</v>
      </c>
      <c r="B4511" t="s">
        <v>11225</v>
      </c>
      <c r="C4511" t="s">
        <v>5043</v>
      </c>
      <c r="D4511" t="s">
        <v>8401</v>
      </c>
    </row>
    <row r="4512" spans="1:4" ht="15" x14ac:dyDescent="0.25">
      <c r="A4512">
        <v>10780</v>
      </c>
      <c r="B4512" t="s">
        <v>11225</v>
      </c>
      <c r="C4512" t="s">
        <v>5043</v>
      </c>
      <c r="D4512" t="s">
        <v>8401</v>
      </c>
    </row>
    <row r="4513" spans="1:4" ht="15" x14ac:dyDescent="0.25">
      <c r="A4513">
        <v>11358</v>
      </c>
      <c r="B4513" t="s">
        <v>11225</v>
      </c>
      <c r="C4513" t="s">
        <v>5043</v>
      </c>
      <c r="D4513" t="s">
        <v>8401</v>
      </c>
    </row>
    <row r="4514" spans="1:4" ht="15" x14ac:dyDescent="0.25">
      <c r="A4514">
        <v>11683</v>
      </c>
      <c r="B4514" t="s">
        <v>11225</v>
      </c>
      <c r="C4514" t="s">
        <v>5043</v>
      </c>
      <c r="D4514" t="s">
        <v>8401</v>
      </c>
    </row>
    <row r="4515" spans="1:4" ht="15" x14ac:dyDescent="0.25">
      <c r="A4515">
        <v>7707</v>
      </c>
      <c r="B4515" t="s">
        <v>11225</v>
      </c>
      <c r="C4515" t="s">
        <v>5043</v>
      </c>
      <c r="D4515" t="s">
        <v>8401</v>
      </c>
    </row>
    <row r="4516" spans="1:4" ht="15" x14ac:dyDescent="0.25">
      <c r="A4516">
        <v>8344</v>
      </c>
      <c r="B4516" t="s">
        <v>11225</v>
      </c>
      <c r="C4516" t="s">
        <v>5043</v>
      </c>
      <c r="D4516" t="s">
        <v>8401</v>
      </c>
    </row>
    <row r="4517" spans="1:4" ht="15" x14ac:dyDescent="0.25">
      <c r="A4517">
        <v>9079</v>
      </c>
      <c r="B4517" t="s">
        <v>11225</v>
      </c>
      <c r="C4517" t="s">
        <v>5043</v>
      </c>
      <c r="D4517" t="s">
        <v>8401</v>
      </c>
    </row>
    <row r="4518" spans="1:4" ht="15" x14ac:dyDescent="0.25">
      <c r="A4518">
        <v>9297</v>
      </c>
      <c r="B4518" t="s">
        <v>11225</v>
      </c>
      <c r="C4518" t="s">
        <v>5043</v>
      </c>
      <c r="D4518" t="s">
        <v>8401</v>
      </c>
    </row>
    <row r="4519" spans="1:4" ht="15" x14ac:dyDescent="0.25">
      <c r="A4519">
        <v>9320</v>
      </c>
      <c r="B4519" t="s">
        <v>11225</v>
      </c>
      <c r="C4519" t="s">
        <v>5043</v>
      </c>
      <c r="D4519" t="s">
        <v>8401</v>
      </c>
    </row>
    <row r="4520" spans="1:4" ht="15" x14ac:dyDescent="0.25">
      <c r="A4520">
        <v>9350</v>
      </c>
      <c r="B4520" t="s">
        <v>11225</v>
      </c>
      <c r="C4520" t="s">
        <v>5043</v>
      </c>
      <c r="D4520" t="s">
        <v>8401</v>
      </c>
    </row>
    <row r="4521" spans="1:4" ht="15" x14ac:dyDescent="0.25">
      <c r="A4521">
        <v>9569</v>
      </c>
      <c r="B4521" t="s">
        <v>11225</v>
      </c>
      <c r="C4521" t="s">
        <v>5043</v>
      </c>
      <c r="D4521" t="s">
        <v>8401</v>
      </c>
    </row>
    <row r="4522" spans="1:4" ht="15" x14ac:dyDescent="0.25">
      <c r="A4522">
        <v>9853</v>
      </c>
      <c r="B4522" t="s">
        <v>11225</v>
      </c>
      <c r="C4522" t="s">
        <v>5043</v>
      </c>
      <c r="D4522" t="s">
        <v>8401</v>
      </c>
    </row>
    <row r="4523" spans="1:4" ht="15" x14ac:dyDescent="0.25">
      <c r="A4523">
        <v>9669</v>
      </c>
      <c r="B4523" t="s">
        <v>11226</v>
      </c>
      <c r="C4523" t="s">
        <v>5043</v>
      </c>
      <c r="D4523" t="s">
        <v>8401</v>
      </c>
    </row>
    <row r="4524" spans="1:4" ht="15" x14ac:dyDescent="0.25">
      <c r="A4524">
        <v>10036</v>
      </c>
      <c r="B4524" t="s">
        <v>9447</v>
      </c>
      <c r="C4524" t="s">
        <v>5043</v>
      </c>
      <c r="D4524" t="s">
        <v>8401</v>
      </c>
    </row>
    <row r="4525" spans="1:4" ht="15" x14ac:dyDescent="0.25">
      <c r="A4525">
        <v>11025</v>
      </c>
      <c r="B4525" t="s">
        <v>9447</v>
      </c>
      <c r="C4525" t="s">
        <v>5043</v>
      </c>
      <c r="D4525" t="s">
        <v>8401</v>
      </c>
    </row>
    <row r="4526" spans="1:4" ht="15" x14ac:dyDescent="0.25">
      <c r="A4526">
        <v>10045</v>
      </c>
      <c r="B4526" t="s">
        <v>9448</v>
      </c>
      <c r="C4526" t="s">
        <v>5043</v>
      </c>
      <c r="D4526" t="s">
        <v>8401</v>
      </c>
    </row>
    <row r="4527" spans="1:4" ht="15" x14ac:dyDescent="0.25">
      <c r="A4527">
        <v>10060</v>
      </c>
      <c r="B4527" t="s">
        <v>9448</v>
      </c>
      <c r="C4527" t="s">
        <v>5043</v>
      </c>
      <c r="D4527" t="s">
        <v>8401</v>
      </c>
    </row>
    <row r="4528" spans="1:4" ht="15" x14ac:dyDescent="0.25">
      <c r="A4528">
        <v>10081</v>
      </c>
      <c r="B4528" t="s">
        <v>9448</v>
      </c>
      <c r="C4528" t="s">
        <v>5043</v>
      </c>
      <c r="D4528" t="s">
        <v>8401</v>
      </c>
    </row>
    <row r="4529" spans="1:4" ht="15" x14ac:dyDescent="0.25">
      <c r="A4529">
        <v>10692</v>
      </c>
      <c r="B4529" t="s">
        <v>9448</v>
      </c>
      <c r="C4529" t="s">
        <v>5043</v>
      </c>
      <c r="D4529" t="s">
        <v>8401</v>
      </c>
    </row>
    <row r="4530" spans="1:4" ht="15" x14ac:dyDescent="0.25">
      <c r="A4530">
        <v>11455</v>
      </c>
      <c r="B4530" t="s">
        <v>9448</v>
      </c>
      <c r="C4530" t="s">
        <v>5043</v>
      </c>
      <c r="D4530" t="s">
        <v>8401</v>
      </c>
    </row>
    <row r="4531" spans="1:4" ht="15" x14ac:dyDescent="0.25">
      <c r="A4531">
        <v>11778</v>
      </c>
      <c r="B4531" t="s">
        <v>9448</v>
      </c>
      <c r="C4531" t="s">
        <v>5043</v>
      </c>
      <c r="D4531" t="s">
        <v>8401</v>
      </c>
    </row>
    <row r="4532" spans="1:4" ht="15" x14ac:dyDescent="0.25">
      <c r="A4532">
        <v>6815</v>
      </c>
      <c r="B4532" t="s">
        <v>9448</v>
      </c>
      <c r="C4532" t="s">
        <v>5043</v>
      </c>
      <c r="D4532" t="s">
        <v>8401</v>
      </c>
    </row>
    <row r="4533" spans="1:4" ht="15" x14ac:dyDescent="0.25">
      <c r="A4533">
        <v>7050</v>
      </c>
      <c r="B4533" t="s">
        <v>9448</v>
      </c>
      <c r="C4533" t="s">
        <v>5043</v>
      </c>
      <c r="D4533" t="s">
        <v>8401</v>
      </c>
    </row>
    <row r="4534" spans="1:4" ht="15" x14ac:dyDescent="0.25">
      <c r="A4534">
        <v>7884</v>
      </c>
      <c r="B4534" t="s">
        <v>9448</v>
      </c>
      <c r="C4534" t="s">
        <v>5043</v>
      </c>
      <c r="D4534" t="s">
        <v>8401</v>
      </c>
    </row>
    <row r="4535" spans="1:4" ht="15" x14ac:dyDescent="0.25">
      <c r="A4535">
        <v>8799</v>
      </c>
      <c r="B4535" t="s">
        <v>9448</v>
      </c>
      <c r="C4535" t="s">
        <v>5043</v>
      </c>
      <c r="D4535" t="s">
        <v>8401</v>
      </c>
    </row>
    <row r="4536" spans="1:4" ht="15" x14ac:dyDescent="0.25">
      <c r="A4536">
        <v>9447</v>
      </c>
      <c r="B4536" t="s">
        <v>9448</v>
      </c>
      <c r="C4536" t="s">
        <v>5043</v>
      </c>
      <c r="D4536" t="s">
        <v>8401</v>
      </c>
    </row>
    <row r="4537" spans="1:4" ht="15" x14ac:dyDescent="0.25">
      <c r="A4537">
        <v>10546</v>
      </c>
      <c r="B4537" t="s">
        <v>11227</v>
      </c>
      <c r="C4537" t="s">
        <v>5043</v>
      </c>
      <c r="D4537" t="s">
        <v>8401</v>
      </c>
    </row>
    <row r="4538" spans="1:4" ht="15" x14ac:dyDescent="0.25">
      <c r="A4538">
        <v>7530</v>
      </c>
      <c r="B4538" t="s">
        <v>11227</v>
      </c>
      <c r="C4538" t="s">
        <v>5043</v>
      </c>
      <c r="D4538" t="s">
        <v>8401</v>
      </c>
    </row>
    <row r="4539" spans="1:4" ht="15" x14ac:dyDescent="0.25">
      <c r="A4539">
        <v>8145</v>
      </c>
      <c r="B4539" t="s">
        <v>11227</v>
      </c>
      <c r="C4539" t="s">
        <v>5043</v>
      </c>
      <c r="D4539" t="s">
        <v>8401</v>
      </c>
    </row>
    <row r="4540" spans="1:4" ht="15" x14ac:dyDescent="0.25">
      <c r="A4540">
        <v>11421</v>
      </c>
      <c r="B4540" t="s">
        <v>11228</v>
      </c>
      <c r="C4540" t="s">
        <v>5043</v>
      </c>
      <c r="D4540" t="s">
        <v>8401</v>
      </c>
    </row>
    <row r="4541" spans="1:4" ht="15" x14ac:dyDescent="0.25">
      <c r="A4541">
        <v>10160</v>
      </c>
      <c r="B4541" t="s">
        <v>9449</v>
      </c>
      <c r="C4541" t="s">
        <v>5043</v>
      </c>
      <c r="D4541" t="s">
        <v>8401</v>
      </c>
    </row>
    <row r="4542" spans="1:4" ht="15" x14ac:dyDescent="0.25">
      <c r="A4542">
        <v>10917</v>
      </c>
      <c r="B4542" t="s">
        <v>9450</v>
      </c>
      <c r="C4542" t="s">
        <v>5043</v>
      </c>
      <c r="D4542" t="s">
        <v>8401</v>
      </c>
    </row>
    <row r="4543" spans="1:4" ht="15" x14ac:dyDescent="0.25">
      <c r="A4543">
        <v>6899</v>
      </c>
      <c r="B4543" t="s">
        <v>9450</v>
      </c>
      <c r="C4543" t="s">
        <v>5043</v>
      </c>
      <c r="D4543" t="s">
        <v>8401</v>
      </c>
    </row>
    <row r="4544" spans="1:4" ht="15" x14ac:dyDescent="0.25">
      <c r="A4544">
        <v>8505</v>
      </c>
      <c r="B4544" t="s">
        <v>9450</v>
      </c>
      <c r="C4544" t="s">
        <v>5043</v>
      </c>
      <c r="D4544" t="s">
        <v>8401</v>
      </c>
    </row>
    <row r="4545" spans="1:4" ht="15" x14ac:dyDescent="0.25">
      <c r="A4545">
        <v>7056</v>
      </c>
      <c r="B4545" t="s">
        <v>9451</v>
      </c>
      <c r="C4545" t="s">
        <v>5043</v>
      </c>
      <c r="D4545" t="s">
        <v>8401</v>
      </c>
    </row>
    <row r="4546" spans="1:4" ht="15" x14ac:dyDescent="0.25">
      <c r="A4546">
        <v>8470</v>
      </c>
      <c r="B4546" t="s">
        <v>9451</v>
      </c>
      <c r="C4546" t="s">
        <v>5043</v>
      </c>
      <c r="D4546" t="s">
        <v>8401</v>
      </c>
    </row>
    <row r="4547" spans="1:4" ht="15" x14ac:dyDescent="0.25">
      <c r="A4547">
        <v>8613</v>
      </c>
      <c r="B4547" t="s">
        <v>9451</v>
      </c>
      <c r="C4547" t="s">
        <v>5043</v>
      </c>
      <c r="D4547" t="s">
        <v>8401</v>
      </c>
    </row>
    <row r="4548" spans="1:4" ht="15" x14ac:dyDescent="0.25">
      <c r="A4548">
        <v>10499</v>
      </c>
      <c r="B4548" t="s">
        <v>9452</v>
      </c>
      <c r="C4548" t="s">
        <v>5043</v>
      </c>
      <c r="D4548" t="s">
        <v>8401</v>
      </c>
    </row>
    <row r="4549" spans="1:4" ht="15" x14ac:dyDescent="0.25">
      <c r="A4549">
        <v>9578</v>
      </c>
      <c r="B4549" t="s">
        <v>9452</v>
      </c>
      <c r="C4549" t="s">
        <v>5043</v>
      </c>
      <c r="D4549" t="s">
        <v>8401</v>
      </c>
    </row>
    <row r="4550" spans="1:4" ht="15" x14ac:dyDescent="0.25">
      <c r="A4550">
        <v>10482</v>
      </c>
      <c r="B4550" t="s">
        <v>9453</v>
      </c>
      <c r="C4550" t="s">
        <v>5043</v>
      </c>
      <c r="D4550" t="s">
        <v>8401</v>
      </c>
    </row>
    <row r="4551" spans="1:4" ht="15" x14ac:dyDescent="0.25">
      <c r="A4551">
        <v>11301</v>
      </c>
      <c r="B4551" t="s">
        <v>9453</v>
      </c>
      <c r="C4551" t="s">
        <v>5043</v>
      </c>
      <c r="D4551" t="s">
        <v>8401</v>
      </c>
    </row>
    <row r="4552" spans="1:4" ht="15" x14ac:dyDescent="0.25">
      <c r="A4552">
        <v>11295</v>
      </c>
      <c r="B4552" t="s">
        <v>11229</v>
      </c>
      <c r="C4552" t="s">
        <v>5043</v>
      </c>
      <c r="D4552" t="s">
        <v>8401</v>
      </c>
    </row>
    <row r="4553" spans="1:4" ht="15" x14ac:dyDescent="0.25">
      <c r="A4553">
        <v>6886</v>
      </c>
      <c r="B4553" t="s">
        <v>11229</v>
      </c>
      <c r="C4553" t="s">
        <v>5043</v>
      </c>
      <c r="D4553" t="s">
        <v>8401</v>
      </c>
    </row>
    <row r="4554" spans="1:4" ht="15" x14ac:dyDescent="0.25">
      <c r="A4554">
        <v>11469</v>
      </c>
      <c r="B4554" t="s">
        <v>11230</v>
      </c>
      <c r="C4554" t="s">
        <v>5043</v>
      </c>
      <c r="D4554" t="s">
        <v>8401</v>
      </c>
    </row>
    <row r="4555" spans="1:4" ht="15" x14ac:dyDescent="0.25">
      <c r="A4555">
        <v>7788</v>
      </c>
      <c r="B4555" t="s">
        <v>11230</v>
      </c>
      <c r="C4555" t="s">
        <v>5043</v>
      </c>
      <c r="D4555" t="s">
        <v>8401</v>
      </c>
    </row>
    <row r="4556" spans="1:4" ht="15" x14ac:dyDescent="0.25">
      <c r="A4556">
        <v>11802</v>
      </c>
      <c r="B4556" t="s">
        <v>11231</v>
      </c>
      <c r="C4556" t="s">
        <v>5043</v>
      </c>
      <c r="D4556" t="s">
        <v>8401</v>
      </c>
    </row>
    <row r="4557" spans="1:4" ht="15" x14ac:dyDescent="0.25">
      <c r="A4557">
        <v>7391</v>
      </c>
      <c r="B4557" t="s">
        <v>11231</v>
      </c>
      <c r="C4557" t="s">
        <v>5043</v>
      </c>
      <c r="D4557" t="s">
        <v>8401</v>
      </c>
    </row>
    <row r="4558" spans="1:4" ht="15" x14ac:dyDescent="0.25">
      <c r="A4558">
        <v>11488</v>
      </c>
      <c r="B4558" t="s">
        <v>11232</v>
      </c>
      <c r="C4558" t="s">
        <v>5043</v>
      </c>
      <c r="D4558" t="s">
        <v>8401</v>
      </c>
    </row>
    <row r="4559" spans="1:4" ht="15" x14ac:dyDescent="0.25">
      <c r="A4559">
        <v>7605</v>
      </c>
      <c r="B4559" t="s">
        <v>11232</v>
      </c>
      <c r="C4559" t="s">
        <v>5043</v>
      </c>
      <c r="D4559" t="s">
        <v>8401</v>
      </c>
    </row>
    <row r="4560" spans="1:4" ht="15" x14ac:dyDescent="0.25">
      <c r="A4560">
        <v>10048</v>
      </c>
      <c r="B4560" t="s">
        <v>9454</v>
      </c>
      <c r="C4560" t="s">
        <v>5043</v>
      </c>
      <c r="D4560" t="s">
        <v>8401</v>
      </c>
    </row>
    <row r="4561" spans="1:4" ht="15" x14ac:dyDescent="0.25">
      <c r="A4561">
        <v>11622</v>
      </c>
      <c r="B4561" t="s">
        <v>9455</v>
      </c>
      <c r="C4561" t="s">
        <v>5043</v>
      </c>
      <c r="D4561" t="s">
        <v>8401</v>
      </c>
    </row>
    <row r="4562" spans="1:4" ht="15" x14ac:dyDescent="0.25">
      <c r="A4562">
        <v>7493</v>
      </c>
      <c r="B4562" t="s">
        <v>9455</v>
      </c>
      <c r="C4562" t="s">
        <v>5043</v>
      </c>
      <c r="D4562" t="s">
        <v>8401</v>
      </c>
    </row>
    <row r="4563" spans="1:4" ht="15" x14ac:dyDescent="0.25">
      <c r="A4563">
        <v>7635</v>
      </c>
      <c r="B4563" t="s">
        <v>9455</v>
      </c>
      <c r="C4563" t="s">
        <v>5043</v>
      </c>
      <c r="D4563" t="s">
        <v>8401</v>
      </c>
    </row>
    <row r="4564" spans="1:4" ht="15" x14ac:dyDescent="0.25">
      <c r="A4564">
        <v>8078</v>
      </c>
      <c r="B4564" t="s">
        <v>9455</v>
      </c>
      <c r="C4564" t="s">
        <v>5043</v>
      </c>
      <c r="D4564" t="s">
        <v>8401</v>
      </c>
    </row>
    <row r="4565" spans="1:4" ht="15" x14ac:dyDescent="0.25">
      <c r="A4565">
        <v>7463</v>
      </c>
      <c r="B4565" t="s">
        <v>11233</v>
      </c>
      <c r="C4565" t="s">
        <v>5043</v>
      </c>
      <c r="D4565" t="s">
        <v>8401</v>
      </c>
    </row>
    <row r="4566" spans="1:4" ht="15" x14ac:dyDescent="0.25">
      <c r="A4566">
        <v>9405</v>
      </c>
      <c r="B4566" t="s">
        <v>11233</v>
      </c>
      <c r="C4566" t="s">
        <v>5043</v>
      </c>
      <c r="D4566" t="s">
        <v>8401</v>
      </c>
    </row>
    <row r="4567" spans="1:4" ht="15" x14ac:dyDescent="0.25">
      <c r="A4567">
        <v>9927</v>
      </c>
      <c r="B4567" t="s">
        <v>11233</v>
      </c>
      <c r="C4567" t="s">
        <v>5043</v>
      </c>
      <c r="D4567" t="s">
        <v>8401</v>
      </c>
    </row>
    <row r="4568" spans="1:4" ht="15" x14ac:dyDescent="0.25">
      <c r="A4568">
        <v>7613</v>
      </c>
      <c r="B4568" t="s">
        <v>11234</v>
      </c>
      <c r="C4568" t="s">
        <v>5043</v>
      </c>
      <c r="D4568" t="s">
        <v>8401</v>
      </c>
    </row>
    <row r="4569" spans="1:4" ht="15" x14ac:dyDescent="0.25">
      <c r="A4569">
        <v>9561</v>
      </c>
      <c r="B4569" t="s">
        <v>11234</v>
      </c>
      <c r="C4569" t="s">
        <v>5043</v>
      </c>
      <c r="D4569" t="s">
        <v>8401</v>
      </c>
    </row>
    <row r="4570" spans="1:4" ht="15" x14ac:dyDescent="0.25">
      <c r="A4570">
        <v>6972</v>
      </c>
      <c r="B4570" t="s">
        <v>11235</v>
      </c>
      <c r="C4570" t="s">
        <v>5043</v>
      </c>
      <c r="D4570" t="s">
        <v>8401</v>
      </c>
    </row>
    <row r="4571" spans="1:4" ht="15" x14ac:dyDescent="0.25">
      <c r="A4571">
        <v>11873</v>
      </c>
      <c r="B4571" t="s">
        <v>11236</v>
      </c>
      <c r="C4571" t="s">
        <v>5043</v>
      </c>
      <c r="D4571" t="s">
        <v>8401</v>
      </c>
    </row>
    <row r="4572" spans="1:4" ht="15" x14ac:dyDescent="0.25">
      <c r="A4572">
        <v>8989</v>
      </c>
      <c r="B4572" t="s">
        <v>11236</v>
      </c>
      <c r="C4572" t="s">
        <v>5043</v>
      </c>
      <c r="D4572" t="s">
        <v>8401</v>
      </c>
    </row>
    <row r="4573" spans="1:4" ht="15" x14ac:dyDescent="0.25">
      <c r="A4573">
        <v>10139</v>
      </c>
      <c r="B4573" t="s">
        <v>9456</v>
      </c>
      <c r="C4573" t="s">
        <v>5043</v>
      </c>
      <c r="D4573" t="s">
        <v>8401</v>
      </c>
    </row>
    <row r="4574" spans="1:4" ht="15" x14ac:dyDescent="0.25">
      <c r="A4574">
        <v>9658</v>
      </c>
      <c r="B4574" t="s">
        <v>9456</v>
      </c>
      <c r="C4574" t="s">
        <v>5043</v>
      </c>
      <c r="D4574" t="s">
        <v>8401</v>
      </c>
    </row>
    <row r="4575" spans="1:4" ht="15" x14ac:dyDescent="0.25">
      <c r="A4575">
        <v>9964</v>
      </c>
      <c r="B4575" t="s">
        <v>9456</v>
      </c>
      <c r="C4575" t="s">
        <v>5043</v>
      </c>
      <c r="D4575" t="s">
        <v>8401</v>
      </c>
    </row>
    <row r="4576" spans="1:4" ht="15" x14ac:dyDescent="0.25">
      <c r="A4576">
        <v>10648</v>
      </c>
      <c r="B4576" t="s">
        <v>11237</v>
      </c>
      <c r="C4576" t="s">
        <v>5043</v>
      </c>
      <c r="D4576" t="s">
        <v>8401</v>
      </c>
    </row>
    <row r="4577" spans="1:4" ht="15" x14ac:dyDescent="0.25">
      <c r="A4577">
        <v>11670</v>
      </c>
      <c r="B4577" t="s">
        <v>11237</v>
      </c>
      <c r="C4577" t="s">
        <v>5043</v>
      </c>
      <c r="D4577" t="s">
        <v>8401</v>
      </c>
    </row>
    <row r="4578" spans="1:4" ht="15" x14ac:dyDescent="0.25">
      <c r="A4578">
        <v>10283</v>
      </c>
      <c r="B4578" t="s">
        <v>11238</v>
      </c>
      <c r="C4578" t="s">
        <v>5043</v>
      </c>
      <c r="D4578" t="s">
        <v>8401</v>
      </c>
    </row>
    <row r="4579" spans="1:4" ht="15" x14ac:dyDescent="0.25">
      <c r="A4579">
        <v>7063</v>
      </c>
      <c r="B4579" t="s">
        <v>11238</v>
      </c>
      <c r="C4579" t="s">
        <v>5043</v>
      </c>
      <c r="D4579" t="s">
        <v>8401</v>
      </c>
    </row>
    <row r="4580" spans="1:4" ht="15" x14ac:dyDescent="0.25">
      <c r="A4580">
        <v>10029</v>
      </c>
      <c r="B4580" t="s">
        <v>11239</v>
      </c>
      <c r="C4580" t="s">
        <v>5043</v>
      </c>
      <c r="D4580" t="s">
        <v>8401</v>
      </c>
    </row>
    <row r="4581" spans="1:4" ht="15" x14ac:dyDescent="0.25">
      <c r="A4581">
        <v>10321</v>
      </c>
      <c r="B4581" t="s">
        <v>11239</v>
      </c>
      <c r="C4581" t="s">
        <v>5043</v>
      </c>
      <c r="D4581" t="s">
        <v>8401</v>
      </c>
    </row>
    <row r="4582" spans="1:4" ht="15" x14ac:dyDescent="0.25">
      <c r="A4582">
        <v>8120</v>
      </c>
      <c r="B4582" t="s">
        <v>9457</v>
      </c>
      <c r="C4582" t="s">
        <v>5043</v>
      </c>
      <c r="D4582" t="s">
        <v>8401</v>
      </c>
    </row>
    <row r="4583" spans="1:4" ht="15" x14ac:dyDescent="0.25">
      <c r="A4583">
        <v>7057</v>
      </c>
      <c r="B4583" t="s">
        <v>9458</v>
      </c>
      <c r="C4583" t="s">
        <v>5043</v>
      </c>
      <c r="D4583" t="s">
        <v>8401</v>
      </c>
    </row>
    <row r="4584" spans="1:4" ht="15" x14ac:dyDescent="0.25">
      <c r="A4584">
        <v>8883</v>
      </c>
      <c r="B4584" t="s">
        <v>9458</v>
      </c>
      <c r="C4584" t="s">
        <v>5043</v>
      </c>
      <c r="D4584" t="s">
        <v>8401</v>
      </c>
    </row>
    <row r="4585" spans="1:4" ht="15" x14ac:dyDescent="0.25">
      <c r="A4585">
        <v>8783</v>
      </c>
      <c r="B4585" t="s">
        <v>11240</v>
      </c>
      <c r="C4585" t="s">
        <v>5043</v>
      </c>
      <c r="D4585" t="s">
        <v>8401</v>
      </c>
    </row>
    <row r="4586" spans="1:4" ht="15" x14ac:dyDescent="0.25">
      <c r="A4586">
        <v>8988</v>
      </c>
      <c r="B4586" t="s">
        <v>11240</v>
      </c>
      <c r="C4586" t="s">
        <v>5043</v>
      </c>
      <c r="D4586" t="s">
        <v>8401</v>
      </c>
    </row>
    <row r="4587" spans="1:4" ht="15" x14ac:dyDescent="0.25">
      <c r="A4587">
        <v>10227</v>
      </c>
      <c r="B4587" t="s">
        <v>11241</v>
      </c>
      <c r="C4587" t="s">
        <v>5043</v>
      </c>
      <c r="D4587" t="s">
        <v>8401</v>
      </c>
    </row>
    <row r="4588" spans="1:4" ht="15" x14ac:dyDescent="0.25">
      <c r="A4588">
        <v>6783</v>
      </c>
      <c r="B4588" t="s">
        <v>11241</v>
      </c>
      <c r="C4588" t="s">
        <v>5043</v>
      </c>
      <c r="D4588" t="s">
        <v>8401</v>
      </c>
    </row>
    <row r="4589" spans="1:4" ht="15" x14ac:dyDescent="0.25">
      <c r="A4589">
        <v>7536</v>
      </c>
      <c r="B4589" t="s">
        <v>11241</v>
      </c>
      <c r="C4589" t="s">
        <v>5043</v>
      </c>
      <c r="D4589" t="s">
        <v>8401</v>
      </c>
    </row>
    <row r="4590" spans="1:4" ht="15" x14ac:dyDescent="0.25">
      <c r="A4590">
        <v>7885</v>
      </c>
      <c r="B4590" t="s">
        <v>11241</v>
      </c>
      <c r="C4590" t="s">
        <v>5043</v>
      </c>
      <c r="D4590" t="s">
        <v>8401</v>
      </c>
    </row>
    <row r="4591" spans="1:4" ht="15" x14ac:dyDescent="0.25">
      <c r="A4591">
        <v>8005</v>
      </c>
      <c r="B4591" t="s">
        <v>11241</v>
      </c>
      <c r="C4591" t="s">
        <v>5043</v>
      </c>
      <c r="D4591" t="s">
        <v>8401</v>
      </c>
    </row>
    <row r="4592" spans="1:4" ht="15" x14ac:dyDescent="0.25">
      <c r="A4592">
        <v>9054</v>
      </c>
      <c r="B4592" t="s">
        <v>11241</v>
      </c>
      <c r="C4592" t="s">
        <v>5043</v>
      </c>
      <c r="D4592" t="s">
        <v>8401</v>
      </c>
    </row>
    <row r="4593" spans="1:4" ht="15" x14ac:dyDescent="0.25">
      <c r="A4593">
        <v>9313</v>
      </c>
      <c r="B4593" t="s">
        <v>11241</v>
      </c>
      <c r="C4593" t="s">
        <v>5043</v>
      </c>
      <c r="D4593" t="s">
        <v>8401</v>
      </c>
    </row>
    <row r="4594" spans="1:4" ht="15" x14ac:dyDescent="0.25">
      <c r="A4594">
        <v>10309</v>
      </c>
      <c r="B4594" t="s">
        <v>9459</v>
      </c>
      <c r="C4594" t="s">
        <v>5043</v>
      </c>
      <c r="D4594" t="s">
        <v>8401</v>
      </c>
    </row>
    <row r="4595" spans="1:4" ht="15" x14ac:dyDescent="0.25">
      <c r="A4595">
        <v>6701</v>
      </c>
      <c r="B4595" t="s">
        <v>9459</v>
      </c>
      <c r="C4595" t="s">
        <v>5043</v>
      </c>
      <c r="D4595" t="s">
        <v>8401</v>
      </c>
    </row>
    <row r="4596" spans="1:4" ht="15" x14ac:dyDescent="0.25">
      <c r="A4596">
        <v>8103</v>
      </c>
      <c r="B4596" t="s">
        <v>9459</v>
      </c>
      <c r="C4596" t="s">
        <v>5043</v>
      </c>
      <c r="D4596" t="s">
        <v>8401</v>
      </c>
    </row>
    <row r="4597" spans="1:4" ht="15" x14ac:dyDescent="0.25">
      <c r="A4597">
        <v>8339</v>
      </c>
      <c r="B4597" t="s">
        <v>9459</v>
      </c>
      <c r="C4597" t="s">
        <v>5043</v>
      </c>
      <c r="D4597" t="s">
        <v>8401</v>
      </c>
    </row>
    <row r="4598" spans="1:4" ht="15" x14ac:dyDescent="0.25">
      <c r="A4598">
        <v>8184</v>
      </c>
      <c r="B4598" t="s">
        <v>11242</v>
      </c>
      <c r="C4598" t="s">
        <v>5043</v>
      </c>
      <c r="D4598" t="s">
        <v>8401</v>
      </c>
    </row>
    <row r="4599" spans="1:4" ht="15" x14ac:dyDescent="0.25">
      <c r="A4599">
        <v>9409</v>
      </c>
      <c r="B4599" t="s">
        <v>11242</v>
      </c>
      <c r="C4599" t="s">
        <v>5043</v>
      </c>
      <c r="D4599" t="s">
        <v>8401</v>
      </c>
    </row>
    <row r="4600" spans="1:4" ht="15" x14ac:dyDescent="0.25">
      <c r="A4600">
        <v>11508</v>
      </c>
      <c r="B4600" t="s">
        <v>9460</v>
      </c>
      <c r="C4600" t="s">
        <v>5043</v>
      </c>
      <c r="D4600" t="s">
        <v>8401</v>
      </c>
    </row>
    <row r="4601" spans="1:4" ht="15" x14ac:dyDescent="0.25">
      <c r="A4601">
        <v>9996</v>
      </c>
      <c r="B4601" t="s">
        <v>9460</v>
      </c>
      <c r="C4601" t="s">
        <v>5043</v>
      </c>
      <c r="D4601" t="s">
        <v>8401</v>
      </c>
    </row>
    <row r="4602" spans="1:4" ht="15" x14ac:dyDescent="0.25">
      <c r="A4602">
        <v>10711</v>
      </c>
      <c r="B4602" t="s">
        <v>11243</v>
      </c>
      <c r="C4602" t="s">
        <v>5043</v>
      </c>
      <c r="D4602" t="s">
        <v>8401</v>
      </c>
    </row>
    <row r="4603" spans="1:4" ht="15" x14ac:dyDescent="0.25">
      <c r="A4603">
        <v>7179</v>
      </c>
      <c r="B4603" t="s">
        <v>11243</v>
      </c>
      <c r="C4603" t="s">
        <v>5043</v>
      </c>
      <c r="D4603" t="s">
        <v>8401</v>
      </c>
    </row>
    <row r="4604" spans="1:4" ht="15" x14ac:dyDescent="0.25">
      <c r="A4604">
        <v>7904</v>
      </c>
      <c r="B4604" t="s">
        <v>11244</v>
      </c>
      <c r="C4604" t="s">
        <v>5043</v>
      </c>
      <c r="D4604" t="s">
        <v>8401</v>
      </c>
    </row>
    <row r="4605" spans="1:4" ht="15" x14ac:dyDescent="0.25">
      <c r="A4605">
        <v>9309</v>
      </c>
      <c r="B4605" t="s">
        <v>11244</v>
      </c>
      <c r="C4605" t="s">
        <v>5043</v>
      </c>
      <c r="D4605" t="s">
        <v>8401</v>
      </c>
    </row>
    <row r="4606" spans="1:4" ht="15" x14ac:dyDescent="0.25">
      <c r="A4606">
        <v>7620</v>
      </c>
      <c r="B4606" t="s">
        <v>11245</v>
      </c>
      <c r="C4606" t="s">
        <v>5043</v>
      </c>
      <c r="D4606" t="s">
        <v>8401</v>
      </c>
    </row>
    <row r="4607" spans="1:4" ht="15" x14ac:dyDescent="0.25">
      <c r="A4607">
        <v>8469</v>
      </c>
      <c r="B4607" t="s">
        <v>11245</v>
      </c>
      <c r="C4607" t="s">
        <v>5043</v>
      </c>
      <c r="D4607" t="s">
        <v>8401</v>
      </c>
    </row>
    <row r="4608" spans="1:4" ht="15" x14ac:dyDescent="0.25">
      <c r="A4608">
        <v>8686</v>
      </c>
      <c r="B4608" t="s">
        <v>11246</v>
      </c>
      <c r="C4608" t="s">
        <v>5043</v>
      </c>
      <c r="D4608" t="s">
        <v>8401</v>
      </c>
    </row>
    <row r="4609" spans="1:4" ht="15" x14ac:dyDescent="0.25">
      <c r="A4609">
        <v>9376</v>
      </c>
      <c r="B4609" t="s">
        <v>11246</v>
      </c>
      <c r="C4609" t="s">
        <v>5043</v>
      </c>
      <c r="D4609" t="s">
        <v>8401</v>
      </c>
    </row>
    <row r="4610" spans="1:4" ht="15" x14ac:dyDescent="0.25">
      <c r="A4610">
        <v>9600</v>
      </c>
      <c r="B4610" t="s">
        <v>11247</v>
      </c>
      <c r="C4610" t="s">
        <v>5043</v>
      </c>
      <c r="D4610" t="s">
        <v>8401</v>
      </c>
    </row>
    <row r="4611" spans="1:4" ht="15" x14ac:dyDescent="0.25">
      <c r="A4611">
        <v>9667</v>
      </c>
      <c r="B4611" t="s">
        <v>11247</v>
      </c>
      <c r="C4611" t="s">
        <v>5043</v>
      </c>
      <c r="D4611" t="s">
        <v>8401</v>
      </c>
    </row>
    <row r="4612" spans="1:4" ht="15" x14ac:dyDescent="0.25">
      <c r="A4612">
        <v>11976</v>
      </c>
      <c r="B4612" t="s">
        <v>11248</v>
      </c>
      <c r="C4612" t="s">
        <v>5043</v>
      </c>
      <c r="D4612" t="s">
        <v>8401</v>
      </c>
    </row>
    <row r="4613" spans="1:4" ht="15" x14ac:dyDescent="0.25">
      <c r="A4613">
        <v>8937</v>
      </c>
      <c r="B4613" t="s">
        <v>11248</v>
      </c>
      <c r="C4613" t="s">
        <v>5043</v>
      </c>
      <c r="D4613" t="s">
        <v>8401</v>
      </c>
    </row>
    <row r="4614" spans="1:4" ht="15" x14ac:dyDescent="0.25">
      <c r="A4614">
        <v>11171</v>
      </c>
      <c r="B4614" t="s">
        <v>11249</v>
      </c>
      <c r="C4614" t="s">
        <v>5043</v>
      </c>
      <c r="D4614" t="s">
        <v>8401</v>
      </c>
    </row>
    <row r="4615" spans="1:4" ht="15" x14ac:dyDescent="0.25">
      <c r="A4615">
        <v>11796</v>
      </c>
      <c r="B4615" t="s">
        <v>11249</v>
      </c>
      <c r="C4615" t="s">
        <v>5043</v>
      </c>
      <c r="D4615" t="s">
        <v>8401</v>
      </c>
    </row>
    <row r="4616" spans="1:4" ht="15" x14ac:dyDescent="0.25">
      <c r="A4616">
        <v>6948</v>
      </c>
      <c r="B4616" t="s">
        <v>11249</v>
      </c>
      <c r="C4616" t="s">
        <v>5043</v>
      </c>
      <c r="D4616" t="s">
        <v>8401</v>
      </c>
    </row>
    <row r="4617" spans="1:4" ht="15" x14ac:dyDescent="0.25">
      <c r="A4617">
        <v>10138</v>
      </c>
      <c r="B4617" t="s">
        <v>9461</v>
      </c>
      <c r="C4617" t="s">
        <v>5043</v>
      </c>
      <c r="D4617" t="s">
        <v>8401</v>
      </c>
    </row>
    <row r="4618" spans="1:4" ht="15" x14ac:dyDescent="0.25">
      <c r="A4618">
        <v>10420</v>
      </c>
      <c r="B4618" t="s">
        <v>9461</v>
      </c>
      <c r="C4618" t="s">
        <v>5043</v>
      </c>
      <c r="D4618" t="s">
        <v>8401</v>
      </c>
    </row>
    <row r="4619" spans="1:4" ht="15" x14ac:dyDescent="0.25">
      <c r="A4619">
        <v>10697</v>
      </c>
      <c r="B4619" t="s">
        <v>9461</v>
      </c>
      <c r="C4619" t="s">
        <v>5043</v>
      </c>
      <c r="D4619" t="s">
        <v>8401</v>
      </c>
    </row>
    <row r="4620" spans="1:4" ht="15" x14ac:dyDescent="0.25">
      <c r="A4620">
        <v>10722</v>
      </c>
      <c r="B4620" t="s">
        <v>9461</v>
      </c>
      <c r="C4620" t="s">
        <v>5043</v>
      </c>
      <c r="D4620" t="s">
        <v>8401</v>
      </c>
    </row>
    <row r="4621" spans="1:4" ht="15" x14ac:dyDescent="0.25">
      <c r="A4621">
        <v>10779</v>
      </c>
      <c r="B4621" t="s">
        <v>9461</v>
      </c>
      <c r="C4621" t="s">
        <v>5043</v>
      </c>
      <c r="D4621" t="s">
        <v>8401</v>
      </c>
    </row>
    <row r="4622" spans="1:4" ht="15" x14ac:dyDescent="0.25">
      <c r="A4622">
        <v>11052</v>
      </c>
      <c r="B4622" t="s">
        <v>9461</v>
      </c>
      <c r="C4622" t="s">
        <v>5043</v>
      </c>
      <c r="D4622" t="s">
        <v>8401</v>
      </c>
    </row>
    <row r="4623" spans="1:4" ht="15" x14ac:dyDescent="0.25">
      <c r="A4623">
        <v>11711</v>
      </c>
      <c r="B4623" t="s">
        <v>9461</v>
      </c>
      <c r="C4623" t="s">
        <v>5043</v>
      </c>
      <c r="D4623" t="s">
        <v>8401</v>
      </c>
    </row>
    <row r="4624" spans="1:4" ht="15" x14ac:dyDescent="0.25">
      <c r="A4624">
        <v>11821</v>
      </c>
      <c r="B4624" t="s">
        <v>9461</v>
      </c>
      <c r="C4624" t="s">
        <v>5043</v>
      </c>
      <c r="D4624" t="s">
        <v>8401</v>
      </c>
    </row>
    <row r="4625" spans="1:4" ht="15" x14ac:dyDescent="0.25">
      <c r="A4625">
        <v>11978</v>
      </c>
      <c r="B4625" t="s">
        <v>9461</v>
      </c>
      <c r="C4625" t="s">
        <v>5043</v>
      </c>
      <c r="D4625" t="s">
        <v>8401</v>
      </c>
    </row>
    <row r="4626" spans="1:4" ht="15" x14ac:dyDescent="0.25">
      <c r="A4626">
        <v>7509</v>
      </c>
      <c r="B4626" t="s">
        <v>9461</v>
      </c>
      <c r="C4626" t="s">
        <v>5043</v>
      </c>
      <c r="D4626" t="s">
        <v>8401</v>
      </c>
    </row>
    <row r="4627" spans="1:4" ht="15" x14ac:dyDescent="0.25">
      <c r="A4627">
        <v>7591</v>
      </c>
      <c r="B4627" t="s">
        <v>9461</v>
      </c>
      <c r="C4627" t="s">
        <v>5043</v>
      </c>
      <c r="D4627" t="s">
        <v>8401</v>
      </c>
    </row>
    <row r="4628" spans="1:4" ht="15" x14ac:dyDescent="0.25">
      <c r="A4628">
        <v>7785</v>
      </c>
      <c r="B4628" t="s">
        <v>9461</v>
      </c>
      <c r="C4628" t="s">
        <v>5043</v>
      </c>
      <c r="D4628" t="s">
        <v>8401</v>
      </c>
    </row>
    <row r="4629" spans="1:4" ht="15" x14ac:dyDescent="0.25">
      <c r="A4629">
        <v>7796</v>
      </c>
      <c r="B4629" t="s">
        <v>9461</v>
      </c>
      <c r="C4629" t="s">
        <v>5043</v>
      </c>
      <c r="D4629" t="s">
        <v>8401</v>
      </c>
    </row>
    <row r="4630" spans="1:4" ht="15" x14ac:dyDescent="0.25">
      <c r="A4630">
        <v>8109</v>
      </c>
      <c r="B4630" t="s">
        <v>9461</v>
      </c>
      <c r="C4630" t="s">
        <v>5043</v>
      </c>
      <c r="D4630" t="s">
        <v>8401</v>
      </c>
    </row>
    <row r="4631" spans="1:4" ht="15" x14ac:dyDescent="0.25">
      <c r="A4631">
        <v>8170</v>
      </c>
      <c r="B4631" t="s">
        <v>9461</v>
      </c>
      <c r="C4631" t="s">
        <v>5043</v>
      </c>
      <c r="D4631" t="s">
        <v>8401</v>
      </c>
    </row>
    <row r="4632" spans="1:4" ht="15" x14ac:dyDescent="0.25">
      <c r="A4632">
        <v>8342</v>
      </c>
      <c r="B4632" t="s">
        <v>9461</v>
      </c>
      <c r="C4632" t="s">
        <v>5043</v>
      </c>
      <c r="D4632" t="s">
        <v>8401</v>
      </c>
    </row>
    <row r="4633" spans="1:4" ht="15" x14ac:dyDescent="0.25">
      <c r="A4633">
        <v>8512</v>
      </c>
      <c r="B4633" t="s">
        <v>9461</v>
      </c>
      <c r="C4633" t="s">
        <v>5043</v>
      </c>
      <c r="D4633" t="s">
        <v>8401</v>
      </c>
    </row>
    <row r="4634" spans="1:4" ht="15" x14ac:dyDescent="0.25">
      <c r="A4634">
        <v>8754</v>
      </c>
      <c r="B4634" t="s">
        <v>9461</v>
      </c>
      <c r="C4634" t="s">
        <v>5043</v>
      </c>
      <c r="D4634" t="s">
        <v>8401</v>
      </c>
    </row>
    <row r="4635" spans="1:4" ht="15" x14ac:dyDescent="0.25">
      <c r="A4635">
        <v>9381</v>
      </c>
      <c r="B4635" t="s">
        <v>9461</v>
      </c>
      <c r="C4635" t="s">
        <v>5043</v>
      </c>
      <c r="D4635" t="s">
        <v>8401</v>
      </c>
    </row>
    <row r="4636" spans="1:4" ht="15" x14ac:dyDescent="0.25">
      <c r="A4636">
        <v>9850</v>
      </c>
      <c r="B4636" t="s">
        <v>9461</v>
      </c>
      <c r="C4636" t="s">
        <v>5043</v>
      </c>
      <c r="D4636" t="s">
        <v>8401</v>
      </c>
    </row>
    <row r="4637" spans="1:4" ht="15" x14ac:dyDescent="0.25">
      <c r="A4637">
        <v>9275</v>
      </c>
      <c r="B4637" t="s">
        <v>11250</v>
      </c>
      <c r="C4637" t="s">
        <v>5043</v>
      </c>
      <c r="D4637" t="s">
        <v>8401</v>
      </c>
    </row>
    <row r="4638" spans="1:4" ht="15" x14ac:dyDescent="0.25">
      <c r="A4638">
        <v>9374</v>
      </c>
      <c r="B4638" t="s">
        <v>11250</v>
      </c>
      <c r="C4638" t="s">
        <v>5043</v>
      </c>
      <c r="D4638" t="s">
        <v>8401</v>
      </c>
    </row>
    <row r="4639" spans="1:4" ht="15" x14ac:dyDescent="0.25">
      <c r="A4639">
        <v>9633</v>
      </c>
      <c r="B4639" t="s">
        <v>11250</v>
      </c>
      <c r="C4639" t="s">
        <v>5043</v>
      </c>
      <c r="D4639" t="s">
        <v>8401</v>
      </c>
    </row>
    <row r="4640" spans="1:4" ht="15" x14ac:dyDescent="0.25">
      <c r="A4640">
        <v>8166</v>
      </c>
      <c r="B4640" t="s">
        <v>9462</v>
      </c>
      <c r="C4640" t="s">
        <v>5043</v>
      </c>
      <c r="D4640" t="s">
        <v>8401</v>
      </c>
    </row>
    <row r="4641" spans="1:4" ht="15" x14ac:dyDescent="0.25">
      <c r="A4641">
        <v>10242</v>
      </c>
      <c r="B4641" t="s">
        <v>9463</v>
      </c>
      <c r="C4641" t="s">
        <v>5043</v>
      </c>
      <c r="D4641" t="s">
        <v>8401</v>
      </c>
    </row>
    <row r="4642" spans="1:4" ht="15" x14ac:dyDescent="0.25">
      <c r="A4642">
        <v>10736</v>
      </c>
      <c r="B4642" t="s">
        <v>9463</v>
      </c>
      <c r="C4642" t="s">
        <v>5043</v>
      </c>
      <c r="D4642" t="s">
        <v>8401</v>
      </c>
    </row>
    <row r="4643" spans="1:4" ht="15" x14ac:dyDescent="0.25">
      <c r="A4643">
        <v>11008</v>
      </c>
      <c r="B4643" t="s">
        <v>9463</v>
      </c>
      <c r="C4643" t="s">
        <v>5043</v>
      </c>
      <c r="D4643" t="s">
        <v>8401</v>
      </c>
    </row>
    <row r="4644" spans="1:4" ht="15" x14ac:dyDescent="0.25">
      <c r="A4644">
        <v>11437</v>
      </c>
      <c r="B4644" t="s">
        <v>9463</v>
      </c>
      <c r="C4644" t="s">
        <v>5043</v>
      </c>
      <c r="D4644" t="s">
        <v>8401</v>
      </c>
    </row>
    <row r="4645" spans="1:4" ht="15" x14ac:dyDescent="0.25">
      <c r="A4645">
        <v>6763</v>
      </c>
      <c r="B4645" t="s">
        <v>9463</v>
      </c>
      <c r="C4645" t="s">
        <v>5043</v>
      </c>
      <c r="D4645" t="s">
        <v>8401</v>
      </c>
    </row>
    <row r="4646" spans="1:4" ht="15" x14ac:dyDescent="0.25">
      <c r="A4646">
        <v>6929</v>
      </c>
      <c r="B4646" t="s">
        <v>9463</v>
      </c>
      <c r="C4646" t="s">
        <v>5043</v>
      </c>
      <c r="D4646" t="s">
        <v>8401</v>
      </c>
    </row>
    <row r="4647" spans="1:4" ht="15" x14ac:dyDescent="0.25">
      <c r="A4647">
        <v>6960</v>
      </c>
      <c r="B4647" t="s">
        <v>9463</v>
      </c>
      <c r="C4647" t="s">
        <v>5043</v>
      </c>
      <c r="D4647" t="s">
        <v>8401</v>
      </c>
    </row>
    <row r="4648" spans="1:4" ht="15" x14ac:dyDescent="0.25">
      <c r="A4648">
        <v>7077</v>
      </c>
      <c r="B4648" t="s">
        <v>9463</v>
      </c>
      <c r="C4648" t="s">
        <v>5043</v>
      </c>
      <c r="D4648" t="s">
        <v>8401</v>
      </c>
    </row>
    <row r="4649" spans="1:4" ht="15" x14ac:dyDescent="0.25">
      <c r="A4649">
        <v>7222</v>
      </c>
      <c r="B4649" t="s">
        <v>9463</v>
      </c>
      <c r="C4649" t="s">
        <v>5043</v>
      </c>
      <c r="D4649" t="s">
        <v>8401</v>
      </c>
    </row>
    <row r="4650" spans="1:4" ht="15" x14ac:dyDescent="0.25">
      <c r="A4650">
        <v>7286</v>
      </c>
      <c r="B4650" t="s">
        <v>9463</v>
      </c>
      <c r="C4650" t="s">
        <v>5043</v>
      </c>
      <c r="D4650" t="s">
        <v>8401</v>
      </c>
    </row>
    <row r="4651" spans="1:4" ht="15" x14ac:dyDescent="0.25">
      <c r="A4651">
        <v>7386</v>
      </c>
      <c r="B4651" t="s">
        <v>9463</v>
      </c>
      <c r="C4651" t="s">
        <v>5043</v>
      </c>
      <c r="D4651" t="s">
        <v>8401</v>
      </c>
    </row>
    <row r="4652" spans="1:4" ht="15" x14ac:dyDescent="0.25">
      <c r="A4652">
        <v>8187</v>
      </c>
      <c r="B4652" t="s">
        <v>9463</v>
      </c>
      <c r="C4652" t="s">
        <v>5043</v>
      </c>
      <c r="D4652" t="s">
        <v>8401</v>
      </c>
    </row>
    <row r="4653" spans="1:4" ht="15" x14ac:dyDescent="0.25">
      <c r="A4653">
        <v>8256</v>
      </c>
      <c r="B4653" t="s">
        <v>9463</v>
      </c>
      <c r="C4653" t="s">
        <v>5043</v>
      </c>
      <c r="D4653" t="s">
        <v>8401</v>
      </c>
    </row>
    <row r="4654" spans="1:4" ht="15" x14ac:dyDescent="0.25">
      <c r="A4654">
        <v>8502</v>
      </c>
      <c r="B4654" t="s">
        <v>9463</v>
      </c>
      <c r="C4654" t="s">
        <v>5043</v>
      </c>
      <c r="D4654" t="s">
        <v>8401</v>
      </c>
    </row>
    <row r="4655" spans="1:4" ht="15" x14ac:dyDescent="0.25">
      <c r="A4655">
        <v>8791</v>
      </c>
      <c r="B4655" t="s">
        <v>9463</v>
      </c>
      <c r="C4655" t="s">
        <v>5043</v>
      </c>
      <c r="D4655" t="s">
        <v>8401</v>
      </c>
    </row>
    <row r="4656" spans="1:4" ht="15" x14ac:dyDescent="0.25">
      <c r="A4656">
        <v>9018</v>
      </c>
      <c r="B4656" t="s">
        <v>9463</v>
      </c>
      <c r="C4656" t="s">
        <v>5043</v>
      </c>
      <c r="D4656" t="s">
        <v>8401</v>
      </c>
    </row>
    <row r="4657" spans="1:4" ht="15" x14ac:dyDescent="0.25">
      <c r="A4657">
        <v>9245</v>
      </c>
      <c r="B4657" t="s">
        <v>9463</v>
      </c>
      <c r="C4657" t="s">
        <v>5043</v>
      </c>
      <c r="D4657" t="s">
        <v>8401</v>
      </c>
    </row>
    <row r="4658" spans="1:4" ht="15" x14ac:dyDescent="0.25">
      <c r="A4658">
        <v>9318</v>
      </c>
      <c r="B4658" t="s">
        <v>9463</v>
      </c>
      <c r="C4658" t="s">
        <v>5043</v>
      </c>
      <c r="D4658" t="s">
        <v>8401</v>
      </c>
    </row>
    <row r="4659" spans="1:4" ht="15" x14ac:dyDescent="0.25">
      <c r="A4659">
        <v>9411</v>
      </c>
      <c r="B4659" t="s">
        <v>9463</v>
      </c>
      <c r="C4659" t="s">
        <v>5043</v>
      </c>
      <c r="D4659" t="s">
        <v>8401</v>
      </c>
    </row>
    <row r="4660" spans="1:4" ht="15" x14ac:dyDescent="0.25">
      <c r="A4660">
        <v>9635</v>
      </c>
      <c r="B4660" t="s">
        <v>9463</v>
      </c>
      <c r="C4660" t="s">
        <v>5043</v>
      </c>
      <c r="D4660" t="s">
        <v>8401</v>
      </c>
    </row>
    <row r="4661" spans="1:4" ht="15" x14ac:dyDescent="0.25">
      <c r="A4661">
        <v>10850</v>
      </c>
      <c r="B4661" t="s">
        <v>9464</v>
      </c>
      <c r="C4661" t="s">
        <v>5043</v>
      </c>
      <c r="D4661" t="s">
        <v>8401</v>
      </c>
    </row>
    <row r="4662" spans="1:4" ht="15" x14ac:dyDescent="0.25">
      <c r="A4662">
        <v>10756</v>
      </c>
      <c r="B4662" t="s">
        <v>11251</v>
      </c>
      <c r="C4662" t="s">
        <v>5043</v>
      </c>
      <c r="D4662" t="s">
        <v>8401</v>
      </c>
    </row>
    <row r="4663" spans="1:4" ht="15" x14ac:dyDescent="0.25">
      <c r="A4663">
        <v>9037</v>
      </c>
      <c r="B4663" t="s">
        <v>11251</v>
      </c>
      <c r="C4663" t="s">
        <v>5043</v>
      </c>
      <c r="D4663" t="s">
        <v>8401</v>
      </c>
    </row>
    <row r="4664" spans="1:4" ht="15" x14ac:dyDescent="0.25">
      <c r="A4664">
        <v>11980</v>
      </c>
      <c r="B4664" t="s">
        <v>11252</v>
      </c>
      <c r="C4664" t="s">
        <v>5043</v>
      </c>
      <c r="D4664" t="s">
        <v>8401</v>
      </c>
    </row>
    <row r="4665" spans="1:4" ht="15" x14ac:dyDescent="0.25">
      <c r="A4665">
        <v>9544</v>
      </c>
      <c r="B4665" t="s">
        <v>11252</v>
      </c>
      <c r="C4665" t="s">
        <v>5043</v>
      </c>
      <c r="D4665" t="s">
        <v>8401</v>
      </c>
    </row>
    <row r="4666" spans="1:4" ht="15" x14ac:dyDescent="0.25">
      <c r="A4666">
        <v>11651</v>
      </c>
      <c r="B4666" t="s">
        <v>11253</v>
      </c>
      <c r="C4666" t="s">
        <v>5043</v>
      </c>
      <c r="D4666" t="s">
        <v>8401</v>
      </c>
    </row>
    <row r="4667" spans="1:4" ht="15" x14ac:dyDescent="0.25">
      <c r="A4667">
        <v>11673</v>
      </c>
      <c r="B4667" t="s">
        <v>11253</v>
      </c>
      <c r="C4667" t="s">
        <v>5043</v>
      </c>
      <c r="D4667" t="s">
        <v>8401</v>
      </c>
    </row>
    <row r="4668" spans="1:4" ht="15" x14ac:dyDescent="0.25">
      <c r="A4668">
        <v>7803</v>
      </c>
      <c r="B4668" t="s">
        <v>11253</v>
      </c>
      <c r="C4668" t="s">
        <v>5043</v>
      </c>
      <c r="D4668" t="s">
        <v>8401</v>
      </c>
    </row>
    <row r="4669" spans="1:4" ht="15" x14ac:dyDescent="0.25">
      <c r="A4669">
        <v>10223</v>
      </c>
      <c r="B4669" t="s">
        <v>11254</v>
      </c>
      <c r="C4669" t="s">
        <v>5043</v>
      </c>
      <c r="D4669" t="s">
        <v>8401</v>
      </c>
    </row>
    <row r="4670" spans="1:4" ht="15" x14ac:dyDescent="0.25">
      <c r="A4670">
        <v>6998</v>
      </c>
      <c r="B4670" t="s">
        <v>11254</v>
      </c>
      <c r="C4670" t="s">
        <v>5043</v>
      </c>
      <c r="D4670" t="s">
        <v>8401</v>
      </c>
    </row>
    <row r="4671" spans="1:4" ht="15" x14ac:dyDescent="0.25">
      <c r="A4671">
        <v>7745</v>
      </c>
      <c r="B4671" t="s">
        <v>11254</v>
      </c>
      <c r="C4671" t="s">
        <v>5043</v>
      </c>
      <c r="D4671" t="s">
        <v>8401</v>
      </c>
    </row>
    <row r="4672" spans="1:4" ht="15" x14ac:dyDescent="0.25">
      <c r="A4672">
        <v>10347</v>
      </c>
      <c r="B4672" t="s">
        <v>11255</v>
      </c>
      <c r="C4672" t="s">
        <v>5043</v>
      </c>
      <c r="D4672" t="s">
        <v>8401</v>
      </c>
    </row>
    <row r="4673" spans="1:4" ht="15" x14ac:dyDescent="0.25">
      <c r="A4673">
        <v>7267</v>
      </c>
      <c r="B4673" t="s">
        <v>11255</v>
      </c>
      <c r="C4673" t="s">
        <v>5043</v>
      </c>
      <c r="D4673" t="s">
        <v>8401</v>
      </c>
    </row>
    <row r="4674" spans="1:4" ht="15" x14ac:dyDescent="0.25">
      <c r="A4674">
        <v>7410</v>
      </c>
      <c r="B4674" t="s">
        <v>11255</v>
      </c>
      <c r="C4674" t="s">
        <v>5043</v>
      </c>
      <c r="D4674" t="s">
        <v>8401</v>
      </c>
    </row>
    <row r="4675" spans="1:4" ht="15" x14ac:dyDescent="0.25">
      <c r="A4675">
        <v>10596</v>
      </c>
      <c r="B4675" t="s">
        <v>11256</v>
      </c>
      <c r="C4675" t="s">
        <v>5043</v>
      </c>
      <c r="D4675" t="s">
        <v>8401</v>
      </c>
    </row>
    <row r="4676" spans="1:4" ht="15" x14ac:dyDescent="0.25">
      <c r="A4676">
        <v>11814</v>
      </c>
      <c r="B4676" t="s">
        <v>11256</v>
      </c>
      <c r="C4676" t="s">
        <v>5043</v>
      </c>
      <c r="D4676" t="s">
        <v>8401</v>
      </c>
    </row>
    <row r="4677" spans="1:4" ht="15" x14ac:dyDescent="0.25">
      <c r="A4677">
        <v>9127</v>
      </c>
      <c r="B4677" t="s">
        <v>11256</v>
      </c>
      <c r="C4677" t="s">
        <v>5043</v>
      </c>
      <c r="D4677" t="s">
        <v>8401</v>
      </c>
    </row>
    <row r="4678" spans="1:4" ht="15" x14ac:dyDescent="0.25">
      <c r="A4678">
        <v>7400</v>
      </c>
      <c r="B4678" t="s">
        <v>9465</v>
      </c>
      <c r="C4678" t="s">
        <v>5043</v>
      </c>
      <c r="D4678" t="s">
        <v>8401</v>
      </c>
    </row>
    <row r="4679" spans="1:4" ht="15" x14ac:dyDescent="0.25">
      <c r="A4679">
        <v>11841</v>
      </c>
      <c r="B4679" t="s">
        <v>11257</v>
      </c>
      <c r="C4679" t="s">
        <v>5043</v>
      </c>
      <c r="D4679" t="s">
        <v>8401</v>
      </c>
    </row>
    <row r="4680" spans="1:4" ht="15" x14ac:dyDescent="0.25">
      <c r="A4680">
        <v>6716</v>
      </c>
      <c r="B4680" t="s">
        <v>11257</v>
      </c>
      <c r="C4680" t="s">
        <v>5043</v>
      </c>
      <c r="D4680" t="s">
        <v>8401</v>
      </c>
    </row>
    <row r="4681" spans="1:4" ht="15" x14ac:dyDescent="0.25">
      <c r="A4681">
        <v>11000</v>
      </c>
      <c r="B4681" t="s">
        <v>9466</v>
      </c>
      <c r="C4681" t="s">
        <v>5043</v>
      </c>
      <c r="D4681" t="s">
        <v>8401</v>
      </c>
    </row>
    <row r="4682" spans="1:4" ht="15" x14ac:dyDescent="0.25">
      <c r="A4682">
        <v>11389</v>
      </c>
      <c r="B4682" t="s">
        <v>9466</v>
      </c>
      <c r="C4682" t="s">
        <v>5043</v>
      </c>
      <c r="D4682" t="s">
        <v>8401</v>
      </c>
    </row>
    <row r="4683" spans="1:4" ht="15" x14ac:dyDescent="0.25">
      <c r="A4683">
        <v>7532</v>
      </c>
      <c r="B4683" t="s">
        <v>9466</v>
      </c>
      <c r="C4683" t="s">
        <v>5043</v>
      </c>
      <c r="D4683" t="s">
        <v>8401</v>
      </c>
    </row>
    <row r="4684" spans="1:4" ht="15" x14ac:dyDescent="0.25">
      <c r="A4684">
        <v>10978</v>
      </c>
      <c r="B4684" t="s">
        <v>11258</v>
      </c>
      <c r="C4684" t="s">
        <v>5043</v>
      </c>
      <c r="D4684" t="s">
        <v>8401</v>
      </c>
    </row>
    <row r="4685" spans="1:4" ht="15" x14ac:dyDescent="0.25">
      <c r="A4685">
        <v>11395</v>
      </c>
      <c r="B4685" t="s">
        <v>11258</v>
      </c>
      <c r="C4685" t="s">
        <v>5043</v>
      </c>
      <c r="D4685" t="s">
        <v>8401</v>
      </c>
    </row>
    <row r="4686" spans="1:4" ht="15" x14ac:dyDescent="0.25">
      <c r="A4686">
        <v>10542</v>
      </c>
      <c r="B4686" t="s">
        <v>9467</v>
      </c>
      <c r="C4686" t="s">
        <v>5043</v>
      </c>
      <c r="D4686" t="s">
        <v>8401</v>
      </c>
    </row>
    <row r="4687" spans="1:4" ht="15" x14ac:dyDescent="0.25">
      <c r="A4687">
        <v>10714</v>
      </c>
      <c r="B4687" t="s">
        <v>9467</v>
      </c>
      <c r="C4687" t="s">
        <v>5043</v>
      </c>
      <c r="D4687" t="s">
        <v>8401</v>
      </c>
    </row>
    <row r="4688" spans="1:4" ht="15" x14ac:dyDescent="0.25">
      <c r="A4688">
        <v>10968</v>
      </c>
      <c r="B4688" t="s">
        <v>9467</v>
      </c>
      <c r="C4688" t="s">
        <v>5043</v>
      </c>
      <c r="D4688" t="s">
        <v>8401</v>
      </c>
    </row>
    <row r="4689" spans="1:4" ht="15" x14ac:dyDescent="0.25">
      <c r="A4689">
        <v>11262</v>
      </c>
      <c r="B4689" t="s">
        <v>9467</v>
      </c>
      <c r="C4689" t="s">
        <v>5043</v>
      </c>
      <c r="D4689" t="s">
        <v>8401</v>
      </c>
    </row>
    <row r="4690" spans="1:4" ht="15" x14ac:dyDescent="0.25">
      <c r="A4690">
        <v>11715</v>
      </c>
      <c r="B4690" t="s">
        <v>9467</v>
      </c>
      <c r="C4690" t="s">
        <v>5043</v>
      </c>
      <c r="D4690" t="s">
        <v>8401</v>
      </c>
    </row>
    <row r="4691" spans="1:4" ht="15" x14ac:dyDescent="0.25">
      <c r="A4691">
        <v>11911</v>
      </c>
      <c r="B4691" t="s">
        <v>9467</v>
      </c>
      <c r="C4691" t="s">
        <v>5043</v>
      </c>
      <c r="D4691" t="s">
        <v>8401</v>
      </c>
    </row>
    <row r="4692" spans="1:4" ht="15" x14ac:dyDescent="0.25">
      <c r="A4692">
        <v>11928</v>
      </c>
      <c r="B4692" t="s">
        <v>9467</v>
      </c>
      <c r="C4692" t="s">
        <v>5043</v>
      </c>
      <c r="D4692" t="s">
        <v>8401</v>
      </c>
    </row>
    <row r="4693" spans="1:4" ht="15" x14ac:dyDescent="0.25">
      <c r="A4693">
        <v>6697</v>
      </c>
      <c r="B4693" t="s">
        <v>9467</v>
      </c>
      <c r="C4693" t="s">
        <v>5043</v>
      </c>
      <c r="D4693" t="s">
        <v>8401</v>
      </c>
    </row>
    <row r="4694" spans="1:4" ht="15" x14ac:dyDescent="0.25">
      <c r="A4694">
        <v>6869</v>
      </c>
      <c r="B4694" t="s">
        <v>9467</v>
      </c>
      <c r="C4694" t="s">
        <v>5043</v>
      </c>
      <c r="D4694" t="s">
        <v>8401</v>
      </c>
    </row>
    <row r="4695" spans="1:4" ht="15" x14ac:dyDescent="0.25">
      <c r="A4695">
        <v>7136</v>
      </c>
      <c r="B4695" t="s">
        <v>9467</v>
      </c>
      <c r="C4695" t="s">
        <v>5043</v>
      </c>
      <c r="D4695" t="s">
        <v>8401</v>
      </c>
    </row>
    <row r="4696" spans="1:4" ht="15" x14ac:dyDescent="0.25">
      <c r="A4696">
        <v>7306</v>
      </c>
      <c r="B4696" t="s">
        <v>9467</v>
      </c>
      <c r="C4696" t="s">
        <v>5043</v>
      </c>
      <c r="D4696" t="s">
        <v>8401</v>
      </c>
    </row>
    <row r="4697" spans="1:4" ht="15" x14ac:dyDescent="0.25">
      <c r="A4697">
        <v>7608</v>
      </c>
      <c r="B4697" t="s">
        <v>9467</v>
      </c>
      <c r="C4697" t="s">
        <v>5043</v>
      </c>
      <c r="D4697" t="s">
        <v>8401</v>
      </c>
    </row>
    <row r="4698" spans="1:4" ht="15" x14ac:dyDescent="0.25">
      <c r="A4698">
        <v>8126</v>
      </c>
      <c r="B4698" t="s">
        <v>9467</v>
      </c>
      <c r="C4698" t="s">
        <v>5043</v>
      </c>
      <c r="D4698" t="s">
        <v>8401</v>
      </c>
    </row>
    <row r="4699" spans="1:4" ht="15" x14ac:dyDescent="0.25">
      <c r="A4699">
        <v>8377</v>
      </c>
      <c r="B4699" t="s">
        <v>9467</v>
      </c>
      <c r="C4699" t="s">
        <v>5043</v>
      </c>
      <c r="D4699" t="s">
        <v>8401</v>
      </c>
    </row>
    <row r="4700" spans="1:4" ht="15" x14ac:dyDescent="0.25">
      <c r="A4700">
        <v>8478</v>
      </c>
      <c r="B4700" t="s">
        <v>9467</v>
      </c>
      <c r="C4700" t="s">
        <v>5043</v>
      </c>
      <c r="D4700" t="s">
        <v>8401</v>
      </c>
    </row>
    <row r="4701" spans="1:4" ht="15" x14ac:dyDescent="0.25">
      <c r="A4701">
        <v>8809</v>
      </c>
      <c r="B4701" t="s">
        <v>9467</v>
      </c>
      <c r="C4701" t="s">
        <v>5043</v>
      </c>
      <c r="D4701" t="s">
        <v>8401</v>
      </c>
    </row>
    <row r="4702" spans="1:4" ht="15" x14ac:dyDescent="0.25">
      <c r="A4702">
        <v>8840</v>
      </c>
      <c r="B4702" t="s">
        <v>9467</v>
      </c>
      <c r="C4702" t="s">
        <v>5043</v>
      </c>
      <c r="D4702" t="s">
        <v>8401</v>
      </c>
    </row>
    <row r="4703" spans="1:4" ht="15" x14ac:dyDescent="0.25">
      <c r="A4703">
        <v>8892</v>
      </c>
      <c r="B4703" t="s">
        <v>9467</v>
      </c>
      <c r="C4703" t="s">
        <v>5043</v>
      </c>
      <c r="D4703" t="s">
        <v>8401</v>
      </c>
    </row>
    <row r="4704" spans="1:4" ht="15" x14ac:dyDescent="0.25">
      <c r="A4704">
        <v>8916</v>
      </c>
      <c r="B4704" t="s">
        <v>9467</v>
      </c>
      <c r="C4704" t="s">
        <v>5043</v>
      </c>
      <c r="D4704" t="s">
        <v>8401</v>
      </c>
    </row>
    <row r="4705" spans="1:4" ht="15" x14ac:dyDescent="0.25">
      <c r="A4705">
        <v>9567</v>
      </c>
      <c r="B4705" t="s">
        <v>9467</v>
      </c>
      <c r="C4705" t="s">
        <v>5043</v>
      </c>
      <c r="D4705" t="s">
        <v>8401</v>
      </c>
    </row>
    <row r="4706" spans="1:4" ht="15" x14ac:dyDescent="0.25">
      <c r="A4706">
        <v>9775</v>
      </c>
      <c r="B4706" t="s">
        <v>9467</v>
      </c>
      <c r="C4706" t="s">
        <v>5043</v>
      </c>
      <c r="D4706" t="s">
        <v>8401</v>
      </c>
    </row>
    <row r="4707" spans="1:4" ht="15" x14ac:dyDescent="0.25">
      <c r="A4707">
        <v>10740</v>
      </c>
      <c r="B4707" t="s">
        <v>9468</v>
      </c>
      <c r="C4707" t="s">
        <v>5043</v>
      </c>
      <c r="D4707" t="s">
        <v>8401</v>
      </c>
    </row>
    <row r="4708" spans="1:4" ht="15" x14ac:dyDescent="0.25">
      <c r="A4708">
        <v>11370</v>
      </c>
      <c r="B4708" t="s">
        <v>9468</v>
      </c>
      <c r="C4708" t="s">
        <v>5043</v>
      </c>
      <c r="D4708" t="s">
        <v>8401</v>
      </c>
    </row>
    <row r="4709" spans="1:4" ht="15" x14ac:dyDescent="0.25">
      <c r="A4709">
        <v>11925</v>
      </c>
      <c r="B4709" t="s">
        <v>9468</v>
      </c>
      <c r="C4709" t="s">
        <v>5043</v>
      </c>
      <c r="D4709" t="s">
        <v>8401</v>
      </c>
    </row>
    <row r="4710" spans="1:4" ht="15" x14ac:dyDescent="0.25">
      <c r="A4710">
        <v>7843</v>
      </c>
      <c r="B4710" t="s">
        <v>9468</v>
      </c>
      <c r="C4710" t="s">
        <v>5043</v>
      </c>
      <c r="D4710" t="s">
        <v>8401</v>
      </c>
    </row>
    <row r="4711" spans="1:4" ht="15" x14ac:dyDescent="0.25">
      <c r="A4711">
        <v>8588</v>
      </c>
      <c r="B4711" t="s">
        <v>9468</v>
      </c>
      <c r="C4711" t="s">
        <v>5043</v>
      </c>
      <c r="D4711" t="s">
        <v>8401</v>
      </c>
    </row>
    <row r="4712" spans="1:4" ht="15" x14ac:dyDescent="0.25">
      <c r="A4712">
        <v>9047</v>
      </c>
      <c r="B4712" t="s">
        <v>9468</v>
      </c>
      <c r="C4712" t="s">
        <v>5043</v>
      </c>
      <c r="D4712" t="s">
        <v>8401</v>
      </c>
    </row>
    <row r="4713" spans="1:4" ht="15" x14ac:dyDescent="0.25">
      <c r="A4713">
        <v>7333</v>
      </c>
      <c r="B4713" t="s">
        <v>11259</v>
      </c>
      <c r="C4713" t="s">
        <v>5043</v>
      </c>
      <c r="D4713" t="s">
        <v>8401</v>
      </c>
    </row>
    <row r="4714" spans="1:4" ht="15" x14ac:dyDescent="0.25">
      <c r="A4714">
        <v>9804</v>
      </c>
      <c r="B4714" t="s">
        <v>11259</v>
      </c>
      <c r="C4714" t="s">
        <v>5043</v>
      </c>
      <c r="D4714" t="s">
        <v>8401</v>
      </c>
    </row>
    <row r="4715" spans="1:4" ht="15" x14ac:dyDescent="0.25">
      <c r="A4715">
        <v>10053</v>
      </c>
      <c r="B4715" t="s">
        <v>11260</v>
      </c>
      <c r="C4715" t="s">
        <v>5043</v>
      </c>
      <c r="D4715" t="s">
        <v>8401</v>
      </c>
    </row>
    <row r="4716" spans="1:4" ht="15" x14ac:dyDescent="0.25">
      <c r="A4716">
        <v>11319</v>
      </c>
      <c r="B4716" t="s">
        <v>11261</v>
      </c>
      <c r="C4716" t="s">
        <v>5043</v>
      </c>
      <c r="D4716" t="s">
        <v>8401</v>
      </c>
    </row>
    <row r="4717" spans="1:4" ht="15" x14ac:dyDescent="0.25">
      <c r="A4717">
        <v>7414</v>
      </c>
      <c r="B4717" t="s">
        <v>11261</v>
      </c>
      <c r="C4717" t="s">
        <v>5043</v>
      </c>
      <c r="D4717" t="s">
        <v>8401</v>
      </c>
    </row>
    <row r="4718" spans="1:4" ht="15" x14ac:dyDescent="0.25">
      <c r="A4718">
        <v>11681</v>
      </c>
      <c r="B4718" t="s">
        <v>9469</v>
      </c>
      <c r="C4718" t="s">
        <v>5043</v>
      </c>
      <c r="D4718" t="s">
        <v>8401</v>
      </c>
    </row>
    <row r="4719" spans="1:4" ht="15" x14ac:dyDescent="0.25">
      <c r="A4719">
        <v>9035</v>
      </c>
      <c r="B4719" t="s">
        <v>9469</v>
      </c>
      <c r="C4719" t="s">
        <v>5043</v>
      </c>
      <c r="D4719" t="s">
        <v>8401</v>
      </c>
    </row>
    <row r="4720" spans="1:4" ht="15" x14ac:dyDescent="0.25">
      <c r="A4720">
        <v>10373</v>
      </c>
      <c r="B4720" t="s">
        <v>11262</v>
      </c>
      <c r="C4720" t="s">
        <v>5043</v>
      </c>
      <c r="D4720" t="s">
        <v>8401</v>
      </c>
    </row>
    <row r="4721" spans="1:4" ht="15" x14ac:dyDescent="0.25">
      <c r="A4721">
        <v>7731</v>
      </c>
      <c r="B4721" t="s">
        <v>11262</v>
      </c>
      <c r="C4721" t="s">
        <v>5043</v>
      </c>
      <c r="D4721" t="s">
        <v>8401</v>
      </c>
    </row>
    <row r="4722" spans="1:4" ht="15" x14ac:dyDescent="0.25">
      <c r="A4722">
        <v>10566</v>
      </c>
      <c r="B4722" t="s">
        <v>11263</v>
      </c>
      <c r="C4722" t="s">
        <v>5043</v>
      </c>
      <c r="D4722" t="s">
        <v>8401</v>
      </c>
    </row>
    <row r="4723" spans="1:4" ht="15" x14ac:dyDescent="0.25">
      <c r="A4723">
        <v>7667</v>
      </c>
      <c r="B4723" t="s">
        <v>11263</v>
      </c>
      <c r="C4723" t="s">
        <v>5043</v>
      </c>
      <c r="D4723" t="s">
        <v>8401</v>
      </c>
    </row>
    <row r="4724" spans="1:4" ht="15" x14ac:dyDescent="0.25">
      <c r="A4724">
        <v>11348</v>
      </c>
      <c r="B4724" t="s">
        <v>11264</v>
      </c>
      <c r="C4724" t="s">
        <v>5043</v>
      </c>
      <c r="D4724" t="s">
        <v>8401</v>
      </c>
    </row>
    <row r="4725" spans="1:4" ht="15" x14ac:dyDescent="0.25">
      <c r="A4725">
        <v>7598</v>
      </c>
      <c r="B4725" t="s">
        <v>11264</v>
      </c>
      <c r="C4725" t="s">
        <v>5043</v>
      </c>
      <c r="D4725" t="s">
        <v>8401</v>
      </c>
    </row>
    <row r="4726" spans="1:4" ht="15" x14ac:dyDescent="0.25">
      <c r="A4726">
        <v>11837</v>
      </c>
      <c r="B4726" t="s">
        <v>11265</v>
      </c>
      <c r="C4726" t="s">
        <v>5043</v>
      </c>
      <c r="D4726" t="s">
        <v>8401</v>
      </c>
    </row>
    <row r="4727" spans="1:4" ht="15" x14ac:dyDescent="0.25">
      <c r="A4727">
        <v>9163</v>
      </c>
      <c r="B4727" t="s">
        <v>11265</v>
      </c>
      <c r="C4727" t="s">
        <v>5043</v>
      </c>
      <c r="D4727" t="s">
        <v>8401</v>
      </c>
    </row>
    <row r="4728" spans="1:4" ht="15" x14ac:dyDescent="0.25">
      <c r="A4728">
        <v>11400</v>
      </c>
      <c r="B4728" t="s">
        <v>11266</v>
      </c>
      <c r="C4728" t="s">
        <v>5043</v>
      </c>
      <c r="D4728" t="s">
        <v>8401</v>
      </c>
    </row>
    <row r="4729" spans="1:4" ht="15" x14ac:dyDescent="0.25">
      <c r="A4729">
        <v>11667</v>
      </c>
      <c r="B4729" t="s">
        <v>11266</v>
      </c>
      <c r="C4729" t="s">
        <v>5043</v>
      </c>
      <c r="D4729" t="s">
        <v>8401</v>
      </c>
    </row>
    <row r="4730" spans="1:4" ht="15" x14ac:dyDescent="0.25">
      <c r="A4730">
        <v>11597</v>
      </c>
      <c r="B4730" t="s">
        <v>9470</v>
      </c>
      <c r="C4730" t="s">
        <v>5043</v>
      </c>
      <c r="D4730" t="s">
        <v>8401</v>
      </c>
    </row>
    <row r="4731" spans="1:4" ht="15" x14ac:dyDescent="0.25">
      <c r="A4731">
        <v>11817</v>
      </c>
      <c r="B4731" t="s">
        <v>9470</v>
      </c>
      <c r="C4731" t="s">
        <v>5043</v>
      </c>
      <c r="D4731" t="s">
        <v>8401</v>
      </c>
    </row>
    <row r="4732" spans="1:4" ht="15" x14ac:dyDescent="0.25">
      <c r="A4732">
        <v>6735</v>
      </c>
      <c r="B4732" t="s">
        <v>9470</v>
      </c>
      <c r="C4732" t="s">
        <v>5043</v>
      </c>
      <c r="D4732" t="s">
        <v>8401</v>
      </c>
    </row>
    <row r="4733" spans="1:4" ht="15" x14ac:dyDescent="0.25">
      <c r="A4733">
        <v>6787</v>
      </c>
      <c r="B4733" t="s">
        <v>9470</v>
      </c>
      <c r="C4733" t="s">
        <v>5043</v>
      </c>
      <c r="D4733" t="s">
        <v>8401</v>
      </c>
    </row>
    <row r="4734" spans="1:4" ht="15" x14ac:dyDescent="0.25">
      <c r="A4734">
        <v>7482</v>
      </c>
      <c r="B4734" t="s">
        <v>11267</v>
      </c>
      <c r="C4734" t="s">
        <v>5043</v>
      </c>
      <c r="D4734" t="s">
        <v>8401</v>
      </c>
    </row>
    <row r="4735" spans="1:4" ht="15" x14ac:dyDescent="0.25">
      <c r="A4735">
        <v>9922</v>
      </c>
      <c r="B4735" t="s">
        <v>11267</v>
      </c>
      <c r="C4735" t="s">
        <v>5043</v>
      </c>
      <c r="D4735" t="s">
        <v>8401</v>
      </c>
    </row>
    <row r="4736" spans="1:4" ht="15" x14ac:dyDescent="0.25">
      <c r="A4736">
        <v>7202</v>
      </c>
      <c r="B4736" t="s">
        <v>11268</v>
      </c>
      <c r="C4736" t="s">
        <v>5043</v>
      </c>
      <c r="D4736" t="s">
        <v>8401</v>
      </c>
    </row>
    <row r="4737" spans="1:4" ht="15" x14ac:dyDescent="0.25">
      <c r="A4737">
        <v>9723</v>
      </c>
      <c r="B4737" t="s">
        <v>11268</v>
      </c>
      <c r="C4737" t="s">
        <v>5043</v>
      </c>
      <c r="D4737" t="s">
        <v>8401</v>
      </c>
    </row>
    <row r="4738" spans="1:4" ht="15" x14ac:dyDescent="0.25">
      <c r="A4738">
        <v>9650</v>
      </c>
      <c r="B4738" t="s">
        <v>11269</v>
      </c>
      <c r="C4738" t="s">
        <v>5043</v>
      </c>
      <c r="D4738" t="s">
        <v>8401</v>
      </c>
    </row>
    <row r="4739" spans="1:4" ht="15" x14ac:dyDescent="0.25">
      <c r="A4739">
        <v>7807</v>
      </c>
      <c r="B4739" t="s">
        <v>9471</v>
      </c>
      <c r="C4739" t="s">
        <v>5043</v>
      </c>
      <c r="D4739" t="s">
        <v>8401</v>
      </c>
    </row>
    <row r="4740" spans="1:4" ht="15" x14ac:dyDescent="0.25">
      <c r="A4740">
        <v>10067</v>
      </c>
      <c r="B4740" t="s">
        <v>11270</v>
      </c>
      <c r="C4740" t="s">
        <v>5043</v>
      </c>
      <c r="D4740" t="s">
        <v>8401</v>
      </c>
    </row>
    <row r="4741" spans="1:4" ht="15" x14ac:dyDescent="0.25">
      <c r="A4741">
        <v>7353</v>
      </c>
      <c r="B4741" t="s">
        <v>11270</v>
      </c>
      <c r="C4741" t="s">
        <v>5043</v>
      </c>
      <c r="D4741" t="s">
        <v>8401</v>
      </c>
    </row>
    <row r="4742" spans="1:4" ht="15" x14ac:dyDescent="0.25">
      <c r="A4742">
        <v>11502</v>
      </c>
      <c r="B4742" t="s">
        <v>9472</v>
      </c>
      <c r="C4742" t="s">
        <v>5043</v>
      </c>
      <c r="D4742" t="s">
        <v>8401</v>
      </c>
    </row>
    <row r="4743" spans="1:4" ht="15" x14ac:dyDescent="0.25">
      <c r="A4743">
        <v>9901</v>
      </c>
      <c r="B4743" t="s">
        <v>9472</v>
      </c>
      <c r="C4743" t="s">
        <v>5043</v>
      </c>
      <c r="D4743" t="s">
        <v>8401</v>
      </c>
    </row>
    <row r="4744" spans="1:4" ht="15" x14ac:dyDescent="0.25">
      <c r="A4744">
        <v>8595</v>
      </c>
      <c r="B4744" t="s">
        <v>11271</v>
      </c>
      <c r="C4744" t="s">
        <v>5043</v>
      </c>
      <c r="D4744" t="s">
        <v>8401</v>
      </c>
    </row>
    <row r="4745" spans="1:4" ht="15" x14ac:dyDescent="0.25">
      <c r="A4745">
        <v>8962</v>
      </c>
      <c r="B4745" t="s">
        <v>11271</v>
      </c>
      <c r="C4745" t="s">
        <v>5043</v>
      </c>
      <c r="D4745" t="s">
        <v>8401</v>
      </c>
    </row>
    <row r="4746" spans="1:4" ht="15" x14ac:dyDescent="0.25">
      <c r="A4746">
        <v>11168</v>
      </c>
      <c r="B4746" t="s">
        <v>11272</v>
      </c>
      <c r="C4746" t="s">
        <v>5043</v>
      </c>
      <c r="D4746" t="s">
        <v>8401</v>
      </c>
    </row>
    <row r="4747" spans="1:4" ht="15" x14ac:dyDescent="0.25">
      <c r="A4747">
        <v>8737</v>
      </c>
      <c r="B4747" t="s">
        <v>11272</v>
      </c>
      <c r="C4747" t="s">
        <v>5043</v>
      </c>
      <c r="D4747" t="s">
        <v>8401</v>
      </c>
    </row>
    <row r="4748" spans="1:4" ht="15" x14ac:dyDescent="0.25">
      <c r="A4748">
        <v>6975</v>
      </c>
      <c r="B4748" t="s">
        <v>11273</v>
      </c>
      <c r="C4748" t="s">
        <v>5043</v>
      </c>
      <c r="D4748" t="s">
        <v>8401</v>
      </c>
    </row>
    <row r="4749" spans="1:4" ht="15" x14ac:dyDescent="0.25">
      <c r="A4749">
        <v>8096</v>
      </c>
      <c r="B4749" t="s">
        <v>11273</v>
      </c>
      <c r="C4749" t="s">
        <v>5043</v>
      </c>
      <c r="D4749" t="s">
        <v>8401</v>
      </c>
    </row>
    <row r="4750" spans="1:4" ht="15" x14ac:dyDescent="0.25">
      <c r="A4750">
        <v>11076</v>
      </c>
      <c r="B4750" t="s">
        <v>11274</v>
      </c>
      <c r="C4750" t="s">
        <v>5043</v>
      </c>
      <c r="D4750" t="s">
        <v>8401</v>
      </c>
    </row>
    <row r="4751" spans="1:4" ht="15" x14ac:dyDescent="0.25">
      <c r="A4751">
        <v>8358</v>
      </c>
      <c r="B4751" t="s">
        <v>11274</v>
      </c>
      <c r="C4751" t="s">
        <v>5043</v>
      </c>
      <c r="D4751" t="s">
        <v>8401</v>
      </c>
    </row>
    <row r="4752" spans="1:4" ht="15" x14ac:dyDescent="0.25">
      <c r="A4752">
        <v>10941</v>
      </c>
      <c r="B4752" t="s">
        <v>9473</v>
      </c>
      <c r="C4752" t="s">
        <v>5043</v>
      </c>
      <c r="D4752" t="s">
        <v>8401</v>
      </c>
    </row>
    <row r="4753" spans="1:4" ht="15" x14ac:dyDescent="0.25">
      <c r="A4753">
        <v>8872</v>
      </c>
      <c r="B4753" t="s">
        <v>9473</v>
      </c>
      <c r="C4753" t="s">
        <v>5043</v>
      </c>
      <c r="D4753" t="s">
        <v>8401</v>
      </c>
    </row>
    <row r="4754" spans="1:4" ht="15" x14ac:dyDescent="0.25">
      <c r="A4754">
        <v>6824</v>
      </c>
      <c r="B4754" t="s">
        <v>9474</v>
      </c>
      <c r="C4754" t="s">
        <v>5043</v>
      </c>
      <c r="D4754" t="s">
        <v>8401</v>
      </c>
    </row>
    <row r="4755" spans="1:4" ht="15" x14ac:dyDescent="0.25">
      <c r="A4755">
        <v>8938</v>
      </c>
      <c r="B4755" t="s">
        <v>9474</v>
      </c>
      <c r="C4755" t="s">
        <v>5043</v>
      </c>
      <c r="D4755" t="s">
        <v>8401</v>
      </c>
    </row>
    <row r="4756" spans="1:4" ht="15" x14ac:dyDescent="0.25">
      <c r="A4756">
        <v>11061</v>
      </c>
      <c r="B4756" t="s">
        <v>11275</v>
      </c>
      <c r="C4756" t="s">
        <v>5043</v>
      </c>
      <c r="D4756" t="s">
        <v>8401</v>
      </c>
    </row>
    <row r="4757" spans="1:4" ht="15" x14ac:dyDescent="0.25">
      <c r="A4757">
        <v>6959</v>
      </c>
      <c r="B4757" t="s">
        <v>11275</v>
      </c>
      <c r="C4757" t="s">
        <v>5043</v>
      </c>
      <c r="D4757" t="s">
        <v>8401</v>
      </c>
    </row>
    <row r="4758" spans="1:4" ht="15" x14ac:dyDescent="0.25">
      <c r="A4758">
        <v>8432</v>
      </c>
      <c r="B4758" t="s">
        <v>11276</v>
      </c>
      <c r="C4758" t="s">
        <v>5043</v>
      </c>
      <c r="D4758" t="s">
        <v>8401</v>
      </c>
    </row>
    <row r="4759" spans="1:4" ht="15" x14ac:dyDescent="0.25">
      <c r="A4759">
        <v>9359</v>
      </c>
      <c r="B4759" t="s">
        <v>11276</v>
      </c>
      <c r="C4759" t="s">
        <v>5043</v>
      </c>
      <c r="D4759" t="s">
        <v>8401</v>
      </c>
    </row>
    <row r="4760" spans="1:4" ht="15" x14ac:dyDescent="0.25">
      <c r="A4760">
        <v>10101</v>
      </c>
      <c r="B4760" t="s">
        <v>11277</v>
      </c>
      <c r="C4760" t="s">
        <v>5043</v>
      </c>
      <c r="D4760" t="s">
        <v>8401</v>
      </c>
    </row>
    <row r="4761" spans="1:4" ht="15" x14ac:dyDescent="0.25">
      <c r="A4761">
        <v>9075</v>
      </c>
      <c r="B4761" t="s">
        <v>11277</v>
      </c>
      <c r="C4761" t="s">
        <v>5043</v>
      </c>
      <c r="D4761" t="s">
        <v>8401</v>
      </c>
    </row>
    <row r="4762" spans="1:4" ht="15" x14ac:dyDescent="0.25">
      <c r="A4762">
        <v>10952</v>
      </c>
      <c r="B4762" t="s">
        <v>11278</v>
      </c>
      <c r="C4762" t="s">
        <v>5043</v>
      </c>
      <c r="D4762" t="s">
        <v>8401</v>
      </c>
    </row>
    <row r="4763" spans="1:4" ht="15" x14ac:dyDescent="0.25">
      <c r="A4763">
        <v>6814</v>
      </c>
      <c r="B4763" t="s">
        <v>11278</v>
      </c>
      <c r="C4763" t="s">
        <v>5043</v>
      </c>
      <c r="D4763" t="s">
        <v>8401</v>
      </c>
    </row>
    <row r="4764" spans="1:4" ht="15" x14ac:dyDescent="0.25">
      <c r="A4764">
        <v>11903</v>
      </c>
      <c r="B4764" t="s">
        <v>11279</v>
      </c>
      <c r="C4764" t="s">
        <v>5043</v>
      </c>
      <c r="D4764" t="s">
        <v>8401</v>
      </c>
    </row>
    <row r="4765" spans="1:4" ht="15" x14ac:dyDescent="0.25">
      <c r="A4765">
        <v>8245</v>
      </c>
      <c r="B4765" t="s">
        <v>11279</v>
      </c>
      <c r="C4765" t="s">
        <v>5043</v>
      </c>
      <c r="D4765" t="s">
        <v>8401</v>
      </c>
    </row>
    <row r="4766" spans="1:4" ht="15" x14ac:dyDescent="0.25">
      <c r="A4766">
        <v>10291</v>
      </c>
      <c r="B4766" t="s">
        <v>11280</v>
      </c>
      <c r="C4766" t="s">
        <v>5043</v>
      </c>
      <c r="D4766" t="s">
        <v>8401</v>
      </c>
    </row>
    <row r="4767" spans="1:4" ht="15" x14ac:dyDescent="0.25">
      <c r="A4767">
        <v>6854</v>
      </c>
      <c r="B4767" t="s">
        <v>11280</v>
      </c>
      <c r="C4767" t="s">
        <v>5043</v>
      </c>
      <c r="D4767" t="s">
        <v>8401</v>
      </c>
    </row>
    <row r="4768" spans="1:4" ht="15" x14ac:dyDescent="0.25">
      <c r="A4768">
        <v>10175</v>
      </c>
      <c r="B4768" t="s">
        <v>11281</v>
      </c>
      <c r="C4768" t="s">
        <v>5043</v>
      </c>
      <c r="D4768" t="s">
        <v>8401</v>
      </c>
    </row>
    <row r="4769" spans="1:4" ht="15" x14ac:dyDescent="0.25">
      <c r="A4769">
        <v>9851</v>
      </c>
      <c r="B4769" t="s">
        <v>11281</v>
      </c>
      <c r="C4769" t="s">
        <v>5043</v>
      </c>
      <c r="D4769" t="s">
        <v>8401</v>
      </c>
    </row>
    <row r="4770" spans="1:4" ht="15" x14ac:dyDescent="0.25">
      <c r="A4770">
        <v>11979</v>
      </c>
      <c r="B4770" t="s">
        <v>11282</v>
      </c>
      <c r="C4770" t="s">
        <v>5043</v>
      </c>
      <c r="D4770" t="s">
        <v>8401</v>
      </c>
    </row>
    <row r="4771" spans="1:4" ht="15" x14ac:dyDescent="0.25">
      <c r="A4771">
        <v>9421</v>
      </c>
      <c r="B4771" t="s">
        <v>11282</v>
      </c>
      <c r="C4771" t="s">
        <v>5043</v>
      </c>
      <c r="D4771" t="s">
        <v>8401</v>
      </c>
    </row>
    <row r="4772" spans="1:4" ht="15" x14ac:dyDescent="0.25">
      <c r="A4772">
        <v>10244</v>
      </c>
      <c r="B4772" t="s">
        <v>9475</v>
      </c>
      <c r="C4772" t="s">
        <v>5043</v>
      </c>
      <c r="D4772" t="s">
        <v>8401</v>
      </c>
    </row>
    <row r="4773" spans="1:4" ht="15" x14ac:dyDescent="0.25">
      <c r="A4773">
        <v>8605</v>
      </c>
      <c r="B4773" t="s">
        <v>9475</v>
      </c>
      <c r="C4773" t="s">
        <v>5043</v>
      </c>
      <c r="D4773" t="s">
        <v>8401</v>
      </c>
    </row>
    <row r="4774" spans="1:4" ht="15" x14ac:dyDescent="0.25">
      <c r="A4774">
        <v>8634</v>
      </c>
      <c r="B4774" t="s">
        <v>9475</v>
      </c>
      <c r="C4774" t="s">
        <v>5043</v>
      </c>
      <c r="D4774" t="s">
        <v>8401</v>
      </c>
    </row>
    <row r="4775" spans="1:4" ht="15" x14ac:dyDescent="0.25">
      <c r="A4775">
        <v>9115</v>
      </c>
      <c r="B4775" t="s">
        <v>9475</v>
      </c>
      <c r="C4775" t="s">
        <v>5043</v>
      </c>
      <c r="D4775" t="s">
        <v>8401</v>
      </c>
    </row>
    <row r="4776" spans="1:4" ht="15" x14ac:dyDescent="0.25">
      <c r="A4776">
        <v>9819</v>
      </c>
      <c r="B4776" t="s">
        <v>9475</v>
      </c>
      <c r="C4776" t="s">
        <v>5043</v>
      </c>
      <c r="D4776" t="s">
        <v>8401</v>
      </c>
    </row>
    <row r="4777" spans="1:4" ht="15" x14ac:dyDescent="0.25">
      <c r="A4777">
        <v>9101</v>
      </c>
      <c r="B4777" t="s">
        <v>11283</v>
      </c>
      <c r="C4777" t="s">
        <v>5043</v>
      </c>
      <c r="D4777" t="s">
        <v>8401</v>
      </c>
    </row>
    <row r="4778" spans="1:4" ht="15" x14ac:dyDescent="0.25">
      <c r="A4778">
        <v>10478</v>
      </c>
      <c r="B4778" t="s">
        <v>9476</v>
      </c>
      <c r="C4778" t="s">
        <v>5043</v>
      </c>
      <c r="D4778" t="s">
        <v>8401</v>
      </c>
    </row>
    <row r="4779" spans="1:4" ht="15" x14ac:dyDescent="0.25">
      <c r="A4779">
        <v>10894</v>
      </c>
      <c r="B4779" t="s">
        <v>9476</v>
      </c>
      <c r="C4779" t="s">
        <v>5043</v>
      </c>
      <c r="D4779" t="s">
        <v>8401</v>
      </c>
    </row>
    <row r="4780" spans="1:4" ht="15" x14ac:dyDescent="0.25">
      <c r="A4780">
        <v>10956</v>
      </c>
      <c r="B4780" t="s">
        <v>9476</v>
      </c>
      <c r="C4780" t="s">
        <v>5043</v>
      </c>
      <c r="D4780" t="s">
        <v>8401</v>
      </c>
    </row>
    <row r="4781" spans="1:4" ht="15" x14ac:dyDescent="0.25">
      <c r="A4781">
        <v>10890</v>
      </c>
      <c r="B4781" t="s">
        <v>9477</v>
      </c>
      <c r="C4781" t="s">
        <v>5043</v>
      </c>
      <c r="D4781" t="s">
        <v>8401</v>
      </c>
    </row>
    <row r="4782" spans="1:4" ht="15" x14ac:dyDescent="0.25">
      <c r="A4782">
        <v>11844</v>
      </c>
      <c r="B4782" t="s">
        <v>9477</v>
      </c>
      <c r="C4782" t="s">
        <v>5043</v>
      </c>
      <c r="D4782" t="s">
        <v>8401</v>
      </c>
    </row>
    <row r="4783" spans="1:4" ht="15" x14ac:dyDescent="0.25">
      <c r="A4783">
        <v>7198</v>
      </c>
      <c r="B4783" t="s">
        <v>9477</v>
      </c>
      <c r="C4783" t="s">
        <v>5043</v>
      </c>
      <c r="D4783" t="s">
        <v>8401</v>
      </c>
    </row>
    <row r="4784" spans="1:4" ht="15" x14ac:dyDescent="0.25">
      <c r="A4784">
        <v>8884</v>
      </c>
      <c r="B4784" t="s">
        <v>9477</v>
      </c>
      <c r="C4784" t="s">
        <v>5043</v>
      </c>
      <c r="D4784" t="s">
        <v>8401</v>
      </c>
    </row>
    <row r="4785" spans="1:4" ht="15" x14ac:dyDescent="0.25">
      <c r="A4785">
        <v>9022</v>
      </c>
      <c r="B4785" t="s">
        <v>9477</v>
      </c>
      <c r="C4785" t="s">
        <v>5043</v>
      </c>
      <c r="D4785" t="s">
        <v>8401</v>
      </c>
    </row>
    <row r="4786" spans="1:4" ht="15" x14ac:dyDescent="0.25">
      <c r="A4786">
        <v>9130</v>
      </c>
      <c r="B4786" t="s">
        <v>9477</v>
      </c>
      <c r="C4786" t="s">
        <v>5043</v>
      </c>
      <c r="D4786" t="s">
        <v>8401</v>
      </c>
    </row>
    <row r="4787" spans="1:4" ht="15" x14ac:dyDescent="0.25">
      <c r="A4787">
        <v>7060</v>
      </c>
      <c r="B4787" t="s">
        <v>11284</v>
      </c>
      <c r="C4787" t="s">
        <v>5043</v>
      </c>
      <c r="D4787" t="s">
        <v>8401</v>
      </c>
    </row>
    <row r="4788" spans="1:4" ht="15" x14ac:dyDescent="0.25">
      <c r="A4788">
        <v>10468</v>
      </c>
      <c r="B4788" t="s">
        <v>9478</v>
      </c>
      <c r="C4788" t="s">
        <v>5043</v>
      </c>
      <c r="D4788" t="s">
        <v>8401</v>
      </c>
    </row>
    <row r="4789" spans="1:4" ht="15" x14ac:dyDescent="0.25">
      <c r="A4789">
        <v>11613</v>
      </c>
      <c r="B4789" t="s">
        <v>9478</v>
      </c>
      <c r="C4789" t="s">
        <v>5043</v>
      </c>
      <c r="D4789" t="s">
        <v>8401</v>
      </c>
    </row>
    <row r="4790" spans="1:4" ht="15" x14ac:dyDescent="0.25">
      <c r="A4790">
        <v>6928</v>
      </c>
      <c r="B4790" t="s">
        <v>9478</v>
      </c>
      <c r="C4790" t="s">
        <v>5043</v>
      </c>
      <c r="D4790" t="s">
        <v>8401</v>
      </c>
    </row>
    <row r="4791" spans="1:4" ht="15" x14ac:dyDescent="0.25">
      <c r="A4791">
        <v>7121</v>
      </c>
      <c r="B4791" t="s">
        <v>9478</v>
      </c>
      <c r="C4791" t="s">
        <v>5043</v>
      </c>
      <c r="D4791" t="s">
        <v>8401</v>
      </c>
    </row>
    <row r="4792" spans="1:4" ht="15" x14ac:dyDescent="0.25">
      <c r="A4792">
        <v>7982</v>
      </c>
      <c r="B4792" t="s">
        <v>9479</v>
      </c>
      <c r="C4792" t="s">
        <v>5043</v>
      </c>
      <c r="D4792" t="s">
        <v>8401</v>
      </c>
    </row>
    <row r="4793" spans="1:4" ht="15" x14ac:dyDescent="0.25">
      <c r="A4793">
        <v>11957</v>
      </c>
      <c r="B4793" t="s">
        <v>11285</v>
      </c>
      <c r="C4793" t="s">
        <v>5043</v>
      </c>
      <c r="D4793" t="s">
        <v>8401</v>
      </c>
    </row>
    <row r="4794" spans="1:4" ht="15" x14ac:dyDescent="0.25">
      <c r="A4794">
        <v>8697</v>
      </c>
      <c r="B4794" t="s">
        <v>11285</v>
      </c>
      <c r="C4794" t="s">
        <v>5043</v>
      </c>
      <c r="D4794" t="s">
        <v>8401</v>
      </c>
    </row>
    <row r="4795" spans="1:4" ht="15" x14ac:dyDescent="0.25">
      <c r="A4795">
        <v>7560</v>
      </c>
      <c r="B4795" t="s">
        <v>11286</v>
      </c>
      <c r="C4795" t="s">
        <v>5043</v>
      </c>
      <c r="D4795" t="s">
        <v>8401</v>
      </c>
    </row>
    <row r="4796" spans="1:4" ht="15" x14ac:dyDescent="0.25">
      <c r="A4796">
        <v>8933</v>
      </c>
      <c r="B4796" t="s">
        <v>11286</v>
      </c>
      <c r="C4796" t="s">
        <v>5043</v>
      </c>
      <c r="D4796" t="s">
        <v>8401</v>
      </c>
    </row>
    <row r="4797" spans="1:4" ht="15" x14ac:dyDescent="0.25">
      <c r="A4797">
        <v>11585</v>
      </c>
      <c r="B4797" t="s">
        <v>11287</v>
      </c>
      <c r="C4797" t="s">
        <v>5043</v>
      </c>
      <c r="D4797" t="s">
        <v>8401</v>
      </c>
    </row>
    <row r="4798" spans="1:4" ht="15" x14ac:dyDescent="0.25">
      <c r="A4798">
        <v>8346</v>
      </c>
      <c r="B4798" t="s">
        <v>11287</v>
      </c>
      <c r="C4798" t="s">
        <v>5043</v>
      </c>
      <c r="D4798" t="s">
        <v>8401</v>
      </c>
    </row>
    <row r="4799" spans="1:4" ht="15" x14ac:dyDescent="0.25">
      <c r="A4799">
        <v>7494</v>
      </c>
      <c r="B4799" t="s">
        <v>11288</v>
      </c>
      <c r="C4799" t="s">
        <v>5043</v>
      </c>
      <c r="D4799" t="s">
        <v>8401</v>
      </c>
    </row>
    <row r="4800" spans="1:4" ht="15" x14ac:dyDescent="0.25">
      <c r="A4800">
        <v>10494</v>
      </c>
      <c r="B4800" t="s">
        <v>9480</v>
      </c>
      <c r="C4800" t="s">
        <v>5043</v>
      </c>
      <c r="D4800" t="s">
        <v>8401</v>
      </c>
    </row>
    <row r="4801" spans="1:4" ht="15" x14ac:dyDescent="0.25">
      <c r="A4801">
        <v>10910</v>
      </c>
      <c r="B4801" t="s">
        <v>9480</v>
      </c>
      <c r="C4801" t="s">
        <v>5043</v>
      </c>
      <c r="D4801" t="s">
        <v>8401</v>
      </c>
    </row>
    <row r="4802" spans="1:4" ht="15" x14ac:dyDescent="0.25">
      <c r="A4802">
        <v>11414</v>
      </c>
      <c r="B4802" t="s">
        <v>9480</v>
      </c>
      <c r="C4802" t="s">
        <v>5043</v>
      </c>
      <c r="D4802" t="s">
        <v>8401</v>
      </c>
    </row>
    <row r="4803" spans="1:4" ht="15" x14ac:dyDescent="0.25">
      <c r="A4803">
        <v>7977</v>
      </c>
      <c r="B4803" t="s">
        <v>9480</v>
      </c>
      <c r="C4803" t="s">
        <v>5043</v>
      </c>
      <c r="D4803" t="s">
        <v>8401</v>
      </c>
    </row>
    <row r="4804" spans="1:4" ht="15" x14ac:dyDescent="0.25">
      <c r="A4804">
        <v>8348</v>
      </c>
      <c r="B4804" t="s">
        <v>9480</v>
      </c>
      <c r="C4804" t="s">
        <v>5043</v>
      </c>
      <c r="D4804" t="s">
        <v>8401</v>
      </c>
    </row>
    <row r="4805" spans="1:4" ht="15" x14ac:dyDescent="0.25">
      <c r="A4805">
        <v>9438</v>
      </c>
      <c r="B4805" t="s">
        <v>9480</v>
      </c>
      <c r="C4805" t="s">
        <v>5043</v>
      </c>
      <c r="D4805" t="s">
        <v>8401</v>
      </c>
    </row>
    <row r="4806" spans="1:4" ht="15" x14ac:dyDescent="0.25">
      <c r="A4806">
        <v>11413</v>
      </c>
      <c r="B4806" t="s">
        <v>11289</v>
      </c>
      <c r="C4806" t="s">
        <v>5043</v>
      </c>
      <c r="D4806" t="s">
        <v>8401</v>
      </c>
    </row>
    <row r="4807" spans="1:4" ht="15" x14ac:dyDescent="0.25">
      <c r="A4807">
        <v>10134</v>
      </c>
      <c r="B4807" t="s">
        <v>9481</v>
      </c>
      <c r="C4807" t="s">
        <v>5043</v>
      </c>
      <c r="D4807" t="s">
        <v>8401</v>
      </c>
    </row>
    <row r="4808" spans="1:4" ht="15" x14ac:dyDescent="0.25">
      <c r="A4808">
        <v>10611</v>
      </c>
      <c r="B4808" t="s">
        <v>9481</v>
      </c>
      <c r="C4808" t="s">
        <v>5043</v>
      </c>
      <c r="D4808" t="s">
        <v>8401</v>
      </c>
    </row>
    <row r="4809" spans="1:4" ht="15" x14ac:dyDescent="0.25">
      <c r="A4809">
        <v>8587</v>
      </c>
      <c r="B4809" t="s">
        <v>9481</v>
      </c>
      <c r="C4809" t="s">
        <v>5043</v>
      </c>
      <c r="D4809" t="s">
        <v>8401</v>
      </c>
    </row>
    <row r="4810" spans="1:4" ht="15" x14ac:dyDescent="0.25">
      <c r="A4810">
        <v>9045</v>
      </c>
      <c r="B4810" t="s">
        <v>9481</v>
      </c>
      <c r="C4810" t="s">
        <v>5043</v>
      </c>
      <c r="D4810" t="s">
        <v>8401</v>
      </c>
    </row>
    <row r="4811" spans="1:4" ht="15" x14ac:dyDescent="0.25">
      <c r="A4811">
        <v>9513</v>
      </c>
      <c r="B4811" t="s">
        <v>9481</v>
      </c>
      <c r="C4811" t="s">
        <v>5043</v>
      </c>
      <c r="D4811" t="s">
        <v>8401</v>
      </c>
    </row>
    <row r="4812" spans="1:4" ht="15" x14ac:dyDescent="0.25">
      <c r="A4812">
        <v>9881</v>
      </c>
      <c r="B4812" t="s">
        <v>9481</v>
      </c>
      <c r="C4812" t="s">
        <v>5043</v>
      </c>
      <c r="D4812" t="s">
        <v>8401</v>
      </c>
    </row>
    <row r="4813" spans="1:4" ht="15" x14ac:dyDescent="0.25">
      <c r="A4813">
        <v>11366</v>
      </c>
      <c r="B4813" t="s">
        <v>11290</v>
      </c>
      <c r="C4813" t="s">
        <v>5043</v>
      </c>
      <c r="D4813" t="s">
        <v>8401</v>
      </c>
    </row>
    <row r="4814" spans="1:4" ht="15" x14ac:dyDescent="0.25">
      <c r="A4814">
        <v>9283</v>
      </c>
      <c r="B4814" t="s">
        <v>11291</v>
      </c>
      <c r="C4814" t="s">
        <v>5043</v>
      </c>
      <c r="D4814" t="s">
        <v>8401</v>
      </c>
    </row>
    <row r="4815" spans="1:4" ht="15" x14ac:dyDescent="0.25">
      <c r="A4815">
        <v>11879</v>
      </c>
      <c r="B4815" t="s">
        <v>9482</v>
      </c>
      <c r="C4815" t="s">
        <v>5043</v>
      </c>
      <c r="D4815" t="s">
        <v>8401</v>
      </c>
    </row>
    <row r="4816" spans="1:4" ht="15" x14ac:dyDescent="0.25">
      <c r="A4816">
        <v>6773</v>
      </c>
      <c r="B4816" t="s">
        <v>9482</v>
      </c>
      <c r="C4816" t="s">
        <v>5043</v>
      </c>
      <c r="D4816" t="s">
        <v>8401</v>
      </c>
    </row>
    <row r="4817" spans="1:4" ht="15" x14ac:dyDescent="0.25">
      <c r="A4817">
        <v>6793</v>
      </c>
      <c r="B4817" t="s">
        <v>9482</v>
      </c>
      <c r="C4817" t="s">
        <v>5043</v>
      </c>
      <c r="D4817" t="s">
        <v>8401</v>
      </c>
    </row>
    <row r="4818" spans="1:4" ht="15" x14ac:dyDescent="0.25">
      <c r="A4818">
        <v>6801</v>
      </c>
      <c r="B4818" t="s">
        <v>9482</v>
      </c>
      <c r="C4818" t="s">
        <v>5043</v>
      </c>
      <c r="D4818" t="s">
        <v>8401</v>
      </c>
    </row>
    <row r="4819" spans="1:4" ht="15" x14ac:dyDescent="0.25">
      <c r="A4819">
        <v>7184</v>
      </c>
      <c r="B4819" t="s">
        <v>9482</v>
      </c>
      <c r="C4819" t="s">
        <v>5043</v>
      </c>
      <c r="D4819" t="s">
        <v>8401</v>
      </c>
    </row>
    <row r="4820" spans="1:4" ht="15" x14ac:dyDescent="0.25">
      <c r="A4820">
        <v>7846</v>
      </c>
      <c r="B4820" t="s">
        <v>9482</v>
      </c>
      <c r="C4820" t="s">
        <v>5043</v>
      </c>
      <c r="D4820" t="s">
        <v>8401</v>
      </c>
    </row>
    <row r="4821" spans="1:4" ht="15" x14ac:dyDescent="0.25">
      <c r="A4821">
        <v>8162</v>
      </c>
      <c r="B4821" t="s">
        <v>9482</v>
      </c>
      <c r="C4821" t="s">
        <v>5043</v>
      </c>
      <c r="D4821" t="s">
        <v>8401</v>
      </c>
    </row>
    <row r="4822" spans="1:4" ht="15" x14ac:dyDescent="0.25">
      <c r="A4822">
        <v>9399</v>
      </c>
      <c r="B4822" t="s">
        <v>9482</v>
      </c>
      <c r="C4822" t="s">
        <v>5043</v>
      </c>
      <c r="D4822" t="s">
        <v>8401</v>
      </c>
    </row>
    <row r="4823" spans="1:4" ht="15" x14ac:dyDescent="0.25">
      <c r="A4823">
        <v>9871</v>
      </c>
      <c r="B4823" t="s">
        <v>9482</v>
      </c>
      <c r="C4823" t="s">
        <v>5043</v>
      </c>
      <c r="D4823" t="s">
        <v>8401</v>
      </c>
    </row>
    <row r="4824" spans="1:4" ht="15" x14ac:dyDescent="0.25">
      <c r="A4824">
        <v>11751</v>
      </c>
      <c r="B4824" t="s">
        <v>9483</v>
      </c>
      <c r="C4824" t="s">
        <v>5043</v>
      </c>
      <c r="D4824" t="s">
        <v>8401</v>
      </c>
    </row>
    <row r="4825" spans="1:4" ht="15" x14ac:dyDescent="0.25">
      <c r="A4825">
        <v>9695</v>
      </c>
      <c r="B4825" t="s">
        <v>9483</v>
      </c>
      <c r="C4825" t="s">
        <v>5043</v>
      </c>
      <c r="D4825" t="s">
        <v>8401</v>
      </c>
    </row>
    <row r="4826" spans="1:4" ht="15" x14ac:dyDescent="0.25">
      <c r="A4826">
        <v>9706</v>
      </c>
      <c r="B4826" t="s">
        <v>9483</v>
      </c>
      <c r="C4826" t="s">
        <v>5043</v>
      </c>
      <c r="D4826" t="s">
        <v>8401</v>
      </c>
    </row>
    <row r="4827" spans="1:4" ht="15" x14ac:dyDescent="0.25">
      <c r="A4827">
        <v>9807</v>
      </c>
      <c r="B4827" t="s">
        <v>9483</v>
      </c>
      <c r="C4827" t="s">
        <v>5043</v>
      </c>
      <c r="D4827" t="s">
        <v>8401</v>
      </c>
    </row>
    <row r="4828" spans="1:4" ht="15" x14ac:dyDescent="0.25">
      <c r="A4828">
        <v>11915</v>
      </c>
      <c r="B4828" t="s">
        <v>9484</v>
      </c>
      <c r="C4828" t="s">
        <v>5043</v>
      </c>
      <c r="D4828" t="s">
        <v>8401</v>
      </c>
    </row>
    <row r="4829" spans="1:4" ht="15" x14ac:dyDescent="0.25">
      <c r="A4829">
        <v>7823</v>
      </c>
      <c r="B4829" t="s">
        <v>11292</v>
      </c>
      <c r="C4829" t="s">
        <v>5043</v>
      </c>
      <c r="D4829" t="s">
        <v>8401</v>
      </c>
    </row>
    <row r="4830" spans="1:4" ht="15" x14ac:dyDescent="0.25">
      <c r="A4830">
        <v>6675</v>
      </c>
      <c r="B4830" t="s">
        <v>9485</v>
      </c>
      <c r="C4830" t="s">
        <v>5043</v>
      </c>
      <c r="D4830" t="s">
        <v>8401</v>
      </c>
    </row>
    <row r="4831" spans="1:4" ht="15" x14ac:dyDescent="0.25">
      <c r="A4831">
        <v>6880</v>
      </c>
      <c r="B4831" t="s">
        <v>9485</v>
      </c>
      <c r="C4831" t="s">
        <v>5043</v>
      </c>
      <c r="D4831" t="s">
        <v>8401</v>
      </c>
    </row>
    <row r="4832" spans="1:4" ht="15" x14ac:dyDescent="0.25">
      <c r="A4832">
        <v>8118</v>
      </c>
      <c r="B4832" t="s">
        <v>9485</v>
      </c>
      <c r="C4832" t="s">
        <v>5043</v>
      </c>
      <c r="D4832" t="s">
        <v>8401</v>
      </c>
    </row>
    <row r="4833" spans="1:4" ht="15" x14ac:dyDescent="0.25">
      <c r="A4833">
        <v>10233</v>
      </c>
      <c r="B4833" t="s">
        <v>11293</v>
      </c>
      <c r="C4833" t="s">
        <v>5043</v>
      </c>
      <c r="D4833" t="s">
        <v>8401</v>
      </c>
    </row>
    <row r="4834" spans="1:4" ht="15" x14ac:dyDescent="0.25">
      <c r="A4834">
        <v>11181</v>
      </c>
      <c r="B4834" t="s">
        <v>11293</v>
      </c>
      <c r="C4834" t="s">
        <v>5043</v>
      </c>
      <c r="D4834" t="s">
        <v>8401</v>
      </c>
    </row>
    <row r="4835" spans="1:4" ht="15" x14ac:dyDescent="0.25">
      <c r="A4835">
        <v>11216</v>
      </c>
      <c r="B4835" t="s">
        <v>11293</v>
      </c>
      <c r="C4835" t="s">
        <v>5043</v>
      </c>
      <c r="D4835" t="s">
        <v>8401</v>
      </c>
    </row>
    <row r="4836" spans="1:4" ht="15" x14ac:dyDescent="0.25">
      <c r="A4836">
        <v>11698</v>
      </c>
      <c r="B4836" t="s">
        <v>11293</v>
      </c>
      <c r="C4836" t="s">
        <v>5043</v>
      </c>
      <c r="D4836" t="s">
        <v>8401</v>
      </c>
    </row>
    <row r="4837" spans="1:4" ht="15" x14ac:dyDescent="0.25">
      <c r="A4837">
        <v>11787</v>
      </c>
      <c r="B4837" t="s">
        <v>11293</v>
      </c>
      <c r="C4837" t="s">
        <v>5043</v>
      </c>
      <c r="D4837" t="s">
        <v>8401</v>
      </c>
    </row>
    <row r="4838" spans="1:4" ht="15" x14ac:dyDescent="0.25">
      <c r="A4838">
        <v>6864</v>
      </c>
      <c r="B4838" t="s">
        <v>11293</v>
      </c>
      <c r="C4838" t="s">
        <v>5043</v>
      </c>
      <c r="D4838" t="s">
        <v>8401</v>
      </c>
    </row>
    <row r="4839" spans="1:4" ht="15" x14ac:dyDescent="0.25">
      <c r="A4839">
        <v>6916</v>
      </c>
      <c r="B4839" t="s">
        <v>11293</v>
      </c>
      <c r="C4839" t="s">
        <v>5043</v>
      </c>
      <c r="D4839" t="s">
        <v>8401</v>
      </c>
    </row>
    <row r="4840" spans="1:4" ht="15" x14ac:dyDescent="0.25">
      <c r="A4840">
        <v>6934</v>
      </c>
      <c r="B4840" t="s">
        <v>11293</v>
      </c>
      <c r="C4840" t="s">
        <v>5043</v>
      </c>
      <c r="D4840" t="s">
        <v>8401</v>
      </c>
    </row>
    <row r="4841" spans="1:4" ht="15" x14ac:dyDescent="0.25">
      <c r="A4841">
        <v>6956</v>
      </c>
      <c r="B4841" t="s">
        <v>11293</v>
      </c>
      <c r="C4841" t="s">
        <v>5043</v>
      </c>
      <c r="D4841" t="s">
        <v>8401</v>
      </c>
    </row>
    <row r="4842" spans="1:4" ht="15" x14ac:dyDescent="0.25">
      <c r="A4842">
        <v>7047</v>
      </c>
      <c r="B4842" t="s">
        <v>11293</v>
      </c>
      <c r="C4842" t="s">
        <v>5043</v>
      </c>
      <c r="D4842" t="s">
        <v>8401</v>
      </c>
    </row>
    <row r="4843" spans="1:4" ht="15" x14ac:dyDescent="0.25">
      <c r="A4843">
        <v>7176</v>
      </c>
      <c r="B4843" t="s">
        <v>11293</v>
      </c>
      <c r="C4843" t="s">
        <v>5043</v>
      </c>
      <c r="D4843" t="s">
        <v>8401</v>
      </c>
    </row>
    <row r="4844" spans="1:4" ht="15" x14ac:dyDescent="0.25">
      <c r="A4844">
        <v>7513</v>
      </c>
      <c r="B4844" t="s">
        <v>11293</v>
      </c>
      <c r="C4844" t="s">
        <v>5043</v>
      </c>
      <c r="D4844" t="s">
        <v>8401</v>
      </c>
    </row>
    <row r="4845" spans="1:4" ht="15" x14ac:dyDescent="0.25">
      <c r="A4845">
        <v>7572</v>
      </c>
      <c r="B4845" t="s">
        <v>11293</v>
      </c>
      <c r="C4845" t="s">
        <v>5043</v>
      </c>
      <c r="D4845" t="s">
        <v>8401</v>
      </c>
    </row>
    <row r="4846" spans="1:4" ht="15" x14ac:dyDescent="0.25">
      <c r="A4846">
        <v>7619</v>
      </c>
      <c r="B4846" t="s">
        <v>11293</v>
      </c>
      <c r="C4846" t="s">
        <v>5043</v>
      </c>
      <c r="D4846" t="s">
        <v>8401</v>
      </c>
    </row>
    <row r="4847" spans="1:4" ht="15" x14ac:dyDescent="0.25">
      <c r="A4847">
        <v>7694</v>
      </c>
      <c r="B4847" t="s">
        <v>11293</v>
      </c>
      <c r="C4847" t="s">
        <v>5043</v>
      </c>
      <c r="D4847" t="s">
        <v>8401</v>
      </c>
    </row>
    <row r="4848" spans="1:4" ht="15" x14ac:dyDescent="0.25">
      <c r="A4848">
        <v>8298</v>
      </c>
      <c r="B4848" t="s">
        <v>11293</v>
      </c>
      <c r="C4848" t="s">
        <v>5043</v>
      </c>
      <c r="D4848" t="s">
        <v>8401</v>
      </c>
    </row>
    <row r="4849" spans="1:4" ht="15" x14ac:dyDescent="0.25">
      <c r="A4849">
        <v>8330</v>
      </c>
      <c r="B4849" t="s">
        <v>11293</v>
      </c>
      <c r="C4849" t="s">
        <v>5043</v>
      </c>
      <c r="D4849" t="s">
        <v>8401</v>
      </c>
    </row>
    <row r="4850" spans="1:4" ht="15" x14ac:dyDescent="0.25">
      <c r="A4850">
        <v>9010</v>
      </c>
      <c r="B4850" t="s">
        <v>11293</v>
      </c>
      <c r="C4850" t="s">
        <v>5043</v>
      </c>
      <c r="D4850" t="s">
        <v>8401</v>
      </c>
    </row>
    <row r="4851" spans="1:4" ht="15" x14ac:dyDescent="0.25">
      <c r="A4851">
        <v>9134</v>
      </c>
      <c r="B4851" t="s">
        <v>11293</v>
      </c>
      <c r="C4851" t="s">
        <v>5043</v>
      </c>
      <c r="D4851" t="s">
        <v>8401</v>
      </c>
    </row>
    <row r="4852" spans="1:4" ht="15" x14ac:dyDescent="0.25">
      <c r="A4852">
        <v>9439</v>
      </c>
      <c r="B4852" t="s">
        <v>11293</v>
      </c>
      <c r="C4852" t="s">
        <v>5043</v>
      </c>
      <c r="D4852" t="s">
        <v>8401</v>
      </c>
    </row>
    <row r="4853" spans="1:4" ht="15" x14ac:dyDescent="0.25">
      <c r="A4853">
        <v>9472</v>
      </c>
      <c r="B4853" t="s">
        <v>11293</v>
      </c>
      <c r="C4853" t="s">
        <v>5043</v>
      </c>
      <c r="D4853" t="s">
        <v>8401</v>
      </c>
    </row>
    <row r="4854" spans="1:4" ht="15" x14ac:dyDescent="0.25">
      <c r="A4854">
        <v>9487</v>
      </c>
      <c r="B4854" t="s">
        <v>11293</v>
      </c>
      <c r="C4854" t="s">
        <v>5043</v>
      </c>
      <c r="D4854" t="s">
        <v>8401</v>
      </c>
    </row>
    <row r="4855" spans="1:4" ht="15" x14ac:dyDescent="0.25">
      <c r="A4855">
        <v>9818</v>
      </c>
      <c r="B4855" t="s">
        <v>11293</v>
      </c>
      <c r="C4855" t="s">
        <v>5043</v>
      </c>
      <c r="D4855" t="s">
        <v>8401</v>
      </c>
    </row>
    <row r="4856" spans="1:4" ht="15" x14ac:dyDescent="0.25">
      <c r="A4856">
        <v>9952</v>
      </c>
      <c r="B4856" t="s">
        <v>11293</v>
      </c>
      <c r="C4856" t="s">
        <v>5043</v>
      </c>
      <c r="D4856" t="s">
        <v>8401</v>
      </c>
    </row>
    <row r="4857" spans="1:4" ht="15" x14ac:dyDescent="0.25">
      <c r="A4857">
        <v>12074</v>
      </c>
      <c r="B4857" t="s">
        <v>11294</v>
      </c>
      <c r="C4857" t="s">
        <v>5043</v>
      </c>
      <c r="D4857" t="s">
        <v>8401</v>
      </c>
    </row>
    <row r="4858" spans="1:4" ht="15" x14ac:dyDescent="0.25">
      <c r="A4858">
        <v>7049</v>
      </c>
      <c r="B4858" t="s">
        <v>11294</v>
      </c>
      <c r="C4858" t="s">
        <v>5043</v>
      </c>
      <c r="D4858" t="s">
        <v>8401</v>
      </c>
    </row>
    <row r="4859" spans="1:4" ht="15" x14ac:dyDescent="0.25">
      <c r="A4859">
        <v>9181</v>
      </c>
      <c r="B4859" t="s">
        <v>11295</v>
      </c>
      <c r="C4859" t="s">
        <v>5043</v>
      </c>
      <c r="D4859" t="s">
        <v>8401</v>
      </c>
    </row>
    <row r="4860" spans="1:4" ht="15" x14ac:dyDescent="0.25">
      <c r="A4860">
        <v>9246</v>
      </c>
      <c r="B4860" t="s">
        <v>11295</v>
      </c>
      <c r="C4860" t="s">
        <v>5043</v>
      </c>
      <c r="D4860" t="s">
        <v>8401</v>
      </c>
    </row>
    <row r="4861" spans="1:4" ht="15" x14ac:dyDescent="0.25">
      <c r="A4861">
        <v>6766</v>
      </c>
      <c r="B4861" t="s">
        <v>11296</v>
      </c>
      <c r="C4861" t="s">
        <v>5043</v>
      </c>
      <c r="D4861" t="s">
        <v>8401</v>
      </c>
    </row>
    <row r="4862" spans="1:4" ht="15" x14ac:dyDescent="0.25">
      <c r="A4862">
        <v>11012</v>
      </c>
      <c r="B4862" t="s">
        <v>11297</v>
      </c>
      <c r="C4862" t="s">
        <v>5043</v>
      </c>
      <c r="D4862" t="s">
        <v>8401</v>
      </c>
    </row>
    <row r="4863" spans="1:4" ht="15" x14ac:dyDescent="0.25">
      <c r="A4863">
        <v>11335</v>
      </c>
      <c r="B4863" t="s">
        <v>11297</v>
      </c>
      <c r="C4863" t="s">
        <v>5043</v>
      </c>
      <c r="D4863" t="s">
        <v>8401</v>
      </c>
    </row>
    <row r="4864" spans="1:4" ht="15" x14ac:dyDescent="0.25">
      <c r="A4864">
        <v>7529</v>
      </c>
      <c r="B4864" t="s">
        <v>11297</v>
      </c>
      <c r="C4864" t="s">
        <v>5043</v>
      </c>
      <c r="D4864" t="s">
        <v>8401</v>
      </c>
    </row>
    <row r="4865" spans="1:4" ht="15" x14ac:dyDescent="0.25">
      <c r="A4865">
        <v>8335</v>
      </c>
      <c r="B4865" t="s">
        <v>11297</v>
      </c>
      <c r="C4865" t="s">
        <v>5043</v>
      </c>
      <c r="D4865" t="s">
        <v>8401</v>
      </c>
    </row>
    <row r="4866" spans="1:4" ht="15" x14ac:dyDescent="0.25">
      <c r="A4866">
        <v>9319</v>
      </c>
      <c r="B4866" t="s">
        <v>11297</v>
      </c>
      <c r="C4866" t="s">
        <v>5043</v>
      </c>
      <c r="D4866" t="s">
        <v>8401</v>
      </c>
    </row>
    <row r="4867" spans="1:4" ht="15" x14ac:dyDescent="0.25">
      <c r="A4867">
        <v>11297</v>
      </c>
      <c r="B4867" t="s">
        <v>11298</v>
      </c>
      <c r="C4867" t="s">
        <v>5043</v>
      </c>
      <c r="D4867" t="s">
        <v>8401</v>
      </c>
    </row>
    <row r="4868" spans="1:4" ht="15" x14ac:dyDescent="0.25">
      <c r="A4868">
        <v>12095</v>
      </c>
      <c r="B4868" t="s">
        <v>11298</v>
      </c>
      <c r="C4868" t="s">
        <v>5043</v>
      </c>
      <c r="D4868" t="s">
        <v>8401</v>
      </c>
    </row>
    <row r="4869" spans="1:4" ht="15" x14ac:dyDescent="0.25">
      <c r="A4869">
        <v>10829</v>
      </c>
      <c r="B4869" t="s">
        <v>11299</v>
      </c>
      <c r="C4869" t="s">
        <v>5043</v>
      </c>
      <c r="D4869" t="s">
        <v>8401</v>
      </c>
    </row>
    <row r="4870" spans="1:4" ht="15" x14ac:dyDescent="0.25">
      <c r="A4870">
        <v>11693</v>
      </c>
      <c r="B4870" t="s">
        <v>11299</v>
      </c>
      <c r="C4870" t="s">
        <v>5043</v>
      </c>
      <c r="D4870" t="s">
        <v>8401</v>
      </c>
    </row>
    <row r="4871" spans="1:4" ht="15" x14ac:dyDescent="0.25">
      <c r="A4871">
        <v>11137</v>
      </c>
      <c r="B4871" t="s">
        <v>11300</v>
      </c>
      <c r="C4871" t="s">
        <v>5043</v>
      </c>
      <c r="D4871" t="s">
        <v>8401</v>
      </c>
    </row>
    <row r="4872" spans="1:4" ht="15" x14ac:dyDescent="0.25">
      <c r="A4872">
        <v>11656</v>
      </c>
      <c r="B4872" t="s">
        <v>11300</v>
      </c>
      <c r="C4872" t="s">
        <v>5043</v>
      </c>
      <c r="D4872" t="s">
        <v>8401</v>
      </c>
    </row>
    <row r="4873" spans="1:4" ht="15" x14ac:dyDescent="0.25">
      <c r="A4873">
        <v>9674</v>
      </c>
      <c r="B4873" t="s">
        <v>11300</v>
      </c>
      <c r="C4873" t="s">
        <v>5043</v>
      </c>
      <c r="D4873" t="s">
        <v>8401</v>
      </c>
    </row>
    <row r="4874" spans="1:4" ht="15" x14ac:dyDescent="0.25">
      <c r="A4874">
        <v>6830</v>
      </c>
      <c r="B4874" t="s">
        <v>11301</v>
      </c>
      <c r="C4874" t="s">
        <v>5043</v>
      </c>
      <c r="D4874" t="s">
        <v>8401</v>
      </c>
    </row>
    <row r="4875" spans="1:4" ht="15" x14ac:dyDescent="0.25">
      <c r="A4875">
        <v>6738</v>
      </c>
      <c r="B4875" t="s">
        <v>11302</v>
      </c>
      <c r="C4875" t="s">
        <v>5043</v>
      </c>
      <c r="D4875" t="s">
        <v>8401</v>
      </c>
    </row>
    <row r="4876" spans="1:4" ht="15" x14ac:dyDescent="0.25">
      <c r="A4876">
        <v>8876</v>
      </c>
      <c r="B4876" t="s">
        <v>11302</v>
      </c>
      <c r="C4876" t="s">
        <v>5043</v>
      </c>
      <c r="D4876" t="s">
        <v>8401</v>
      </c>
    </row>
    <row r="4877" spans="1:4" ht="15" x14ac:dyDescent="0.25">
      <c r="A4877">
        <v>9773</v>
      </c>
      <c r="B4877" t="s">
        <v>11302</v>
      </c>
      <c r="C4877" t="s">
        <v>5043</v>
      </c>
      <c r="D4877" t="s">
        <v>8401</v>
      </c>
    </row>
    <row r="4878" spans="1:4" ht="15" x14ac:dyDescent="0.25">
      <c r="A4878">
        <v>11901</v>
      </c>
      <c r="B4878" t="s">
        <v>11303</v>
      </c>
      <c r="C4878" t="s">
        <v>5043</v>
      </c>
      <c r="D4878" t="s">
        <v>8401</v>
      </c>
    </row>
    <row r="4879" spans="1:4" ht="15" x14ac:dyDescent="0.25">
      <c r="A4879">
        <v>8295</v>
      </c>
      <c r="B4879" t="s">
        <v>11304</v>
      </c>
      <c r="C4879" t="s">
        <v>5043</v>
      </c>
      <c r="D4879" t="s">
        <v>8401</v>
      </c>
    </row>
    <row r="4880" spans="1:4" ht="15" x14ac:dyDescent="0.25">
      <c r="A4880">
        <v>9451</v>
      </c>
      <c r="B4880" t="s">
        <v>11304</v>
      </c>
      <c r="C4880" t="s">
        <v>5043</v>
      </c>
      <c r="D4880" t="s">
        <v>8401</v>
      </c>
    </row>
    <row r="4881" spans="1:4" ht="15" x14ac:dyDescent="0.25">
      <c r="A4881">
        <v>11049</v>
      </c>
      <c r="B4881" t="s">
        <v>11305</v>
      </c>
      <c r="C4881" t="s">
        <v>5043</v>
      </c>
      <c r="D4881" t="s">
        <v>8401</v>
      </c>
    </row>
    <row r="4882" spans="1:4" ht="15" x14ac:dyDescent="0.25">
      <c r="A4882">
        <v>10292</v>
      </c>
      <c r="B4882" t="s">
        <v>11306</v>
      </c>
      <c r="C4882" t="s">
        <v>5043</v>
      </c>
      <c r="D4882" t="s">
        <v>8401</v>
      </c>
    </row>
    <row r="4883" spans="1:4" ht="15" x14ac:dyDescent="0.25">
      <c r="A4883">
        <v>10629</v>
      </c>
      <c r="B4883" t="s">
        <v>11307</v>
      </c>
      <c r="C4883" t="s">
        <v>5043</v>
      </c>
      <c r="D4883" t="s">
        <v>8401</v>
      </c>
    </row>
    <row r="4884" spans="1:4" ht="15" x14ac:dyDescent="0.25">
      <c r="A4884">
        <v>8624</v>
      </c>
      <c r="B4884" t="s">
        <v>11307</v>
      </c>
      <c r="C4884" t="s">
        <v>5043</v>
      </c>
      <c r="D4884" t="s">
        <v>8401</v>
      </c>
    </row>
    <row r="4885" spans="1:4" ht="15" x14ac:dyDescent="0.25">
      <c r="A4885">
        <v>11770</v>
      </c>
      <c r="B4885" t="s">
        <v>11308</v>
      </c>
      <c r="C4885" t="s">
        <v>5043</v>
      </c>
      <c r="D4885" t="s">
        <v>8401</v>
      </c>
    </row>
    <row r="4886" spans="1:4" ht="15" x14ac:dyDescent="0.25">
      <c r="A4886">
        <v>6780</v>
      </c>
      <c r="B4886" t="s">
        <v>11309</v>
      </c>
      <c r="C4886" t="s">
        <v>5043</v>
      </c>
      <c r="D4886" t="s">
        <v>8401</v>
      </c>
    </row>
    <row r="4887" spans="1:4" ht="15" x14ac:dyDescent="0.25">
      <c r="A4887">
        <v>9916</v>
      </c>
      <c r="B4887" t="s">
        <v>11309</v>
      </c>
      <c r="C4887" t="s">
        <v>5043</v>
      </c>
      <c r="D4887" t="s">
        <v>8401</v>
      </c>
    </row>
    <row r="4888" spans="1:4" ht="15" x14ac:dyDescent="0.25">
      <c r="A4888">
        <v>7535</v>
      </c>
      <c r="B4888" t="s">
        <v>11310</v>
      </c>
      <c r="C4888" t="s">
        <v>5043</v>
      </c>
      <c r="D4888" t="s">
        <v>8401</v>
      </c>
    </row>
    <row r="4889" spans="1:4" ht="15" x14ac:dyDescent="0.25">
      <c r="A4889">
        <v>11782</v>
      </c>
      <c r="B4889" t="s">
        <v>9486</v>
      </c>
      <c r="C4889" t="s">
        <v>5043</v>
      </c>
      <c r="D4889" t="s">
        <v>8401</v>
      </c>
    </row>
    <row r="4890" spans="1:4" ht="15" x14ac:dyDescent="0.25">
      <c r="A4890">
        <v>8445</v>
      </c>
      <c r="B4890" t="s">
        <v>9486</v>
      </c>
      <c r="C4890" t="s">
        <v>5043</v>
      </c>
      <c r="D4890" t="s">
        <v>8401</v>
      </c>
    </row>
    <row r="4891" spans="1:4" ht="15" x14ac:dyDescent="0.25">
      <c r="A4891">
        <v>8598</v>
      </c>
      <c r="B4891" t="s">
        <v>9486</v>
      </c>
      <c r="C4891" t="s">
        <v>5043</v>
      </c>
      <c r="D4891" t="s">
        <v>8401</v>
      </c>
    </row>
    <row r="4892" spans="1:4" ht="15" x14ac:dyDescent="0.25">
      <c r="A4892">
        <v>9107</v>
      </c>
      <c r="B4892" t="s">
        <v>9486</v>
      </c>
      <c r="C4892" t="s">
        <v>5043</v>
      </c>
      <c r="D4892" t="s">
        <v>8401</v>
      </c>
    </row>
    <row r="4893" spans="1:4" ht="15" x14ac:dyDescent="0.25">
      <c r="A4893">
        <v>9930</v>
      </c>
      <c r="B4893" t="s">
        <v>9486</v>
      </c>
      <c r="C4893" t="s">
        <v>5043</v>
      </c>
      <c r="D4893" t="s">
        <v>8401</v>
      </c>
    </row>
    <row r="4894" spans="1:4" ht="15" x14ac:dyDescent="0.25">
      <c r="A4894">
        <v>10117</v>
      </c>
      <c r="B4894" t="s">
        <v>11311</v>
      </c>
      <c r="C4894" t="s">
        <v>5043</v>
      </c>
      <c r="D4894" t="s">
        <v>8401</v>
      </c>
    </row>
    <row r="4895" spans="1:4" ht="15" x14ac:dyDescent="0.25">
      <c r="A4895">
        <v>10404</v>
      </c>
      <c r="B4895" t="s">
        <v>11311</v>
      </c>
      <c r="C4895" t="s">
        <v>5043</v>
      </c>
      <c r="D4895" t="s">
        <v>8401</v>
      </c>
    </row>
    <row r="4896" spans="1:4" ht="15" x14ac:dyDescent="0.25">
      <c r="A4896">
        <v>12077</v>
      </c>
      <c r="B4896" t="s">
        <v>11311</v>
      </c>
      <c r="C4896" t="s">
        <v>5043</v>
      </c>
      <c r="D4896" t="s">
        <v>8401</v>
      </c>
    </row>
    <row r="4897" spans="1:4" ht="15" x14ac:dyDescent="0.25">
      <c r="A4897">
        <v>8641</v>
      </c>
      <c r="B4897" t="s">
        <v>11311</v>
      </c>
      <c r="C4897" t="s">
        <v>5043</v>
      </c>
      <c r="D4897" t="s">
        <v>8401</v>
      </c>
    </row>
    <row r="4898" spans="1:4" ht="15" x14ac:dyDescent="0.25">
      <c r="A4898">
        <v>11213</v>
      </c>
      <c r="B4898" t="s">
        <v>9487</v>
      </c>
      <c r="C4898" t="s">
        <v>5043</v>
      </c>
      <c r="D4898" t="s">
        <v>8401</v>
      </c>
    </row>
    <row r="4899" spans="1:4" ht="15" x14ac:dyDescent="0.25">
      <c r="A4899">
        <v>10682</v>
      </c>
      <c r="B4899" t="s">
        <v>9488</v>
      </c>
      <c r="C4899" t="s">
        <v>5043</v>
      </c>
      <c r="D4899" t="s">
        <v>8401</v>
      </c>
    </row>
    <row r="4900" spans="1:4" ht="15" x14ac:dyDescent="0.25">
      <c r="A4900">
        <v>8544</v>
      </c>
      <c r="B4900" t="s">
        <v>9488</v>
      </c>
      <c r="C4900" t="s">
        <v>5043</v>
      </c>
      <c r="D4900" t="s">
        <v>8401</v>
      </c>
    </row>
    <row r="4901" spans="1:4" ht="15" x14ac:dyDescent="0.25">
      <c r="A4901">
        <v>10627</v>
      </c>
      <c r="B4901" t="s">
        <v>11312</v>
      </c>
      <c r="C4901" t="s">
        <v>5043</v>
      </c>
      <c r="D4901" t="s">
        <v>8401</v>
      </c>
    </row>
    <row r="4902" spans="1:4" ht="15" x14ac:dyDescent="0.25">
      <c r="A4902">
        <v>11095</v>
      </c>
      <c r="B4902" t="s">
        <v>11312</v>
      </c>
      <c r="C4902" t="s">
        <v>5043</v>
      </c>
      <c r="D4902" t="s">
        <v>8401</v>
      </c>
    </row>
    <row r="4903" spans="1:4" ht="15" x14ac:dyDescent="0.25">
      <c r="A4903">
        <v>11182</v>
      </c>
      <c r="B4903" t="s">
        <v>11312</v>
      </c>
      <c r="C4903" t="s">
        <v>5043</v>
      </c>
      <c r="D4903" t="s">
        <v>8401</v>
      </c>
    </row>
    <row r="4904" spans="1:4" ht="15" x14ac:dyDescent="0.25">
      <c r="A4904">
        <v>11852</v>
      </c>
      <c r="B4904" t="s">
        <v>11312</v>
      </c>
      <c r="C4904" t="s">
        <v>5043</v>
      </c>
      <c r="D4904" t="s">
        <v>8401</v>
      </c>
    </row>
    <row r="4905" spans="1:4" ht="15" x14ac:dyDescent="0.25">
      <c r="A4905">
        <v>9594</v>
      </c>
      <c r="B4905" t="s">
        <v>11312</v>
      </c>
      <c r="C4905" t="s">
        <v>5043</v>
      </c>
      <c r="D4905" t="s">
        <v>8401</v>
      </c>
    </row>
    <row r="4906" spans="1:4" ht="15" x14ac:dyDescent="0.25">
      <c r="A4906">
        <v>10903</v>
      </c>
      <c r="B4906" t="s">
        <v>11313</v>
      </c>
      <c r="C4906" t="s">
        <v>5043</v>
      </c>
      <c r="D4906" t="s">
        <v>8401</v>
      </c>
    </row>
    <row r="4907" spans="1:4" ht="15" x14ac:dyDescent="0.25">
      <c r="A4907">
        <v>9224</v>
      </c>
      <c r="B4907" t="s">
        <v>11313</v>
      </c>
      <c r="C4907" t="s">
        <v>5043</v>
      </c>
      <c r="D4907" t="s">
        <v>8401</v>
      </c>
    </row>
    <row r="4908" spans="1:4" ht="15" x14ac:dyDescent="0.25">
      <c r="A4908">
        <v>10096</v>
      </c>
      <c r="B4908" t="s">
        <v>9489</v>
      </c>
      <c r="C4908" t="s">
        <v>5043</v>
      </c>
      <c r="D4908" t="s">
        <v>8401</v>
      </c>
    </row>
    <row r="4909" spans="1:4" ht="15" x14ac:dyDescent="0.25">
      <c r="A4909">
        <v>10177</v>
      </c>
      <c r="B4909" t="s">
        <v>9489</v>
      </c>
      <c r="C4909" t="s">
        <v>5043</v>
      </c>
      <c r="D4909" t="s">
        <v>8401</v>
      </c>
    </row>
    <row r="4910" spans="1:4" ht="15" x14ac:dyDescent="0.25">
      <c r="A4910">
        <v>10467</v>
      </c>
      <c r="B4910" t="s">
        <v>9489</v>
      </c>
      <c r="C4910" t="s">
        <v>5043</v>
      </c>
      <c r="D4910" t="s">
        <v>8401</v>
      </c>
    </row>
    <row r="4911" spans="1:4" ht="15" x14ac:dyDescent="0.25">
      <c r="A4911">
        <v>10721</v>
      </c>
      <c r="B4911" t="s">
        <v>9489</v>
      </c>
      <c r="C4911" t="s">
        <v>5043</v>
      </c>
      <c r="D4911" t="s">
        <v>8401</v>
      </c>
    </row>
    <row r="4912" spans="1:4" ht="15" x14ac:dyDescent="0.25">
      <c r="A4912">
        <v>10808</v>
      </c>
      <c r="B4912" t="s">
        <v>9489</v>
      </c>
      <c r="C4912" t="s">
        <v>5043</v>
      </c>
      <c r="D4912" t="s">
        <v>8401</v>
      </c>
    </row>
    <row r="4913" spans="1:4" ht="15" x14ac:dyDescent="0.25">
      <c r="A4913">
        <v>10821</v>
      </c>
      <c r="B4913" t="s">
        <v>9489</v>
      </c>
      <c r="C4913" t="s">
        <v>5043</v>
      </c>
      <c r="D4913" t="s">
        <v>8401</v>
      </c>
    </row>
    <row r="4914" spans="1:4" ht="15" x14ac:dyDescent="0.25">
      <c r="A4914">
        <v>10955</v>
      </c>
      <c r="B4914" t="s">
        <v>9489</v>
      </c>
      <c r="C4914" t="s">
        <v>5043</v>
      </c>
      <c r="D4914" t="s">
        <v>8401</v>
      </c>
    </row>
    <row r="4915" spans="1:4" ht="15" x14ac:dyDescent="0.25">
      <c r="A4915">
        <v>11109</v>
      </c>
      <c r="B4915" t="s">
        <v>9489</v>
      </c>
      <c r="C4915" t="s">
        <v>5043</v>
      </c>
      <c r="D4915" t="s">
        <v>8401</v>
      </c>
    </row>
    <row r="4916" spans="1:4" ht="15" x14ac:dyDescent="0.25">
      <c r="A4916">
        <v>11125</v>
      </c>
      <c r="B4916" t="s">
        <v>9489</v>
      </c>
      <c r="C4916" t="s">
        <v>5043</v>
      </c>
      <c r="D4916" t="s">
        <v>8401</v>
      </c>
    </row>
    <row r="4917" spans="1:4" ht="15" x14ac:dyDescent="0.25">
      <c r="A4917">
        <v>11346</v>
      </c>
      <c r="B4917" t="s">
        <v>9489</v>
      </c>
      <c r="C4917" t="s">
        <v>5043</v>
      </c>
      <c r="D4917" t="s">
        <v>8401</v>
      </c>
    </row>
    <row r="4918" spans="1:4" ht="15" x14ac:dyDescent="0.25">
      <c r="A4918">
        <v>6673</v>
      </c>
      <c r="B4918" t="s">
        <v>9489</v>
      </c>
      <c r="C4918" t="s">
        <v>5043</v>
      </c>
      <c r="D4918" t="s">
        <v>8401</v>
      </c>
    </row>
    <row r="4919" spans="1:4" ht="15" x14ac:dyDescent="0.25">
      <c r="A4919">
        <v>6689</v>
      </c>
      <c r="B4919" t="s">
        <v>9489</v>
      </c>
      <c r="C4919" t="s">
        <v>5043</v>
      </c>
      <c r="D4919" t="s">
        <v>8401</v>
      </c>
    </row>
    <row r="4920" spans="1:4" ht="15" x14ac:dyDescent="0.25">
      <c r="A4920">
        <v>7237</v>
      </c>
      <c r="B4920" t="s">
        <v>9489</v>
      </c>
      <c r="C4920" t="s">
        <v>5043</v>
      </c>
      <c r="D4920" t="s">
        <v>8401</v>
      </c>
    </row>
    <row r="4921" spans="1:4" ht="15" x14ac:dyDescent="0.25">
      <c r="A4921">
        <v>7268</v>
      </c>
      <c r="B4921" t="s">
        <v>9489</v>
      </c>
      <c r="C4921" t="s">
        <v>5043</v>
      </c>
      <c r="D4921" t="s">
        <v>8401</v>
      </c>
    </row>
    <row r="4922" spans="1:4" ht="15" x14ac:dyDescent="0.25">
      <c r="A4922">
        <v>7351</v>
      </c>
      <c r="B4922" t="s">
        <v>9489</v>
      </c>
      <c r="C4922" t="s">
        <v>5043</v>
      </c>
      <c r="D4922" t="s">
        <v>8401</v>
      </c>
    </row>
    <row r="4923" spans="1:4" ht="15" x14ac:dyDescent="0.25">
      <c r="A4923">
        <v>7411</v>
      </c>
      <c r="B4923" t="s">
        <v>9489</v>
      </c>
      <c r="C4923" t="s">
        <v>5043</v>
      </c>
      <c r="D4923" t="s">
        <v>8401</v>
      </c>
    </row>
    <row r="4924" spans="1:4" ht="15" x14ac:dyDescent="0.25">
      <c r="A4924">
        <v>7664</v>
      </c>
      <c r="B4924" t="s">
        <v>9489</v>
      </c>
      <c r="C4924" t="s">
        <v>5043</v>
      </c>
      <c r="D4924" t="s">
        <v>8401</v>
      </c>
    </row>
    <row r="4925" spans="1:4" ht="15" x14ac:dyDescent="0.25">
      <c r="A4925">
        <v>7739</v>
      </c>
      <c r="B4925" t="s">
        <v>9489</v>
      </c>
      <c r="C4925" t="s">
        <v>5043</v>
      </c>
      <c r="D4925" t="s">
        <v>8401</v>
      </c>
    </row>
    <row r="4926" spans="1:4" ht="15" x14ac:dyDescent="0.25">
      <c r="A4926">
        <v>7921</v>
      </c>
      <c r="B4926" t="s">
        <v>9489</v>
      </c>
      <c r="C4926" t="s">
        <v>5043</v>
      </c>
      <c r="D4926" t="s">
        <v>8401</v>
      </c>
    </row>
    <row r="4927" spans="1:4" ht="15" x14ac:dyDescent="0.25">
      <c r="A4927">
        <v>8070</v>
      </c>
      <c r="B4927" t="s">
        <v>9489</v>
      </c>
      <c r="C4927" t="s">
        <v>5043</v>
      </c>
      <c r="D4927" t="s">
        <v>8401</v>
      </c>
    </row>
    <row r="4928" spans="1:4" ht="15" x14ac:dyDescent="0.25">
      <c r="A4928">
        <v>8274</v>
      </c>
      <c r="B4928" t="s">
        <v>9489</v>
      </c>
      <c r="C4928" t="s">
        <v>5043</v>
      </c>
      <c r="D4928" t="s">
        <v>8401</v>
      </c>
    </row>
    <row r="4929" spans="1:4" ht="15" x14ac:dyDescent="0.25">
      <c r="A4929">
        <v>8436</v>
      </c>
      <c r="B4929" t="s">
        <v>9489</v>
      </c>
      <c r="C4929" t="s">
        <v>5043</v>
      </c>
      <c r="D4929" t="s">
        <v>8401</v>
      </c>
    </row>
    <row r="4930" spans="1:4" ht="15" x14ac:dyDescent="0.25">
      <c r="A4930">
        <v>8493</v>
      </c>
      <c r="B4930" t="s">
        <v>9489</v>
      </c>
      <c r="C4930" t="s">
        <v>5043</v>
      </c>
      <c r="D4930" t="s">
        <v>8401</v>
      </c>
    </row>
    <row r="4931" spans="1:4" ht="15" x14ac:dyDescent="0.25">
      <c r="A4931">
        <v>8497</v>
      </c>
      <c r="B4931" t="s">
        <v>9489</v>
      </c>
      <c r="C4931" t="s">
        <v>5043</v>
      </c>
      <c r="D4931" t="s">
        <v>8401</v>
      </c>
    </row>
    <row r="4932" spans="1:4" ht="15" x14ac:dyDescent="0.25">
      <c r="A4932">
        <v>8854</v>
      </c>
      <c r="B4932" t="s">
        <v>9489</v>
      </c>
      <c r="C4932" t="s">
        <v>5043</v>
      </c>
      <c r="D4932" t="s">
        <v>8401</v>
      </c>
    </row>
    <row r="4933" spans="1:4" ht="15" x14ac:dyDescent="0.25">
      <c r="A4933">
        <v>8894</v>
      </c>
      <c r="B4933" t="s">
        <v>9489</v>
      </c>
      <c r="C4933" t="s">
        <v>5043</v>
      </c>
      <c r="D4933" t="s">
        <v>8401</v>
      </c>
    </row>
    <row r="4934" spans="1:4" ht="15" x14ac:dyDescent="0.25">
      <c r="A4934">
        <v>9293</v>
      </c>
      <c r="B4934" t="s">
        <v>9489</v>
      </c>
      <c r="C4934" t="s">
        <v>5043</v>
      </c>
      <c r="D4934" t="s">
        <v>8401</v>
      </c>
    </row>
    <row r="4935" spans="1:4" ht="15" x14ac:dyDescent="0.25">
      <c r="A4935">
        <v>9811</v>
      </c>
      <c r="B4935" t="s">
        <v>9489</v>
      </c>
      <c r="C4935" t="s">
        <v>5043</v>
      </c>
      <c r="D4935" t="s">
        <v>8401</v>
      </c>
    </row>
    <row r="4936" spans="1:4" ht="15" x14ac:dyDescent="0.25">
      <c r="A4936">
        <v>10308</v>
      </c>
      <c r="B4936" t="s">
        <v>9490</v>
      </c>
      <c r="C4936" t="s">
        <v>5043</v>
      </c>
      <c r="D4936" t="s">
        <v>8401</v>
      </c>
    </row>
    <row r="4937" spans="1:4" ht="15" x14ac:dyDescent="0.25">
      <c r="A4937">
        <v>11088</v>
      </c>
      <c r="B4937" t="s">
        <v>9490</v>
      </c>
      <c r="C4937" t="s">
        <v>5043</v>
      </c>
      <c r="D4937" t="s">
        <v>8401</v>
      </c>
    </row>
    <row r="4938" spans="1:4" ht="15" x14ac:dyDescent="0.25">
      <c r="A4938">
        <v>11288</v>
      </c>
      <c r="B4938" t="s">
        <v>9490</v>
      </c>
      <c r="C4938" t="s">
        <v>5043</v>
      </c>
      <c r="D4938" t="s">
        <v>8401</v>
      </c>
    </row>
    <row r="4939" spans="1:4" ht="15" x14ac:dyDescent="0.25">
      <c r="A4939">
        <v>6664</v>
      </c>
      <c r="B4939" t="s">
        <v>9490</v>
      </c>
      <c r="C4939" t="s">
        <v>5043</v>
      </c>
      <c r="D4939" t="s">
        <v>8401</v>
      </c>
    </row>
    <row r="4940" spans="1:4" ht="15" x14ac:dyDescent="0.25">
      <c r="A4940">
        <v>6962</v>
      </c>
      <c r="B4940" t="s">
        <v>9490</v>
      </c>
      <c r="C4940" t="s">
        <v>5043</v>
      </c>
      <c r="D4940" t="s">
        <v>8401</v>
      </c>
    </row>
    <row r="4941" spans="1:4" ht="15" x14ac:dyDescent="0.25">
      <c r="A4941">
        <v>8429</v>
      </c>
      <c r="B4941" t="s">
        <v>9490</v>
      </c>
      <c r="C4941" t="s">
        <v>5043</v>
      </c>
      <c r="D4941" t="s">
        <v>8401</v>
      </c>
    </row>
    <row r="4942" spans="1:4" ht="15" x14ac:dyDescent="0.25">
      <c r="A4942">
        <v>9560</v>
      </c>
      <c r="B4942" t="s">
        <v>9490</v>
      </c>
      <c r="C4942" t="s">
        <v>5043</v>
      </c>
      <c r="D4942" t="s">
        <v>8401</v>
      </c>
    </row>
    <row r="4943" spans="1:4" ht="15" x14ac:dyDescent="0.25">
      <c r="A4943">
        <v>9585</v>
      </c>
      <c r="B4943" t="s">
        <v>9490</v>
      </c>
      <c r="C4943" t="s">
        <v>5043</v>
      </c>
      <c r="D4943" t="s">
        <v>8401</v>
      </c>
    </row>
    <row r="4944" spans="1:4" ht="15" x14ac:dyDescent="0.25">
      <c r="A4944">
        <v>10228</v>
      </c>
      <c r="B4944" t="s">
        <v>11314</v>
      </c>
      <c r="C4944" t="s">
        <v>5043</v>
      </c>
      <c r="D4944" t="s">
        <v>8401</v>
      </c>
    </row>
    <row r="4945" spans="1:4" ht="15" x14ac:dyDescent="0.25">
      <c r="A4945">
        <v>7456</v>
      </c>
      <c r="B4945" t="s">
        <v>11314</v>
      </c>
      <c r="C4945" t="s">
        <v>5043</v>
      </c>
      <c r="D4945" t="s">
        <v>8401</v>
      </c>
    </row>
    <row r="4946" spans="1:4" ht="15" x14ac:dyDescent="0.25">
      <c r="A4946">
        <v>7092</v>
      </c>
      <c r="B4946" t="s">
        <v>9491</v>
      </c>
      <c r="C4946" t="s">
        <v>5043</v>
      </c>
      <c r="D4946" t="s">
        <v>8401</v>
      </c>
    </row>
    <row r="4947" spans="1:4" ht="15" x14ac:dyDescent="0.25">
      <c r="A4947">
        <v>8282</v>
      </c>
      <c r="B4947" t="s">
        <v>9491</v>
      </c>
      <c r="C4947" t="s">
        <v>5043</v>
      </c>
      <c r="D4947" t="s">
        <v>8401</v>
      </c>
    </row>
    <row r="4948" spans="1:4" ht="15" x14ac:dyDescent="0.25">
      <c r="A4948">
        <v>9025</v>
      </c>
      <c r="B4948" t="s">
        <v>9491</v>
      </c>
      <c r="C4948" t="s">
        <v>5043</v>
      </c>
      <c r="D4948" t="s">
        <v>8401</v>
      </c>
    </row>
    <row r="4949" spans="1:4" ht="15" x14ac:dyDescent="0.25">
      <c r="A4949">
        <v>9961</v>
      </c>
      <c r="B4949" t="s">
        <v>9492</v>
      </c>
      <c r="C4949" t="s">
        <v>5043</v>
      </c>
      <c r="D4949" t="s">
        <v>8401</v>
      </c>
    </row>
    <row r="4950" spans="1:4" ht="15" x14ac:dyDescent="0.25">
      <c r="A4950">
        <v>11234</v>
      </c>
      <c r="B4950" t="s">
        <v>11315</v>
      </c>
      <c r="C4950" t="s">
        <v>5043</v>
      </c>
      <c r="D4950" t="s">
        <v>8401</v>
      </c>
    </row>
    <row r="4951" spans="1:4" ht="15" x14ac:dyDescent="0.25">
      <c r="A4951">
        <v>11573</v>
      </c>
      <c r="B4951" t="s">
        <v>11315</v>
      </c>
      <c r="C4951" t="s">
        <v>5043</v>
      </c>
      <c r="D4951" t="s">
        <v>8401</v>
      </c>
    </row>
    <row r="4952" spans="1:4" ht="15" x14ac:dyDescent="0.25">
      <c r="A4952">
        <v>8898</v>
      </c>
      <c r="B4952" t="s">
        <v>11315</v>
      </c>
      <c r="C4952" t="s">
        <v>5043</v>
      </c>
      <c r="D4952" t="s">
        <v>8401</v>
      </c>
    </row>
    <row r="4953" spans="1:4" ht="15" x14ac:dyDescent="0.25">
      <c r="A4953">
        <v>11808</v>
      </c>
      <c r="B4953" t="s">
        <v>9493</v>
      </c>
      <c r="C4953" t="s">
        <v>5043</v>
      </c>
      <c r="D4953" t="s">
        <v>8401</v>
      </c>
    </row>
    <row r="4954" spans="1:4" ht="15" x14ac:dyDescent="0.25">
      <c r="A4954">
        <v>6696</v>
      </c>
      <c r="B4954" t="s">
        <v>9493</v>
      </c>
      <c r="C4954" t="s">
        <v>5043</v>
      </c>
      <c r="D4954" t="s">
        <v>8401</v>
      </c>
    </row>
    <row r="4955" spans="1:4" ht="15" x14ac:dyDescent="0.25">
      <c r="A4955">
        <v>9956</v>
      </c>
      <c r="B4955" t="s">
        <v>9493</v>
      </c>
      <c r="C4955" t="s">
        <v>5043</v>
      </c>
      <c r="D4955" t="s">
        <v>8401</v>
      </c>
    </row>
    <row r="4956" spans="1:4" ht="15" x14ac:dyDescent="0.25">
      <c r="A4956">
        <v>10731</v>
      </c>
      <c r="B4956" t="s">
        <v>9494</v>
      </c>
      <c r="C4956" t="s">
        <v>5043</v>
      </c>
      <c r="D4956" t="s">
        <v>8401</v>
      </c>
    </row>
    <row r="4957" spans="1:4" ht="15" x14ac:dyDescent="0.25">
      <c r="A4957">
        <v>11753</v>
      </c>
      <c r="B4957" t="s">
        <v>9494</v>
      </c>
      <c r="C4957" t="s">
        <v>5043</v>
      </c>
      <c r="D4957" t="s">
        <v>8401</v>
      </c>
    </row>
    <row r="4958" spans="1:4" ht="15" x14ac:dyDescent="0.25">
      <c r="A4958">
        <v>8017</v>
      </c>
      <c r="B4958" t="s">
        <v>9494</v>
      </c>
      <c r="C4958" t="s">
        <v>5043</v>
      </c>
      <c r="D4958" t="s">
        <v>8401</v>
      </c>
    </row>
    <row r="4959" spans="1:4" ht="15" x14ac:dyDescent="0.25">
      <c r="A4959">
        <v>10069</v>
      </c>
      <c r="B4959" t="s">
        <v>9495</v>
      </c>
      <c r="C4959" t="s">
        <v>5043</v>
      </c>
      <c r="D4959" t="s">
        <v>8401</v>
      </c>
    </row>
    <row r="4960" spans="1:4" ht="15" x14ac:dyDescent="0.25">
      <c r="A4960">
        <v>6951</v>
      </c>
      <c r="B4960" t="s">
        <v>9495</v>
      </c>
      <c r="C4960" t="s">
        <v>5043</v>
      </c>
      <c r="D4960" t="s">
        <v>8401</v>
      </c>
    </row>
    <row r="4961" spans="1:4" ht="15" x14ac:dyDescent="0.25">
      <c r="A4961">
        <v>9055</v>
      </c>
      <c r="B4961" t="s">
        <v>9495</v>
      </c>
      <c r="C4961" t="s">
        <v>5043</v>
      </c>
      <c r="D4961" t="s">
        <v>8401</v>
      </c>
    </row>
    <row r="4962" spans="1:4" ht="15" x14ac:dyDescent="0.25">
      <c r="A4962">
        <v>9736</v>
      </c>
      <c r="B4962" t="s">
        <v>9495</v>
      </c>
      <c r="C4962" t="s">
        <v>5043</v>
      </c>
      <c r="D4962" t="s">
        <v>8401</v>
      </c>
    </row>
    <row r="4963" spans="1:4" ht="15" x14ac:dyDescent="0.25">
      <c r="A4963">
        <v>10254</v>
      </c>
      <c r="B4963" t="s">
        <v>9496</v>
      </c>
      <c r="C4963" t="s">
        <v>5043</v>
      </c>
      <c r="D4963" t="s">
        <v>8401</v>
      </c>
    </row>
    <row r="4964" spans="1:4" ht="15" x14ac:dyDescent="0.25">
      <c r="A4964">
        <v>9924</v>
      </c>
      <c r="B4964" t="s">
        <v>9496</v>
      </c>
      <c r="C4964" t="s">
        <v>5043</v>
      </c>
      <c r="D4964" t="s">
        <v>8401</v>
      </c>
    </row>
    <row r="4965" spans="1:4" ht="15" x14ac:dyDescent="0.25">
      <c r="A4965">
        <v>6904</v>
      </c>
      <c r="B4965" t="s">
        <v>9497</v>
      </c>
      <c r="C4965" t="s">
        <v>5043</v>
      </c>
      <c r="D4965" t="s">
        <v>8401</v>
      </c>
    </row>
    <row r="4966" spans="1:4" ht="15" x14ac:dyDescent="0.25">
      <c r="A4966">
        <v>9362</v>
      </c>
      <c r="B4966" t="s">
        <v>9497</v>
      </c>
      <c r="C4966" t="s">
        <v>5043</v>
      </c>
      <c r="D4966" t="s">
        <v>8401</v>
      </c>
    </row>
    <row r="4967" spans="1:4" ht="15" x14ac:dyDescent="0.25">
      <c r="A4967">
        <v>10162</v>
      </c>
      <c r="B4967" t="s">
        <v>9498</v>
      </c>
      <c r="C4967" t="s">
        <v>5043</v>
      </c>
      <c r="D4967" t="s">
        <v>8401</v>
      </c>
    </row>
    <row r="4968" spans="1:4" ht="15" x14ac:dyDescent="0.25">
      <c r="A4968">
        <v>11086</v>
      </c>
      <c r="B4968" t="s">
        <v>9498</v>
      </c>
      <c r="C4968" t="s">
        <v>5043</v>
      </c>
      <c r="D4968" t="s">
        <v>8401</v>
      </c>
    </row>
    <row r="4969" spans="1:4" ht="15" x14ac:dyDescent="0.25">
      <c r="A4969">
        <v>7327</v>
      </c>
      <c r="B4969" t="s">
        <v>9498</v>
      </c>
      <c r="C4969" t="s">
        <v>5043</v>
      </c>
      <c r="D4969" t="s">
        <v>8401</v>
      </c>
    </row>
    <row r="4970" spans="1:4" ht="15" x14ac:dyDescent="0.25">
      <c r="A4970">
        <v>7615</v>
      </c>
      <c r="B4970" t="s">
        <v>9498</v>
      </c>
      <c r="C4970" t="s">
        <v>5043</v>
      </c>
      <c r="D4970" t="s">
        <v>8401</v>
      </c>
    </row>
    <row r="4971" spans="1:4" ht="15" x14ac:dyDescent="0.25">
      <c r="A4971">
        <v>8584</v>
      </c>
      <c r="B4971" t="s">
        <v>9498</v>
      </c>
      <c r="C4971" t="s">
        <v>5043</v>
      </c>
      <c r="D4971" t="s">
        <v>8401</v>
      </c>
    </row>
    <row r="4972" spans="1:4" ht="15" x14ac:dyDescent="0.25">
      <c r="A4972">
        <v>11204</v>
      </c>
      <c r="B4972" t="s">
        <v>9499</v>
      </c>
      <c r="C4972" t="s">
        <v>5043</v>
      </c>
      <c r="D4972" t="s">
        <v>8401</v>
      </c>
    </row>
    <row r="4973" spans="1:4" ht="15" x14ac:dyDescent="0.25">
      <c r="A4973">
        <v>7614</v>
      </c>
      <c r="B4973" t="s">
        <v>9499</v>
      </c>
      <c r="C4973" t="s">
        <v>5043</v>
      </c>
      <c r="D4973" t="s">
        <v>8401</v>
      </c>
    </row>
    <row r="4974" spans="1:4" ht="15" x14ac:dyDescent="0.25">
      <c r="A4974">
        <v>8260</v>
      </c>
      <c r="B4974" t="s">
        <v>9499</v>
      </c>
      <c r="C4974" t="s">
        <v>5043</v>
      </c>
      <c r="D4974" t="s">
        <v>8401</v>
      </c>
    </row>
    <row r="4975" spans="1:4" ht="15" x14ac:dyDescent="0.25">
      <c r="A4975">
        <v>9358</v>
      </c>
      <c r="B4975" t="s">
        <v>9499</v>
      </c>
      <c r="C4975" t="s">
        <v>5043</v>
      </c>
      <c r="D4975" t="s">
        <v>8401</v>
      </c>
    </row>
    <row r="4976" spans="1:4" ht="15" x14ac:dyDescent="0.25">
      <c r="A4976">
        <v>8494</v>
      </c>
      <c r="B4976" t="s">
        <v>9500</v>
      </c>
      <c r="C4976" t="s">
        <v>5043</v>
      </c>
      <c r="D4976" t="s">
        <v>8401</v>
      </c>
    </row>
    <row r="4977" spans="1:4" ht="15" x14ac:dyDescent="0.25">
      <c r="A4977">
        <v>10899</v>
      </c>
      <c r="B4977" t="s">
        <v>9501</v>
      </c>
      <c r="C4977" t="s">
        <v>5043</v>
      </c>
      <c r="D4977" t="s">
        <v>8401</v>
      </c>
    </row>
    <row r="4978" spans="1:4" ht="15" x14ac:dyDescent="0.25">
      <c r="A4978">
        <v>9640</v>
      </c>
      <c r="B4978" t="s">
        <v>9501</v>
      </c>
      <c r="C4978" t="s">
        <v>5043</v>
      </c>
      <c r="D4978" t="s">
        <v>8401</v>
      </c>
    </row>
    <row r="4979" spans="1:4" ht="15" x14ac:dyDescent="0.25">
      <c r="A4979">
        <v>6964</v>
      </c>
      <c r="B4979" t="s">
        <v>11316</v>
      </c>
      <c r="C4979" t="s">
        <v>5043</v>
      </c>
      <c r="D4979" t="s">
        <v>8401</v>
      </c>
    </row>
    <row r="4980" spans="1:4" ht="15" x14ac:dyDescent="0.25">
      <c r="A4980">
        <v>7663</v>
      </c>
      <c r="B4980" t="s">
        <v>11316</v>
      </c>
      <c r="C4980" t="s">
        <v>5043</v>
      </c>
      <c r="D4980" t="s">
        <v>8401</v>
      </c>
    </row>
    <row r="4981" spans="1:4" ht="15" x14ac:dyDescent="0.25">
      <c r="A4981">
        <v>11201</v>
      </c>
      <c r="B4981" t="s">
        <v>11317</v>
      </c>
      <c r="C4981" t="s">
        <v>5043</v>
      </c>
      <c r="D4981" t="s">
        <v>8401</v>
      </c>
    </row>
    <row r="4982" spans="1:4" ht="15" x14ac:dyDescent="0.25">
      <c r="A4982">
        <v>8556</v>
      </c>
      <c r="B4982" t="s">
        <v>11317</v>
      </c>
      <c r="C4982" t="s">
        <v>5043</v>
      </c>
      <c r="D4982" t="s">
        <v>8401</v>
      </c>
    </row>
    <row r="4983" spans="1:4" ht="15" x14ac:dyDescent="0.25">
      <c r="A4983">
        <v>11230</v>
      </c>
      <c r="B4983" t="s">
        <v>11318</v>
      </c>
      <c r="C4983" t="s">
        <v>5043</v>
      </c>
      <c r="D4983" t="s">
        <v>8401</v>
      </c>
    </row>
    <row r="4984" spans="1:4" ht="15" x14ac:dyDescent="0.25">
      <c r="A4984">
        <v>7310</v>
      </c>
      <c r="B4984" t="s">
        <v>11318</v>
      </c>
      <c r="C4984" t="s">
        <v>5043</v>
      </c>
      <c r="D4984" t="s">
        <v>8401</v>
      </c>
    </row>
    <row r="4985" spans="1:4" ht="15" x14ac:dyDescent="0.25">
      <c r="A4985">
        <v>7736</v>
      </c>
      <c r="B4985" t="s">
        <v>11319</v>
      </c>
      <c r="C4985" t="s">
        <v>5043</v>
      </c>
      <c r="D4985" t="s">
        <v>8401</v>
      </c>
    </row>
    <row r="4986" spans="1:4" ht="15" x14ac:dyDescent="0.25">
      <c r="A4986">
        <v>8221</v>
      </c>
      <c r="B4986" t="s">
        <v>11319</v>
      </c>
      <c r="C4986" t="s">
        <v>5043</v>
      </c>
      <c r="D4986" t="s">
        <v>8401</v>
      </c>
    </row>
    <row r="4987" spans="1:4" ht="15" x14ac:dyDescent="0.25">
      <c r="A4987">
        <v>8230</v>
      </c>
      <c r="B4987" t="s">
        <v>11319</v>
      </c>
      <c r="C4987" t="s">
        <v>5043</v>
      </c>
      <c r="D4987" t="s">
        <v>8401</v>
      </c>
    </row>
    <row r="4988" spans="1:4" ht="15" x14ac:dyDescent="0.25">
      <c r="A4988">
        <v>9169</v>
      </c>
      <c r="B4988" t="s">
        <v>11320</v>
      </c>
      <c r="C4988" t="s">
        <v>5043</v>
      </c>
      <c r="D4988" t="s">
        <v>8401</v>
      </c>
    </row>
    <row r="4989" spans="1:4" ht="15" x14ac:dyDescent="0.25">
      <c r="A4989">
        <v>9987</v>
      </c>
      <c r="B4989" t="s">
        <v>11320</v>
      </c>
      <c r="C4989" t="s">
        <v>5043</v>
      </c>
      <c r="D4989" t="s">
        <v>8401</v>
      </c>
    </row>
    <row r="4990" spans="1:4" ht="15" x14ac:dyDescent="0.25">
      <c r="A4990">
        <v>10200</v>
      </c>
      <c r="B4990" t="s">
        <v>9502</v>
      </c>
      <c r="C4990" t="s">
        <v>5043</v>
      </c>
      <c r="D4990" t="s">
        <v>8401</v>
      </c>
    </row>
    <row r="4991" spans="1:4" ht="15" x14ac:dyDescent="0.25">
      <c r="A4991">
        <v>11416</v>
      </c>
      <c r="B4991" t="s">
        <v>9502</v>
      </c>
      <c r="C4991" t="s">
        <v>5043</v>
      </c>
      <c r="D4991" t="s">
        <v>8401</v>
      </c>
    </row>
    <row r="4992" spans="1:4" ht="15" x14ac:dyDescent="0.25">
      <c r="A4992">
        <v>11596</v>
      </c>
      <c r="B4992" t="s">
        <v>11321</v>
      </c>
      <c r="C4992" t="s">
        <v>5043</v>
      </c>
      <c r="D4992" t="s">
        <v>8401</v>
      </c>
    </row>
    <row r="4993" spans="1:4" ht="15" x14ac:dyDescent="0.25">
      <c r="A4993">
        <v>10198</v>
      </c>
      <c r="B4993" t="s">
        <v>11322</v>
      </c>
      <c r="C4993" t="s">
        <v>5043</v>
      </c>
      <c r="D4993" t="s">
        <v>8401</v>
      </c>
    </row>
    <row r="4994" spans="1:4" ht="15" x14ac:dyDescent="0.25">
      <c r="A4994">
        <v>10006</v>
      </c>
      <c r="B4994" t="s">
        <v>11323</v>
      </c>
      <c r="C4994" t="s">
        <v>5043</v>
      </c>
      <c r="D4994" t="s">
        <v>8401</v>
      </c>
    </row>
    <row r="4995" spans="1:4" ht="15" x14ac:dyDescent="0.25">
      <c r="A4995">
        <v>10972</v>
      </c>
      <c r="B4995" t="s">
        <v>11323</v>
      </c>
      <c r="C4995" t="s">
        <v>5043</v>
      </c>
      <c r="D4995" t="s">
        <v>8401</v>
      </c>
    </row>
    <row r="4996" spans="1:4" ht="15" x14ac:dyDescent="0.25">
      <c r="A4996">
        <v>11564</v>
      </c>
      <c r="B4996" t="s">
        <v>11323</v>
      </c>
      <c r="C4996" t="s">
        <v>5043</v>
      </c>
      <c r="D4996" t="s">
        <v>8401</v>
      </c>
    </row>
    <row r="4997" spans="1:4" ht="15" x14ac:dyDescent="0.25">
      <c r="A4997">
        <v>11908</v>
      </c>
      <c r="B4997" t="s">
        <v>11323</v>
      </c>
      <c r="C4997" t="s">
        <v>5043</v>
      </c>
      <c r="D4997" t="s">
        <v>8401</v>
      </c>
    </row>
    <row r="4998" spans="1:4" ht="15" x14ac:dyDescent="0.25">
      <c r="A4998">
        <v>8555</v>
      </c>
      <c r="B4998" t="s">
        <v>11323</v>
      </c>
      <c r="C4998" t="s">
        <v>5043</v>
      </c>
      <c r="D4998" t="s">
        <v>8401</v>
      </c>
    </row>
    <row r="4999" spans="1:4" ht="15" x14ac:dyDescent="0.25">
      <c r="A4999">
        <v>8831</v>
      </c>
      <c r="B4999" t="s">
        <v>9503</v>
      </c>
      <c r="C4999" t="s">
        <v>5043</v>
      </c>
      <c r="D4999" t="s">
        <v>8401</v>
      </c>
    </row>
    <row r="5000" spans="1:4" ht="15" x14ac:dyDescent="0.25">
      <c r="A5000">
        <v>11306</v>
      </c>
      <c r="B5000" t="s">
        <v>9504</v>
      </c>
      <c r="C5000" t="s">
        <v>5043</v>
      </c>
      <c r="D5000" t="s">
        <v>8401</v>
      </c>
    </row>
    <row r="5001" spans="1:4" ht="15" x14ac:dyDescent="0.25">
      <c r="A5001">
        <v>11439</v>
      </c>
      <c r="B5001" t="s">
        <v>9504</v>
      </c>
      <c r="C5001" t="s">
        <v>5043</v>
      </c>
      <c r="D5001" t="s">
        <v>8401</v>
      </c>
    </row>
    <row r="5002" spans="1:4" ht="15" x14ac:dyDescent="0.25">
      <c r="A5002">
        <v>10296</v>
      </c>
      <c r="B5002" t="s">
        <v>11324</v>
      </c>
      <c r="C5002" t="s">
        <v>5043</v>
      </c>
      <c r="D5002" t="s">
        <v>8401</v>
      </c>
    </row>
    <row r="5003" spans="1:4" ht="15" x14ac:dyDescent="0.25">
      <c r="A5003">
        <v>7923</v>
      </c>
      <c r="B5003" t="s">
        <v>11325</v>
      </c>
      <c r="C5003" t="s">
        <v>5043</v>
      </c>
      <c r="D5003" t="s">
        <v>8401</v>
      </c>
    </row>
    <row r="5004" spans="1:4" ht="15" x14ac:dyDescent="0.25">
      <c r="A5004">
        <v>8837</v>
      </c>
      <c r="B5004" t="s">
        <v>11326</v>
      </c>
      <c r="C5004" t="s">
        <v>5043</v>
      </c>
      <c r="D5004" t="s">
        <v>8401</v>
      </c>
    </row>
    <row r="5005" spans="1:4" ht="15" x14ac:dyDescent="0.25">
      <c r="A5005">
        <v>10576</v>
      </c>
      <c r="B5005" t="s">
        <v>9505</v>
      </c>
      <c r="C5005" t="s">
        <v>5043</v>
      </c>
      <c r="D5005" t="s">
        <v>8401</v>
      </c>
    </row>
    <row r="5006" spans="1:4" ht="15" x14ac:dyDescent="0.25">
      <c r="A5006">
        <v>6683</v>
      </c>
      <c r="B5006" t="s">
        <v>9506</v>
      </c>
      <c r="C5006" t="s">
        <v>5043</v>
      </c>
      <c r="D5006" t="s">
        <v>8401</v>
      </c>
    </row>
    <row r="5007" spans="1:4" ht="15" x14ac:dyDescent="0.25">
      <c r="A5007">
        <v>7861</v>
      </c>
      <c r="B5007" t="s">
        <v>9506</v>
      </c>
      <c r="C5007" t="s">
        <v>5043</v>
      </c>
      <c r="D5007" t="s">
        <v>8401</v>
      </c>
    </row>
    <row r="5008" spans="1:4" ht="15" x14ac:dyDescent="0.25">
      <c r="A5008">
        <v>8796</v>
      </c>
      <c r="B5008" t="s">
        <v>9506</v>
      </c>
      <c r="C5008" t="s">
        <v>5043</v>
      </c>
      <c r="D5008" t="s">
        <v>8401</v>
      </c>
    </row>
    <row r="5009" spans="1:4" ht="15" x14ac:dyDescent="0.25">
      <c r="A5009">
        <v>9777</v>
      </c>
      <c r="B5009" t="s">
        <v>9506</v>
      </c>
      <c r="C5009" t="s">
        <v>5043</v>
      </c>
      <c r="D5009" t="s">
        <v>8401</v>
      </c>
    </row>
    <row r="5010" spans="1:4" ht="15" x14ac:dyDescent="0.25">
      <c r="A5010">
        <v>10859</v>
      </c>
      <c r="B5010" t="s">
        <v>9507</v>
      </c>
      <c r="C5010" t="s">
        <v>5043</v>
      </c>
      <c r="D5010" t="s">
        <v>8401</v>
      </c>
    </row>
    <row r="5011" spans="1:4" ht="15" x14ac:dyDescent="0.25">
      <c r="A5011">
        <v>11989</v>
      </c>
      <c r="B5011" t="s">
        <v>9508</v>
      </c>
      <c r="C5011" t="s">
        <v>5043</v>
      </c>
      <c r="D5011" t="s">
        <v>8401</v>
      </c>
    </row>
    <row r="5012" spans="1:4" ht="15" x14ac:dyDescent="0.25">
      <c r="A5012">
        <v>9392</v>
      </c>
      <c r="B5012" t="s">
        <v>11327</v>
      </c>
      <c r="C5012" t="s">
        <v>5043</v>
      </c>
      <c r="D5012" t="s">
        <v>8401</v>
      </c>
    </row>
    <row r="5013" spans="1:4" ht="15" x14ac:dyDescent="0.25">
      <c r="A5013">
        <v>10645</v>
      </c>
      <c r="B5013" t="s">
        <v>9509</v>
      </c>
      <c r="C5013" t="s">
        <v>5043</v>
      </c>
      <c r="D5013" t="s">
        <v>8401</v>
      </c>
    </row>
    <row r="5014" spans="1:4" ht="15" x14ac:dyDescent="0.25">
      <c r="A5014">
        <v>10841</v>
      </c>
      <c r="B5014" t="s">
        <v>9509</v>
      </c>
      <c r="C5014" t="s">
        <v>5043</v>
      </c>
      <c r="D5014" t="s">
        <v>8401</v>
      </c>
    </row>
    <row r="5015" spans="1:4" ht="15" x14ac:dyDescent="0.25">
      <c r="A5015">
        <v>7332</v>
      </c>
      <c r="B5015" t="s">
        <v>9509</v>
      </c>
      <c r="C5015" t="s">
        <v>5043</v>
      </c>
      <c r="D5015" t="s">
        <v>8401</v>
      </c>
    </row>
    <row r="5016" spans="1:4" ht="15" x14ac:dyDescent="0.25">
      <c r="A5016">
        <v>7762</v>
      </c>
      <c r="B5016" t="s">
        <v>9509</v>
      </c>
      <c r="C5016" t="s">
        <v>5043</v>
      </c>
      <c r="D5016" t="s">
        <v>8401</v>
      </c>
    </row>
    <row r="5017" spans="1:4" ht="15" x14ac:dyDescent="0.25">
      <c r="A5017">
        <v>7905</v>
      </c>
      <c r="B5017" t="s">
        <v>9509</v>
      </c>
      <c r="C5017" t="s">
        <v>5043</v>
      </c>
      <c r="D5017" t="s">
        <v>8401</v>
      </c>
    </row>
    <row r="5018" spans="1:4" ht="15" x14ac:dyDescent="0.25">
      <c r="A5018">
        <v>9750</v>
      </c>
      <c r="B5018" t="s">
        <v>9509</v>
      </c>
      <c r="C5018" t="s">
        <v>5043</v>
      </c>
      <c r="D5018" t="s">
        <v>8401</v>
      </c>
    </row>
    <row r="5019" spans="1:4" ht="15" x14ac:dyDescent="0.25">
      <c r="A5019">
        <v>7174</v>
      </c>
      <c r="B5019" t="s">
        <v>11328</v>
      </c>
      <c r="C5019" t="s">
        <v>5043</v>
      </c>
      <c r="D5019" t="s">
        <v>8401</v>
      </c>
    </row>
    <row r="5020" spans="1:4" ht="15" x14ac:dyDescent="0.25">
      <c r="A5020">
        <v>7348</v>
      </c>
      <c r="B5020" t="s">
        <v>11328</v>
      </c>
      <c r="C5020" t="s">
        <v>5043</v>
      </c>
      <c r="D5020" t="s">
        <v>8401</v>
      </c>
    </row>
    <row r="5021" spans="1:4" ht="15" x14ac:dyDescent="0.25">
      <c r="A5021">
        <v>8106</v>
      </c>
      <c r="B5021" t="s">
        <v>11329</v>
      </c>
      <c r="C5021" t="s">
        <v>5043</v>
      </c>
      <c r="D5021" t="s">
        <v>8401</v>
      </c>
    </row>
    <row r="5022" spans="1:4" ht="15" x14ac:dyDescent="0.25">
      <c r="A5022">
        <v>10415</v>
      </c>
      <c r="B5022" t="s">
        <v>9510</v>
      </c>
      <c r="C5022" t="s">
        <v>5043</v>
      </c>
      <c r="D5022" t="s">
        <v>8401</v>
      </c>
    </row>
    <row r="5023" spans="1:4" ht="15" x14ac:dyDescent="0.25">
      <c r="A5023">
        <v>10438</v>
      </c>
      <c r="B5023" t="s">
        <v>9510</v>
      </c>
      <c r="C5023" t="s">
        <v>5043</v>
      </c>
      <c r="D5023" t="s">
        <v>8401</v>
      </c>
    </row>
    <row r="5024" spans="1:4" ht="15" x14ac:dyDescent="0.25">
      <c r="A5024">
        <v>7516</v>
      </c>
      <c r="B5024" t="s">
        <v>9510</v>
      </c>
      <c r="C5024" t="s">
        <v>5043</v>
      </c>
      <c r="D5024" t="s">
        <v>8401</v>
      </c>
    </row>
    <row r="5025" spans="1:4" ht="15" x14ac:dyDescent="0.25">
      <c r="A5025">
        <v>8676</v>
      </c>
      <c r="B5025" t="s">
        <v>9510</v>
      </c>
      <c r="C5025" t="s">
        <v>5043</v>
      </c>
      <c r="D5025" t="s">
        <v>8401</v>
      </c>
    </row>
    <row r="5026" spans="1:4" ht="15" x14ac:dyDescent="0.25">
      <c r="A5026">
        <v>11239</v>
      </c>
      <c r="B5026" t="s">
        <v>9511</v>
      </c>
      <c r="C5026" t="s">
        <v>5043</v>
      </c>
      <c r="D5026" t="s">
        <v>8401</v>
      </c>
    </row>
    <row r="5027" spans="1:4" ht="15" x14ac:dyDescent="0.25">
      <c r="A5027">
        <v>11287</v>
      </c>
      <c r="B5027" t="s">
        <v>9511</v>
      </c>
      <c r="C5027" t="s">
        <v>5043</v>
      </c>
      <c r="D5027" t="s">
        <v>8401</v>
      </c>
    </row>
    <row r="5028" spans="1:4" ht="15" x14ac:dyDescent="0.25">
      <c r="A5028">
        <v>11031</v>
      </c>
      <c r="B5028" t="s">
        <v>9512</v>
      </c>
      <c r="C5028" t="s">
        <v>5043</v>
      </c>
      <c r="D5028" t="s">
        <v>8401</v>
      </c>
    </row>
    <row r="5029" spans="1:4" ht="15" x14ac:dyDescent="0.25">
      <c r="A5029">
        <v>11833</v>
      </c>
      <c r="B5029" t="s">
        <v>9512</v>
      </c>
      <c r="C5029" t="s">
        <v>5043</v>
      </c>
      <c r="D5029" t="s">
        <v>8401</v>
      </c>
    </row>
    <row r="5030" spans="1:4" ht="15" x14ac:dyDescent="0.25">
      <c r="A5030">
        <v>6790</v>
      </c>
      <c r="B5030" t="s">
        <v>9512</v>
      </c>
      <c r="C5030" t="s">
        <v>5043</v>
      </c>
      <c r="D5030" t="s">
        <v>8401</v>
      </c>
    </row>
    <row r="5031" spans="1:4" ht="15" x14ac:dyDescent="0.25">
      <c r="A5031">
        <v>9196</v>
      </c>
      <c r="B5031" t="s">
        <v>9512</v>
      </c>
      <c r="C5031" t="s">
        <v>5043</v>
      </c>
      <c r="D5031" t="s">
        <v>8401</v>
      </c>
    </row>
    <row r="5032" spans="1:4" ht="15" x14ac:dyDescent="0.25">
      <c r="A5032">
        <v>8229</v>
      </c>
      <c r="B5032" t="s">
        <v>11330</v>
      </c>
      <c r="C5032" t="s">
        <v>5043</v>
      </c>
      <c r="D5032" t="s">
        <v>8401</v>
      </c>
    </row>
    <row r="5033" spans="1:4" ht="15" x14ac:dyDescent="0.25">
      <c r="A5033">
        <v>7068</v>
      </c>
      <c r="B5033" t="s">
        <v>11331</v>
      </c>
      <c r="C5033" t="s">
        <v>5043</v>
      </c>
      <c r="D5033" t="s">
        <v>8401</v>
      </c>
    </row>
    <row r="5034" spans="1:4" ht="15" x14ac:dyDescent="0.25">
      <c r="A5034">
        <v>10097</v>
      </c>
      <c r="B5034" t="s">
        <v>9513</v>
      </c>
      <c r="C5034" t="s">
        <v>5043</v>
      </c>
      <c r="D5034" t="s">
        <v>8401</v>
      </c>
    </row>
    <row r="5035" spans="1:4" ht="15" x14ac:dyDescent="0.25">
      <c r="A5035">
        <v>10811</v>
      </c>
      <c r="B5035" t="s">
        <v>9513</v>
      </c>
      <c r="C5035" t="s">
        <v>5043</v>
      </c>
      <c r="D5035" t="s">
        <v>8401</v>
      </c>
    </row>
    <row r="5036" spans="1:4" ht="15" x14ac:dyDescent="0.25">
      <c r="A5036">
        <v>11720</v>
      </c>
      <c r="B5036" t="s">
        <v>9513</v>
      </c>
      <c r="C5036" t="s">
        <v>5043</v>
      </c>
      <c r="D5036" t="s">
        <v>8401</v>
      </c>
    </row>
    <row r="5037" spans="1:4" ht="15" x14ac:dyDescent="0.25">
      <c r="A5037">
        <v>7006</v>
      </c>
      <c r="B5037" t="s">
        <v>9513</v>
      </c>
      <c r="C5037" t="s">
        <v>5043</v>
      </c>
      <c r="D5037" t="s">
        <v>8401</v>
      </c>
    </row>
    <row r="5038" spans="1:4" ht="15" x14ac:dyDescent="0.25">
      <c r="A5038">
        <v>7510</v>
      </c>
      <c r="B5038" t="s">
        <v>9513</v>
      </c>
      <c r="C5038" t="s">
        <v>5043</v>
      </c>
      <c r="D5038" t="s">
        <v>8401</v>
      </c>
    </row>
    <row r="5039" spans="1:4" ht="15" x14ac:dyDescent="0.25">
      <c r="A5039">
        <v>8664</v>
      </c>
      <c r="B5039" t="s">
        <v>9513</v>
      </c>
      <c r="C5039" t="s">
        <v>5043</v>
      </c>
      <c r="D5039" t="s">
        <v>8401</v>
      </c>
    </row>
    <row r="5040" spans="1:4" ht="15" x14ac:dyDescent="0.25">
      <c r="A5040">
        <v>9703</v>
      </c>
      <c r="B5040" t="s">
        <v>9513</v>
      </c>
      <c r="C5040" t="s">
        <v>5043</v>
      </c>
      <c r="D5040" t="s">
        <v>8401</v>
      </c>
    </row>
    <row r="5041" spans="1:4" ht="15" x14ac:dyDescent="0.25">
      <c r="A5041">
        <v>6721</v>
      </c>
      <c r="B5041" t="s">
        <v>9514</v>
      </c>
      <c r="C5041" t="s">
        <v>5043</v>
      </c>
      <c r="D5041" t="s">
        <v>8401</v>
      </c>
    </row>
    <row r="5042" spans="1:4" ht="15" x14ac:dyDescent="0.25">
      <c r="A5042">
        <v>9933</v>
      </c>
      <c r="B5042" t="s">
        <v>11332</v>
      </c>
      <c r="C5042" t="s">
        <v>5043</v>
      </c>
      <c r="D5042" t="s">
        <v>8401</v>
      </c>
    </row>
    <row r="5043" spans="1:4" ht="15" x14ac:dyDescent="0.25">
      <c r="A5043">
        <v>10948</v>
      </c>
      <c r="B5043" t="s">
        <v>11333</v>
      </c>
      <c r="C5043" t="s">
        <v>5043</v>
      </c>
      <c r="D5043" t="s">
        <v>8401</v>
      </c>
    </row>
    <row r="5044" spans="1:4" ht="15" x14ac:dyDescent="0.25">
      <c r="A5044">
        <v>11835</v>
      </c>
      <c r="B5044" t="s">
        <v>9515</v>
      </c>
      <c r="C5044" t="s">
        <v>5043</v>
      </c>
      <c r="D5044" t="s">
        <v>8401</v>
      </c>
    </row>
    <row r="5045" spans="1:4" ht="15" x14ac:dyDescent="0.25">
      <c r="A5045">
        <v>8515</v>
      </c>
      <c r="B5045" t="s">
        <v>9515</v>
      </c>
      <c r="C5045" t="s">
        <v>5043</v>
      </c>
      <c r="D5045" t="s">
        <v>8401</v>
      </c>
    </row>
    <row r="5046" spans="1:4" ht="15" x14ac:dyDescent="0.25">
      <c r="A5046">
        <v>9109</v>
      </c>
      <c r="B5046" t="s">
        <v>9515</v>
      </c>
      <c r="C5046" t="s">
        <v>5043</v>
      </c>
      <c r="D5046" t="s">
        <v>8401</v>
      </c>
    </row>
    <row r="5047" spans="1:4" ht="15" x14ac:dyDescent="0.25">
      <c r="A5047">
        <v>9429</v>
      </c>
      <c r="B5047" t="s">
        <v>9515</v>
      </c>
      <c r="C5047" t="s">
        <v>5043</v>
      </c>
      <c r="D5047" t="s">
        <v>8401</v>
      </c>
    </row>
    <row r="5048" spans="1:4" ht="15" x14ac:dyDescent="0.25">
      <c r="A5048">
        <v>10844</v>
      </c>
      <c r="B5048" t="s">
        <v>9516</v>
      </c>
      <c r="C5048" t="s">
        <v>5043</v>
      </c>
      <c r="D5048" t="s">
        <v>8401</v>
      </c>
    </row>
    <row r="5049" spans="1:4" ht="15" x14ac:dyDescent="0.25">
      <c r="A5049">
        <v>10919</v>
      </c>
      <c r="B5049" t="s">
        <v>9517</v>
      </c>
      <c r="C5049" t="s">
        <v>5043</v>
      </c>
      <c r="D5049" t="s">
        <v>8401</v>
      </c>
    </row>
    <row r="5050" spans="1:4" ht="15" x14ac:dyDescent="0.25">
      <c r="A5050">
        <v>9646</v>
      </c>
      <c r="B5050" t="s">
        <v>9518</v>
      </c>
      <c r="C5050" t="s">
        <v>5043</v>
      </c>
      <c r="D5050" t="s">
        <v>8401</v>
      </c>
    </row>
    <row r="5051" spans="1:4" ht="15" x14ac:dyDescent="0.25">
      <c r="A5051">
        <v>10238</v>
      </c>
      <c r="B5051" t="s">
        <v>9519</v>
      </c>
      <c r="C5051" t="s">
        <v>5043</v>
      </c>
      <c r="D5051" t="s">
        <v>8401</v>
      </c>
    </row>
    <row r="5052" spans="1:4" ht="15" x14ac:dyDescent="0.25">
      <c r="A5052">
        <v>7799</v>
      </c>
      <c r="B5052" t="s">
        <v>9519</v>
      </c>
      <c r="C5052" t="s">
        <v>5043</v>
      </c>
      <c r="D5052" t="s">
        <v>8401</v>
      </c>
    </row>
    <row r="5053" spans="1:4" ht="15" x14ac:dyDescent="0.25">
      <c r="A5053">
        <v>12377</v>
      </c>
      <c r="B5053" t="s">
        <v>11334</v>
      </c>
      <c r="C5053" t="s">
        <v>5043</v>
      </c>
      <c r="D5053" t="s">
        <v>8401</v>
      </c>
    </row>
    <row r="5054" spans="1:4" ht="15" x14ac:dyDescent="0.25">
      <c r="A5054">
        <v>7925</v>
      </c>
      <c r="B5054" t="s">
        <v>9520</v>
      </c>
      <c r="C5054" t="s">
        <v>5043</v>
      </c>
      <c r="D5054" t="s">
        <v>8401</v>
      </c>
    </row>
    <row r="5055" spans="1:4" ht="15" x14ac:dyDescent="0.25">
      <c r="A5055">
        <v>8573</v>
      </c>
      <c r="B5055" t="s">
        <v>9520</v>
      </c>
      <c r="C5055" t="s">
        <v>5043</v>
      </c>
      <c r="D5055" t="s">
        <v>8401</v>
      </c>
    </row>
    <row r="5056" spans="1:4" ht="15" x14ac:dyDescent="0.25">
      <c r="A5056">
        <v>9039</v>
      </c>
      <c r="B5056" t="s">
        <v>9520</v>
      </c>
      <c r="C5056" t="s">
        <v>5043</v>
      </c>
      <c r="D5056" t="s">
        <v>8401</v>
      </c>
    </row>
    <row r="5057" spans="1:4" ht="15" x14ac:dyDescent="0.25">
      <c r="A5057">
        <v>7838</v>
      </c>
      <c r="B5057" t="s">
        <v>11335</v>
      </c>
      <c r="C5057" t="s">
        <v>5043</v>
      </c>
      <c r="D5057" t="s">
        <v>8401</v>
      </c>
    </row>
    <row r="5058" spans="1:4" ht="15" x14ac:dyDescent="0.25">
      <c r="A5058">
        <v>9477</v>
      </c>
      <c r="B5058" t="s">
        <v>11335</v>
      </c>
      <c r="C5058" t="s">
        <v>5043</v>
      </c>
      <c r="D5058" t="s">
        <v>8401</v>
      </c>
    </row>
    <row r="5059" spans="1:4" ht="15" x14ac:dyDescent="0.25">
      <c r="A5059">
        <v>11615</v>
      </c>
      <c r="B5059" t="s">
        <v>11336</v>
      </c>
      <c r="C5059" t="s">
        <v>5043</v>
      </c>
      <c r="D5059" t="s">
        <v>8401</v>
      </c>
    </row>
    <row r="5060" spans="1:4" ht="15" x14ac:dyDescent="0.25">
      <c r="A5060">
        <v>10348</v>
      </c>
      <c r="B5060" t="s">
        <v>11337</v>
      </c>
      <c r="C5060" t="s">
        <v>5043</v>
      </c>
      <c r="D5060" t="s">
        <v>8401</v>
      </c>
    </row>
    <row r="5061" spans="1:4" ht="15" x14ac:dyDescent="0.25">
      <c r="A5061">
        <v>10449</v>
      </c>
      <c r="B5061" t="s">
        <v>9521</v>
      </c>
      <c r="C5061" t="s">
        <v>5043</v>
      </c>
      <c r="D5061" t="s">
        <v>8401</v>
      </c>
    </row>
    <row r="5062" spans="1:4" ht="15" x14ac:dyDescent="0.25">
      <c r="A5062">
        <v>10830</v>
      </c>
      <c r="B5062" t="s">
        <v>9521</v>
      </c>
      <c r="C5062" t="s">
        <v>5043</v>
      </c>
      <c r="D5062" t="s">
        <v>8401</v>
      </c>
    </row>
    <row r="5063" spans="1:4" ht="15" x14ac:dyDescent="0.25">
      <c r="A5063">
        <v>12062</v>
      </c>
      <c r="B5063" t="s">
        <v>9521</v>
      </c>
      <c r="C5063" t="s">
        <v>5043</v>
      </c>
      <c r="D5063" t="s">
        <v>8401</v>
      </c>
    </row>
    <row r="5064" spans="1:4" ht="15" x14ac:dyDescent="0.25">
      <c r="A5064">
        <v>11183</v>
      </c>
      <c r="B5064" t="s">
        <v>9522</v>
      </c>
      <c r="C5064" t="s">
        <v>5043</v>
      </c>
      <c r="D5064" t="s">
        <v>8401</v>
      </c>
    </row>
    <row r="5065" spans="1:4" ht="15" x14ac:dyDescent="0.25">
      <c r="A5065">
        <v>10251</v>
      </c>
      <c r="B5065" t="s">
        <v>9523</v>
      </c>
      <c r="C5065" t="s">
        <v>5043</v>
      </c>
      <c r="D5065" t="s">
        <v>8401</v>
      </c>
    </row>
    <row r="5066" spans="1:4" ht="15" x14ac:dyDescent="0.25">
      <c r="A5066">
        <v>8023</v>
      </c>
      <c r="B5066" t="s">
        <v>9523</v>
      </c>
      <c r="C5066" t="s">
        <v>5043</v>
      </c>
      <c r="D5066" t="s">
        <v>8401</v>
      </c>
    </row>
    <row r="5067" spans="1:4" ht="15" x14ac:dyDescent="0.25">
      <c r="A5067">
        <v>10567</v>
      </c>
      <c r="B5067" t="s">
        <v>9524</v>
      </c>
      <c r="C5067" t="s">
        <v>5043</v>
      </c>
      <c r="D5067" t="s">
        <v>8401</v>
      </c>
    </row>
    <row r="5068" spans="1:4" ht="15" x14ac:dyDescent="0.25">
      <c r="A5068">
        <v>10676</v>
      </c>
      <c r="B5068" t="s">
        <v>9524</v>
      </c>
      <c r="C5068" t="s">
        <v>5043</v>
      </c>
      <c r="D5068" t="s">
        <v>8401</v>
      </c>
    </row>
    <row r="5069" spans="1:4" ht="15" x14ac:dyDescent="0.25">
      <c r="A5069">
        <v>11653</v>
      </c>
      <c r="B5069" t="s">
        <v>9524</v>
      </c>
      <c r="C5069" t="s">
        <v>5043</v>
      </c>
      <c r="D5069" t="s">
        <v>8401</v>
      </c>
    </row>
    <row r="5070" spans="1:4" ht="15" x14ac:dyDescent="0.25">
      <c r="A5070">
        <v>11869</v>
      </c>
      <c r="B5070" t="s">
        <v>9524</v>
      </c>
      <c r="C5070" t="s">
        <v>5043</v>
      </c>
      <c r="D5070" t="s">
        <v>8401</v>
      </c>
    </row>
    <row r="5071" spans="1:4" ht="15" x14ac:dyDescent="0.25">
      <c r="A5071">
        <v>8207</v>
      </c>
      <c r="B5071" t="s">
        <v>9524</v>
      </c>
      <c r="C5071" t="s">
        <v>5043</v>
      </c>
      <c r="D5071" t="s">
        <v>8401</v>
      </c>
    </row>
    <row r="5072" spans="1:4" ht="15" x14ac:dyDescent="0.25">
      <c r="A5072">
        <v>9361</v>
      </c>
      <c r="B5072" t="s">
        <v>9524</v>
      </c>
      <c r="C5072" t="s">
        <v>5043</v>
      </c>
      <c r="D5072" t="s">
        <v>8401</v>
      </c>
    </row>
    <row r="5073" spans="1:4" ht="15" x14ac:dyDescent="0.25">
      <c r="A5073">
        <v>9520</v>
      </c>
      <c r="B5073" t="s">
        <v>9524</v>
      </c>
      <c r="C5073" t="s">
        <v>5043</v>
      </c>
      <c r="D5073" t="s">
        <v>8401</v>
      </c>
    </row>
    <row r="5074" spans="1:4" ht="15" x14ac:dyDescent="0.25">
      <c r="A5074">
        <v>9799</v>
      </c>
      <c r="B5074" t="s">
        <v>9524</v>
      </c>
      <c r="C5074" t="s">
        <v>5043</v>
      </c>
      <c r="D5074" t="s">
        <v>8401</v>
      </c>
    </row>
    <row r="5075" spans="1:4" ht="15" x14ac:dyDescent="0.25">
      <c r="A5075">
        <v>10265</v>
      </c>
      <c r="B5075" t="s">
        <v>11338</v>
      </c>
      <c r="C5075" t="s">
        <v>5043</v>
      </c>
      <c r="D5075" t="s">
        <v>8401</v>
      </c>
    </row>
    <row r="5076" spans="1:4" ht="15" x14ac:dyDescent="0.25">
      <c r="A5076">
        <v>11444</v>
      </c>
      <c r="B5076" t="s">
        <v>9525</v>
      </c>
      <c r="C5076" t="s">
        <v>5043</v>
      </c>
      <c r="D5076" t="s">
        <v>8401</v>
      </c>
    </row>
    <row r="5077" spans="1:4" ht="15" x14ac:dyDescent="0.25">
      <c r="A5077">
        <v>6717</v>
      </c>
      <c r="B5077" t="s">
        <v>9525</v>
      </c>
      <c r="C5077" t="s">
        <v>5043</v>
      </c>
      <c r="D5077" t="s">
        <v>8401</v>
      </c>
    </row>
    <row r="5078" spans="1:4" ht="15" x14ac:dyDescent="0.25">
      <c r="A5078">
        <v>6930</v>
      </c>
      <c r="B5078" t="s">
        <v>9525</v>
      </c>
      <c r="C5078" t="s">
        <v>5043</v>
      </c>
      <c r="D5078" t="s">
        <v>8401</v>
      </c>
    </row>
    <row r="5079" spans="1:4" ht="15" x14ac:dyDescent="0.25">
      <c r="A5079">
        <v>7438</v>
      </c>
      <c r="B5079" t="s">
        <v>9525</v>
      </c>
      <c r="C5079" t="s">
        <v>5043</v>
      </c>
      <c r="D5079" t="s">
        <v>8401</v>
      </c>
    </row>
    <row r="5080" spans="1:4" ht="15" x14ac:dyDescent="0.25">
      <c r="A5080">
        <v>7499</v>
      </c>
      <c r="B5080" t="s">
        <v>9525</v>
      </c>
      <c r="C5080" t="s">
        <v>5043</v>
      </c>
      <c r="D5080" t="s">
        <v>8401</v>
      </c>
    </row>
    <row r="5081" spans="1:4" ht="15" x14ac:dyDescent="0.25">
      <c r="A5081">
        <v>11442</v>
      </c>
      <c r="B5081" t="s">
        <v>9526</v>
      </c>
      <c r="C5081" t="s">
        <v>5043</v>
      </c>
      <c r="D5081" t="s">
        <v>8401</v>
      </c>
    </row>
    <row r="5082" spans="1:4" ht="15" x14ac:dyDescent="0.25">
      <c r="A5082">
        <v>7700</v>
      </c>
      <c r="B5082" t="s">
        <v>9526</v>
      </c>
      <c r="C5082" t="s">
        <v>5043</v>
      </c>
      <c r="D5082" t="s">
        <v>8401</v>
      </c>
    </row>
    <row r="5083" spans="1:4" ht="15" x14ac:dyDescent="0.25">
      <c r="A5083">
        <v>11041</v>
      </c>
      <c r="B5083" t="s">
        <v>9527</v>
      </c>
      <c r="C5083" t="s">
        <v>5043</v>
      </c>
      <c r="D5083" t="s">
        <v>8401</v>
      </c>
    </row>
    <row r="5084" spans="1:4" ht="15" x14ac:dyDescent="0.25">
      <c r="A5084">
        <v>7908</v>
      </c>
      <c r="B5084" t="s">
        <v>9528</v>
      </c>
      <c r="C5084" t="s">
        <v>5043</v>
      </c>
      <c r="D5084" t="s">
        <v>8401</v>
      </c>
    </row>
    <row r="5085" spans="1:4" ht="15" x14ac:dyDescent="0.25">
      <c r="A5085">
        <v>8661</v>
      </c>
      <c r="B5085" t="s">
        <v>9529</v>
      </c>
      <c r="C5085" t="s">
        <v>5043</v>
      </c>
      <c r="D5085" t="s">
        <v>8401</v>
      </c>
    </row>
    <row r="5086" spans="1:4" ht="15" x14ac:dyDescent="0.25">
      <c r="A5086">
        <v>10330</v>
      </c>
      <c r="B5086" t="s">
        <v>9530</v>
      </c>
      <c r="C5086" t="s">
        <v>5043</v>
      </c>
      <c r="D5086" t="s">
        <v>8401</v>
      </c>
    </row>
    <row r="5087" spans="1:4" ht="15" x14ac:dyDescent="0.25">
      <c r="A5087">
        <v>11948</v>
      </c>
      <c r="B5087" t="s">
        <v>9530</v>
      </c>
      <c r="C5087" t="s">
        <v>5043</v>
      </c>
      <c r="D5087" t="s">
        <v>8401</v>
      </c>
    </row>
    <row r="5088" spans="1:4" ht="15" x14ac:dyDescent="0.25">
      <c r="A5088">
        <v>6676</v>
      </c>
      <c r="B5088" t="s">
        <v>9530</v>
      </c>
      <c r="C5088" t="s">
        <v>5043</v>
      </c>
      <c r="D5088" t="s">
        <v>8401</v>
      </c>
    </row>
    <row r="5089" spans="1:4" ht="15" x14ac:dyDescent="0.25">
      <c r="A5089">
        <v>7219</v>
      </c>
      <c r="B5089" t="s">
        <v>9530</v>
      </c>
      <c r="C5089" t="s">
        <v>5043</v>
      </c>
      <c r="D5089" t="s">
        <v>8401</v>
      </c>
    </row>
    <row r="5090" spans="1:4" ht="15" x14ac:dyDescent="0.25">
      <c r="A5090">
        <v>7313</v>
      </c>
      <c r="B5090" t="s">
        <v>9530</v>
      </c>
      <c r="C5090" t="s">
        <v>5043</v>
      </c>
      <c r="D5090" t="s">
        <v>8401</v>
      </c>
    </row>
    <row r="5091" spans="1:4" ht="15" x14ac:dyDescent="0.25">
      <c r="A5091">
        <v>8619</v>
      </c>
      <c r="B5091" t="s">
        <v>9530</v>
      </c>
      <c r="C5091" t="s">
        <v>5043</v>
      </c>
      <c r="D5091" t="s">
        <v>8401</v>
      </c>
    </row>
    <row r="5092" spans="1:4" ht="15" x14ac:dyDescent="0.25">
      <c r="A5092">
        <v>8270</v>
      </c>
      <c r="B5092" t="s">
        <v>11339</v>
      </c>
      <c r="C5092" t="s">
        <v>5043</v>
      </c>
      <c r="D5092" t="s">
        <v>8401</v>
      </c>
    </row>
    <row r="5093" spans="1:4" ht="15" x14ac:dyDescent="0.25">
      <c r="A5093">
        <v>9324</v>
      </c>
      <c r="B5093" t="s">
        <v>11340</v>
      </c>
      <c r="C5093" t="s">
        <v>5043</v>
      </c>
      <c r="D5093" t="s">
        <v>8401</v>
      </c>
    </row>
    <row r="5094" spans="1:4" ht="15" x14ac:dyDescent="0.25">
      <c r="A5094">
        <v>11968</v>
      </c>
      <c r="B5094" t="s">
        <v>11341</v>
      </c>
      <c r="C5094" t="s">
        <v>5043</v>
      </c>
      <c r="D5094" t="s">
        <v>8401</v>
      </c>
    </row>
    <row r="5095" spans="1:4" ht="15" x14ac:dyDescent="0.25">
      <c r="A5095">
        <v>10448</v>
      </c>
      <c r="B5095" t="s">
        <v>11342</v>
      </c>
      <c r="C5095" t="s">
        <v>5043</v>
      </c>
      <c r="D5095" t="s">
        <v>8401</v>
      </c>
    </row>
    <row r="5096" spans="1:4" ht="15" x14ac:dyDescent="0.25">
      <c r="A5096">
        <v>11663</v>
      </c>
      <c r="B5096" t="s">
        <v>11342</v>
      </c>
      <c r="C5096" t="s">
        <v>5043</v>
      </c>
      <c r="D5096" t="s">
        <v>8401</v>
      </c>
    </row>
    <row r="5097" spans="1:4" ht="15" x14ac:dyDescent="0.25">
      <c r="A5097">
        <v>9382</v>
      </c>
      <c r="B5097" t="s">
        <v>11343</v>
      </c>
      <c r="C5097" t="s">
        <v>5043</v>
      </c>
      <c r="D5097" t="s">
        <v>8401</v>
      </c>
    </row>
    <row r="5098" spans="1:4" ht="15" x14ac:dyDescent="0.25">
      <c r="A5098">
        <v>10873</v>
      </c>
      <c r="B5098" t="s">
        <v>11344</v>
      </c>
      <c r="C5098" t="s">
        <v>5043</v>
      </c>
      <c r="D5098" t="s">
        <v>8401</v>
      </c>
    </row>
    <row r="5099" spans="1:4" ht="15" x14ac:dyDescent="0.25">
      <c r="A5099">
        <v>7647</v>
      </c>
      <c r="B5099" t="s">
        <v>11344</v>
      </c>
      <c r="C5099" t="s">
        <v>5043</v>
      </c>
      <c r="D5099" t="s">
        <v>8401</v>
      </c>
    </row>
    <row r="5100" spans="1:4" ht="15" x14ac:dyDescent="0.25">
      <c r="A5100">
        <v>8547</v>
      </c>
      <c r="B5100" t="s">
        <v>11344</v>
      </c>
      <c r="C5100" t="s">
        <v>5043</v>
      </c>
      <c r="D5100" t="s">
        <v>8401</v>
      </c>
    </row>
    <row r="5101" spans="1:4" ht="15" x14ac:dyDescent="0.25">
      <c r="A5101">
        <v>9801</v>
      </c>
      <c r="B5101" t="s">
        <v>11344</v>
      </c>
      <c r="C5101" t="s">
        <v>5043</v>
      </c>
      <c r="D5101" t="s">
        <v>8401</v>
      </c>
    </row>
    <row r="5102" spans="1:4" ht="15" x14ac:dyDescent="0.25">
      <c r="A5102">
        <v>11139</v>
      </c>
      <c r="B5102" t="s">
        <v>11345</v>
      </c>
      <c r="C5102" t="s">
        <v>5043</v>
      </c>
      <c r="D5102" t="s">
        <v>8401</v>
      </c>
    </row>
    <row r="5103" spans="1:4" ht="15" x14ac:dyDescent="0.25">
      <c r="A5103">
        <v>7339</v>
      </c>
      <c r="B5103" t="s">
        <v>11346</v>
      </c>
      <c r="C5103" t="s">
        <v>5043</v>
      </c>
      <c r="D5103" t="s">
        <v>8401</v>
      </c>
    </row>
    <row r="5104" spans="1:4" ht="15" x14ac:dyDescent="0.25">
      <c r="A5104">
        <v>7814</v>
      </c>
      <c r="B5104" t="s">
        <v>11346</v>
      </c>
      <c r="C5104" t="s">
        <v>5043</v>
      </c>
      <c r="D5104" t="s">
        <v>8401</v>
      </c>
    </row>
    <row r="5105" spans="1:4" ht="15" x14ac:dyDescent="0.25">
      <c r="A5105">
        <v>8455</v>
      </c>
      <c r="B5105" t="s">
        <v>11346</v>
      </c>
      <c r="C5105" t="s">
        <v>5043</v>
      </c>
      <c r="D5105" t="s">
        <v>8401</v>
      </c>
    </row>
    <row r="5106" spans="1:4" ht="15" x14ac:dyDescent="0.25">
      <c r="A5106">
        <v>9082</v>
      </c>
      <c r="B5106" t="s">
        <v>11346</v>
      </c>
      <c r="C5106" t="s">
        <v>5043</v>
      </c>
      <c r="D5106" t="s">
        <v>8401</v>
      </c>
    </row>
    <row r="5107" spans="1:4" ht="15" x14ac:dyDescent="0.25">
      <c r="A5107">
        <v>9480</v>
      </c>
      <c r="B5107" t="s">
        <v>11346</v>
      </c>
      <c r="C5107" t="s">
        <v>5043</v>
      </c>
      <c r="D5107" t="s">
        <v>8401</v>
      </c>
    </row>
    <row r="5108" spans="1:4" ht="15" x14ac:dyDescent="0.25">
      <c r="A5108">
        <v>10987</v>
      </c>
      <c r="B5108" t="s">
        <v>9531</v>
      </c>
      <c r="C5108" t="s">
        <v>5043</v>
      </c>
      <c r="D5108" t="s">
        <v>8401</v>
      </c>
    </row>
    <row r="5109" spans="1:4" ht="15" x14ac:dyDescent="0.25">
      <c r="A5109">
        <v>8112</v>
      </c>
      <c r="B5109" t="s">
        <v>9531</v>
      </c>
      <c r="C5109" t="s">
        <v>5043</v>
      </c>
      <c r="D5109" t="s">
        <v>8401</v>
      </c>
    </row>
    <row r="5110" spans="1:4" ht="15" x14ac:dyDescent="0.25">
      <c r="A5110">
        <v>8193</v>
      </c>
      <c r="B5110" t="s">
        <v>9532</v>
      </c>
      <c r="C5110" t="s">
        <v>5043</v>
      </c>
      <c r="D5110" t="s">
        <v>8401</v>
      </c>
    </row>
    <row r="5111" spans="1:4" ht="15" x14ac:dyDescent="0.25">
      <c r="A5111">
        <v>8855</v>
      </c>
      <c r="B5111" t="s">
        <v>9532</v>
      </c>
      <c r="C5111" t="s">
        <v>5043</v>
      </c>
      <c r="D5111" t="s">
        <v>8401</v>
      </c>
    </row>
    <row r="5112" spans="1:4" ht="15" x14ac:dyDescent="0.25">
      <c r="A5112">
        <v>11616</v>
      </c>
      <c r="B5112" t="s">
        <v>9533</v>
      </c>
      <c r="C5112" t="s">
        <v>5043</v>
      </c>
      <c r="D5112" t="s">
        <v>8401</v>
      </c>
    </row>
    <row r="5113" spans="1:4" ht="15" x14ac:dyDescent="0.25">
      <c r="A5113">
        <v>7865</v>
      </c>
      <c r="B5113" t="s">
        <v>9534</v>
      </c>
      <c r="C5113" t="s">
        <v>5043</v>
      </c>
      <c r="D5113" t="s">
        <v>8401</v>
      </c>
    </row>
    <row r="5114" spans="1:4" ht="15" x14ac:dyDescent="0.25">
      <c r="A5114">
        <v>8954</v>
      </c>
      <c r="B5114" t="s">
        <v>9534</v>
      </c>
      <c r="C5114" t="s">
        <v>5043</v>
      </c>
      <c r="D5114" t="s">
        <v>8401</v>
      </c>
    </row>
    <row r="5115" spans="1:4" ht="15" x14ac:dyDescent="0.25">
      <c r="A5115">
        <v>12083</v>
      </c>
      <c r="B5115" t="s">
        <v>9535</v>
      </c>
      <c r="C5115" t="s">
        <v>5043</v>
      </c>
      <c r="D5115" t="s">
        <v>8401</v>
      </c>
    </row>
    <row r="5116" spans="1:4" ht="15" x14ac:dyDescent="0.25">
      <c r="A5116">
        <v>7961</v>
      </c>
      <c r="B5116" t="s">
        <v>9536</v>
      </c>
      <c r="C5116" t="s">
        <v>5043</v>
      </c>
      <c r="D5116" t="s">
        <v>8401</v>
      </c>
    </row>
    <row r="5117" spans="1:4" ht="15" x14ac:dyDescent="0.25">
      <c r="A5117">
        <v>10018</v>
      </c>
      <c r="B5117" t="s">
        <v>11347</v>
      </c>
      <c r="C5117" t="s">
        <v>5043</v>
      </c>
      <c r="D5117" t="s">
        <v>8401</v>
      </c>
    </row>
    <row r="5118" spans="1:4" ht="15" x14ac:dyDescent="0.25">
      <c r="A5118">
        <v>10413</v>
      </c>
      <c r="B5118" t="s">
        <v>9537</v>
      </c>
      <c r="C5118" t="s">
        <v>5043</v>
      </c>
      <c r="D5118" t="s">
        <v>8401</v>
      </c>
    </row>
    <row r="5119" spans="1:4" ht="15" x14ac:dyDescent="0.25">
      <c r="A5119">
        <v>11811</v>
      </c>
      <c r="B5119" t="s">
        <v>9537</v>
      </c>
      <c r="C5119" t="s">
        <v>5043</v>
      </c>
      <c r="D5119" t="s">
        <v>8401</v>
      </c>
    </row>
    <row r="5120" spans="1:4" ht="15" x14ac:dyDescent="0.25">
      <c r="A5120">
        <v>7495</v>
      </c>
      <c r="B5120" t="s">
        <v>11348</v>
      </c>
      <c r="C5120" t="s">
        <v>5043</v>
      </c>
      <c r="D5120" t="s">
        <v>8401</v>
      </c>
    </row>
    <row r="5121" spans="1:4" ht="15" x14ac:dyDescent="0.25">
      <c r="A5121">
        <v>10973</v>
      </c>
      <c r="B5121" t="s">
        <v>9538</v>
      </c>
      <c r="C5121" t="s">
        <v>5043</v>
      </c>
      <c r="D5121" t="s">
        <v>8401</v>
      </c>
    </row>
    <row r="5122" spans="1:4" ht="15" x14ac:dyDescent="0.25">
      <c r="A5122">
        <v>12000</v>
      </c>
      <c r="B5122" t="s">
        <v>9538</v>
      </c>
      <c r="C5122" t="s">
        <v>5043</v>
      </c>
      <c r="D5122" t="s">
        <v>8401</v>
      </c>
    </row>
    <row r="5123" spans="1:4" ht="15" x14ac:dyDescent="0.25">
      <c r="A5123">
        <v>8874</v>
      </c>
      <c r="B5123" t="s">
        <v>9538</v>
      </c>
      <c r="C5123" t="s">
        <v>5043</v>
      </c>
      <c r="D5123" t="s">
        <v>8401</v>
      </c>
    </row>
    <row r="5124" spans="1:4" ht="15" x14ac:dyDescent="0.25">
      <c r="A5124">
        <v>10181</v>
      </c>
      <c r="B5124" t="s">
        <v>9539</v>
      </c>
      <c r="C5124" t="s">
        <v>5043</v>
      </c>
      <c r="D5124" t="s">
        <v>8401</v>
      </c>
    </row>
    <row r="5125" spans="1:4" ht="15" x14ac:dyDescent="0.25">
      <c r="A5125">
        <v>10311</v>
      </c>
      <c r="B5125" t="s">
        <v>9540</v>
      </c>
      <c r="C5125" t="s">
        <v>5043</v>
      </c>
      <c r="D5125" t="s">
        <v>8401</v>
      </c>
    </row>
    <row r="5126" spans="1:4" ht="15" x14ac:dyDescent="0.25">
      <c r="A5126">
        <v>10896</v>
      </c>
      <c r="B5126" t="s">
        <v>9541</v>
      </c>
      <c r="C5126" t="s">
        <v>5043</v>
      </c>
      <c r="D5126" t="s">
        <v>8401</v>
      </c>
    </row>
    <row r="5127" spans="1:4" ht="15" x14ac:dyDescent="0.25">
      <c r="A5127">
        <v>10683</v>
      </c>
      <c r="B5127" t="s">
        <v>9542</v>
      </c>
      <c r="C5127" t="s">
        <v>5043</v>
      </c>
      <c r="D5127" t="s">
        <v>8401</v>
      </c>
    </row>
    <row r="5128" spans="1:4" ht="15" x14ac:dyDescent="0.25">
      <c r="A5128">
        <v>7969</v>
      </c>
      <c r="B5128" t="s">
        <v>9542</v>
      </c>
      <c r="C5128" t="s">
        <v>5043</v>
      </c>
      <c r="D5128" t="s">
        <v>8401</v>
      </c>
    </row>
    <row r="5129" spans="1:4" ht="15" x14ac:dyDescent="0.25">
      <c r="A5129">
        <v>10680</v>
      </c>
      <c r="B5129" t="s">
        <v>9543</v>
      </c>
      <c r="C5129" t="s">
        <v>5043</v>
      </c>
      <c r="D5129" t="s">
        <v>8401</v>
      </c>
    </row>
    <row r="5130" spans="1:4" ht="15" x14ac:dyDescent="0.25">
      <c r="A5130">
        <v>11929</v>
      </c>
      <c r="B5130" t="s">
        <v>9543</v>
      </c>
      <c r="C5130" t="s">
        <v>5043</v>
      </c>
      <c r="D5130" t="s">
        <v>8401</v>
      </c>
    </row>
    <row r="5131" spans="1:4" ht="15" x14ac:dyDescent="0.25">
      <c r="A5131">
        <v>7650</v>
      </c>
      <c r="B5131" t="s">
        <v>9543</v>
      </c>
      <c r="C5131" t="s">
        <v>5043</v>
      </c>
      <c r="D5131" t="s">
        <v>8401</v>
      </c>
    </row>
    <row r="5132" spans="1:4" ht="15" x14ac:dyDescent="0.25">
      <c r="A5132">
        <v>7771</v>
      </c>
      <c r="B5132" t="s">
        <v>9544</v>
      </c>
      <c r="C5132" t="s">
        <v>5043</v>
      </c>
      <c r="D5132" t="s">
        <v>8401</v>
      </c>
    </row>
    <row r="5133" spans="1:4" ht="15" x14ac:dyDescent="0.25">
      <c r="A5133">
        <v>11412</v>
      </c>
      <c r="B5133" t="s">
        <v>9545</v>
      </c>
      <c r="C5133" t="s">
        <v>5043</v>
      </c>
      <c r="D5133" t="s">
        <v>8401</v>
      </c>
    </row>
    <row r="5134" spans="1:4" ht="15" x14ac:dyDescent="0.25">
      <c r="A5134">
        <v>12450</v>
      </c>
      <c r="B5134" t="s">
        <v>9545</v>
      </c>
      <c r="C5134" t="s">
        <v>5043</v>
      </c>
      <c r="D5134" t="s">
        <v>8401</v>
      </c>
    </row>
    <row r="5135" spans="1:4" ht="15" x14ac:dyDescent="0.25">
      <c r="A5135">
        <v>6931</v>
      </c>
      <c r="B5135" t="s">
        <v>9545</v>
      </c>
      <c r="C5135" t="s">
        <v>5043</v>
      </c>
      <c r="D5135" t="s">
        <v>8401</v>
      </c>
    </row>
    <row r="5136" spans="1:4" ht="15" x14ac:dyDescent="0.25">
      <c r="A5136">
        <v>9435</v>
      </c>
      <c r="B5136" t="s">
        <v>9545</v>
      </c>
      <c r="C5136" t="s">
        <v>5043</v>
      </c>
      <c r="D5136" t="s">
        <v>8401</v>
      </c>
    </row>
    <row r="5137" spans="1:4" ht="15" x14ac:dyDescent="0.25">
      <c r="A5137">
        <v>8094</v>
      </c>
      <c r="B5137" t="s">
        <v>9546</v>
      </c>
      <c r="C5137" t="s">
        <v>5043</v>
      </c>
      <c r="D5137" t="s">
        <v>8401</v>
      </c>
    </row>
    <row r="5138" spans="1:4" ht="15" x14ac:dyDescent="0.25">
      <c r="A5138">
        <v>6825</v>
      </c>
      <c r="B5138" t="s">
        <v>11349</v>
      </c>
      <c r="C5138" t="s">
        <v>5043</v>
      </c>
      <c r="D5138" t="s">
        <v>8401</v>
      </c>
    </row>
    <row r="5139" spans="1:4" ht="15" x14ac:dyDescent="0.25">
      <c r="A5139">
        <v>8136</v>
      </c>
      <c r="B5139" t="s">
        <v>11349</v>
      </c>
      <c r="C5139" t="s">
        <v>5043</v>
      </c>
      <c r="D5139" t="s">
        <v>8401</v>
      </c>
    </row>
    <row r="5140" spans="1:4" ht="15" x14ac:dyDescent="0.25">
      <c r="A5140">
        <v>8683</v>
      </c>
      <c r="B5140" t="s">
        <v>11349</v>
      </c>
      <c r="C5140" t="s">
        <v>5043</v>
      </c>
      <c r="D5140" t="s">
        <v>8401</v>
      </c>
    </row>
    <row r="5141" spans="1:4" ht="15" x14ac:dyDescent="0.25">
      <c r="A5141">
        <v>11330</v>
      </c>
      <c r="B5141" t="s">
        <v>11350</v>
      </c>
      <c r="C5141" t="s">
        <v>5043</v>
      </c>
      <c r="D5141" t="s">
        <v>8401</v>
      </c>
    </row>
    <row r="5142" spans="1:4" ht="15" x14ac:dyDescent="0.25">
      <c r="A5142">
        <v>7752</v>
      </c>
      <c r="B5142" t="s">
        <v>11350</v>
      </c>
      <c r="C5142" t="s">
        <v>5043</v>
      </c>
      <c r="D5142" t="s">
        <v>8401</v>
      </c>
    </row>
    <row r="5143" spans="1:4" ht="15" x14ac:dyDescent="0.25">
      <c r="A5143">
        <v>7692</v>
      </c>
      <c r="B5143" t="s">
        <v>11351</v>
      </c>
      <c r="C5143" t="s">
        <v>5043</v>
      </c>
      <c r="D5143" t="s">
        <v>8401</v>
      </c>
    </row>
    <row r="5144" spans="1:4" ht="15" x14ac:dyDescent="0.25">
      <c r="A5144">
        <v>7255</v>
      </c>
      <c r="B5144" t="s">
        <v>9547</v>
      </c>
      <c r="C5144" t="s">
        <v>5043</v>
      </c>
      <c r="D5144" t="s">
        <v>8401</v>
      </c>
    </row>
    <row r="5145" spans="1:4" ht="15" x14ac:dyDescent="0.25">
      <c r="A5145">
        <v>10853</v>
      </c>
      <c r="B5145" t="s">
        <v>9548</v>
      </c>
      <c r="C5145" t="s">
        <v>5043</v>
      </c>
      <c r="D5145" t="s">
        <v>8401</v>
      </c>
    </row>
    <row r="5146" spans="1:4" ht="15" x14ac:dyDescent="0.25">
      <c r="A5146">
        <v>8195</v>
      </c>
      <c r="B5146" t="s">
        <v>9548</v>
      </c>
      <c r="C5146" t="s">
        <v>5043</v>
      </c>
      <c r="D5146" t="s">
        <v>8401</v>
      </c>
    </row>
    <row r="5147" spans="1:4" ht="15" x14ac:dyDescent="0.25">
      <c r="A5147">
        <v>11011</v>
      </c>
      <c r="B5147" t="s">
        <v>11352</v>
      </c>
      <c r="C5147" t="s">
        <v>5043</v>
      </c>
      <c r="D5147" t="s">
        <v>8401</v>
      </c>
    </row>
    <row r="5148" spans="1:4" ht="15" x14ac:dyDescent="0.25">
      <c r="A5148">
        <v>10620</v>
      </c>
      <c r="B5148" t="s">
        <v>11353</v>
      </c>
      <c r="C5148" t="s">
        <v>5043</v>
      </c>
      <c r="D5148" t="s">
        <v>8401</v>
      </c>
    </row>
    <row r="5149" spans="1:4" ht="15" x14ac:dyDescent="0.25">
      <c r="A5149">
        <v>10707</v>
      </c>
      <c r="B5149" t="s">
        <v>11354</v>
      </c>
      <c r="C5149" t="s">
        <v>5043</v>
      </c>
      <c r="D5149" t="s">
        <v>8401</v>
      </c>
    </row>
    <row r="5150" spans="1:4" ht="15" x14ac:dyDescent="0.25">
      <c r="A5150">
        <v>9057</v>
      </c>
      <c r="B5150" t="s">
        <v>11354</v>
      </c>
      <c r="C5150" t="s">
        <v>5043</v>
      </c>
      <c r="D5150" t="s">
        <v>8401</v>
      </c>
    </row>
    <row r="5151" spans="1:4" ht="15" x14ac:dyDescent="0.25">
      <c r="A5151">
        <v>9812</v>
      </c>
      <c r="B5151" t="s">
        <v>11354</v>
      </c>
      <c r="C5151" t="s">
        <v>5043</v>
      </c>
      <c r="D5151" t="s">
        <v>8401</v>
      </c>
    </row>
    <row r="5152" spans="1:4" ht="15" x14ac:dyDescent="0.25">
      <c r="A5152">
        <v>8036</v>
      </c>
      <c r="B5152" t="s">
        <v>11355</v>
      </c>
      <c r="C5152" t="s">
        <v>5043</v>
      </c>
      <c r="D5152" t="s">
        <v>8401</v>
      </c>
    </row>
    <row r="5153" spans="1:4" ht="15" x14ac:dyDescent="0.25">
      <c r="A5153">
        <v>10523</v>
      </c>
      <c r="B5153" t="s">
        <v>11356</v>
      </c>
      <c r="C5153" t="s">
        <v>5043</v>
      </c>
      <c r="D5153" t="s">
        <v>8401</v>
      </c>
    </row>
    <row r="5154" spans="1:4" ht="15" x14ac:dyDescent="0.25">
      <c r="A5154">
        <v>11170</v>
      </c>
      <c r="B5154" t="s">
        <v>11356</v>
      </c>
      <c r="C5154" t="s">
        <v>5043</v>
      </c>
      <c r="D5154" t="s">
        <v>8401</v>
      </c>
    </row>
    <row r="5155" spans="1:4" ht="15" x14ac:dyDescent="0.25">
      <c r="A5155">
        <v>7329</v>
      </c>
      <c r="B5155" t="s">
        <v>11356</v>
      </c>
      <c r="C5155" t="s">
        <v>5043</v>
      </c>
      <c r="D5155" t="s">
        <v>8401</v>
      </c>
    </row>
    <row r="5156" spans="1:4" ht="15" x14ac:dyDescent="0.25">
      <c r="A5156">
        <v>7472</v>
      </c>
      <c r="B5156" t="s">
        <v>11356</v>
      </c>
      <c r="C5156" t="s">
        <v>5043</v>
      </c>
      <c r="D5156" t="s">
        <v>8401</v>
      </c>
    </row>
    <row r="5157" spans="1:4" ht="15" x14ac:dyDescent="0.25">
      <c r="A5157">
        <v>8553</v>
      </c>
      <c r="B5157" t="s">
        <v>11356</v>
      </c>
      <c r="C5157" t="s">
        <v>5043</v>
      </c>
      <c r="D5157" t="s">
        <v>8401</v>
      </c>
    </row>
    <row r="5158" spans="1:4" ht="15" x14ac:dyDescent="0.25">
      <c r="A5158">
        <v>9947</v>
      </c>
      <c r="B5158" t="s">
        <v>11356</v>
      </c>
      <c r="C5158" t="s">
        <v>5043</v>
      </c>
      <c r="D5158" t="s">
        <v>8401</v>
      </c>
    </row>
    <row r="5159" spans="1:4" ht="15" x14ac:dyDescent="0.25">
      <c r="A5159">
        <v>10322</v>
      </c>
      <c r="B5159" t="s">
        <v>9549</v>
      </c>
      <c r="C5159" t="s">
        <v>5043</v>
      </c>
      <c r="D5159" t="s">
        <v>8401</v>
      </c>
    </row>
    <row r="5160" spans="1:4" ht="15" x14ac:dyDescent="0.25">
      <c r="A5160">
        <v>10970</v>
      </c>
      <c r="B5160" t="s">
        <v>9549</v>
      </c>
      <c r="C5160" t="s">
        <v>5043</v>
      </c>
      <c r="D5160" t="s">
        <v>8401</v>
      </c>
    </row>
    <row r="5161" spans="1:4" ht="15" x14ac:dyDescent="0.25">
      <c r="A5161">
        <v>9735</v>
      </c>
      <c r="B5161" t="s">
        <v>9549</v>
      </c>
      <c r="C5161" t="s">
        <v>5043</v>
      </c>
      <c r="D5161" t="s">
        <v>8401</v>
      </c>
    </row>
    <row r="5162" spans="1:4" ht="15" x14ac:dyDescent="0.25">
      <c r="A5162">
        <v>11813</v>
      </c>
      <c r="B5162" t="s">
        <v>11357</v>
      </c>
      <c r="C5162" t="s">
        <v>5043</v>
      </c>
      <c r="D5162" t="s">
        <v>8401</v>
      </c>
    </row>
    <row r="5163" spans="1:4" ht="15" x14ac:dyDescent="0.25">
      <c r="A5163">
        <v>11246</v>
      </c>
      <c r="B5163" t="s">
        <v>9550</v>
      </c>
      <c r="C5163" t="s">
        <v>5043</v>
      </c>
      <c r="D5163" t="s">
        <v>8401</v>
      </c>
    </row>
    <row r="5164" spans="1:4" ht="15" x14ac:dyDescent="0.25">
      <c r="A5164">
        <v>7311</v>
      </c>
      <c r="B5164" t="s">
        <v>9550</v>
      </c>
      <c r="C5164" t="s">
        <v>5043</v>
      </c>
      <c r="D5164" t="s">
        <v>8401</v>
      </c>
    </row>
    <row r="5165" spans="1:4" ht="15" x14ac:dyDescent="0.25">
      <c r="A5165">
        <v>8037</v>
      </c>
      <c r="B5165" t="s">
        <v>9550</v>
      </c>
      <c r="C5165" t="s">
        <v>5043</v>
      </c>
      <c r="D5165" t="s">
        <v>8401</v>
      </c>
    </row>
    <row r="5166" spans="1:4" ht="15" x14ac:dyDescent="0.25">
      <c r="A5166">
        <v>10715</v>
      </c>
      <c r="B5166" t="s">
        <v>11358</v>
      </c>
      <c r="C5166" t="s">
        <v>5043</v>
      </c>
      <c r="D5166" t="s">
        <v>8401</v>
      </c>
    </row>
    <row r="5167" spans="1:4" ht="15" x14ac:dyDescent="0.25">
      <c r="A5167">
        <v>7550</v>
      </c>
      <c r="B5167" t="s">
        <v>11358</v>
      </c>
      <c r="C5167" t="s">
        <v>5043</v>
      </c>
      <c r="D5167" t="s">
        <v>8401</v>
      </c>
    </row>
    <row r="5168" spans="1:4" ht="15" x14ac:dyDescent="0.25">
      <c r="A5168">
        <v>8211</v>
      </c>
      <c r="B5168" t="s">
        <v>11358</v>
      </c>
      <c r="C5168" t="s">
        <v>5043</v>
      </c>
      <c r="D5168" t="s">
        <v>8401</v>
      </c>
    </row>
    <row r="5169" spans="1:4" ht="15" x14ac:dyDescent="0.25">
      <c r="A5169">
        <v>8392</v>
      </c>
      <c r="B5169" t="s">
        <v>11358</v>
      </c>
      <c r="C5169" t="s">
        <v>5043</v>
      </c>
      <c r="D5169" t="s">
        <v>8401</v>
      </c>
    </row>
    <row r="5170" spans="1:4" ht="15" x14ac:dyDescent="0.25">
      <c r="A5170">
        <v>10306</v>
      </c>
      <c r="B5170" t="s">
        <v>11359</v>
      </c>
      <c r="C5170" t="s">
        <v>5043</v>
      </c>
      <c r="D5170" t="s">
        <v>8401</v>
      </c>
    </row>
    <row r="5171" spans="1:4" ht="15" x14ac:dyDescent="0.25">
      <c r="A5171">
        <v>7017</v>
      </c>
      <c r="B5171" t="s">
        <v>11360</v>
      </c>
      <c r="C5171" t="s">
        <v>5043</v>
      </c>
      <c r="D5171" t="s">
        <v>8401</v>
      </c>
    </row>
    <row r="5172" spans="1:4" ht="15" x14ac:dyDescent="0.25">
      <c r="A5172">
        <v>11461</v>
      </c>
      <c r="B5172" t="s">
        <v>11361</v>
      </c>
      <c r="C5172" t="s">
        <v>5043</v>
      </c>
      <c r="D5172" t="s">
        <v>8401</v>
      </c>
    </row>
    <row r="5173" spans="1:4" ht="15" x14ac:dyDescent="0.25">
      <c r="A5173">
        <v>11480</v>
      </c>
      <c r="B5173" t="s">
        <v>11361</v>
      </c>
      <c r="C5173" t="s">
        <v>5043</v>
      </c>
      <c r="D5173" t="s">
        <v>8401</v>
      </c>
    </row>
    <row r="5174" spans="1:4" ht="15" x14ac:dyDescent="0.25">
      <c r="A5174">
        <v>7429</v>
      </c>
      <c r="B5174" t="s">
        <v>11361</v>
      </c>
      <c r="C5174" t="s">
        <v>5043</v>
      </c>
      <c r="D5174" t="s">
        <v>8401</v>
      </c>
    </row>
    <row r="5175" spans="1:4" ht="15" x14ac:dyDescent="0.25">
      <c r="A5175">
        <v>8388</v>
      </c>
      <c r="B5175" t="s">
        <v>11361</v>
      </c>
      <c r="C5175" t="s">
        <v>5043</v>
      </c>
      <c r="D5175" t="s">
        <v>8401</v>
      </c>
    </row>
    <row r="5176" spans="1:4" ht="15" x14ac:dyDescent="0.25">
      <c r="A5176">
        <v>8779</v>
      </c>
      <c r="B5176" t="s">
        <v>11361</v>
      </c>
      <c r="C5176" t="s">
        <v>5043</v>
      </c>
      <c r="D5176" t="s">
        <v>8401</v>
      </c>
    </row>
    <row r="5177" spans="1:4" ht="15" x14ac:dyDescent="0.25">
      <c r="A5177">
        <v>9501</v>
      </c>
      <c r="B5177" t="s">
        <v>11362</v>
      </c>
      <c r="C5177" t="s">
        <v>5043</v>
      </c>
      <c r="D5177" t="s">
        <v>8401</v>
      </c>
    </row>
    <row r="5178" spans="1:4" ht="15" x14ac:dyDescent="0.25">
      <c r="A5178">
        <v>10405</v>
      </c>
      <c r="B5178" t="s">
        <v>9551</v>
      </c>
      <c r="C5178" t="s">
        <v>5043</v>
      </c>
      <c r="D5178" t="s">
        <v>8401</v>
      </c>
    </row>
    <row r="5179" spans="1:4" ht="15" x14ac:dyDescent="0.25">
      <c r="A5179">
        <v>10674</v>
      </c>
      <c r="B5179" t="s">
        <v>9551</v>
      </c>
      <c r="C5179" t="s">
        <v>5043</v>
      </c>
      <c r="D5179" t="s">
        <v>8401</v>
      </c>
    </row>
    <row r="5180" spans="1:4" ht="15" x14ac:dyDescent="0.25">
      <c r="A5180">
        <v>11259</v>
      </c>
      <c r="B5180" t="s">
        <v>9551</v>
      </c>
      <c r="C5180" t="s">
        <v>5043</v>
      </c>
      <c r="D5180" t="s">
        <v>8401</v>
      </c>
    </row>
    <row r="5181" spans="1:4" ht="15" x14ac:dyDescent="0.25">
      <c r="A5181">
        <v>11310</v>
      </c>
      <c r="B5181" t="s">
        <v>9551</v>
      </c>
      <c r="C5181" t="s">
        <v>5043</v>
      </c>
      <c r="D5181" t="s">
        <v>8401</v>
      </c>
    </row>
    <row r="5182" spans="1:4" ht="15" x14ac:dyDescent="0.25">
      <c r="A5182">
        <v>11862</v>
      </c>
      <c r="B5182" t="s">
        <v>9551</v>
      </c>
      <c r="C5182" t="s">
        <v>5043</v>
      </c>
      <c r="D5182" t="s">
        <v>8401</v>
      </c>
    </row>
    <row r="5183" spans="1:4" ht="15" x14ac:dyDescent="0.25">
      <c r="A5183">
        <v>11983</v>
      </c>
      <c r="B5183" t="s">
        <v>9551</v>
      </c>
      <c r="C5183" t="s">
        <v>5043</v>
      </c>
      <c r="D5183" t="s">
        <v>8401</v>
      </c>
    </row>
    <row r="5184" spans="1:4" ht="15" x14ac:dyDescent="0.25">
      <c r="A5184">
        <v>12069</v>
      </c>
      <c r="B5184" t="s">
        <v>9551</v>
      </c>
      <c r="C5184" t="s">
        <v>5043</v>
      </c>
      <c r="D5184" t="s">
        <v>8401</v>
      </c>
    </row>
    <row r="5185" spans="1:4" ht="15" x14ac:dyDescent="0.25">
      <c r="A5185">
        <v>7352</v>
      </c>
      <c r="B5185" t="s">
        <v>9551</v>
      </c>
      <c r="C5185" t="s">
        <v>5043</v>
      </c>
      <c r="D5185" t="s">
        <v>8401</v>
      </c>
    </row>
    <row r="5186" spans="1:4" ht="15" x14ac:dyDescent="0.25">
      <c r="A5186">
        <v>7412</v>
      </c>
      <c r="B5186" t="s">
        <v>9551</v>
      </c>
      <c r="C5186" t="s">
        <v>5043</v>
      </c>
      <c r="D5186" t="s">
        <v>8401</v>
      </c>
    </row>
    <row r="5187" spans="1:4" ht="15" x14ac:dyDescent="0.25">
      <c r="A5187">
        <v>7794</v>
      </c>
      <c r="B5187" t="s">
        <v>9551</v>
      </c>
      <c r="C5187" t="s">
        <v>5043</v>
      </c>
      <c r="D5187" t="s">
        <v>8401</v>
      </c>
    </row>
    <row r="5188" spans="1:4" ht="15" x14ac:dyDescent="0.25">
      <c r="A5188">
        <v>7909</v>
      </c>
      <c r="B5188" t="s">
        <v>9551</v>
      </c>
      <c r="C5188" t="s">
        <v>5043</v>
      </c>
      <c r="D5188" t="s">
        <v>8401</v>
      </c>
    </row>
    <row r="5189" spans="1:4" ht="15" x14ac:dyDescent="0.25">
      <c r="A5189">
        <v>8188</v>
      </c>
      <c r="B5189" t="s">
        <v>9551</v>
      </c>
      <c r="C5189" t="s">
        <v>5043</v>
      </c>
      <c r="D5189" t="s">
        <v>8401</v>
      </c>
    </row>
    <row r="5190" spans="1:4" ht="15" x14ac:dyDescent="0.25">
      <c r="A5190">
        <v>8334</v>
      </c>
      <c r="B5190" t="s">
        <v>9551</v>
      </c>
      <c r="C5190" t="s">
        <v>5043</v>
      </c>
      <c r="D5190" t="s">
        <v>8401</v>
      </c>
    </row>
    <row r="5191" spans="1:4" ht="15" x14ac:dyDescent="0.25">
      <c r="A5191">
        <v>8838</v>
      </c>
      <c r="B5191" t="s">
        <v>9551</v>
      </c>
      <c r="C5191" t="s">
        <v>5043</v>
      </c>
      <c r="D5191" t="s">
        <v>8401</v>
      </c>
    </row>
    <row r="5192" spans="1:4" ht="15" x14ac:dyDescent="0.25">
      <c r="A5192">
        <v>9199</v>
      </c>
      <c r="B5192" t="s">
        <v>9551</v>
      </c>
      <c r="C5192" t="s">
        <v>5043</v>
      </c>
      <c r="D5192" t="s">
        <v>8401</v>
      </c>
    </row>
    <row r="5193" spans="1:4" ht="15" x14ac:dyDescent="0.25">
      <c r="A5193">
        <v>9203</v>
      </c>
      <c r="B5193" t="s">
        <v>9551</v>
      </c>
      <c r="C5193" t="s">
        <v>5043</v>
      </c>
      <c r="D5193" t="s">
        <v>8401</v>
      </c>
    </row>
    <row r="5194" spans="1:4" ht="15" x14ac:dyDescent="0.25">
      <c r="A5194">
        <v>9221</v>
      </c>
      <c r="B5194" t="s">
        <v>9551</v>
      </c>
      <c r="C5194" t="s">
        <v>5043</v>
      </c>
      <c r="D5194" t="s">
        <v>8401</v>
      </c>
    </row>
    <row r="5195" spans="1:4" ht="15" x14ac:dyDescent="0.25">
      <c r="A5195">
        <v>9738</v>
      </c>
      <c r="B5195" t="s">
        <v>9551</v>
      </c>
      <c r="C5195" t="s">
        <v>5043</v>
      </c>
      <c r="D5195" t="s">
        <v>8401</v>
      </c>
    </row>
    <row r="5196" spans="1:4" ht="15" x14ac:dyDescent="0.25">
      <c r="A5196">
        <v>8701</v>
      </c>
      <c r="B5196" t="s">
        <v>11363</v>
      </c>
      <c r="C5196" t="s">
        <v>5043</v>
      </c>
      <c r="D5196" t="s">
        <v>8401</v>
      </c>
    </row>
    <row r="5197" spans="1:4" ht="15" x14ac:dyDescent="0.25">
      <c r="A5197">
        <v>9865</v>
      </c>
      <c r="B5197" t="s">
        <v>11363</v>
      </c>
      <c r="C5197" t="s">
        <v>5043</v>
      </c>
      <c r="D5197" t="s">
        <v>8401</v>
      </c>
    </row>
    <row r="5198" spans="1:4" ht="15" x14ac:dyDescent="0.25">
      <c r="A5198">
        <v>9150</v>
      </c>
      <c r="B5198" t="s">
        <v>11364</v>
      </c>
      <c r="C5198" t="s">
        <v>5043</v>
      </c>
      <c r="D5198" t="s">
        <v>8401</v>
      </c>
    </row>
    <row r="5199" spans="1:4" ht="15" x14ac:dyDescent="0.25">
      <c r="A5199">
        <v>10248</v>
      </c>
      <c r="B5199" t="s">
        <v>11365</v>
      </c>
      <c r="C5199" t="s">
        <v>5043</v>
      </c>
      <c r="D5199" t="s">
        <v>8401</v>
      </c>
    </row>
    <row r="5200" spans="1:4" ht="15" x14ac:dyDescent="0.25">
      <c r="A5200">
        <v>7534</v>
      </c>
      <c r="B5200" t="s">
        <v>11365</v>
      </c>
      <c r="C5200" t="s">
        <v>5043</v>
      </c>
      <c r="D5200" t="s">
        <v>8401</v>
      </c>
    </row>
    <row r="5201" spans="1:4" ht="15" x14ac:dyDescent="0.25">
      <c r="A5201">
        <v>8250</v>
      </c>
      <c r="B5201" t="s">
        <v>11365</v>
      </c>
      <c r="C5201" t="s">
        <v>5043</v>
      </c>
      <c r="D5201" t="s">
        <v>8401</v>
      </c>
    </row>
    <row r="5202" spans="1:4" ht="15" x14ac:dyDescent="0.25">
      <c r="A5202">
        <v>9800</v>
      </c>
      <c r="B5202" t="s">
        <v>11365</v>
      </c>
      <c r="C5202" t="s">
        <v>5043</v>
      </c>
      <c r="D5202" t="s">
        <v>8401</v>
      </c>
    </row>
    <row r="5203" spans="1:4" ht="15" x14ac:dyDescent="0.25">
      <c r="A5203">
        <v>10375</v>
      </c>
      <c r="B5203" t="s">
        <v>9552</v>
      </c>
      <c r="C5203" t="s">
        <v>5043</v>
      </c>
      <c r="D5203" t="s">
        <v>8401</v>
      </c>
    </row>
    <row r="5204" spans="1:4" ht="15" x14ac:dyDescent="0.25">
      <c r="A5204">
        <v>10643</v>
      </c>
      <c r="B5204" t="s">
        <v>9552</v>
      </c>
      <c r="C5204" t="s">
        <v>5043</v>
      </c>
      <c r="D5204" t="s">
        <v>8401</v>
      </c>
    </row>
    <row r="5205" spans="1:4" ht="15" x14ac:dyDescent="0.25">
      <c r="A5205">
        <v>11045</v>
      </c>
      <c r="B5205" t="s">
        <v>9552</v>
      </c>
      <c r="C5205" t="s">
        <v>5043</v>
      </c>
      <c r="D5205" t="s">
        <v>8401</v>
      </c>
    </row>
    <row r="5206" spans="1:4" ht="15" x14ac:dyDescent="0.25">
      <c r="A5206">
        <v>11147</v>
      </c>
      <c r="B5206" t="s">
        <v>9552</v>
      </c>
      <c r="C5206" t="s">
        <v>5043</v>
      </c>
      <c r="D5206" t="s">
        <v>8401</v>
      </c>
    </row>
    <row r="5207" spans="1:4" ht="15" x14ac:dyDescent="0.25">
      <c r="A5207">
        <v>11425</v>
      </c>
      <c r="B5207" t="s">
        <v>9552</v>
      </c>
      <c r="C5207" t="s">
        <v>5043</v>
      </c>
      <c r="D5207" t="s">
        <v>8401</v>
      </c>
    </row>
    <row r="5208" spans="1:4" ht="15" x14ac:dyDescent="0.25">
      <c r="A5208">
        <v>7954</v>
      </c>
      <c r="B5208" t="s">
        <v>9552</v>
      </c>
      <c r="C5208" t="s">
        <v>5043</v>
      </c>
      <c r="D5208" t="s">
        <v>8401</v>
      </c>
    </row>
    <row r="5209" spans="1:4" ht="15" x14ac:dyDescent="0.25">
      <c r="A5209">
        <v>9094</v>
      </c>
      <c r="B5209" t="s">
        <v>9552</v>
      </c>
      <c r="C5209" t="s">
        <v>5043</v>
      </c>
      <c r="D5209" t="s">
        <v>8401</v>
      </c>
    </row>
    <row r="5210" spans="1:4" ht="15" x14ac:dyDescent="0.25">
      <c r="A5210">
        <v>9323</v>
      </c>
      <c r="B5210" t="s">
        <v>9552</v>
      </c>
      <c r="C5210" t="s">
        <v>5043</v>
      </c>
      <c r="D5210" t="s">
        <v>8401</v>
      </c>
    </row>
    <row r="5211" spans="1:4" ht="15" x14ac:dyDescent="0.25">
      <c r="A5211">
        <v>11307</v>
      </c>
      <c r="B5211" t="s">
        <v>11366</v>
      </c>
      <c r="C5211" t="s">
        <v>5043</v>
      </c>
      <c r="D5211" t="s">
        <v>8401</v>
      </c>
    </row>
    <row r="5212" spans="1:4" ht="15" x14ac:dyDescent="0.25">
      <c r="A5212">
        <v>7001</v>
      </c>
      <c r="B5212" t="s">
        <v>11366</v>
      </c>
      <c r="C5212" t="s">
        <v>5043</v>
      </c>
      <c r="D5212" t="s">
        <v>8401</v>
      </c>
    </row>
    <row r="5213" spans="1:4" ht="15" x14ac:dyDescent="0.25">
      <c r="A5213">
        <v>7889</v>
      </c>
      <c r="B5213" t="s">
        <v>11367</v>
      </c>
      <c r="C5213" t="s">
        <v>5043</v>
      </c>
      <c r="D5213" t="s">
        <v>8401</v>
      </c>
    </row>
    <row r="5214" spans="1:4" ht="15" x14ac:dyDescent="0.25">
      <c r="A5214">
        <v>7380</v>
      </c>
      <c r="B5214" t="s">
        <v>9553</v>
      </c>
      <c r="C5214" t="s">
        <v>5043</v>
      </c>
      <c r="D5214" t="s">
        <v>8401</v>
      </c>
    </row>
    <row r="5215" spans="1:4" ht="15" x14ac:dyDescent="0.25">
      <c r="A5215">
        <v>10880</v>
      </c>
      <c r="B5215" t="s">
        <v>11368</v>
      </c>
      <c r="C5215" t="s">
        <v>5043</v>
      </c>
      <c r="D5215" t="s">
        <v>8401</v>
      </c>
    </row>
    <row r="5216" spans="1:4" ht="15" x14ac:dyDescent="0.25">
      <c r="A5216">
        <v>9056</v>
      </c>
      <c r="B5216" t="s">
        <v>9554</v>
      </c>
      <c r="C5216" t="s">
        <v>5043</v>
      </c>
      <c r="D5216" t="s">
        <v>8401</v>
      </c>
    </row>
    <row r="5217" spans="1:4" ht="15" x14ac:dyDescent="0.25">
      <c r="A5217">
        <v>12248</v>
      </c>
      <c r="B5217" t="s">
        <v>11369</v>
      </c>
      <c r="C5217" t="s">
        <v>5043</v>
      </c>
      <c r="D5217" t="s">
        <v>8401</v>
      </c>
    </row>
    <row r="5218" spans="1:4" ht="15" x14ac:dyDescent="0.25">
      <c r="A5218">
        <v>9503</v>
      </c>
      <c r="B5218" t="s">
        <v>9555</v>
      </c>
      <c r="C5218" t="s">
        <v>5043</v>
      </c>
      <c r="D5218" t="s">
        <v>8401</v>
      </c>
    </row>
    <row r="5219" spans="1:4" ht="15" x14ac:dyDescent="0.25">
      <c r="A5219">
        <v>12371</v>
      </c>
      <c r="B5219" t="s">
        <v>11370</v>
      </c>
      <c r="C5219" t="s">
        <v>5043</v>
      </c>
      <c r="D5219" t="s">
        <v>8401</v>
      </c>
    </row>
    <row r="5220" spans="1:4" ht="15" x14ac:dyDescent="0.25">
      <c r="A5220">
        <v>6691</v>
      </c>
      <c r="B5220" t="s">
        <v>11370</v>
      </c>
      <c r="C5220" t="s">
        <v>5043</v>
      </c>
      <c r="D5220" t="s">
        <v>8401</v>
      </c>
    </row>
    <row r="5221" spans="1:4" ht="15" x14ac:dyDescent="0.25">
      <c r="A5221">
        <v>10083</v>
      </c>
      <c r="B5221" t="s">
        <v>9556</v>
      </c>
      <c r="C5221" t="s">
        <v>5043</v>
      </c>
      <c r="D5221" t="s">
        <v>8401</v>
      </c>
    </row>
    <row r="5222" spans="1:4" ht="15" x14ac:dyDescent="0.25">
      <c r="A5222">
        <v>10303</v>
      </c>
      <c r="B5222" t="s">
        <v>9556</v>
      </c>
      <c r="C5222" t="s">
        <v>5043</v>
      </c>
      <c r="D5222" t="s">
        <v>8401</v>
      </c>
    </row>
    <row r="5223" spans="1:4" ht="15" x14ac:dyDescent="0.25">
      <c r="A5223">
        <v>7912</v>
      </c>
      <c r="B5223" t="s">
        <v>9557</v>
      </c>
      <c r="C5223" t="s">
        <v>5043</v>
      </c>
      <c r="D5223" t="s">
        <v>8401</v>
      </c>
    </row>
    <row r="5224" spans="1:4" ht="15" x14ac:dyDescent="0.25">
      <c r="A5224">
        <v>8336</v>
      </c>
      <c r="B5224" t="s">
        <v>11371</v>
      </c>
      <c r="C5224" t="s">
        <v>5043</v>
      </c>
      <c r="D5224" t="s">
        <v>8401</v>
      </c>
    </row>
    <row r="5225" spans="1:4" ht="15" x14ac:dyDescent="0.25">
      <c r="A5225">
        <v>8439</v>
      </c>
      <c r="B5225" t="s">
        <v>11371</v>
      </c>
      <c r="C5225" t="s">
        <v>5043</v>
      </c>
      <c r="D5225" t="s">
        <v>8401</v>
      </c>
    </row>
    <row r="5226" spans="1:4" ht="15" x14ac:dyDescent="0.25">
      <c r="A5226">
        <v>10189</v>
      </c>
      <c r="B5226" t="s">
        <v>9558</v>
      </c>
      <c r="C5226" t="s">
        <v>5043</v>
      </c>
      <c r="D5226" t="s">
        <v>8401</v>
      </c>
    </row>
    <row r="5227" spans="1:4" ht="15" x14ac:dyDescent="0.25">
      <c r="A5227">
        <v>10304</v>
      </c>
      <c r="B5227" t="s">
        <v>9558</v>
      </c>
      <c r="C5227" t="s">
        <v>5043</v>
      </c>
      <c r="D5227" t="s">
        <v>8401</v>
      </c>
    </row>
    <row r="5228" spans="1:4" ht="15" x14ac:dyDescent="0.25">
      <c r="A5228">
        <v>10625</v>
      </c>
      <c r="B5228" t="s">
        <v>9558</v>
      </c>
      <c r="C5228" t="s">
        <v>5043</v>
      </c>
      <c r="D5228" t="s">
        <v>8401</v>
      </c>
    </row>
    <row r="5229" spans="1:4" ht="15" x14ac:dyDescent="0.25">
      <c r="A5229">
        <v>7208</v>
      </c>
      <c r="B5229" t="s">
        <v>9558</v>
      </c>
      <c r="C5229" t="s">
        <v>5043</v>
      </c>
      <c r="D5229" t="s">
        <v>8401</v>
      </c>
    </row>
    <row r="5230" spans="1:4" ht="15" x14ac:dyDescent="0.25">
      <c r="A5230">
        <v>8197</v>
      </c>
      <c r="B5230" t="s">
        <v>9558</v>
      </c>
      <c r="C5230" t="s">
        <v>5043</v>
      </c>
      <c r="D5230" t="s">
        <v>8401</v>
      </c>
    </row>
    <row r="5231" spans="1:4" ht="15" x14ac:dyDescent="0.25">
      <c r="A5231">
        <v>9105</v>
      </c>
      <c r="B5231" t="s">
        <v>9558</v>
      </c>
      <c r="C5231" t="s">
        <v>5043</v>
      </c>
      <c r="D5231" t="s">
        <v>8401</v>
      </c>
    </row>
    <row r="5232" spans="1:4" ht="15" x14ac:dyDescent="0.25">
      <c r="A5232">
        <v>8947</v>
      </c>
      <c r="B5232" t="s">
        <v>9559</v>
      </c>
      <c r="C5232" t="s">
        <v>5043</v>
      </c>
      <c r="D5232" t="s">
        <v>8401</v>
      </c>
    </row>
    <row r="5233" spans="1:4" ht="15" x14ac:dyDescent="0.25">
      <c r="A5233">
        <v>9972</v>
      </c>
      <c r="B5233" t="s">
        <v>9560</v>
      </c>
      <c r="C5233" t="s">
        <v>5043</v>
      </c>
      <c r="D5233" t="s">
        <v>8401</v>
      </c>
    </row>
    <row r="5234" spans="1:4" ht="15" x14ac:dyDescent="0.25">
      <c r="A5234">
        <v>7890</v>
      </c>
      <c r="B5234" t="s">
        <v>11372</v>
      </c>
      <c r="C5234" t="s">
        <v>5043</v>
      </c>
      <c r="D5234" t="s">
        <v>8401</v>
      </c>
    </row>
    <row r="5235" spans="1:4" ht="15" x14ac:dyDescent="0.25">
      <c r="A5235">
        <v>8755</v>
      </c>
      <c r="B5235" t="s">
        <v>11373</v>
      </c>
      <c r="C5235" t="s">
        <v>5043</v>
      </c>
      <c r="D5235" t="s">
        <v>8401</v>
      </c>
    </row>
    <row r="5236" spans="1:4" ht="15" x14ac:dyDescent="0.25">
      <c r="A5236">
        <v>10925</v>
      </c>
      <c r="B5236" t="s">
        <v>11374</v>
      </c>
      <c r="C5236" t="s">
        <v>5043</v>
      </c>
      <c r="D5236" t="s">
        <v>8401</v>
      </c>
    </row>
    <row r="5237" spans="1:4" ht="15" x14ac:dyDescent="0.25">
      <c r="A5237">
        <v>12082</v>
      </c>
      <c r="B5237" t="s">
        <v>11375</v>
      </c>
      <c r="C5237" t="s">
        <v>5043</v>
      </c>
      <c r="D5237" t="s">
        <v>8401</v>
      </c>
    </row>
    <row r="5238" spans="1:4" ht="15" x14ac:dyDescent="0.25">
      <c r="A5238">
        <v>7967</v>
      </c>
      <c r="B5238" t="s">
        <v>11375</v>
      </c>
      <c r="C5238" t="s">
        <v>5043</v>
      </c>
      <c r="D5238" t="s">
        <v>8401</v>
      </c>
    </row>
    <row r="5239" spans="1:4" ht="15" x14ac:dyDescent="0.25">
      <c r="A5239">
        <v>9078</v>
      </c>
      <c r="B5239" t="s">
        <v>11375</v>
      </c>
      <c r="C5239" t="s">
        <v>5043</v>
      </c>
      <c r="D5239" t="s">
        <v>8401</v>
      </c>
    </row>
    <row r="5240" spans="1:4" ht="15" x14ac:dyDescent="0.25">
      <c r="A5240">
        <v>9575</v>
      </c>
      <c r="B5240" t="s">
        <v>11376</v>
      </c>
      <c r="C5240" t="s">
        <v>5043</v>
      </c>
      <c r="D5240" t="s">
        <v>8401</v>
      </c>
    </row>
    <row r="5241" spans="1:4" ht="15" x14ac:dyDescent="0.25">
      <c r="A5241">
        <v>10622</v>
      </c>
      <c r="B5241" t="s">
        <v>11377</v>
      </c>
      <c r="C5241" t="s">
        <v>5043</v>
      </c>
      <c r="D5241" t="s">
        <v>8401</v>
      </c>
    </row>
    <row r="5242" spans="1:4" ht="15" x14ac:dyDescent="0.25">
      <c r="A5242">
        <v>11222</v>
      </c>
      <c r="B5242" t="s">
        <v>11378</v>
      </c>
      <c r="C5242" t="s">
        <v>5043</v>
      </c>
      <c r="D5242" t="s">
        <v>8401</v>
      </c>
    </row>
    <row r="5243" spans="1:4" ht="15" x14ac:dyDescent="0.25">
      <c r="A5243">
        <v>8456</v>
      </c>
      <c r="B5243" t="s">
        <v>11378</v>
      </c>
      <c r="C5243" t="s">
        <v>5043</v>
      </c>
      <c r="D5243" t="s">
        <v>8401</v>
      </c>
    </row>
    <row r="5244" spans="1:4" ht="15" x14ac:dyDescent="0.25">
      <c r="A5244">
        <v>9195</v>
      </c>
      <c r="B5244" t="s">
        <v>11379</v>
      </c>
      <c r="C5244" t="s">
        <v>5043</v>
      </c>
      <c r="D5244" t="s">
        <v>8401</v>
      </c>
    </row>
    <row r="5245" spans="1:4" ht="15" x14ac:dyDescent="0.25">
      <c r="A5245">
        <v>8301</v>
      </c>
      <c r="B5245" t="s">
        <v>11380</v>
      </c>
      <c r="C5245" t="s">
        <v>5043</v>
      </c>
      <c r="D5245" t="s">
        <v>8401</v>
      </c>
    </row>
    <row r="5246" spans="1:4" ht="15" x14ac:dyDescent="0.25">
      <c r="A5246">
        <v>9973</v>
      </c>
      <c r="B5246" t="s">
        <v>11380</v>
      </c>
      <c r="C5246" t="s">
        <v>5043</v>
      </c>
      <c r="D5246" t="s">
        <v>8401</v>
      </c>
    </row>
    <row r="5247" spans="1:4" ht="15" x14ac:dyDescent="0.25">
      <c r="A5247">
        <v>9481</v>
      </c>
      <c r="B5247" t="s">
        <v>11381</v>
      </c>
      <c r="C5247" t="s">
        <v>5043</v>
      </c>
      <c r="D5247" t="s">
        <v>8401</v>
      </c>
    </row>
    <row r="5248" spans="1:4" ht="15" x14ac:dyDescent="0.25">
      <c r="A5248">
        <v>7974</v>
      </c>
      <c r="B5248" t="s">
        <v>11382</v>
      </c>
      <c r="C5248" t="s">
        <v>5043</v>
      </c>
      <c r="D5248" t="s">
        <v>8401</v>
      </c>
    </row>
    <row r="5249" spans="1:4" ht="15" x14ac:dyDescent="0.25">
      <c r="A5249">
        <v>8238</v>
      </c>
      <c r="B5249" t="s">
        <v>11383</v>
      </c>
      <c r="C5249" t="s">
        <v>5043</v>
      </c>
      <c r="D5249" t="s">
        <v>8401</v>
      </c>
    </row>
    <row r="5250" spans="1:4" ht="15" x14ac:dyDescent="0.25">
      <c r="A5250">
        <v>10870</v>
      </c>
      <c r="B5250" t="s">
        <v>11384</v>
      </c>
      <c r="C5250" t="s">
        <v>5043</v>
      </c>
      <c r="D5250" t="s">
        <v>8401</v>
      </c>
    </row>
    <row r="5251" spans="1:4" ht="15" x14ac:dyDescent="0.25">
      <c r="A5251">
        <v>7209</v>
      </c>
      <c r="B5251" t="s">
        <v>11385</v>
      </c>
      <c r="C5251" t="s">
        <v>5043</v>
      </c>
      <c r="D5251" t="s">
        <v>8401</v>
      </c>
    </row>
    <row r="5252" spans="1:4" ht="15" x14ac:dyDescent="0.25">
      <c r="A5252">
        <v>7323</v>
      </c>
      <c r="B5252" t="s">
        <v>11385</v>
      </c>
      <c r="C5252" t="s">
        <v>5043</v>
      </c>
      <c r="D5252" t="s">
        <v>8401</v>
      </c>
    </row>
    <row r="5253" spans="1:4" ht="15" x14ac:dyDescent="0.25">
      <c r="A5253">
        <v>11763</v>
      </c>
      <c r="B5253" t="s">
        <v>11386</v>
      </c>
      <c r="C5253" t="s">
        <v>5043</v>
      </c>
      <c r="D5253" t="s">
        <v>8401</v>
      </c>
    </row>
    <row r="5254" spans="1:4" ht="15" x14ac:dyDescent="0.25">
      <c r="A5254">
        <v>7847</v>
      </c>
      <c r="B5254" t="s">
        <v>11386</v>
      </c>
      <c r="C5254" t="s">
        <v>5043</v>
      </c>
      <c r="D5254" t="s">
        <v>8401</v>
      </c>
    </row>
    <row r="5255" spans="1:4" ht="15" x14ac:dyDescent="0.25">
      <c r="A5255">
        <v>8519</v>
      </c>
      <c r="B5255" t="s">
        <v>11386</v>
      </c>
      <c r="C5255" t="s">
        <v>5043</v>
      </c>
      <c r="D5255" t="s">
        <v>8401</v>
      </c>
    </row>
    <row r="5256" spans="1:4" ht="15" x14ac:dyDescent="0.25">
      <c r="A5256">
        <v>9942</v>
      </c>
      <c r="B5256" t="s">
        <v>11387</v>
      </c>
      <c r="C5256" t="s">
        <v>5043</v>
      </c>
      <c r="D5256" t="s">
        <v>8401</v>
      </c>
    </row>
    <row r="5257" spans="1:4" ht="15" x14ac:dyDescent="0.25">
      <c r="A5257">
        <v>10618</v>
      </c>
      <c r="B5257" t="s">
        <v>11388</v>
      </c>
      <c r="C5257" t="s">
        <v>5043</v>
      </c>
      <c r="D5257" t="s">
        <v>8401</v>
      </c>
    </row>
    <row r="5258" spans="1:4" ht="15" x14ac:dyDescent="0.25">
      <c r="A5258">
        <v>11103</v>
      </c>
      <c r="B5258" t="s">
        <v>11388</v>
      </c>
      <c r="C5258" t="s">
        <v>5043</v>
      </c>
      <c r="D5258" t="s">
        <v>8401</v>
      </c>
    </row>
    <row r="5259" spans="1:4" ht="15" x14ac:dyDescent="0.25">
      <c r="A5259">
        <v>11571</v>
      </c>
      <c r="B5259" t="s">
        <v>11388</v>
      </c>
      <c r="C5259" t="s">
        <v>5043</v>
      </c>
      <c r="D5259" t="s">
        <v>8401</v>
      </c>
    </row>
    <row r="5260" spans="1:4" ht="15" x14ac:dyDescent="0.25">
      <c r="A5260">
        <v>7326</v>
      </c>
      <c r="B5260" t="s">
        <v>11388</v>
      </c>
      <c r="C5260" t="s">
        <v>5043</v>
      </c>
      <c r="D5260" t="s">
        <v>8401</v>
      </c>
    </row>
    <row r="5261" spans="1:4" ht="15" x14ac:dyDescent="0.25">
      <c r="A5261">
        <v>9186</v>
      </c>
      <c r="B5261" t="s">
        <v>11388</v>
      </c>
      <c r="C5261" t="s">
        <v>5043</v>
      </c>
      <c r="D5261" t="s">
        <v>8401</v>
      </c>
    </row>
    <row r="5262" spans="1:4" ht="15" x14ac:dyDescent="0.25">
      <c r="A5262">
        <v>10313</v>
      </c>
      <c r="B5262" t="s">
        <v>11389</v>
      </c>
      <c r="C5262" t="s">
        <v>5043</v>
      </c>
      <c r="D5262" t="s">
        <v>8401</v>
      </c>
    </row>
    <row r="5263" spans="1:4" ht="15" x14ac:dyDescent="0.25">
      <c r="A5263">
        <v>8290</v>
      </c>
      <c r="B5263" t="s">
        <v>11390</v>
      </c>
      <c r="C5263" t="s">
        <v>5043</v>
      </c>
      <c r="D5263" t="s">
        <v>8401</v>
      </c>
    </row>
    <row r="5264" spans="1:4" ht="15" x14ac:dyDescent="0.25">
      <c r="A5264">
        <v>7825</v>
      </c>
      <c r="B5264" t="s">
        <v>11391</v>
      </c>
      <c r="C5264" t="s">
        <v>5043</v>
      </c>
      <c r="D5264" t="s">
        <v>8401</v>
      </c>
    </row>
    <row r="5265" spans="1:4" ht="15" x14ac:dyDescent="0.25">
      <c r="A5265">
        <v>7701</v>
      </c>
      <c r="B5265" t="s">
        <v>11392</v>
      </c>
      <c r="C5265" t="s">
        <v>5043</v>
      </c>
      <c r="D5265" t="s">
        <v>8401</v>
      </c>
    </row>
    <row r="5266" spans="1:4" ht="15" x14ac:dyDescent="0.25">
      <c r="A5266">
        <v>8859</v>
      </c>
      <c r="B5266" t="s">
        <v>11393</v>
      </c>
      <c r="C5266" t="s">
        <v>5043</v>
      </c>
      <c r="D5266" t="s">
        <v>8401</v>
      </c>
    </row>
    <row r="5267" spans="1:4" ht="15" x14ac:dyDescent="0.25">
      <c r="A5267">
        <v>10441</v>
      </c>
      <c r="B5267" t="s">
        <v>11394</v>
      </c>
      <c r="C5267" t="s">
        <v>5043</v>
      </c>
      <c r="D5267" t="s">
        <v>8401</v>
      </c>
    </row>
    <row r="5268" spans="1:4" ht="15" x14ac:dyDescent="0.25">
      <c r="A5268">
        <v>10689</v>
      </c>
      <c r="B5268" t="s">
        <v>11394</v>
      </c>
      <c r="C5268" t="s">
        <v>5043</v>
      </c>
      <c r="D5268" t="s">
        <v>8401</v>
      </c>
    </row>
    <row r="5269" spans="1:4" ht="15" x14ac:dyDescent="0.25">
      <c r="A5269">
        <v>7477</v>
      </c>
      <c r="B5269" t="s">
        <v>11395</v>
      </c>
      <c r="C5269" t="s">
        <v>5043</v>
      </c>
      <c r="D5269" t="s">
        <v>8401</v>
      </c>
    </row>
    <row r="5270" spans="1:4" ht="15" x14ac:dyDescent="0.25">
      <c r="A5270">
        <v>9126</v>
      </c>
      <c r="B5270" t="s">
        <v>11396</v>
      </c>
      <c r="C5270" t="s">
        <v>5043</v>
      </c>
      <c r="D5270" t="s">
        <v>8401</v>
      </c>
    </row>
    <row r="5271" spans="1:4" ht="15" x14ac:dyDescent="0.25">
      <c r="A5271">
        <v>9386</v>
      </c>
      <c r="B5271" t="s">
        <v>11396</v>
      </c>
      <c r="C5271" t="s">
        <v>5043</v>
      </c>
      <c r="D5271" t="s">
        <v>8401</v>
      </c>
    </row>
    <row r="5272" spans="1:4" ht="15" x14ac:dyDescent="0.25">
      <c r="A5272">
        <v>10176</v>
      </c>
      <c r="B5272" t="s">
        <v>11397</v>
      </c>
      <c r="C5272" t="s">
        <v>5043</v>
      </c>
      <c r="D5272" t="s">
        <v>8401</v>
      </c>
    </row>
    <row r="5273" spans="1:4" ht="15" x14ac:dyDescent="0.25">
      <c r="A5273">
        <v>8910</v>
      </c>
      <c r="B5273" t="s">
        <v>11397</v>
      </c>
      <c r="C5273" t="s">
        <v>5043</v>
      </c>
      <c r="D5273" t="s">
        <v>8401</v>
      </c>
    </row>
    <row r="5274" spans="1:4" ht="15" x14ac:dyDescent="0.25">
      <c r="A5274">
        <v>9262</v>
      </c>
      <c r="B5274" t="s">
        <v>11397</v>
      </c>
      <c r="C5274" t="s">
        <v>5043</v>
      </c>
      <c r="D5274" t="s">
        <v>8401</v>
      </c>
    </row>
    <row r="5275" spans="1:4" ht="15" x14ac:dyDescent="0.25">
      <c r="A5275">
        <v>11856</v>
      </c>
      <c r="B5275" t="s">
        <v>11398</v>
      </c>
      <c r="C5275" t="s">
        <v>5043</v>
      </c>
      <c r="D5275" t="s">
        <v>8401</v>
      </c>
    </row>
    <row r="5276" spans="1:4" ht="15" x14ac:dyDescent="0.25">
      <c r="A5276">
        <v>6910</v>
      </c>
      <c r="B5276" t="s">
        <v>11398</v>
      </c>
      <c r="C5276" t="s">
        <v>5043</v>
      </c>
      <c r="D5276" t="s">
        <v>8401</v>
      </c>
    </row>
    <row r="5277" spans="1:4" ht="15" x14ac:dyDescent="0.25">
      <c r="A5277">
        <v>7892</v>
      </c>
      <c r="B5277" t="s">
        <v>11398</v>
      </c>
      <c r="C5277" t="s">
        <v>5043</v>
      </c>
      <c r="D5277" t="s">
        <v>8401</v>
      </c>
    </row>
    <row r="5278" spans="1:4" ht="15" x14ac:dyDescent="0.25">
      <c r="A5278">
        <v>7949</v>
      </c>
      <c r="B5278" t="s">
        <v>11398</v>
      </c>
      <c r="C5278" t="s">
        <v>5043</v>
      </c>
      <c r="D5278" t="s">
        <v>8401</v>
      </c>
    </row>
    <row r="5279" spans="1:4" ht="15" x14ac:dyDescent="0.25">
      <c r="A5279">
        <v>10818</v>
      </c>
      <c r="B5279" t="s">
        <v>11399</v>
      </c>
      <c r="C5279" t="s">
        <v>5043</v>
      </c>
      <c r="D5279" t="s">
        <v>8401</v>
      </c>
    </row>
    <row r="5280" spans="1:4" ht="15" x14ac:dyDescent="0.25">
      <c r="A5280">
        <v>11452</v>
      </c>
      <c r="B5280" t="s">
        <v>11399</v>
      </c>
      <c r="C5280" t="s">
        <v>5043</v>
      </c>
      <c r="D5280" t="s">
        <v>8401</v>
      </c>
    </row>
    <row r="5281" spans="1:4" ht="15" x14ac:dyDescent="0.25">
      <c r="A5281">
        <v>6768</v>
      </c>
      <c r="B5281" t="s">
        <v>11399</v>
      </c>
      <c r="C5281" t="s">
        <v>5043</v>
      </c>
      <c r="D5281" t="s">
        <v>8401</v>
      </c>
    </row>
    <row r="5282" spans="1:4" ht="15" x14ac:dyDescent="0.25">
      <c r="A5282">
        <v>9427</v>
      </c>
      <c r="B5282" t="s">
        <v>11399</v>
      </c>
      <c r="C5282" t="s">
        <v>5043</v>
      </c>
      <c r="D5282" t="s">
        <v>8401</v>
      </c>
    </row>
    <row r="5283" spans="1:4" ht="15" x14ac:dyDescent="0.25">
      <c r="A5283">
        <v>9598</v>
      </c>
      <c r="B5283" t="s">
        <v>11399</v>
      </c>
      <c r="C5283" t="s">
        <v>5043</v>
      </c>
      <c r="D5283" t="s">
        <v>8401</v>
      </c>
    </row>
    <row r="5284" spans="1:4" ht="15" x14ac:dyDescent="0.25">
      <c r="A5284">
        <v>11367</v>
      </c>
      <c r="B5284" t="s">
        <v>11400</v>
      </c>
      <c r="C5284" t="s">
        <v>5043</v>
      </c>
      <c r="D5284" t="s">
        <v>8401</v>
      </c>
    </row>
    <row r="5285" spans="1:4" ht="15" x14ac:dyDescent="0.25">
      <c r="A5285">
        <v>10466</v>
      </c>
      <c r="B5285" t="s">
        <v>11401</v>
      </c>
      <c r="C5285" t="s">
        <v>5043</v>
      </c>
      <c r="D5285" t="s">
        <v>8401</v>
      </c>
    </row>
    <row r="5286" spans="1:4" ht="15" x14ac:dyDescent="0.25">
      <c r="A5286">
        <v>11242</v>
      </c>
      <c r="B5286" t="s">
        <v>11402</v>
      </c>
      <c r="C5286" t="s">
        <v>5043</v>
      </c>
      <c r="D5286" t="s">
        <v>8401</v>
      </c>
    </row>
    <row r="5287" spans="1:4" ht="15" x14ac:dyDescent="0.25">
      <c r="A5287">
        <v>7491</v>
      </c>
      <c r="B5287" t="s">
        <v>11402</v>
      </c>
      <c r="C5287" t="s">
        <v>5043</v>
      </c>
      <c r="D5287" t="s">
        <v>8401</v>
      </c>
    </row>
    <row r="5288" spans="1:4" ht="15" x14ac:dyDescent="0.25">
      <c r="A5288">
        <v>8869</v>
      </c>
      <c r="B5288" t="s">
        <v>11402</v>
      </c>
      <c r="C5288" t="s">
        <v>5043</v>
      </c>
      <c r="D5288" t="s">
        <v>8401</v>
      </c>
    </row>
    <row r="5289" spans="1:4" ht="15" x14ac:dyDescent="0.25">
      <c r="A5289">
        <v>8994</v>
      </c>
      <c r="B5289" t="s">
        <v>11402</v>
      </c>
      <c r="C5289" t="s">
        <v>5043</v>
      </c>
      <c r="D5289" t="s">
        <v>8401</v>
      </c>
    </row>
    <row r="5290" spans="1:4" ht="15" x14ac:dyDescent="0.25">
      <c r="A5290">
        <v>6695</v>
      </c>
      <c r="B5290" t="s">
        <v>11403</v>
      </c>
      <c r="C5290" t="s">
        <v>5043</v>
      </c>
      <c r="D5290" t="s">
        <v>8401</v>
      </c>
    </row>
    <row r="5291" spans="1:4" ht="15" x14ac:dyDescent="0.25">
      <c r="A5291">
        <v>7845</v>
      </c>
      <c r="B5291" t="s">
        <v>11403</v>
      </c>
      <c r="C5291" t="s">
        <v>5043</v>
      </c>
      <c r="D5291" t="s">
        <v>8401</v>
      </c>
    </row>
    <row r="5292" spans="1:4" ht="15" x14ac:dyDescent="0.25">
      <c r="A5292">
        <v>7945</v>
      </c>
      <c r="B5292" t="s">
        <v>11403</v>
      </c>
      <c r="C5292" t="s">
        <v>5043</v>
      </c>
      <c r="D5292" t="s">
        <v>8401</v>
      </c>
    </row>
    <row r="5293" spans="1:4" ht="15" x14ac:dyDescent="0.25">
      <c r="A5293">
        <v>8068</v>
      </c>
      <c r="B5293" t="s">
        <v>11403</v>
      </c>
      <c r="C5293" t="s">
        <v>5043</v>
      </c>
      <c r="D5293" t="s">
        <v>8401</v>
      </c>
    </row>
    <row r="5294" spans="1:4" ht="15" x14ac:dyDescent="0.25">
      <c r="A5294">
        <v>11059</v>
      </c>
      <c r="B5294" t="s">
        <v>11404</v>
      </c>
      <c r="C5294" t="s">
        <v>5043</v>
      </c>
      <c r="D5294" t="s">
        <v>8401</v>
      </c>
    </row>
    <row r="5295" spans="1:4" ht="15" x14ac:dyDescent="0.25">
      <c r="A5295">
        <v>11766</v>
      </c>
      <c r="B5295" t="s">
        <v>11404</v>
      </c>
      <c r="C5295" t="s">
        <v>5043</v>
      </c>
      <c r="D5295" t="s">
        <v>8401</v>
      </c>
    </row>
    <row r="5296" spans="1:4" ht="15" x14ac:dyDescent="0.25">
      <c r="A5296">
        <v>7290</v>
      </c>
      <c r="B5296" t="s">
        <v>11404</v>
      </c>
      <c r="C5296" t="s">
        <v>5043</v>
      </c>
      <c r="D5296" t="s">
        <v>8401</v>
      </c>
    </row>
    <row r="5297" spans="1:4" ht="15" x14ac:dyDescent="0.25">
      <c r="A5297">
        <v>8099</v>
      </c>
      <c r="B5297" t="s">
        <v>11404</v>
      </c>
      <c r="C5297" t="s">
        <v>5043</v>
      </c>
      <c r="D5297" t="s">
        <v>8401</v>
      </c>
    </row>
    <row r="5298" spans="1:4" ht="15" x14ac:dyDescent="0.25">
      <c r="A5298">
        <v>9891</v>
      </c>
      <c r="B5298" t="s">
        <v>11404</v>
      </c>
      <c r="C5298" t="s">
        <v>5043</v>
      </c>
      <c r="D5298" t="s">
        <v>8401</v>
      </c>
    </row>
    <row r="5299" spans="1:4" ht="15" x14ac:dyDescent="0.25">
      <c r="A5299">
        <v>11639</v>
      </c>
      <c r="B5299" t="s">
        <v>11405</v>
      </c>
      <c r="C5299" t="s">
        <v>5043</v>
      </c>
      <c r="D5299" t="s">
        <v>8401</v>
      </c>
    </row>
    <row r="5300" spans="1:4" ht="15" x14ac:dyDescent="0.25">
      <c r="A5300">
        <v>8199</v>
      </c>
      <c r="B5300" t="s">
        <v>11405</v>
      </c>
      <c r="C5300" t="s">
        <v>5043</v>
      </c>
      <c r="D5300" t="s">
        <v>8401</v>
      </c>
    </row>
    <row r="5301" spans="1:4" ht="15" x14ac:dyDescent="0.25">
      <c r="A5301">
        <v>7565</v>
      </c>
      <c r="B5301" t="s">
        <v>11406</v>
      </c>
      <c r="C5301" t="s">
        <v>5043</v>
      </c>
      <c r="D5301" t="s">
        <v>8401</v>
      </c>
    </row>
    <row r="5302" spans="1:4" ht="15" x14ac:dyDescent="0.25">
      <c r="A5302">
        <v>9563</v>
      </c>
      <c r="B5302" t="s">
        <v>11406</v>
      </c>
      <c r="C5302" t="s">
        <v>5043</v>
      </c>
      <c r="D5302" t="s">
        <v>8401</v>
      </c>
    </row>
    <row r="5303" spans="1:4" ht="15" x14ac:dyDescent="0.25">
      <c r="A5303">
        <v>10603</v>
      </c>
      <c r="B5303" t="s">
        <v>11407</v>
      </c>
      <c r="C5303" t="s">
        <v>5043</v>
      </c>
      <c r="D5303" t="s">
        <v>8401</v>
      </c>
    </row>
    <row r="5304" spans="1:4" ht="15" x14ac:dyDescent="0.25">
      <c r="A5304">
        <v>9661</v>
      </c>
      <c r="B5304" t="s">
        <v>11407</v>
      </c>
      <c r="C5304" t="s">
        <v>5043</v>
      </c>
      <c r="D5304" t="s">
        <v>8401</v>
      </c>
    </row>
    <row r="5305" spans="1:4" ht="15" x14ac:dyDescent="0.25">
      <c r="A5305">
        <v>9391</v>
      </c>
      <c r="B5305" t="s">
        <v>11408</v>
      </c>
      <c r="C5305" t="s">
        <v>5043</v>
      </c>
      <c r="D5305" t="s">
        <v>8401</v>
      </c>
    </row>
    <row r="5306" spans="1:4" ht="15" x14ac:dyDescent="0.25">
      <c r="A5306">
        <v>6759</v>
      </c>
      <c r="B5306" t="s">
        <v>11409</v>
      </c>
      <c r="C5306" t="s">
        <v>5043</v>
      </c>
      <c r="D5306" t="s">
        <v>8401</v>
      </c>
    </row>
    <row r="5307" spans="1:4" ht="15" x14ac:dyDescent="0.25">
      <c r="A5307">
        <v>11917</v>
      </c>
      <c r="B5307" t="s">
        <v>11410</v>
      </c>
      <c r="C5307" t="s">
        <v>5043</v>
      </c>
      <c r="D5307" t="s">
        <v>8401</v>
      </c>
    </row>
    <row r="5308" spans="1:4" ht="15" x14ac:dyDescent="0.25">
      <c r="A5308">
        <v>7660</v>
      </c>
      <c r="B5308" t="s">
        <v>11410</v>
      </c>
      <c r="C5308" t="s">
        <v>5043</v>
      </c>
      <c r="D5308" t="s">
        <v>8401</v>
      </c>
    </row>
    <row r="5309" spans="1:4" ht="15" x14ac:dyDescent="0.25">
      <c r="A5309">
        <v>9718</v>
      </c>
      <c r="B5309" t="s">
        <v>11410</v>
      </c>
      <c r="C5309" t="s">
        <v>5043</v>
      </c>
      <c r="D5309" t="s">
        <v>8401</v>
      </c>
    </row>
    <row r="5310" spans="1:4" ht="15" x14ac:dyDescent="0.25">
      <c r="A5310">
        <v>9985</v>
      </c>
      <c r="B5310" t="s">
        <v>11410</v>
      </c>
      <c r="C5310" t="s">
        <v>5043</v>
      </c>
      <c r="D5310" t="s">
        <v>8401</v>
      </c>
    </row>
    <row r="5311" spans="1:4" ht="15" x14ac:dyDescent="0.25">
      <c r="A5311">
        <v>10144</v>
      </c>
      <c r="B5311" t="s">
        <v>11411</v>
      </c>
      <c r="C5311" t="s">
        <v>5043</v>
      </c>
      <c r="D5311" t="s">
        <v>8401</v>
      </c>
    </row>
    <row r="5312" spans="1:4" ht="15" x14ac:dyDescent="0.25">
      <c r="A5312">
        <v>7562</v>
      </c>
      <c r="B5312" t="s">
        <v>11411</v>
      </c>
      <c r="C5312" t="s">
        <v>5043</v>
      </c>
      <c r="D5312" t="s">
        <v>8401</v>
      </c>
    </row>
    <row r="5313" spans="1:4" ht="15" x14ac:dyDescent="0.25">
      <c r="A5313">
        <v>9839</v>
      </c>
      <c r="B5313" t="s">
        <v>11411</v>
      </c>
      <c r="C5313" t="s">
        <v>5043</v>
      </c>
      <c r="D5313" t="s">
        <v>8401</v>
      </c>
    </row>
    <row r="5314" spans="1:4" ht="15" x14ac:dyDescent="0.25">
      <c r="A5314">
        <v>9466</v>
      </c>
      <c r="B5314" t="s">
        <v>11412</v>
      </c>
      <c r="C5314" t="s">
        <v>5043</v>
      </c>
      <c r="D5314" t="s">
        <v>8401</v>
      </c>
    </row>
    <row r="5315" spans="1:4" ht="15" x14ac:dyDescent="0.25">
      <c r="A5315">
        <v>10823</v>
      </c>
      <c r="B5315" t="s">
        <v>11413</v>
      </c>
      <c r="C5315" t="s">
        <v>5043</v>
      </c>
      <c r="D5315" t="s">
        <v>8401</v>
      </c>
    </row>
    <row r="5316" spans="1:4" ht="15" x14ac:dyDescent="0.25">
      <c r="A5316">
        <v>12124</v>
      </c>
      <c r="B5316" t="s">
        <v>11414</v>
      </c>
      <c r="C5316" t="s">
        <v>5043</v>
      </c>
      <c r="D5316" t="s">
        <v>8401</v>
      </c>
    </row>
    <row r="5317" spans="1:4" ht="15" x14ac:dyDescent="0.25">
      <c r="A5317">
        <v>7213</v>
      </c>
      <c r="B5317" t="s">
        <v>11414</v>
      </c>
      <c r="C5317" t="s">
        <v>5043</v>
      </c>
      <c r="D5317" t="s">
        <v>8401</v>
      </c>
    </row>
    <row r="5318" spans="1:4" ht="15" x14ac:dyDescent="0.25">
      <c r="A5318">
        <v>11632</v>
      </c>
      <c r="B5318" t="s">
        <v>11415</v>
      </c>
      <c r="C5318" t="s">
        <v>5043</v>
      </c>
      <c r="D5318" t="s">
        <v>8401</v>
      </c>
    </row>
    <row r="5319" spans="1:4" ht="15" x14ac:dyDescent="0.25">
      <c r="A5319">
        <v>11822</v>
      </c>
      <c r="B5319" t="s">
        <v>11416</v>
      </c>
      <c r="C5319" t="s">
        <v>5043</v>
      </c>
      <c r="D5319" t="s">
        <v>8401</v>
      </c>
    </row>
    <row r="5320" spans="1:4" ht="15" x14ac:dyDescent="0.25">
      <c r="A5320">
        <v>10218</v>
      </c>
      <c r="B5320" t="s">
        <v>11417</v>
      </c>
      <c r="C5320" t="s">
        <v>5043</v>
      </c>
      <c r="D5320" t="s">
        <v>8401</v>
      </c>
    </row>
    <row r="5321" spans="1:4" ht="15" x14ac:dyDescent="0.25">
      <c r="A5321">
        <v>11679</v>
      </c>
      <c r="B5321" t="s">
        <v>11417</v>
      </c>
      <c r="C5321" t="s">
        <v>5043</v>
      </c>
      <c r="D5321" t="s">
        <v>8401</v>
      </c>
    </row>
    <row r="5322" spans="1:4" ht="15" x14ac:dyDescent="0.25">
      <c r="A5322">
        <v>9304</v>
      </c>
      <c r="B5322" t="s">
        <v>11417</v>
      </c>
      <c r="C5322" t="s">
        <v>5043</v>
      </c>
      <c r="D5322" t="s">
        <v>8401</v>
      </c>
    </row>
    <row r="5323" spans="1:4" ht="15" x14ac:dyDescent="0.25">
      <c r="A5323">
        <v>7252</v>
      </c>
      <c r="B5323" t="s">
        <v>11418</v>
      </c>
      <c r="C5323" t="s">
        <v>5043</v>
      </c>
      <c r="D5323" t="s">
        <v>8401</v>
      </c>
    </row>
    <row r="5324" spans="1:4" ht="15" x14ac:dyDescent="0.25">
      <c r="A5324">
        <v>8579</v>
      </c>
      <c r="B5324" t="s">
        <v>11418</v>
      </c>
      <c r="C5324" t="s">
        <v>5043</v>
      </c>
      <c r="D5324" t="s">
        <v>8401</v>
      </c>
    </row>
    <row r="5325" spans="1:4" ht="15" x14ac:dyDescent="0.25">
      <c r="A5325">
        <v>7901</v>
      </c>
      <c r="B5325" t="s">
        <v>11419</v>
      </c>
      <c r="C5325" t="s">
        <v>5043</v>
      </c>
      <c r="D5325" t="s">
        <v>8401</v>
      </c>
    </row>
    <row r="5326" spans="1:4" ht="15" x14ac:dyDescent="0.25">
      <c r="A5326">
        <v>10606</v>
      </c>
      <c r="B5326" t="s">
        <v>11420</v>
      </c>
      <c r="C5326" t="s">
        <v>5043</v>
      </c>
      <c r="D5326" t="s">
        <v>8401</v>
      </c>
    </row>
    <row r="5327" spans="1:4" ht="15" x14ac:dyDescent="0.25">
      <c r="A5327">
        <v>11941</v>
      </c>
      <c r="B5327" t="s">
        <v>11421</v>
      </c>
      <c r="C5327" t="s">
        <v>5043</v>
      </c>
      <c r="D5327" t="s">
        <v>8401</v>
      </c>
    </row>
    <row r="5328" spans="1:4" ht="15" x14ac:dyDescent="0.25">
      <c r="A5328">
        <v>10213</v>
      </c>
      <c r="B5328" t="s">
        <v>11422</v>
      </c>
      <c r="C5328" t="s">
        <v>5043</v>
      </c>
      <c r="D5328" t="s">
        <v>8401</v>
      </c>
    </row>
    <row r="5329" spans="1:4" ht="15" x14ac:dyDescent="0.25">
      <c r="A5329">
        <v>11451</v>
      </c>
      <c r="B5329" t="s">
        <v>11423</v>
      </c>
      <c r="C5329" t="s">
        <v>5043</v>
      </c>
      <c r="D5329" t="s">
        <v>8401</v>
      </c>
    </row>
    <row r="5330" spans="1:4" ht="15" x14ac:dyDescent="0.25">
      <c r="A5330">
        <v>6939</v>
      </c>
      <c r="B5330" t="s">
        <v>11424</v>
      </c>
      <c r="C5330" t="s">
        <v>5043</v>
      </c>
      <c r="D5330" t="s">
        <v>8401</v>
      </c>
    </row>
    <row r="5331" spans="1:4" ht="15" x14ac:dyDescent="0.25">
      <c r="A5331">
        <v>7630</v>
      </c>
      <c r="B5331" t="s">
        <v>11425</v>
      </c>
      <c r="C5331" t="s">
        <v>5043</v>
      </c>
      <c r="D5331" t="s">
        <v>8401</v>
      </c>
    </row>
    <row r="5332" spans="1:4" ht="15" x14ac:dyDescent="0.25">
      <c r="A5332">
        <v>7687</v>
      </c>
      <c r="B5332" t="s">
        <v>11425</v>
      </c>
      <c r="C5332" t="s">
        <v>5043</v>
      </c>
      <c r="D5332" t="s">
        <v>8401</v>
      </c>
    </row>
    <row r="5333" spans="1:4" ht="15" x14ac:dyDescent="0.25">
      <c r="A5333">
        <v>11240</v>
      </c>
      <c r="B5333" t="s">
        <v>11426</v>
      </c>
      <c r="C5333" t="s">
        <v>5043</v>
      </c>
      <c r="D5333" t="s">
        <v>8401</v>
      </c>
    </row>
    <row r="5334" spans="1:4" ht="15" x14ac:dyDescent="0.25">
      <c r="A5334">
        <v>10305</v>
      </c>
      <c r="B5334" t="s">
        <v>11427</v>
      </c>
      <c r="C5334" t="s">
        <v>5043</v>
      </c>
      <c r="D5334" t="s">
        <v>8401</v>
      </c>
    </row>
    <row r="5335" spans="1:4" ht="15" x14ac:dyDescent="0.25">
      <c r="A5335">
        <v>10354</v>
      </c>
      <c r="B5335" t="s">
        <v>11427</v>
      </c>
      <c r="C5335" t="s">
        <v>5043</v>
      </c>
      <c r="D5335" t="s">
        <v>8401</v>
      </c>
    </row>
    <row r="5336" spans="1:4" ht="15" x14ac:dyDescent="0.25">
      <c r="A5336">
        <v>10385</v>
      </c>
      <c r="B5336" t="s">
        <v>11427</v>
      </c>
      <c r="C5336" t="s">
        <v>5043</v>
      </c>
      <c r="D5336" t="s">
        <v>8401</v>
      </c>
    </row>
    <row r="5337" spans="1:4" ht="15" x14ac:dyDescent="0.25">
      <c r="A5337">
        <v>11205</v>
      </c>
      <c r="B5337" t="s">
        <v>11427</v>
      </c>
      <c r="C5337" t="s">
        <v>5043</v>
      </c>
      <c r="D5337" t="s">
        <v>8401</v>
      </c>
    </row>
    <row r="5338" spans="1:4" ht="15" x14ac:dyDescent="0.25">
      <c r="A5338">
        <v>11404</v>
      </c>
      <c r="B5338" t="s">
        <v>11427</v>
      </c>
      <c r="C5338" t="s">
        <v>5043</v>
      </c>
      <c r="D5338" t="s">
        <v>8401</v>
      </c>
    </row>
    <row r="5339" spans="1:4" ht="15" x14ac:dyDescent="0.25">
      <c r="A5339">
        <v>11572</v>
      </c>
      <c r="B5339" t="s">
        <v>11427</v>
      </c>
      <c r="C5339" t="s">
        <v>5043</v>
      </c>
      <c r="D5339" t="s">
        <v>8401</v>
      </c>
    </row>
    <row r="5340" spans="1:4" ht="15" x14ac:dyDescent="0.25">
      <c r="A5340">
        <v>12053</v>
      </c>
      <c r="B5340" t="s">
        <v>11427</v>
      </c>
      <c r="C5340" t="s">
        <v>5043</v>
      </c>
      <c r="D5340" t="s">
        <v>8401</v>
      </c>
    </row>
    <row r="5341" spans="1:4" ht="15" x14ac:dyDescent="0.25">
      <c r="A5341">
        <v>7094</v>
      </c>
      <c r="B5341" t="s">
        <v>11427</v>
      </c>
      <c r="C5341" t="s">
        <v>5043</v>
      </c>
      <c r="D5341" t="s">
        <v>8401</v>
      </c>
    </row>
    <row r="5342" spans="1:4" ht="15" x14ac:dyDescent="0.25">
      <c r="A5342">
        <v>7517</v>
      </c>
      <c r="B5342" t="s">
        <v>11427</v>
      </c>
      <c r="C5342" t="s">
        <v>5043</v>
      </c>
      <c r="D5342" t="s">
        <v>8401</v>
      </c>
    </row>
    <row r="5343" spans="1:4" ht="15" x14ac:dyDescent="0.25">
      <c r="A5343">
        <v>8052</v>
      </c>
      <c r="B5343" t="s">
        <v>11427</v>
      </c>
      <c r="C5343" t="s">
        <v>5043</v>
      </c>
      <c r="D5343" t="s">
        <v>8401</v>
      </c>
    </row>
    <row r="5344" spans="1:4" ht="15" x14ac:dyDescent="0.25">
      <c r="A5344">
        <v>8341</v>
      </c>
      <c r="B5344" t="s">
        <v>11427</v>
      </c>
      <c r="C5344" t="s">
        <v>5043</v>
      </c>
      <c r="D5344" t="s">
        <v>8401</v>
      </c>
    </row>
    <row r="5345" spans="1:4" ht="15" x14ac:dyDescent="0.25">
      <c r="A5345">
        <v>8895</v>
      </c>
      <c r="B5345" t="s">
        <v>11427</v>
      </c>
      <c r="C5345" t="s">
        <v>5043</v>
      </c>
      <c r="D5345" t="s">
        <v>8401</v>
      </c>
    </row>
    <row r="5346" spans="1:4" ht="15" x14ac:dyDescent="0.25">
      <c r="A5346">
        <v>11754</v>
      </c>
      <c r="B5346" t="s">
        <v>11428</v>
      </c>
      <c r="C5346" t="s">
        <v>5043</v>
      </c>
      <c r="D5346" t="s">
        <v>8401</v>
      </c>
    </row>
    <row r="5347" spans="1:4" ht="15" x14ac:dyDescent="0.25">
      <c r="A5347">
        <v>7523</v>
      </c>
      <c r="B5347" t="s">
        <v>11428</v>
      </c>
      <c r="C5347" t="s">
        <v>5043</v>
      </c>
      <c r="D5347" t="s">
        <v>8401</v>
      </c>
    </row>
    <row r="5348" spans="1:4" ht="15" x14ac:dyDescent="0.25">
      <c r="A5348">
        <v>9059</v>
      </c>
      <c r="B5348" t="s">
        <v>11428</v>
      </c>
      <c r="C5348" t="s">
        <v>5043</v>
      </c>
      <c r="D5348" t="s">
        <v>8401</v>
      </c>
    </row>
    <row r="5349" spans="1:4" ht="15" x14ac:dyDescent="0.25">
      <c r="A5349">
        <v>10849</v>
      </c>
      <c r="B5349" t="s">
        <v>11429</v>
      </c>
      <c r="C5349" t="s">
        <v>5043</v>
      </c>
      <c r="D5349" t="s">
        <v>8401</v>
      </c>
    </row>
    <row r="5350" spans="1:4" ht="15" x14ac:dyDescent="0.25">
      <c r="A5350">
        <v>11311</v>
      </c>
      <c r="B5350" t="s">
        <v>11429</v>
      </c>
      <c r="C5350" t="s">
        <v>5043</v>
      </c>
      <c r="D5350" t="s">
        <v>8401</v>
      </c>
    </row>
    <row r="5351" spans="1:4" ht="15" x14ac:dyDescent="0.25">
      <c r="A5351">
        <v>11851</v>
      </c>
      <c r="B5351" t="s">
        <v>11429</v>
      </c>
      <c r="C5351" t="s">
        <v>5043</v>
      </c>
      <c r="D5351" t="s">
        <v>8401</v>
      </c>
    </row>
    <row r="5352" spans="1:4" ht="15" x14ac:dyDescent="0.25">
      <c r="A5352">
        <v>11992</v>
      </c>
      <c r="B5352" t="s">
        <v>11429</v>
      </c>
      <c r="C5352" t="s">
        <v>5043</v>
      </c>
      <c r="D5352" t="s">
        <v>8401</v>
      </c>
    </row>
    <row r="5353" spans="1:4" ht="15" x14ac:dyDescent="0.25">
      <c r="A5353">
        <v>7345</v>
      </c>
      <c r="B5353" t="s">
        <v>11429</v>
      </c>
      <c r="C5353" t="s">
        <v>5043</v>
      </c>
      <c r="D5353" t="s">
        <v>8401</v>
      </c>
    </row>
    <row r="5354" spans="1:4" ht="15" x14ac:dyDescent="0.25">
      <c r="A5354">
        <v>11127</v>
      </c>
      <c r="B5354" t="s">
        <v>11430</v>
      </c>
      <c r="C5354" t="s">
        <v>5043</v>
      </c>
      <c r="D5354" t="s">
        <v>8401</v>
      </c>
    </row>
    <row r="5355" spans="1:4" ht="15" x14ac:dyDescent="0.25">
      <c r="A5355">
        <v>11552</v>
      </c>
      <c r="B5355" t="s">
        <v>11431</v>
      </c>
      <c r="C5355" t="s">
        <v>5043</v>
      </c>
      <c r="D5355" t="s">
        <v>8401</v>
      </c>
    </row>
    <row r="5356" spans="1:4" ht="15" x14ac:dyDescent="0.25">
      <c r="A5356">
        <v>11529</v>
      </c>
      <c r="B5356" t="s">
        <v>11432</v>
      </c>
      <c r="C5356" t="s">
        <v>5043</v>
      </c>
      <c r="D5356" t="s">
        <v>8401</v>
      </c>
    </row>
    <row r="5357" spans="1:4" ht="15" x14ac:dyDescent="0.25">
      <c r="A5357">
        <v>11947</v>
      </c>
      <c r="B5357" t="s">
        <v>11432</v>
      </c>
      <c r="C5357" t="s">
        <v>5043</v>
      </c>
      <c r="D5357" t="s">
        <v>8401</v>
      </c>
    </row>
    <row r="5358" spans="1:4" ht="15" x14ac:dyDescent="0.25">
      <c r="A5358">
        <v>8682</v>
      </c>
      <c r="B5358" t="s">
        <v>11432</v>
      </c>
      <c r="C5358" t="s">
        <v>5043</v>
      </c>
      <c r="D5358" t="s">
        <v>8401</v>
      </c>
    </row>
    <row r="5359" spans="1:4" ht="15" x14ac:dyDescent="0.25">
      <c r="A5359">
        <v>10937</v>
      </c>
      <c r="B5359" t="s">
        <v>11433</v>
      </c>
      <c r="C5359" t="s">
        <v>5043</v>
      </c>
      <c r="D5359" t="s">
        <v>8401</v>
      </c>
    </row>
    <row r="5360" spans="1:4" ht="15" x14ac:dyDescent="0.25">
      <c r="A5360">
        <v>8875</v>
      </c>
      <c r="B5360" t="s">
        <v>11433</v>
      </c>
      <c r="C5360" t="s">
        <v>5043</v>
      </c>
      <c r="D5360" t="s">
        <v>8401</v>
      </c>
    </row>
    <row r="5361" spans="1:4" ht="15" x14ac:dyDescent="0.25">
      <c r="A5361">
        <v>10696</v>
      </c>
      <c r="B5361" t="s">
        <v>11434</v>
      </c>
      <c r="C5361" t="s">
        <v>5043</v>
      </c>
      <c r="D5361" t="s">
        <v>8401</v>
      </c>
    </row>
    <row r="5362" spans="1:4" ht="15" x14ac:dyDescent="0.25">
      <c r="A5362">
        <v>8242</v>
      </c>
      <c r="B5362" t="s">
        <v>11434</v>
      </c>
      <c r="C5362" t="s">
        <v>5043</v>
      </c>
      <c r="D5362" t="s">
        <v>8401</v>
      </c>
    </row>
    <row r="5363" spans="1:4" ht="15" x14ac:dyDescent="0.25">
      <c r="A5363">
        <v>8364</v>
      </c>
      <c r="B5363" t="s">
        <v>11434</v>
      </c>
      <c r="C5363" t="s">
        <v>5043</v>
      </c>
      <c r="D5363" t="s">
        <v>8401</v>
      </c>
    </row>
    <row r="5364" spans="1:4" ht="15" x14ac:dyDescent="0.25">
      <c r="A5364">
        <v>8559</v>
      </c>
      <c r="B5364" t="s">
        <v>11434</v>
      </c>
      <c r="C5364" t="s">
        <v>5043</v>
      </c>
      <c r="D5364" t="s">
        <v>8401</v>
      </c>
    </row>
    <row r="5365" spans="1:4" ht="15" x14ac:dyDescent="0.25">
      <c r="A5365">
        <v>10716</v>
      </c>
      <c r="B5365" t="s">
        <v>11435</v>
      </c>
      <c r="C5365" t="s">
        <v>5043</v>
      </c>
      <c r="D5365" t="s">
        <v>8401</v>
      </c>
    </row>
    <row r="5366" spans="1:4" ht="15" x14ac:dyDescent="0.25">
      <c r="A5366">
        <v>11829</v>
      </c>
      <c r="B5366" t="s">
        <v>11435</v>
      </c>
      <c r="C5366" t="s">
        <v>5043</v>
      </c>
      <c r="D5366" t="s">
        <v>8401</v>
      </c>
    </row>
    <row r="5367" spans="1:4" ht="15" x14ac:dyDescent="0.25">
      <c r="A5367">
        <v>6711</v>
      </c>
      <c r="B5367" t="s">
        <v>11435</v>
      </c>
      <c r="C5367" t="s">
        <v>5043</v>
      </c>
      <c r="D5367" t="s">
        <v>8401</v>
      </c>
    </row>
    <row r="5368" spans="1:4" ht="15" x14ac:dyDescent="0.25">
      <c r="A5368">
        <v>7643</v>
      </c>
      <c r="B5368" t="s">
        <v>11435</v>
      </c>
      <c r="C5368" t="s">
        <v>5043</v>
      </c>
      <c r="D5368" t="s">
        <v>8401</v>
      </c>
    </row>
    <row r="5369" spans="1:4" ht="15" x14ac:dyDescent="0.25">
      <c r="A5369">
        <v>7792</v>
      </c>
      <c r="B5369" t="s">
        <v>11435</v>
      </c>
      <c r="C5369" t="s">
        <v>5043</v>
      </c>
      <c r="D5369" t="s">
        <v>8401</v>
      </c>
    </row>
    <row r="5370" spans="1:4" ht="15" x14ac:dyDescent="0.25">
      <c r="A5370">
        <v>8800</v>
      </c>
      <c r="B5370" t="s">
        <v>11435</v>
      </c>
      <c r="C5370" t="s">
        <v>5043</v>
      </c>
      <c r="D5370" t="s">
        <v>8401</v>
      </c>
    </row>
    <row r="5371" spans="1:4" ht="15" x14ac:dyDescent="0.25">
      <c r="A5371">
        <v>8819</v>
      </c>
      <c r="B5371" t="s">
        <v>11435</v>
      </c>
      <c r="C5371" t="s">
        <v>5043</v>
      </c>
      <c r="D5371" t="s">
        <v>8401</v>
      </c>
    </row>
    <row r="5372" spans="1:4" ht="15" x14ac:dyDescent="0.25">
      <c r="A5372">
        <v>9000</v>
      </c>
      <c r="B5372" t="s">
        <v>11435</v>
      </c>
      <c r="C5372" t="s">
        <v>5043</v>
      </c>
      <c r="D5372" t="s">
        <v>8401</v>
      </c>
    </row>
    <row r="5373" spans="1:4" ht="15" x14ac:dyDescent="0.25">
      <c r="A5373">
        <v>7533</v>
      </c>
      <c r="B5373" t="s">
        <v>11436</v>
      </c>
      <c r="C5373" t="s">
        <v>5043</v>
      </c>
      <c r="D5373" t="s">
        <v>8401</v>
      </c>
    </row>
    <row r="5374" spans="1:4" ht="15" x14ac:dyDescent="0.25">
      <c r="A5374">
        <v>7849</v>
      </c>
      <c r="B5374" t="s">
        <v>11436</v>
      </c>
      <c r="C5374" t="s">
        <v>5043</v>
      </c>
      <c r="D5374" t="s">
        <v>8401</v>
      </c>
    </row>
    <row r="5375" spans="1:4" ht="15" x14ac:dyDescent="0.25">
      <c r="A5375">
        <v>8980</v>
      </c>
      <c r="B5375" t="s">
        <v>11436</v>
      </c>
      <c r="C5375" t="s">
        <v>5043</v>
      </c>
      <c r="D5375" t="s">
        <v>8401</v>
      </c>
    </row>
    <row r="5376" spans="1:4" ht="15" x14ac:dyDescent="0.25">
      <c r="A5376">
        <v>9265</v>
      </c>
      <c r="B5376" t="s">
        <v>11436</v>
      </c>
      <c r="C5376" t="s">
        <v>5043</v>
      </c>
      <c r="D5376" t="s">
        <v>8401</v>
      </c>
    </row>
    <row r="5377" spans="1:4" ht="15" x14ac:dyDescent="0.25">
      <c r="A5377">
        <v>10126</v>
      </c>
      <c r="B5377" t="s">
        <v>11437</v>
      </c>
      <c r="C5377" t="s">
        <v>5043</v>
      </c>
      <c r="D5377" t="s">
        <v>8401</v>
      </c>
    </row>
    <row r="5378" spans="1:4" ht="15" x14ac:dyDescent="0.25">
      <c r="A5378">
        <v>10190</v>
      </c>
      <c r="B5378" t="s">
        <v>11437</v>
      </c>
      <c r="C5378" t="s">
        <v>5043</v>
      </c>
      <c r="D5378" t="s">
        <v>8401</v>
      </c>
    </row>
    <row r="5379" spans="1:4" ht="15" x14ac:dyDescent="0.25">
      <c r="A5379">
        <v>7086</v>
      </c>
      <c r="B5379" t="s">
        <v>11437</v>
      </c>
      <c r="C5379" t="s">
        <v>5043</v>
      </c>
      <c r="D5379" t="s">
        <v>8401</v>
      </c>
    </row>
    <row r="5380" spans="1:4" ht="15" x14ac:dyDescent="0.25">
      <c r="A5380">
        <v>7716</v>
      </c>
      <c r="B5380" t="s">
        <v>11437</v>
      </c>
      <c r="C5380" t="s">
        <v>5043</v>
      </c>
      <c r="D5380" t="s">
        <v>8401</v>
      </c>
    </row>
    <row r="5381" spans="1:4" ht="15" x14ac:dyDescent="0.25">
      <c r="A5381">
        <v>8192</v>
      </c>
      <c r="B5381" t="s">
        <v>11437</v>
      </c>
      <c r="C5381" t="s">
        <v>5043</v>
      </c>
      <c r="D5381" t="s">
        <v>8401</v>
      </c>
    </row>
    <row r="5382" spans="1:4" ht="15" x14ac:dyDescent="0.25">
      <c r="A5382">
        <v>8349</v>
      </c>
      <c r="B5382" t="s">
        <v>11437</v>
      </c>
      <c r="C5382" t="s">
        <v>5043</v>
      </c>
      <c r="D5382" t="s">
        <v>8401</v>
      </c>
    </row>
    <row r="5383" spans="1:4" ht="15" x14ac:dyDescent="0.25">
      <c r="A5383">
        <v>9100</v>
      </c>
      <c r="B5383" t="s">
        <v>11437</v>
      </c>
      <c r="C5383" t="s">
        <v>5043</v>
      </c>
      <c r="D5383" t="s">
        <v>8401</v>
      </c>
    </row>
    <row r="5384" spans="1:4" ht="15" x14ac:dyDescent="0.25">
      <c r="A5384">
        <v>9671</v>
      </c>
      <c r="B5384" t="s">
        <v>11437</v>
      </c>
      <c r="C5384" t="s">
        <v>5043</v>
      </c>
      <c r="D5384" t="s">
        <v>8401</v>
      </c>
    </row>
    <row r="5385" spans="1:4" ht="15" x14ac:dyDescent="0.25">
      <c r="A5385">
        <v>9849</v>
      </c>
      <c r="B5385" t="s">
        <v>11437</v>
      </c>
      <c r="C5385" t="s">
        <v>5043</v>
      </c>
      <c r="D5385" t="s">
        <v>8401</v>
      </c>
    </row>
    <row r="5386" spans="1:4" ht="15" x14ac:dyDescent="0.25">
      <c r="A5386">
        <v>10943</v>
      </c>
      <c r="B5386" t="s">
        <v>11438</v>
      </c>
      <c r="C5386" t="s">
        <v>5043</v>
      </c>
      <c r="D5386" t="s">
        <v>8401</v>
      </c>
    </row>
    <row r="5387" spans="1:4" ht="15" x14ac:dyDescent="0.25">
      <c r="A5387">
        <v>7009</v>
      </c>
      <c r="B5387" t="s">
        <v>11439</v>
      </c>
      <c r="C5387" t="s">
        <v>5043</v>
      </c>
      <c r="D5387" t="s">
        <v>8401</v>
      </c>
    </row>
    <row r="5388" spans="1:4" ht="15" x14ac:dyDescent="0.25">
      <c r="A5388">
        <v>12049</v>
      </c>
      <c r="B5388" t="s">
        <v>11440</v>
      </c>
      <c r="C5388" t="s">
        <v>5043</v>
      </c>
      <c r="D5388" t="s">
        <v>8401</v>
      </c>
    </row>
    <row r="5389" spans="1:4" ht="15" x14ac:dyDescent="0.25">
      <c r="A5389">
        <v>10443</v>
      </c>
      <c r="B5389" t="s">
        <v>11441</v>
      </c>
      <c r="C5389" t="s">
        <v>5043</v>
      </c>
      <c r="D5389" t="s">
        <v>8401</v>
      </c>
    </row>
    <row r="5390" spans="1:4" ht="15" x14ac:dyDescent="0.25">
      <c r="A5390">
        <v>11695</v>
      </c>
      <c r="B5390" t="s">
        <v>11442</v>
      </c>
      <c r="C5390" t="s">
        <v>5043</v>
      </c>
      <c r="D5390" t="s">
        <v>8401</v>
      </c>
    </row>
    <row r="5391" spans="1:4" ht="15" x14ac:dyDescent="0.25">
      <c r="A5391">
        <v>9873</v>
      </c>
      <c r="B5391" t="s">
        <v>11442</v>
      </c>
      <c r="C5391" t="s">
        <v>5043</v>
      </c>
      <c r="D5391" t="s">
        <v>8401</v>
      </c>
    </row>
    <row r="5392" spans="1:4" ht="15" x14ac:dyDescent="0.25">
      <c r="A5392">
        <v>7153</v>
      </c>
      <c r="B5392" t="s">
        <v>11443</v>
      </c>
      <c r="C5392" t="s">
        <v>5043</v>
      </c>
      <c r="D5392" t="s">
        <v>8401</v>
      </c>
    </row>
    <row r="5393" spans="1:4" ht="15" x14ac:dyDescent="0.25">
      <c r="A5393">
        <v>9352</v>
      </c>
      <c r="B5393" t="s">
        <v>11444</v>
      </c>
      <c r="C5393" t="s">
        <v>5043</v>
      </c>
      <c r="D5393" t="s">
        <v>8401</v>
      </c>
    </row>
    <row r="5394" spans="1:4" ht="15" x14ac:dyDescent="0.25">
      <c r="A5394">
        <v>9498</v>
      </c>
      <c r="B5394" t="s">
        <v>11445</v>
      </c>
      <c r="C5394" t="s">
        <v>5043</v>
      </c>
      <c r="D5394" t="s">
        <v>8401</v>
      </c>
    </row>
    <row r="5395" spans="1:4" ht="15" x14ac:dyDescent="0.25">
      <c r="A5395">
        <v>9611</v>
      </c>
      <c r="B5395" t="s">
        <v>11445</v>
      </c>
      <c r="C5395" t="s">
        <v>5043</v>
      </c>
      <c r="D5395" t="s">
        <v>8401</v>
      </c>
    </row>
    <row r="5396" spans="1:4" ht="15" x14ac:dyDescent="0.25">
      <c r="A5396">
        <v>9424</v>
      </c>
      <c r="B5396" t="s">
        <v>11446</v>
      </c>
      <c r="C5396" t="s">
        <v>5043</v>
      </c>
      <c r="D5396" t="s">
        <v>8401</v>
      </c>
    </row>
    <row r="5397" spans="1:4" ht="15" x14ac:dyDescent="0.25">
      <c r="A5397">
        <v>10180</v>
      </c>
      <c r="B5397" t="s">
        <v>11447</v>
      </c>
      <c r="C5397" t="s">
        <v>5043</v>
      </c>
      <c r="D5397" t="s">
        <v>8401</v>
      </c>
    </row>
    <row r="5398" spans="1:4" ht="15" x14ac:dyDescent="0.25">
      <c r="A5398">
        <v>10039</v>
      </c>
      <c r="B5398" t="s">
        <v>11448</v>
      </c>
      <c r="C5398" t="s">
        <v>5043</v>
      </c>
      <c r="D5398" t="s">
        <v>8401</v>
      </c>
    </row>
    <row r="5399" spans="1:4" ht="15" x14ac:dyDescent="0.25">
      <c r="A5399">
        <v>10434</v>
      </c>
      <c r="B5399" t="s">
        <v>11448</v>
      </c>
      <c r="C5399" t="s">
        <v>5043</v>
      </c>
      <c r="D5399" t="s">
        <v>8401</v>
      </c>
    </row>
    <row r="5400" spans="1:4" ht="15" x14ac:dyDescent="0.25">
      <c r="A5400">
        <v>8926</v>
      </c>
      <c r="B5400" t="s">
        <v>11449</v>
      </c>
      <c r="C5400" t="s">
        <v>5043</v>
      </c>
      <c r="D5400" t="s">
        <v>8401</v>
      </c>
    </row>
    <row r="5401" spans="1:4" ht="15" x14ac:dyDescent="0.25">
      <c r="A5401">
        <v>6799</v>
      </c>
      <c r="B5401" t="s">
        <v>11450</v>
      </c>
      <c r="C5401" t="s">
        <v>5043</v>
      </c>
      <c r="D5401" t="s">
        <v>8401</v>
      </c>
    </row>
    <row r="5402" spans="1:4" ht="15" x14ac:dyDescent="0.25">
      <c r="A5402">
        <v>11602</v>
      </c>
      <c r="B5402" t="s">
        <v>11451</v>
      </c>
      <c r="C5402" t="s">
        <v>5043</v>
      </c>
      <c r="D5402" t="s">
        <v>8401</v>
      </c>
    </row>
    <row r="5403" spans="1:4" ht="15" x14ac:dyDescent="0.25">
      <c r="A5403">
        <v>6890</v>
      </c>
      <c r="B5403" t="s">
        <v>11452</v>
      </c>
      <c r="C5403" t="s">
        <v>5043</v>
      </c>
      <c r="D5403" t="s">
        <v>8401</v>
      </c>
    </row>
    <row r="5404" spans="1:4" ht="15" x14ac:dyDescent="0.25">
      <c r="A5404">
        <v>10592</v>
      </c>
      <c r="B5404" t="s">
        <v>11453</v>
      </c>
      <c r="C5404" t="s">
        <v>5043</v>
      </c>
      <c r="D5404" t="s">
        <v>8401</v>
      </c>
    </row>
    <row r="5405" spans="1:4" ht="15" x14ac:dyDescent="0.25">
      <c r="A5405">
        <v>9997</v>
      </c>
      <c r="B5405" t="s">
        <v>11453</v>
      </c>
      <c r="C5405" t="s">
        <v>5043</v>
      </c>
      <c r="D5405" t="s">
        <v>8401</v>
      </c>
    </row>
    <row r="5406" spans="1:4" ht="15" x14ac:dyDescent="0.25">
      <c r="A5406">
        <v>7712</v>
      </c>
      <c r="B5406" t="s">
        <v>11454</v>
      </c>
      <c r="C5406" t="s">
        <v>5043</v>
      </c>
      <c r="D5406" t="s">
        <v>8401</v>
      </c>
    </row>
    <row r="5407" spans="1:4" ht="15" x14ac:dyDescent="0.25">
      <c r="A5407">
        <v>10774</v>
      </c>
      <c r="B5407" t="s">
        <v>11455</v>
      </c>
      <c r="C5407" t="s">
        <v>5043</v>
      </c>
      <c r="D5407" t="s">
        <v>8401</v>
      </c>
    </row>
    <row r="5408" spans="1:4" ht="15" x14ac:dyDescent="0.25">
      <c r="A5408">
        <v>10834</v>
      </c>
      <c r="B5408" t="s">
        <v>11455</v>
      </c>
      <c r="C5408" t="s">
        <v>5043</v>
      </c>
      <c r="D5408" t="s">
        <v>8401</v>
      </c>
    </row>
    <row r="5409" spans="1:4" ht="15" x14ac:dyDescent="0.25">
      <c r="A5409">
        <v>7293</v>
      </c>
      <c r="B5409" t="s">
        <v>11455</v>
      </c>
      <c r="C5409" t="s">
        <v>5043</v>
      </c>
      <c r="D5409" t="s">
        <v>8401</v>
      </c>
    </row>
    <row r="5410" spans="1:4" ht="15" x14ac:dyDescent="0.25">
      <c r="A5410">
        <v>9579</v>
      </c>
      <c r="B5410" t="s">
        <v>11455</v>
      </c>
      <c r="C5410" t="s">
        <v>5043</v>
      </c>
      <c r="D5410" t="s">
        <v>8401</v>
      </c>
    </row>
    <row r="5411" spans="1:4" ht="15" x14ac:dyDescent="0.25">
      <c r="A5411">
        <v>8741</v>
      </c>
      <c r="B5411" t="s">
        <v>11456</v>
      </c>
      <c r="C5411" t="s">
        <v>5043</v>
      </c>
      <c r="D5411" t="s">
        <v>8401</v>
      </c>
    </row>
    <row r="5412" spans="1:4" ht="15" x14ac:dyDescent="0.25">
      <c r="A5412">
        <v>8861</v>
      </c>
      <c r="B5412" t="s">
        <v>11456</v>
      </c>
      <c r="C5412" t="s">
        <v>5043</v>
      </c>
      <c r="D5412" t="s">
        <v>8401</v>
      </c>
    </row>
    <row r="5413" spans="1:4" ht="15" x14ac:dyDescent="0.25">
      <c r="A5413">
        <v>7902</v>
      </c>
      <c r="B5413" t="s">
        <v>11457</v>
      </c>
      <c r="C5413" t="s">
        <v>5043</v>
      </c>
      <c r="D5413" t="s">
        <v>8401</v>
      </c>
    </row>
    <row r="5414" spans="1:4" ht="15" x14ac:dyDescent="0.25">
      <c r="A5414">
        <v>8830</v>
      </c>
      <c r="B5414" t="s">
        <v>11457</v>
      </c>
      <c r="C5414" t="s">
        <v>5043</v>
      </c>
      <c r="D5414" t="s">
        <v>8401</v>
      </c>
    </row>
    <row r="5415" spans="1:4" ht="15" x14ac:dyDescent="0.25">
      <c r="A5415">
        <v>10703</v>
      </c>
      <c r="B5415" t="s">
        <v>11458</v>
      </c>
      <c r="C5415" t="s">
        <v>5043</v>
      </c>
      <c r="D5415" t="s">
        <v>8401</v>
      </c>
    </row>
    <row r="5416" spans="1:4" ht="15" x14ac:dyDescent="0.25">
      <c r="A5416">
        <v>11880</v>
      </c>
      <c r="B5416" t="s">
        <v>11458</v>
      </c>
      <c r="C5416" t="s">
        <v>5043</v>
      </c>
      <c r="D5416" t="s">
        <v>8401</v>
      </c>
    </row>
    <row r="5417" spans="1:4" ht="15" x14ac:dyDescent="0.25">
      <c r="A5417">
        <v>6881</v>
      </c>
      <c r="B5417" t="s">
        <v>11459</v>
      </c>
      <c r="C5417" t="s">
        <v>5043</v>
      </c>
      <c r="D5417" t="s">
        <v>8401</v>
      </c>
    </row>
    <row r="5418" spans="1:4" ht="15" x14ac:dyDescent="0.25">
      <c r="A5418">
        <v>10418</v>
      </c>
      <c r="B5418" t="s">
        <v>11460</v>
      </c>
      <c r="C5418" t="s">
        <v>5043</v>
      </c>
      <c r="D5418" t="s">
        <v>8401</v>
      </c>
    </row>
    <row r="5419" spans="1:4" ht="15" x14ac:dyDescent="0.25">
      <c r="A5419">
        <v>9742</v>
      </c>
      <c r="B5419" t="s">
        <v>11460</v>
      </c>
      <c r="C5419" t="s">
        <v>5043</v>
      </c>
      <c r="D5419" t="s">
        <v>8401</v>
      </c>
    </row>
    <row r="5420" spans="1:4" ht="15" x14ac:dyDescent="0.25">
      <c r="A5420">
        <v>6917</v>
      </c>
      <c r="B5420" t="s">
        <v>11461</v>
      </c>
      <c r="C5420" t="s">
        <v>5043</v>
      </c>
      <c r="D5420" t="s">
        <v>8401</v>
      </c>
    </row>
    <row r="5421" spans="1:4" ht="15" x14ac:dyDescent="0.25">
      <c r="A5421">
        <v>11858</v>
      </c>
      <c r="B5421" t="s">
        <v>11462</v>
      </c>
      <c r="C5421" t="s">
        <v>5043</v>
      </c>
      <c r="D5421" t="s">
        <v>8401</v>
      </c>
    </row>
    <row r="5422" spans="1:4" ht="15" x14ac:dyDescent="0.25">
      <c r="A5422">
        <v>9505</v>
      </c>
      <c r="B5422" t="s">
        <v>11463</v>
      </c>
      <c r="C5422" t="s">
        <v>5043</v>
      </c>
      <c r="D5422" t="s">
        <v>8401</v>
      </c>
    </row>
    <row r="5423" spans="1:4" ht="15" x14ac:dyDescent="0.25">
      <c r="A5423">
        <v>7567</v>
      </c>
      <c r="B5423" t="s">
        <v>11464</v>
      </c>
      <c r="C5423" t="s">
        <v>5043</v>
      </c>
      <c r="D5423" t="s">
        <v>8401</v>
      </c>
    </row>
    <row r="5424" spans="1:4" ht="15" x14ac:dyDescent="0.25">
      <c r="A5424">
        <v>11436</v>
      </c>
      <c r="B5424" t="s">
        <v>11465</v>
      </c>
      <c r="C5424" t="s">
        <v>5043</v>
      </c>
      <c r="D5424" t="s">
        <v>8401</v>
      </c>
    </row>
    <row r="5425" spans="1:4" ht="15" x14ac:dyDescent="0.25">
      <c r="A5425">
        <v>10310</v>
      </c>
      <c r="B5425" t="s">
        <v>11466</v>
      </c>
      <c r="C5425" t="s">
        <v>5043</v>
      </c>
      <c r="D5425" t="s">
        <v>8401</v>
      </c>
    </row>
    <row r="5426" spans="1:4" ht="15" x14ac:dyDescent="0.25">
      <c r="A5426">
        <v>11993</v>
      </c>
      <c r="B5426" t="s">
        <v>11467</v>
      </c>
      <c r="C5426" t="s">
        <v>5043</v>
      </c>
      <c r="D5426" t="s">
        <v>8401</v>
      </c>
    </row>
    <row r="5427" spans="1:4" ht="15" x14ac:dyDescent="0.25">
      <c r="A5427">
        <v>6846</v>
      </c>
      <c r="B5427" t="s">
        <v>11468</v>
      </c>
      <c r="C5427" t="s">
        <v>5043</v>
      </c>
      <c r="D5427" t="s">
        <v>8401</v>
      </c>
    </row>
    <row r="5428" spans="1:4" ht="15" x14ac:dyDescent="0.25">
      <c r="A5428">
        <v>8171</v>
      </c>
      <c r="B5428" t="s">
        <v>11469</v>
      </c>
      <c r="C5428" t="s">
        <v>5043</v>
      </c>
      <c r="D5428" t="s">
        <v>8401</v>
      </c>
    </row>
    <row r="5429" spans="1:4" ht="15" x14ac:dyDescent="0.25">
      <c r="A5429">
        <v>9686</v>
      </c>
      <c r="B5429" t="s">
        <v>11469</v>
      </c>
      <c r="C5429" t="s">
        <v>5043</v>
      </c>
      <c r="D5429" t="s">
        <v>8401</v>
      </c>
    </row>
    <row r="5430" spans="1:4" ht="15" x14ac:dyDescent="0.25">
      <c r="A5430">
        <v>6810</v>
      </c>
      <c r="B5430" t="s">
        <v>11470</v>
      </c>
      <c r="C5430" t="s">
        <v>5043</v>
      </c>
      <c r="D5430" t="s">
        <v>8401</v>
      </c>
    </row>
    <row r="5431" spans="1:4" ht="15" x14ac:dyDescent="0.25">
      <c r="A5431">
        <v>12100</v>
      </c>
      <c r="B5431" t="s">
        <v>11471</v>
      </c>
      <c r="C5431" t="s">
        <v>5043</v>
      </c>
      <c r="D5431" t="s">
        <v>8401</v>
      </c>
    </row>
    <row r="5432" spans="1:4" ht="15" x14ac:dyDescent="0.25">
      <c r="A5432">
        <v>11600</v>
      </c>
      <c r="B5432" t="s">
        <v>11472</v>
      </c>
      <c r="C5432" t="s">
        <v>5043</v>
      </c>
      <c r="D5432" t="s">
        <v>8401</v>
      </c>
    </row>
    <row r="5433" spans="1:4" ht="15" x14ac:dyDescent="0.25">
      <c r="A5433">
        <v>7406</v>
      </c>
      <c r="B5433" t="s">
        <v>11472</v>
      </c>
      <c r="C5433" t="s">
        <v>5043</v>
      </c>
      <c r="D5433" t="s">
        <v>8401</v>
      </c>
    </row>
    <row r="5434" spans="1:4" ht="15" x14ac:dyDescent="0.25">
      <c r="A5434">
        <v>10484</v>
      </c>
      <c r="B5434" t="s">
        <v>11473</v>
      </c>
      <c r="C5434" t="s">
        <v>5043</v>
      </c>
      <c r="D5434" t="s">
        <v>8401</v>
      </c>
    </row>
    <row r="5435" spans="1:4" ht="15" x14ac:dyDescent="0.25">
      <c r="A5435">
        <v>7173</v>
      </c>
      <c r="B5435" t="s">
        <v>11473</v>
      </c>
      <c r="C5435" t="s">
        <v>5043</v>
      </c>
      <c r="D5435" t="s">
        <v>8401</v>
      </c>
    </row>
    <row r="5436" spans="1:4" ht="15" x14ac:dyDescent="0.25">
      <c r="A5436">
        <v>7942</v>
      </c>
      <c r="B5436" t="s">
        <v>11473</v>
      </c>
      <c r="C5436" t="s">
        <v>5043</v>
      </c>
      <c r="D5436" t="s">
        <v>8401</v>
      </c>
    </row>
    <row r="5437" spans="1:4" ht="15" x14ac:dyDescent="0.25">
      <c r="A5437">
        <v>8490</v>
      </c>
      <c r="B5437" t="s">
        <v>11473</v>
      </c>
      <c r="C5437" t="s">
        <v>5043</v>
      </c>
      <c r="D5437" t="s">
        <v>8401</v>
      </c>
    </row>
    <row r="5438" spans="1:4" ht="15" x14ac:dyDescent="0.25">
      <c r="A5438">
        <v>8770</v>
      </c>
      <c r="B5438" t="s">
        <v>11473</v>
      </c>
      <c r="C5438" t="s">
        <v>5043</v>
      </c>
      <c r="D5438" t="s">
        <v>8401</v>
      </c>
    </row>
    <row r="5439" spans="1:4" ht="15" x14ac:dyDescent="0.25">
      <c r="A5439">
        <v>7420</v>
      </c>
      <c r="B5439" t="s">
        <v>11474</v>
      </c>
      <c r="C5439" t="s">
        <v>5043</v>
      </c>
      <c r="D5439" t="s">
        <v>8401</v>
      </c>
    </row>
    <row r="5440" spans="1:4" ht="15" x14ac:dyDescent="0.25">
      <c r="A5440">
        <v>9051</v>
      </c>
      <c r="B5440" t="s">
        <v>11475</v>
      </c>
      <c r="C5440" t="s">
        <v>5043</v>
      </c>
      <c r="D5440" t="s">
        <v>8401</v>
      </c>
    </row>
    <row r="5441" spans="1:4" ht="15" x14ac:dyDescent="0.25">
      <c r="A5441">
        <v>9978</v>
      </c>
      <c r="B5441" t="s">
        <v>11476</v>
      </c>
      <c r="C5441" t="s">
        <v>5043</v>
      </c>
      <c r="D5441" t="s">
        <v>8401</v>
      </c>
    </row>
    <row r="5442" spans="1:4" ht="15" x14ac:dyDescent="0.25">
      <c r="A5442">
        <v>8857</v>
      </c>
      <c r="B5442" t="s">
        <v>11477</v>
      </c>
      <c r="C5442" t="s">
        <v>5043</v>
      </c>
      <c r="D5442" t="s">
        <v>8401</v>
      </c>
    </row>
    <row r="5443" spans="1:4" ht="15" x14ac:dyDescent="0.25">
      <c r="A5443">
        <v>11065</v>
      </c>
      <c r="B5443" t="s">
        <v>11478</v>
      </c>
      <c r="C5443" t="s">
        <v>5043</v>
      </c>
      <c r="D5443" t="s">
        <v>8401</v>
      </c>
    </row>
    <row r="5444" spans="1:4" ht="15" x14ac:dyDescent="0.25">
      <c r="A5444">
        <v>8964</v>
      </c>
      <c r="B5444" t="s">
        <v>11479</v>
      </c>
      <c r="C5444" t="s">
        <v>5043</v>
      </c>
      <c r="D5444" t="s">
        <v>8401</v>
      </c>
    </row>
    <row r="5445" spans="1:4" ht="15" x14ac:dyDescent="0.25">
      <c r="A5445">
        <v>8177</v>
      </c>
      <c r="B5445" t="s">
        <v>11480</v>
      </c>
      <c r="C5445" t="s">
        <v>5043</v>
      </c>
      <c r="D5445" t="s">
        <v>8401</v>
      </c>
    </row>
    <row r="5446" spans="1:4" ht="15" x14ac:dyDescent="0.25">
      <c r="A5446">
        <v>10630</v>
      </c>
      <c r="B5446" t="s">
        <v>11481</v>
      </c>
      <c r="C5446" t="s">
        <v>5043</v>
      </c>
      <c r="D5446" t="s">
        <v>8401</v>
      </c>
    </row>
    <row r="5447" spans="1:4" ht="15" x14ac:dyDescent="0.25">
      <c r="A5447">
        <v>9072</v>
      </c>
      <c r="B5447" t="s">
        <v>11482</v>
      </c>
      <c r="C5447" t="s">
        <v>5043</v>
      </c>
      <c r="D5447" t="s">
        <v>8401</v>
      </c>
    </row>
    <row r="5448" spans="1:4" ht="15" x14ac:dyDescent="0.25">
      <c r="A5448">
        <v>9120</v>
      </c>
      <c r="B5448" t="s">
        <v>11483</v>
      </c>
      <c r="C5448" t="s">
        <v>5043</v>
      </c>
      <c r="D5448" t="s">
        <v>8401</v>
      </c>
    </row>
    <row r="5449" spans="1:4" ht="15" x14ac:dyDescent="0.25">
      <c r="A5449">
        <v>10628</v>
      </c>
      <c r="B5449" t="s">
        <v>11484</v>
      </c>
      <c r="C5449" t="s">
        <v>5043</v>
      </c>
      <c r="D5449" t="s">
        <v>8401</v>
      </c>
    </row>
    <row r="5450" spans="1:4" ht="15" x14ac:dyDescent="0.25">
      <c r="A5450">
        <v>10911</v>
      </c>
      <c r="B5450" t="s">
        <v>11485</v>
      </c>
      <c r="C5450" t="s">
        <v>5043</v>
      </c>
      <c r="D5450" t="s">
        <v>8401</v>
      </c>
    </row>
    <row r="5451" spans="1:4" ht="15" x14ac:dyDescent="0.25">
      <c r="A5451">
        <v>6670</v>
      </c>
      <c r="B5451" t="s">
        <v>11486</v>
      </c>
      <c r="C5451" t="s">
        <v>5043</v>
      </c>
      <c r="D5451" t="s">
        <v>8401</v>
      </c>
    </row>
    <row r="5452" spans="1:4" ht="15" x14ac:dyDescent="0.25">
      <c r="A5452">
        <v>9771</v>
      </c>
      <c r="B5452" t="s">
        <v>11486</v>
      </c>
      <c r="C5452" t="s">
        <v>5043</v>
      </c>
      <c r="D5452" t="s">
        <v>8401</v>
      </c>
    </row>
    <row r="5453" spans="1:4" ht="15" x14ac:dyDescent="0.25">
      <c r="A5453">
        <v>12059</v>
      </c>
      <c r="B5453" t="s">
        <v>11487</v>
      </c>
      <c r="C5453" t="s">
        <v>5043</v>
      </c>
      <c r="D5453" t="s">
        <v>8401</v>
      </c>
    </row>
    <row r="5454" spans="1:4" ht="15" x14ac:dyDescent="0.25">
      <c r="A5454">
        <v>7139</v>
      </c>
      <c r="B5454" t="s">
        <v>11487</v>
      </c>
      <c r="C5454" t="s">
        <v>5043</v>
      </c>
      <c r="D5454" t="s">
        <v>8401</v>
      </c>
    </row>
    <row r="5455" spans="1:4" ht="15" x14ac:dyDescent="0.25">
      <c r="A5455">
        <v>8402</v>
      </c>
      <c r="B5455" t="s">
        <v>11487</v>
      </c>
      <c r="C5455" t="s">
        <v>5043</v>
      </c>
      <c r="D5455" t="s">
        <v>8401</v>
      </c>
    </row>
    <row r="5456" spans="1:4" ht="15" x14ac:dyDescent="0.25">
      <c r="A5456">
        <v>10174</v>
      </c>
      <c r="B5456" t="s">
        <v>11488</v>
      </c>
      <c r="C5456" t="s">
        <v>5043</v>
      </c>
      <c r="D5456" t="s">
        <v>8401</v>
      </c>
    </row>
    <row r="5457" spans="1:4" ht="15" x14ac:dyDescent="0.25">
      <c r="A5457">
        <v>11527</v>
      </c>
      <c r="B5457" t="s">
        <v>11488</v>
      </c>
      <c r="C5457" t="s">
        <v>5043</v>
      </c>
      <c r="D5457" t="s">
        <v>8401</v>
      </c>
    </row>
    <row r="5458" spans="1:4" ht="15" x14ac:dyDescent="0.25">
      <c r="A5458">
        <v>11977</v>
      </c>
      <c r="B5458" t="s">
        <v>11489</v>
      </c>
      <c r="C5458" t="s">
        <v>5043</v>
      </c>
      <c r="D5458" t="s">
        <v>8401</v>
      </c>
    </row>
    <row r="5459" spans="1:4" ht="15" x14ac:dyDescent="0.25">
      <c r="A5459">
        <v>10187</v>
      </c>
      <c r="B5459" t="s">
        <v>11490</v>
      </c>
      <c r="C5459" t="s">
        <v>5043</v>
      </c>
      <c r="D5459" t="s">
        <v>8401</v>
      </c>
    </row>
    <row r="5460" spans="1:4" ht="15" x14ac:dyDescent="0.25">
      <c r="A5460">
        <v>7940</v>
      </c>
      <c r="B5460" t="s">
        <v>11491</v>
      </c>
      <c r="C5460" t="s">
        <v>5043</v>
      </c>
      <c r="D5460" t="s">
        <v>8401</v>
      </c>
    </row>
    <row r="5461" spans="1:4" ht="15" x14ac:dyDescent="0.25">
      <c r="A5461">
        <v>10455</v>
      </c>
      <c r="B5461" t="s">
        <v>11492</v>
      </c>
      <c r="C5461" t="s">
        <v>5043</v>
      </c>
      <c r="D5461" t="s">
        <v>8401</v>
      </c>
    </row>
    <row r="5462" spans="1:4" ht="15" x14ac:dyDescent="0.25">
      <c r="A5462">
        <v>8452</v>
      </c>
      <c r="B5462" t="s">
        <v>11492</v>
      </c>
      <c r="C5462" t="s">
        <v>5043</v>
      </c>
      <c r="D5462" t="s">
        <v>8401</v>
      </c>
    </row>
    <row r="5463" spans="1:4" ht="15" x14ac:dyDescent="0.25">
      <c r="A5463">
        <v>9333</v>
      </c>
      <c r="B5463" t="s">
        <v>11493</v>
      </c>
      <c r="C5463" t="s">
        <v>5043</v>
      </c>
      <c r="D5463" t="s">
        <v>8401</v>
      </c>
    </row>
    <row r="5464" spans="1:4" ht="15" x14ac:dyDescent="0.25">
      <c r="A5464">
        <v>8168</v>
      </c>
      <c r="B5464" t="s">
        <v>11494</v>
      </c>
      <c r="C5464" t="s">
        <v>5043</v>
      </c>
      <c r="D5464" t="s">
        <v>8401</v>
      </c>
    </row>
  </sheetData>
  <sortState ref="A4:B12">
    <sortCondition descending="1" ref="A4:A1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350"/>
  <sheetViews>
    <sheetView topLeftCell="A16" workbookViewId="0">
      <pane ySplit="3345" topLeftCell="A1327"/>
      <selection activeCell="A24" sqref="A24:D1350"/>
      <selection pane="bottomLeft" activeCell="A1344" sqref="A1344:XFD1350"/>
    </sheetView>
  </sheetViews>
  <sheetFormatPr defaultColWidth="9.140625" defaultRowHeight="11.25" x14ac:dyDescent="0.2"/>
  <cols>
    <col min="1" max="1" width="5" style="2" bestFit="1" customWidth="1"/>
    <col min="2" max="2" width="63.5703125" style="2" customWidth="1"/>
    <col min="3" max="3" width="8" style="2" bestFit="1" customWidth="1"/>
    <col min="4" max="16384" width="9.140625" style="2"/>
  </cols>
  <sheetData>
    <row r="1" spans="1:3" customFormat="1" ht="21.75" x14ac:dyDescent="0.25">
      <c r="A1" s="9" t="s">
        <v>8294</v>
      </c>
      <c r="B1" s="2"/>
      <c r="C1" s="2"/>
    </row>
    <row r="2" spans="1:3" customFormat="1" ht="15" x14ac:dyDescent="0.25">
      <c r="A2" s="24" t="s">
        <v>9569</v>
      </c>
      <c r="C2" s="2"/>
    </row>
    <row r="3" spans="1:3" customFormat="1" ht="7.5" customHeight="1" x14ac:dyDescent="0.25">
      <c r="A3" s="50"/>
      <c r="B3" s="51"/>
      <c r="C3" s="2"/>
    </row>
    <row r="4" spans="1:3" customFormat="1" ht="15" x14ac:dyDescent="0.25">
      <c r="A4" s="18">
        <f>COUNTIF($B$23:$B$9521,"*kw_bll_ui\content\routing\*")</f>
        <v>239</v>
      </c>
      <c r="B4" s="19" t="s">
        <v>9</v>
      </c>
      <c r="C4" s="30"/>
    </row>
    <row r="5" spans="1:3" customFormat="1" ht="15" x14ac:dyDescent="0.25">
      <c r="A5" s="18">
        <f>COUNTIF($B$23:$B$9521,"*kw_bll_ui\content\device\*")</f>
        <v>152</v>
      </c>
      <c r="B5" s="19" t="s">
        <v>619</v>
      </c>
      <c r="C5" s="30"/>
    </row>
    <row r="6" spans="1:3" customFormat="1" ht="15" x14ac:dyDescent="0.25">
      <c r="A6" s="18">
        <f>COUNTIF($B$23:$B$9521,"*kw_bll_ui\framework\*")</f>
        <v>449</v>
      </c>
      <c r="B6" s="19" t="s">
        <v>8</v>
      </c>
      <c r="C6" s="30"/>
    </row>
    <row r="7" spans="1:3" customFormat="1" ht="15" x14ac:dyDescent="0.25">
      <c r="A7" s="18">
        <f>COUNTIF($B$23:$B$9521,"*kw_bll_ui\content\traffic\*")</f>
        <v>67</v>
      </c>
      <c r="B7" s="19" t="s">
        <v>11</v>
      </c>
      <c r="C7" s="30"/>
    </row>
    <row r="8" spans="1:3" customFormat="1" ht="15" x14ac:dyDescent="0.25">
      <c r="A8" s="18">
        <f>COUNTIF($B$23:$B$9521,"*kw_bll_ui\content\access\*")</f>
        <v>68</v>
      </c>
      <c r="B8" s="19" t="s">
        <v>13</v>
      </c>
      <c r="C8" s="30"/>
    </row>
    <row r="9" spans="1:3" customFormat="1" ht="15" x14ac:dyDescent="0.25">
      <c r="A9" s="18">
        <f>COUNTIF($B$23:$B$9521,"*kw_bll_ui\common\lib\*")</f>
        <v>228</v>
      </c>
      <c r="B9" s="19" t="s">
        <v>5598</v>
      </c>
      <c r="C9" s="30"/>
    </row>
    <row r="10" spans="1:3" customFormat="1" ht="15" x14ac:dyDescent="0.25">
      <c r="A10" s="18">
        <f>COUNTIF($B$23:$B$9521,"*kw_bll_ui\content\common\*")</f>
        <v>17</v>
      </c>
      <c r="B10" s="19" t="s">
        <v>5599</v>
      </c>
      <c r="C10" s="30"/>
    </row>
    <row r="11" spans="1:3" customFormat="1" ht="15" x14ac:dyDescent="0.25">
      <c r="A11" s="18">
        <f>COUNTIF($B$23:$B$9521,"*kw_bll_ui\common\tools\*")</f>
        <v>5</v>
      </c>
      <c r="B11" s="19" t="s">
        <v>5597</v>
      </c>
      <c r="C11" s="30"/>
    </row>
    <row r="12" spans="1:3" customFormat="1" ht="15" x14ac:dyDescent="0.25">
      <c r="A12" s="18">
        <f>COUNTIF($B$23:$B$9521,"*kw_bll_ui\content\sample\*")</f>
        <v>5</v>
      </c>
      <c r="B12" s="19" t="s">
        <v>617</v>
      </c>
      <c r="C12" s="30"/>
    </row>
    <row r="13" spans="1:3" customFormat="1" ht="15" x14ac:dyDescent="0.25">
      <c r="A13" s="18">
        <f>COUNTIF($B$23:$B$9521,"*kw_bll_ui\content\tripleplay\*")</f>
        <v>8</v>
      </c>
      <c r="B13" s="19" t="s">
        <v>618</v>
      </c>
      <c r="C13" s="30"/>
    </row>
    <row r="14" spans="1:3" customFormat="1" ht="15" x14ac:dyDescent="0.25">
      <c r="A14" s="18">
        <f>COUNTIF($B$23:$B$9521,"*kw_bll_ui\content\channel\*")</f>
        <v>2</v>
      </c>
      <c r="B14" s="19" t="s">
        <v>8454</v>
      </c>
      <c r="C14" s="30"/>
    </row>
    <row r="15" spans="1:3" customFormat="1" ht="15" x14ac:dyDescent="0.25">
      <c r="A15" s="18">
        <f>COUNTIF($B$23:$B$9521,"*kw_bll_ui\content\traffictests\*")</f>
        <v>0</v>
      </c>
      <c r="B15" s="19" t="s">
        <v>12</v>
      </c>
      <c r="C15" s="30"/>
    </row>
    <row r="16" spans="1:3" customFormat="1" ht="15" x14ac:dyDescent="0.25">
      <c r="A16" s="18">
        <f>COUNTIF($B$23:$B$9521,"*kw_bll_ui\content\learning\*")</f>
        <v>0</v>
      </c>
      <c r="B16" s="19" t="s">
        <v>8455</v>
      </c>
      <c r="C16" s="30"/>
    </row>
    <row r="17" spans="1:5" customFormat="1" ht="15" x14ac:dyDescent="0.25">
      <c r="A17" s="18">
        <f>COUNTIF($B$23:$B$9521,"*kw_bll_ui\content\datacenter\*")</f>
        <v>19</v>
      </c>
      <c r="B17" s="19" t="s">
        <v>10</v>
      </c>
      <c r="C17" s="30"/>
    </row>
    <row r="18" spans="1:5" customFormat="1" ht="15" x14ac:dyDescent="0.25">
      <c r="A18" s="18">
        <f>COUNTIF($B$23:$B$9521,"*kw_bll_ui\content\storage\*")</f>
        <v>2</v>
      </c>
      <c r="B18" s="19" t="s">
        <v>162</v>
      </c>
      <c r="C18" s="30"/>
    </row>
    <row r="19" spans="1:5" customFormat="1" ht="15" x14ac:dyDescent="0.25">
      <c r="A19" s="18">
        <f>COUNTIF($B$23:$B$9521,"*mcast\*")</f>
        <v>1</v>
      </c>
      <c r="B19" s="19" t="s">
        <v>163</v>
      </c>
      <c r="C19" s="30"/>
    </row>
    <row r="20" spans="1:5" customFormat="1" ht="6" customHeight="1" x14ac:dyDescent="0.25">
      <c r="A20" s="53"/>
      <c r="B20" s="62"/>
      <c r="C20" s="30"/>
    </row>
    <row r="21" spans="1:5" customFormat="1" ht="15" x14ac:dyDescent="0.25">
      <c r="A21" s="59">
        <f>SUM(A3:A20)</f>
        <v>1262</v>
      </c>
      <c r="B21" s="1" t="s">
        <v>2694</v>
      </c>
      <c r="C21" s="31"/>
    </row>
    <row r="22" spans="1:5" customFormat="1" ht="14.45" x14ac:dyDescent="0.3">
      <c r="C22" s="2">
        <f>COUNTA(A24:A4521)</f>
        <v>1327</v>
      </c>
      <c r="E22">
        <f>711-632</f>
        <v>79</v>
      </c>
    </row>
    <row r="23" spans="1:5" customFormat="1" ht="14.45" x14ac:dyDescent="0.3">
      <c r="A23" s="59" t="s">
        <v>110</v>
      </c>
      <c r="B23" s="44" t="s">
        <v>111</v>
      </c>
      <c r="C23" s="2"/>
    </row>
    <row r="24" spans="1:5" ht="14.45" x14ac:dyDescent="0.3">
      <c r="A24">
        <v>5603</v>
      </c>
      <c r="B24" t="s">
        <v>9573</v>
      </c>
      <c r="C24" t="s">
        <v>5043</v>
      </c>
      <c r="D24" t="s">
        <v>8401</v>
      </c>
    </row>
    <row r="25" spans="1:5" ht="14.45" x14ac:dyDescent="0.3">
      <c r="A25">
        <v>7160</v>
      </c>
      <c r="B25" t="s">
        <v>9573</v>
      </c>
      <c r="C25" t="s">
        <v>5043</v>
      </c>
      <c r="D25" t="s">
        <v>8401</v>
      </c>
    </row>
    <row r="26" spans="1:5" ht="14.45" x14ac:dyDescent="0.3">
      <c r="A26">
        <v>6914</v>
      </c>
      <c r="B26" t="s">
        <v>9574</v>
      </c>
      <c r="C26" t="s">
        <v>5043</v>
      </c>
      <c r="D26" t="s">
        <v>8401</v>
      </c>
    </row>
    <row r="27" spans="1:5" ht="14.45" x14ac:dyDescent="0.3">
      <c r="A27">
        <v>9035</v>
      </c>
      <c r="B27" t="s">
        <v>9574</v>
      </c>
      <c r="C27" t="s">
        <v>5043</v>
      </c>
      <c r="D27" t="s">
        <v>8401</v>
      </c>
    </row>
    <row r="28" spans="1:5" ht="14.45" x14ac:dyDescent="0.3">
      <c r="A28">
        <v>7673</v>
      </c>
      <c r="B28" t="s">
        <v>9575</v>
      </c>
      <c r="C28" t="s">
        <v>5043</v>
      </c>
      <c r="D28" t="s">
        <v>8401</v>
      </c>
    </row>
    <row r="29" spans="1:5" ht="14.45" x14ac:dyDescent="0.3">
      <c r="A29">
        <v>5049</v>
      </c>
      <c r="B29" t="s">
        <v>8497</v>
      </c>
      <c r="C29" t="s">
        <v>5043</v>
      </c>
      <c r="D29" t="s">
        <v>8401</v>
      </c>
    </row>
    <row r="30" spans="1:5" ht="14.45" x14ac:dyDescent="0.3">
      <c r="A30">
        <v>6440</v>
      </c>
      <c r="B30" t="s">
        <v>8497</v>
      </c>
      <c r="C30" t="s">
        <v>5043</v>
      </c>
      <c r="D30" t="s">
        <v>8401</v>
      </c>
    </row>
    <row r="31" spans="1:5" ht="14.45" x14ac:dyDescent="0.3">
      <c r="A31">
        <v>6790</v>
      </c>
      <c r="B31" t="s">
        <v>8497</v>
      </c>
      <c r="C31" t="s">
        <v>5043</v>
      </c>
      <c r="D31" t="s">
        <v>8401</v>
      </c>
    </row>
    <row r="32" spans="1:5" ht="14.45" x14ac:dyDescent="0.3">
      <c r="A32">
        <v>8819</v>
      </c>
      <c r="B32" t="s">
        <v>9576</v>
      </c>
      <c r="C32" t="s">
        <v>5043</v>
      </c>
      <c r="D32" t="s">
        <v>8401</v>
      </c>
    </row>
    <row r="33" spans="1:4" ht="14.45" x14ac:dyDescent="0.3">
      <c r="A33">
        <v>9074</v>
      </c>
      <c r="B33" t="s">
        <v>9576</v>
      </c>
      <c r="C33" t="s">
        <v>5043</v>
      </c>
      <c r="D33" t="s">
        <v>8401</v>
      </c>
    </row>
    <row r="34" spans="1:4" ht="14.45" x14ac:dyDescent="0.3">
      <c r="A34">
        <v>8094</v>
      </c>
      <c r="B34" t="s">
        <v>8498</v>
      </c>
      <c r="C34" t="s">
        <v>5043</v>
      </c>
      <c r="D34" t="s">
        <v>8401</v>
      </c>
    </row>
    <row r="35" spans="1:4" ht="14.45" x14ac:dyDescent="0.3">
      <c r="A35">
        <v>8550</v>
      </c>
      <c r="B35" t="s">
        <v>9577</v>
      </c>
      <c r="C35" t="s">
        <v>5043</v>
      </c>
      <c r="D35" t="s">
        <v>8401</v>
      </c>
    </row>
    <row r="36" spans="1:4" ht="14.45" x14ac:dyDescent="0.3">
      <c r="A36">
        <v>5003</v>
      </c>
      <c r="B36" t="s">
        <v>8499</v>
      </c>
      <c r="C36" t="s">
        <v>5043</v>
      </c>
      <c r="D36" t="s">
        <v>8401</v>
      </c>
    </row>
    <row r="37" spans="1:4" ht="14.45" x14ac:dyDescent="0.3">
      <c r="A37">
        <v>5075</v>
      </c>
      <c r="B37" t="s">
        <v>8499</v>
      </c>
      <c r="C37" t="s">
        <v>5043</v>
      </c>
      <c r="D37" t="s">
        <v>8401</v>
      </c>
    </row>
    <row r="38" spans="1:4" ht="14.45" x14ac:dyDescent="0.3">
      <c r="A38">
        <v>5099</v>
      </c>
      <c r="B38" t="s">
        <v>8499</v>
      </c>
      <c r="C38" t="s">
        <v>5043</v>
      </c>
      <c r="D38" t="s">
        <v>8401</v>
      </c>
    </row>
    <row r="39" spans="1:4" ht="14.45" x14ac:dyDescent="0.3">
      <c r="A39">
        <v>5815</v>
      </c>
      <c r="B39" t="s">
        <v>8499</v>
      </c>
      <c r="C39" t="s">
        <v>5043</v>
      </c>
      <c r="D39" t="s">
        <v>8401</v>
      </c>
    </row>
    <row r="40" spans="1:4" ht="14.45" x14ac:dyDescent="0.3">
      <c r="A40">
        <v>6186</v>
      </c>
      <c r="B40" t="s">
        <v>8499</v>
      </c>
      <c r="C40" t="s">
        <v>5043</v>
      </c>
      <c r="D40" t="s">
        <v>8401</v>
      </c>
    </row>
    <row r="41" spans="1:4" ht="14.45" x14ac:dyDescent="0.3">
      <c r="A41">
        <v>6816</v>
      </c>
      <c r="B41" t="s">
        <v>8499</v>
      </c>
      <c r="C41" t="s">
        <v>5043</v>
      </c>
      <c r="D41" t="s">
        <v>8401</v>
      </c>
    </row>
    <row r="42" spans="1:4" ht="14.45" x14ac:dyDescent="0.3">
      <c r="A42">
        <v>9756</v>
      </c>
      <c r="B42" t="s">
        <v>8499</v>
      </c>
      <c r="C42" t="s">
        <v>5043</v>
      </c>
      <c r="D42" t="s">
        <v>8401</v>
      </c>
    </row>
    <row r="43" spans="1:4" ht="14.45" x14ac:dyDescent="0.3">
      <c r="A43">
        <v>6899</v>
      </c>
      <c r="B43" t="s">
        <v>8500</v>
      </c>
      <c r="C43" t="s">
        <v>5043</v>
      </c>
      <c r="D43" t="s">
        <v>8401</v>
      </c>
    </row>
    <row r="44" spans="1:4" ht="14.45" x14ac:dyDescent="0.3">
      <c r="A44">
        <v>9062</v>
      </c>
      <c r="B44" t="s">
        <v>8501</v>
      </c>
      <c r="C44" t="s">
        <v>5043</v>
      </c>
      <c r="D44" t="s">
        <v>8401</v>
      </c>
    </row>
    <row r="45" spans="1:4" ht="14.45" x14ac:dyDescent="0.3">
      <c r="A45">
        <v>9319</v>
      </c>
      <c r="B45" t="s">
        <v>8502</v>
      </c>
      <c r="C45" t="s">
        <v>5043</v>
      </c>
      <c r="D45" t="s">
        <v>8401</v>
      </c>
    </row>
    <row r="46" spans="1:4" ht="14.45" x14ac:dyDescent="0.3">
      <c r="A46">
        <v>9502</v>
      </c>
      <c r="B46" t="s">
        <v>9578</v>
      </c>
      <c r="C46" t="s">
        <v>5043</v>
      </c>
      <c r="D46" t="s">
        <v>8401</v>
      </c>
    </row>
    <row r="47" spans="1:4" ht="14.45" x14ac:dyDescent="0.3">
      <c r="A47">
        <v>6829</v>
      </c>
      <c r="B47" t="s">
        <v>9579</v>
      </c>
      <c r="C47" t="s">
        <v>5043</v>
      </c>
      <c r="D47" t="s">
        <v>8401</v>
      </c>
    </row>
    <row r="48" spans="1:4" ht="14.45" x14ac:dyDescent="0.3">
      <c r="A48">
        <v>7414</v>
      </c>
      <c r="B48" t="s">
        <v>9579</v>
      </c>
      <c r="C48" t="s">
        <v>5043</v>
      </c>
      <c r="D48" t="s">
        <v>8401</v>
      </c>
    </row>
    <row r="49" spans="1:4" ht="14.45" x14ac:dyDescent="0.3">
      <c r="A49">
        <v>8375</v>
      </c>
      <c r="B49" t="s">
        <v>9580</v>
      </c>
      <c r="C49" t="s">
        <v>5043</v>
      </c>
      <c r="D49" t="s">
        <v>8401</v>
      </c>
    </row>
    <row r="50" spans="1:4" ht="14.45" x14ac:dyDescent="0.3">
      <c r="A50">
        <v>9513</v>
      </c>
      <c r="B50" t="s">
        <v>9580</v>
      </c>
      <c r="C50" t="s">
        <v>5043</v>
      </c>
      <c r="D50" t="s">
        <v>8401</v>
      </c>
    </row>
    <row r="51" spans="1:4" ht="14.45" x14ac:dyDescent="0.3">
      <c r="A51">
        <v>5456</v>
      </c>
      <c r="B51" t="s">
        <v>9581</v>
      </c>
      <c r="C51" t="s">
        <v>5043</v>
      </c>
      <c r="D51" t="s">
        <v>8401</v>
      </c>
    </row>
    <row r="52" spans="1:4" ht="14.45" x14ac:dyDescent="0.3">
      <c r="A52">
        <v>5625</v>
      </c>
      <c r="B52" t="s">
        <v>9581</v>
      </c>
      <c r="C52" t="s">
        <v>5043</v>
      </c>
      <c r="D52" t="s">
        <v>8401</v>
      </c>
    </row>
    <row r="53" spans="1:4" ht="14.45" x14ac:dyDescent="0.3">
      <c r="A53">
        <v>7245</v>
      </c>
      <c r="B53" t="s">
        <v>9581</v>
      </c>
      <c r="C53" t="s">
        <v>5043</v>
      </c>
      <c r="D53" t="s">
        <v>8401</v>
      </c>
    </row>
    <row r="54" spans="1:4" ht="14.45" x14ac:dyDescent="0.3">
      <c r="A54">
        <v>8089</v>
      </c>
      <c r="B54" t="s">
        <v>9581</v>
      </c>
      <c r="C54" t="s">
        <v>5043</v>
      </c>
      <c r="D54" t="s">
        <v>8401</v>
      </c>
    </row>
    <row r="55" spans="1:4" ht="14.45" x14ac:dyDescent="0.3">
      <c r="A55">
        <v>9297</v>
      </c>
      <c r="B55" t="s">
        <v>9581</v>
      </c>
      <c r="C55" t="s">
        <v>5043</v>
      </c>
      <c r="D55" t="s">
        <v>8401</v>
      </c>
    </row>
    <row r="56" spans="1:4" ht="14.45" x14ac:dyDescent="0.3">
      <c r="A56">
        <v>5059</v>
      </c>
      <c r="B56" t="s">
        <v>9582</v>
      </c>
      <c r="C56" t="s">
        <v>5043</v>
      </c>
      <c r="D56" t="s">
        <v>8401</v>
      </c>
    </row>
    <row r="57" spans="1:4" ht="14.45" x14ac:dyDescent="0.3">
      <c r="A57">
        <v>6851</v>
      </c>
      <c r="B57" t="s">
        <v>9582</v>
      </c>
      <c r="C57" t="s">
        <v>5043</v>
      </c>
      <c r="D57" t="s">
        <v>8401</v>
      </c>
    </row>
    <row r="58" spans="1:4" ht="14.45" x14ac:dyDescent="0.3">
      <c r="A58">
        <v>7209</v>
      </c>
      <c r="B58" t="s">
        <v>9582</v>
      </c>
      <c r="C58" t="s">
        <v>5043</v>
      </c>
      <c r="D58" t="s">
        <v>8401</v>
      </c>
    </row>
    <row r="59" spans="1:4" ht="14.45" x14ac:dyDescent="0.3">
      <c r="A59">
        <v>7583</v>
      </c>
      <c r="B59" t="s">
        <v>9582</v>
      </c>
      <c r="C59" t="s">
        <v>5043</v>
      </c>
      <c r="D59" t="s">
        <v>8401</v>
      </c>
    </row>
    <row r="60" spans="1:4" ht="14.45" x14ac:dyDescent="0.3">
      <c r="A60">
        <v>7677</v>
      </c>
      <c r="B60" t="s">
        <v>9582</v>
      </c>
      <c r="C60" t="s">
        <v>5043</v>
      </c>
      <c r="D60" t="s">
        <v>8401</v>
      </c>
    </row>
    <row r="61" spans="1:4" ht="14.45" x14ac:dyDescent="0.3">
      <c r="A61">
        <v>7685</v>
      </c>
      <c r="B61" t="s">
        <v>9582</v>
      </c>
      <c r="C61" t="s">
        <v>5043</v>
      </c>
      <c r="D61" t="s">
        <v>8401</v>
      </c>
    </row>
    <row r="62" spans="1:4" ht="14.45" x14ac:dyDescent="0.3">
      <c r="A62">
        <v>8433</v>
      </c>
      <c r="B62" t="s">
        <v>9582</v>
      </c>
      <c r="C62" t="s">
        <v>5043</v>
      </c>
      <c r="D62" t="s">
        <v>8401</v>
      </c>
    </row>
    <row r="63" spans="1:4" ht="14.45" x14ac:dyDescent="0.3">
      <c r="A63">
        <v>7138</v>
      </c>
      <c r="B63" t="s">
        <v>9583</v>
      </c>
      <c r="C63" t="s">
        <v>5043</v>
      </c>
      <c r="D63" t="s">
        <v>8401</v>
      </c>
    </row>
    <row r="64" spans="1:4" ht="14.45" x14ac:dyDescent="0.3">
      <c r="A64">
        <v>8599</v>
      </c>
      <c r="B64" t="s">
        <v>9584</v>
      </c>
      <c r="C64" t="s">
        <v>5043</v>
      </c>
      <c r="D64" t="s">
        <v>8401</v>
      </c>
    </row>
    <row r="65" spans="1:4" ht="14.45" x14ac:dyDescent="0.3">
      <c r="A65">
        <v>7057</v>
      </c>
      <c r="B65" t="s">
        <v>9585</v>
      </c>
      <c r="C65" t="s">
        <v>5043</v>
      </c>
      <c r="D65" t="s">
        <v>8401</v>
      </c>
    </row>
    <row r="66" spans="1:4" ht="14.45" x14ac:dyDescent="0.3">
      <c r="A66">
        <v>7403</v>
      </c>
      <c r="B66" t="s">
        <v>9585</v>
      </c>
      <c r="C66" t="s">
        <v>5043</v>
      </c>
      <c r="D66" t="s">
        <v>8401</v>
      </c>
    </row>
    <row r="67" spans="1:4" ht="14.45" x14ac:dyDescent="0.3">
      <c r="A67">
        <v>8019</v>
      </c>
      <c r="B67" t="s">
        <v>9585</v>
      </c>
      <c r="C67" t="s">
        <v>5043</v>
      </c>
      <c r="D67" t="s">
        <v>8401</v>
      </c>
    </row>
    <row r="68" spans="1:4" ht="14.45" x14ac:dyDescent="0.3">
      <c r="A68">
        <v>8835</v>
      </c>
      <c r="B68" t="s">
        <v>9585</v>
      </c>
      <c r="C68" t="s">
        <v>5043</v>
      </c>
      <c r="D68" t="s">
        <v>8401</v>
      </c>
    </row>
    <row r="69" spans="1:4" ht="14.45" x14ac:dyDescent="0.3">
      <c r="A69">
        <v>6617</v>
      </c>
      <c r="B69" t="s">
        <v>9586</v>
      </c>
      <c r="C69" t="s">
        <v>5043</v>
      </c>
      <c r="D69" t="s">
        <v>8401</v>
      </c>
    </row>
    <row r="70" spans="1:4" ht="14.45" x14ac:dyDescent="0.3">
      <c r="A70">
        <v>7750</v>
      </c>
      <c r="B70" t="s">
        <v>9586</v>
      </c>
      <c r="C70" t="s">
        <v>5043</v>
      </c>
      <c r="D70" t="s">
        <v>8401</v>
      </c>
    </row>
    <row r="71" spans="1:4" ht="14.45" x14ac:dyDescent="0.3">
      <c r="A71">
        <v>7669</v>
      </c>
      <c r="B71" t="s">
        <v>9587</v>
      </c>
      <c r="C71" t="s">
        <v>5043</v>
      </c>
      <c r="D71" t="s">
        <v>8401</v>
      </c>
    </row>
    <row r="72" spans="1:4" ht="14.45" x14ac:dyDescent="0.3">
      <c r="A72">
        <v>6158</v>
      </c>
      <c r="B72" t="s">
        <v>8503</v>
      </c>
      <c r="C72" t="s">
        <v>5043</v>
      </c>
      <c r="D72" t="s">
        <v>8401</v>
      </c>
    </row>
    <row r="73" spans="1:4" ht="14.45" x14ac:dyDescent="0.3">
      <c r="A73">
        <v>8177</v>
      </c>
      <c r="B73" t="s">
        <v>8503</v>
      </c>
      <c r="C73" t="s">
        <v>5043</v>
      </c>
      <c r="D73" t="s">
        <v>8401</v>
      </c>
    </row>
    <row r="74" spans="1:4" ht="14.45" x14ac:dyDescent="0.3">
      <c r="A74">
        <v>9202</v>
      </c>
      <c r="B74" t="s">
        <v>8503</v>
      </c>
      <c r="C74" t="s">
        <v>5043</v>
      </c>
      <c r="D74" t="s">
        <v>8401</v>
      </c>
    </row>
    <row r="75" spans="1:4" ht="14.45" x14ac:dyDescent="0.3">
      <c r="A75">
        <v>9527</v>
      </c>
      <c r="B75" t="s">
        <v>8503</v>
      </c>
      <c r="C75" t="s">
        <v>5043</v>
      </c>
      <c r="D75" t="s">
        <v>8401</v>
      </c>
    </row>
    <row r="76" spans="1:4" ht="14.45" x14ac:dyDescent="0.3">
      <c r="A76">
        <v>6800</v>
      </c>
      <c r="B76" t="s">
        <v>8504</v>
      </c>
      <c r="C76" t="s">
        <v>5043</v>
      </c>
      <c r="D76" t="s">
        <v>8401</v>
      </c>
    </row>
    <row r="77" spans="1:4" ht="14.45" x14ac:dyDescent="0.3">
      <c r="A77">
        <v>8845</v>
      </c>
      <c r="B77" t="s">
        <v>9588</v>
      </c>
      <c r="C77" t="s">
        <v>5043</v>
      </c>
      <c r="D77" t="s">
        <v>8401</v>
      </c>
    </row>
    <row r="78" spans="1:4" ht="14.45" x14ac:dyDescent="0.3">
      <c r="A78">
        <v>6520</v>
      </c>
      <c r="B78" t="s">
        <v>8505</v>
      </c>
      <c r="C78" t="s">
        <v>5043</v>
      </c>
      <c r="D78" t="s">
        <v>8401</v>
      </c>
    </row>
    <row r="79" spans="1:4" ht="14.45" x14ac:dyDescent="0.3">
      <c r="A79">
        <v>7006</v>
      </c>
      <c r="B79" t="s">
        <v>8505</v>
      </c>
      <c r="C79" t="s">
        <v>5043</v>
      </c>
      <c r="D79" t="s">
        <v>8401</v>
      </c>
    </row>
    <row r="80" spans="1:4" ht="14.45" x14ac:dyDescent="0.3">
      <c r="A80">
        <v>7716</v>
      </c>
      <c r="B80" t="s">
        <v>8505</v>
      </c>
      <c r="C80" t="s">
        <v>5043</v>
      </c>
      <c r="D80" t="s">
        <v>8401</v>
      </c>
    </row>
    <row r="81" spans="1:4" ht="14.45" x14ac:dyDescent="0.3">
      <c r="A81">
        <v>9498</v>
      </c>
      <c r="B81" t="s">
        <v>8505</v>
      </c>
      <c r="C81" t="s">
        <v>5043</v>
      </c>
      <c r="D81" t="s">
        <v>8401</v>
      </c>
    </row>
    <row r="82" spans="1:4" ht="14.45" x14ac:dyDescent="0.3">
      <c r="A82">
        <v>5063</v>
      </c>
      <c r="B82" t="s">
        <v>9589</v>
      </c>
      <c r="C82" t="s">
        <v>5043</v>
      </c>
      <c r="D82" t="s">
        <v>8401</v>
      </c>
    </row>
    <row r="83" spans="1:4" ht="14.45" x14ac:dyDescent="0.3">
      <c r="A83">
        <v>5134</v>
      </c>
      <c r="B83" t="s">
        <v>9590</v>
      </c>
      <c r="C83" t="s">
        <v>5043</v>
      </c>
      <c r="D83" t="s">
        <v>8401</v>
      </c>
    </row>
    <row r="84" spans="1:4" ht="14.45" x14ac:dyDescent="0.3">
      <c r="A84">
        <v>5653</v>
      </c>
      <c r="B84" t="s">
        <v>9591</v>
      </c>
      <c r="C84" t="s">
        <v>5043</v>
      </c>
      <c r="D84" t="s">
        <v>8401</v>
      </c>
    </row>
    <row r="85" spans="1:4" ht="14.45" x14ac:dyDescent="0.3">
      <c r="A85">
        <v>6118</v>
      </c>
      <c r="B85" t="s">
        <v>9591</v>
      </c>
      <c r="C85" t="s">
        <v>5043</v>
      </c>
      <c r="D85" t="s">
        <v>8401</v>
      </c>
    </row>
    <row r="86" spans="1:4" ht="14.45" x14ac:dyDescent="0.3">
      <c r="A86">
        <v>6469</v>
      </c>
      <c r="B86" t="s">
        <v>9591</v>
      </c>
      <c r="C86" t="s">
        <v>5043</v>
      </c>
      <c r="D86" t="s">
        <v>8401</v>
      </c>
    </row>
    <row r="87" spans="1:4" ht="14.45" x14ac:dyDescent="0.3">
      <c r="A87">
        <v>7777</v>
      </c>
      <c r="B87" t="s">
        <v>9591</v>
      </c>
      <c r="C87" t="s">
        <v>5043</v>
      </c>
      <c r="D87" t="s">
        <v>8401</v>
      </c>
    </row>
    <row r="88" spans="1:4" ht="14.45" x14ac:dyDescent="0.3">
      <c r="A88">
        <v>8300</v>
      </c>
      <c r="B88" t="s">
        <v>9591</v>
      </c>
      <c r="C88" t="s">
        <v>5043</v>
      </c>
      <c r="D88" t="s">
        <v>8401</v>
      </c>
    </row>
    <row r="89" spans="1:4" ht="14.45" x14ac:dyDescent="0.3">
      <c r="A89">
        <v>8934</v>
      </c>
      <c r="B89" t="s">
        <v>9591</v>
      </c>
      <c r="C89" t="s">
        <v>5043</v>
      </c>
      <c r="D89" t="s">
        <v>8401</v>
      </c>
    </row>
    <row r="90" spans="1:4" ht="14.45" x14ac:dyDescent="0.3">
      <c r="A90">
        <v>5914</v>
      </c>
      <c r="B90" t="s">
        <v>9592</v>
      </c>
      <c r="C90" t="s">
        <v>5043</v>
      </c>
      <c r="D90" t="s">
        <v>8401</v>
      </c>
    </row>
    <row r="91" spans="1:4" ht="14.45" x14ac:dyDescent="0.3">
      <c r="A91">
        <v>7970</v>
      </c>
      <c r="B91" t="s">
        <v>9592</v>
      </c>
      <c r="C91" t="s">
        <v>5043</v>
      </c>
      <c r="D91" t="s">
        <v>8401</v>
      </c>
    </row>
    <row r="92" spans="1:4" ht="14.45" x14ac:dyDescent="0.3">
      <c r="A92">
        <v>5381</v>
      </c>
      <c r="B92" t="s">
        <v>9593</v>
      </c>
      <c r="C92" t="s">
        <v>5043</v>
      </c>
      <c r="D92" t="s">
        <v>8401</v>
      </c>
    </row>
    <row r="93" spans="1:4" ht="14.45" x14ac:dyDescent="0.3">
      <c r="A93">
        <v>6039</v>
      </c>
      <c r="B93" t="s">
        <v>9593</v>
      </c>
      <c r="C93" t="s">
        <v>5043</v>
      </c>
      <c r="D93" t="s">
        <v>8401</v>
      </c>
    </row>
    <row r="94" spans="1:4" ht="14.45" x14ac:dyDescent="0.3">
      <c r="A94">
        <v>6363</v>
      </c>
      <c r="B94" t="s">
        <v>9593</v>
      </c>
      <c r="C94" t="s">
        <v>5043</v>
      </c>
      <c r="D94" t="s">
        <v>8401</v>
      </c>
    </row>
    <row r="95" spans="1:4" ht="14.45" x14ac:dyDescent="0.3">
      <c r="A95">
        <v>6529</v>
      </c>
      <c r="B95" t="s">
        <v>9593</v>
      </c>
      <c r="C95" t="s">
        <v>5043</v>
      </c>
      <c r="D95" t="s">
        <v>8401</v>
      </c>
    </row>
    <row r="96" spans="1:4" ht="14.45" x14ac:dyDescent="0.3">
      <c r="A96">
        <v>6626</v>
      </c>
      <c r="B96" t="s">
        <v>9593</v>
      </c>
      <c r="C96" t="s">
        <v>5043</v>
      </c>
      <c r="D96" t="s">
        <v>8401</v>
      </c>
    </row>
    <row r="97" spans="1:4" ht="14.45" x14ac:dyDescent="0.3">
      <c r="A97">
        <v>6708</v>
      </c>
      <c r="B97" t="s">
        <v>9593</v>
      </c>
      <c r="C97" t="s">
        <v>5043</v>
      </c>
      <c r="D97" t="s">
        <v>8401</v>
      </c>
    </row>
    <row r="98" spans="1:4" ht="14.45" x14ac:dyDescent="0.3">
      <c r="A98">
        <v>6921</v>
      </c>
      <c r="B98" t="s">
        <v>9593</v>
      </c>
      <c r="C98" t="s">
        <v>5043</v>
      </c>
      <c r="D98" t="s">
        <v>8401</v>
      </c>
    </row>
    <row r="99" spans="1:4" ht="14.45" x14ac:dyDescent="0.3">
      <c r="A99">
        <v>7070</v>
      </c>
      <c r="B99" t="s">
        <v>9593</v>
      </c>
      <c r="C99" t="s">
        <v>5043</v>
      </c>
      <c r="D99" t="s">
        <v>8401</v>
      </c>
    </row>
    <row r="100" spans="1:4" ht="14.45" x14ac:dyDescent="0.3">
      <c r="A100">
        <v>7196</v>
      </c>
      <c r="B100" t="s">
        <v>9593</v>
      </c>
      <c r="C100" t="s">
        <v>5043</v>
      </c>
      <c r="D100" t="s">
        <v>8401</v>
      </c>
    </row>
    <row r="101" spans="1:4" ht="14.45" x14ac:dyDescent="0.3">
      <c r="A101">
        <v>7335</v>
      </c>
      <c r="B101" t="s">
        <v>9593</v>
      </c>
      <c r="C101" t="s">
        <v>5043</v>
      </c>
      <c r="D101" t="s">
        <v>8401</v>
      </c>
    </row>
    <row r="102" spans="1:4" ht="14.45" x14ac:dyDescent="0.3">
      <c r="A102">
        <v>7396</v>
      </c>
      <c r="B102" t="s">
        <v>9593</v>
      </c>
      <c r="C102" t="s">
        <v>5043</v>
      </c>
      <c r="D102" t="s">
        <v>8401</v>
      </c>
    </row>
    <row r="103" spans="1:4" ht="14.45" x14ac:dyDescent="0.3">
      <c r="A103">
        <v>8006</v>
      </c>
      <c r="B103" t="s">
        <v>9593</v>
      </c>
      <c r="C103" t="s">
        <v>5043</v>
      </c>
      <c r="D103" t="s">
        <v>8401</v>
      </c>
    </row>
    <row r="104" spans="1:4" ht="14.45" x14ac:dyDescent="0.3">
      <c r="A104">
        <v>8020</v>
      </c>
      <c r="B104" t="s">
        <v>9593</v>
      </c>
      <c r="C104" t="s">
        <v>5043</v>
      </c>
      <c r="D104" t="s">
        <v>8401</v>
      </c>
    </row>
    <row r="105" spans="1:4" ht="14.45" x14ac:dyDescent="0.3">
      <c r="A105">
        <v>8258</v>
      </c>
      <c r="B105" t="s">
        <v>9593</v>
      </c>
      <c r="C105" t="s">
        <v>5043</v>
      </c>
      <c r="D105" t="s">
        <v>8401</v>
      </c>
    </row>
    <row r="106" spans="1:4" ht="14.45" x14ac:dyDescent="0.3">
      <c r="A106">
        <v>8970</v>
      </c>
      <c r="B106" t="s">
        <v>9593</v>
      </c>
      <c r="C106" t="s">
        <v>5043</v>
      </c>
      <c r="D106" t="s">
        <v>8401</v>
      </c>
    </row>
    <row r="107" spans="1:4" ht="14.45" x14ac:dyDescent="0.3">
      <c r="A107">
        <v>9097</v>
      </c>
      <c r="B107" t="s">
        <v>9593</v>
      </c>
      <c r="C107" t="s">
        <v>5043</v>
      </c>
      <c r="D107" t="s">
        <v>8401</v>
      </c>
    </row>
    <row r="108" spans="1:4" ht="14.45" x14ac:dyDescent="0.3">
      <c r="A108">
        <v>9480</v>
      </c>
      <c r="B108" t="s">
        <v>9593</v>
      </c>
      <c r="C108" t="s">
        <v>5043</v>
      </c>
      <c r="D108" t="s">
        <v>8401</v>
      </c>
    </row>
    <row r="109" spans="1:4" ht="14.45" x14ac:dyDescent="0.3">
      <c r="A109">
        <v>9518</v>
      </c>
      <c r="B109" t="s">
        <v>9593</v>
      </c>
      <c r="C109" t="s">
        <v>5043</v>
      </c>
      <c r="D109" t="s">
        <v>8401</v>
      </c>
    </row>
    <row r="110" spans="1:4" ht="14.45" x14ac:dyDescent="0.3">
      <c r="A110">
        <v>9526</v>
      </c>
      <c r="B110" t="s">
        <v>9593</v>
      </c>
      <c r="C110" t="s">
        <v>5043</v>
      </c>
      <c r="D110" t="s">
        <v>8401</v>
      </c>
    </row>
    <row r="111" spans="1:4" ht="14.45" x14ac:dyDescent="0.3">
      <c r="A111">
        <v>9633</v>
      </c>
      <c r="B111" t="s">
        <v>9593</v>
      </c>
      <c r="C111" t="s">
        <v>5043</v>
      </c>
      <c r="D111" t="s">
        <v>8401</v>
      </c>
    </row>
    <row r="112" spans="1:4" ht="14.45" x14ac:dyDescent="0.3">
      <c r="A112">
        <v>5462</v>
      </c>
      <c r="B112" t="s">
        <v>9594</v>
      </c>
      <c r="C112" t="s">
        <v>5043</v>
      </c>
      <c r="D112" t="s">
        <v>8401</v>
      </c>
    </row>
    <row r="113" spans="1:4" ht="14.45" x14ac:dyDescent="0.3">
      <c r="A113">
        <v>6587</v>
      </c>
      <c r="B113" t="s">
        <v>9594</v>
      </c>
      <c r="C113" t="s">
        <v>5043</v>
      </c>
      <c r="D113" t="s">
        <v>8401</v>
      </c>
    </row>
    <row r="114" spans="1:4" ht="14.45" x14ac:dyDescent="0.3">
      <c r="A114">
        <v>7535</v>
      </c>
      <c r="B114" t="s">
        <v>9594</v>
      </c>
      <c r="C114" t="s">
        <v>5043</v>
      </c>
      <c r="D114" t="s">
        <v>8401</v>
      </c>
    </row>
    <row r="115" spans="1:4" ht="14.45" x14ac:dyDescent="0.3">
      <c r="A115">
        <v>8277</v>
      </c>
      <c r="B115" t="s">
        <v>9594</v>
      </c>
      <c r="C115" t="s">
        <v>5043</v>
      </c>
      <c r="D115" t="s">
        <v>8401</v>
      </c>
    </row>
    <row r="116" spans="1:4" ht="14.45" x14ac:dyDescent="0.3">
      <c r="A116">
        <v>6929</v>
      </c>
      <c r="B116" t="s">
        <v>9595</v>
      </c>
      <c r="C116" t="s">
        <v>5043</v>
      </c>
      <c r="D116" t="s">
        <v>8401</v>
      </c>
    </row>
    <row r="117" spans="1:4" ht="14.45" x14ac:dyDescent="0.3">
      <c r="A117">
        <v>6389</v>
      </c>
      <c r="B117" t="s">
        <v>9596</v>
      </c>
      <c r="C117" t="s">
        <v>5043</v>
      </c>
      <c r="D117" t="s">
        <v>8401</v>
      </c>
    </row>
    <row r="118" spans="1:4" ht="14.45" x14ac:dyDescent="0.3">
      <c r="A118">
        <v>7357</v>
      </c>
      <c r="B118" t="s">
        <v>9596</v>
      </c>
      <c r="C118" t="s">
        <v>5043</v>
      </c>
      <c r="D118" t="s">
        <v>8401</v>
      </c>
    </row>
    <row r="119" spans="1:4" ht="14.45" x14ac:dyDescent="0.3">
      <c r="A119">
        <v>6223</v>
      </c>
      <c r="B119" t="s">
        <v>9597</v>
      </c>
      <c r="C119" t="s">
        <v>5043</v>
      </c>
      <c r="D119" t="s">
        <v>8401</v>
      </c>
    </row>
    <row r="120" spans="1:4" ht="14.45" x14ac:dyDescent="0.3">
      <c r="A120">
        <v>6505</v>
      </c>
      <c r="B120" t="s">
        <v>9597</v>
      </c>
      <c r="C120" t="s">
        <v>5043</v>
      </c>
      <c r="D120" t="s">
        <v>8401</v>
      </c>
    </row>
    <row r="121" spans="1:4" ht="14.45" x14ac:dyDescent="0.3">
      <c r="A121">
        <v>7263</v>
      </c>
      <c r="B121" t="s">
        <v>9597</v>
      </c>
      <c r="C121" t="s">
        <v>5043</v>
      </c>
      <c r="D121" t="s">
        <v>8401</v>
      </c>
    </row>
    <row r="122" spans="1:4" ht="14.45" x14ac:dyDescent="0.3">
      <c r="A122">
        <v>9340</v>
      </c>
      <c r="B122" t="s">
        <v>9597</v>
      </c>
      <c r="C122" t="s">
        <v>5043</v>
      </c>
      <c r="D122" t="s">
        <v>8401</v>
      </c>
    </row>
    <row r="123" spans="1:4" ht="14.45" x14ac:dyDescent="0.3">
      <c r="A123">
        <v>5396</v>
      </c>
      <c r="B123" t="s">
        <v>9598</v>
      </c>
      <c r="C123" t="s">
        <v>5043</v>
      </c>
      <c r="D123" t="s">
        <v>8401</v>
      </c>
    </row>
    <row r="124" spans="1:4" ht="14.45" x14ac:dyDescent="0.3">
      <c r="A124">
        <v>8288</v>
      </c>
      <c r="B124" t="s">
        <v>9599</v>
      </c>
      <c r="C124" t="s">
        <v>5043</v>
      </c>
      <c r="D124" t="s">
        <v>8401</v>
      </c>
    </row>
    <row r="125" spans="1:4" ht="14.45" x14ac:dyDescent="0.3">
      <c r="A125">
        <v>8629</v>
      </c>
      <c r="B125" t="s">
        <v>9599</v>
      </c>
      <c r="C125" t="s">
        <v>5043</v>
      </c>
      <c r="D125" t="s">
        <v>8401</v>
      </c>
    </row>
    <row r="126" spans="1:4" ht="14.45" x14ac:dyDescent="0.3">
      <c r="A126">
        <v>9165</v>
      </c>
      <c r="B126" t="s">
        <v>8506</v>
      </c>
      <c r="C126" t="s">
        <v>5043</v>
      </c>
      <c r="D126" t="s">
        <v>8401</v>
      </c>
    </row>
    <row r="127" spans="1:4" ht="14.45" x14ac:dyDescent="0.3">
      <c r="A127">
        <v>6538</v>
      </c>
      <c r="B127" t="s">
        <v>9600</v>
      </c>
      <c r="C127" t="s">
        <v>5043</v>
      </c>
      <c r="D127" t="s">
        <v>8401</v>
      </c>
    </row>
    <row r="128" spans="1:4" ht="14.45" x14ac:dyDescent="0.3">
      <c r="A128">
        <v>6613</v>
      </c>
      <c r="B128" t="s">
        <v>9601</v>
      </c>
      <c r="C128" t="s">
        <v>5043</v>
      </c>
      <c r="D128" t="s">
        <v>8401</v>
      </c>
    </row>
    <row r="129" spans="1:4" ht="14.45" x14ac:dyDescent="0.3">
      <c r="A129">
        <v>9176</v>
      </c>
      <c r="B129" t="s">
        <v>9602</v>
      </c>
      <c r="C129" t="s">
        <v>5043</v>
      </c>
      <c r="D129" t="s">
        <v>8401</v>
      </c>
    </row>
    <row r="130" spans="1:4" ht="14.45" x14ac:dyDescent="0.3">
      <c r="A130">
        <v>5301</v>
      </c>
      <c r="B130" t="s">
        <v>9603</v>
      </c>
      <c r="C130" t="s">
        <v>5043</v>
      </c>
      <c r="D130" t="s">
        <v>8401</v>
      </c>
    </row>
    <row r="131" spans="1:4" ht="14.45" x14ac:dyDescent="0.3">
      <c r="A131">
        <v>5674</v>
      </c>
      <c r="B131" t="s">
        <v>9604</v>
      </c>
      <c r="C131" t="s">
        <v>5043</v>
      </c>
      <c r="D131" t="s">
        <v>8401</v>
      </c>
    </row>
    <row r="132" spans="1:4" ht="14.45" x14ac:dyDescent="0.3">
      <c r="A132">
        <v>9055</v>
      </c>
      <c r="B132" t="s">
        <v>9604</v>
      </c>
      <c r="C132" t="s">
        <v>5043</v>
      </c>
      <c r="D132" t="s">
        <v>8401</v>
      </c>
    </row>
    <row r="133" spans="1:4" ht="14.45" x14ac:dyDescent="0.3">
      <c r="A133">
        <v>7447</v>
      </c>
      <c r="B133" t="s">
        <v>9605</v>
      </c>
      <c r="C133" t="s">
        <v>5043</v>
      </c>
      <c r="D133" t="s">
        <v>8401</v>
      </c>
    </row>
    <row r="134" spans="1:4" ht="14.45" x14ac:dyDescent="0.3">
      <c r="A134">
        <v>10280</v>
      </c>
      <c r="B134" t="s">
        <v>9606</v>
      </c>
      <c r="C134" t="s">
        <v>5043</v>
      </c>
      <c r="D134" t="s">
        <v>8401</v>
      </c>
    </row>
    <row r="135" spans="1:4" ht="14.45" x14ac:dyDescent="0.3">
      <c r="A135">
        <v>10303</v>
      </c>
      <c r="B135" t="s">
        <v>9606</v>
      </c>
      <c r="C135" t="s">
        <v>5043</v>
      </c>
      <c r="D135" t="s">
        <v>8401</v>
      </c>
    </row>
    <row r="136" spans="1:4" ht="14.45" x14ac:dyDescent="0.3">
      <c r="A136">
        <v>10448</v>
      </c>
      <c r="B136" t="s">
        <v>9606</v>
      </c>
      <c r="C136" t="s">
        <v>5043</v>
      </c>
      <c r="D136" t="s">
        <v>8401</v>
      </c>
    </row>
    <row r="137" spans="1:4" ht="14.45" x14ac:dyDescent="0.3">
      <c r="A137">
        <v>10449</v>
      </c>
      <c r="B137" t="s">
        <v>9606</v>
      </c>
      <c r="C137" t="s">
        <v>5043</v>
      </c>
      <c r="D137" t="s">
        <v>8401</v>
      </c>
    </row>
    <row r="138" spans="1:4" ht="14.45" x14ac:dyDescent="0.3">
      <c r="A138">
        <v>10459</v>
      </c>
      <c r="B138" t="s">
        <v>9606</v>
      </c>
      <c r="C138" t="s">
        <v>5043</v>
      </c>
      <c r="D138" t="s">
        <v>8401</v>
      </c>
    </row>
    <row r="139" spans="1:4" ht="14.45" x14ac:dyDescent="0.3">
      <c r="A139">
        <v>10524</v>
      </c>
      <c r="B139" t="s">
        <v>9606</v>
      </c>
      <c r="C139" t="s">
        <v>5043</v>
      </c>
      <c r="D139" t="s">
        <v>8401</v>
      </c>
    </row>
    <row r="140" spans="1:4" ht="14.45" x14ac:dyDescent="0.3">
      <c r="A140">
        <v>10528</v>
      </c>
      <c r="B140" t="s">
        <v>9606</v>
      </c>
      <c r="C140" t="s">
        <v>5043</v>
      </c>
      <c r="D140" t="s">
        <v>8401</v>
      </c>
    </row>
    <row r="141" spans="1:4" ht="14.45" x14ac:dyDescent="0.3">
      <c r="A141">
        <v>10533</v>
      </c>
      <c r="B141" t="s">
        <v>9606</v>
      </c>
      <c r="C141" t="s">
        <v>5043</v>
      </c>
      <c r="D141" t="s">
        <v>8401</v>
      </c>
    </row>
    <row r="142" spans="1:4" ht="14.45" x14ac:dyDescent="0.3">
      <c r="A142">
        <v>10538</v>
      </c>
      <c r="B142" t="s">
        <v>9606</v>
      </c>
      <c r="C142" t="s">
        <v>5043</v>
      </c>
      <c r="D142" t="s">
        <v>8401</v>
      </c>
    </row>
    <row r="143" spans="1:4" ht="14.45" x14ac:dyDescent="0.3">
      <c r="A143">
        <v>10541</v>
      </c>
      <c r="B143" t="s">
        <v>9606</v>
      </c>
      <c r="C143" t="s">
        <v>5043</v>
      </c>
      <c r="D143" t="s">
        <v>8401</v>
      </c>
    </row>
    <row r="144" spans="1:4" ht="14.45" x14ac:dyDescent="0.3">
      <c r="A144">
        <v>10542</v>
      </c>
      <c r="B144" t="s">
        <v>9606</v>
      </c>
      <c r="C144" t="s">
        <v>5043</v>
      </c>
      <c r="D144" t="s">
        <v>8401</v>
      </c>
    </row>
    <row r="145" spans="1:4" ht="14.45" x14ac:dyDescent="0.3">
      <c r="A145">
        <v>10552</v>
      </c>
      <c r="B145" t="s">
        <v>9606</v>
      </c>
      <c r="C145" t="s">
        <v>5043</v>
      </c>
      <c r="D145" t="s">
        <v>8401</v>
      </c>
    </row>
    <row r="146" spans="1:4" ht="14.45" x14ac:dyDescent="0.3">
      <c r="A146">
        <v>10564</v>
      </c>
      <c r="B146" t="s">
        <v>9606</v>
      </c>
      <c r="C146" t="s">
        <v>5043</v>
      </c>
      <c r="D146" t="s">
        <v>8401</v>
      </c>
    </row>
    <row r="147" spans="1:4" ht="14.45" x14ac:dyDescent="0.3">
      <c r="A147">
        <v>10594</v>
      </c>
      <c r="B147" t="s">
        <v>9606</v>
      </c>
      <c r="C147" t="s">
        <v>5043</v>
      </c>
      <c r="D147" t="s">
        <v>8401</v>
      </c>
    </row>
    <row r="148" spans="1:4" ht="14.45" x14ac:dyDescent="0.3">
      <c r="A148">
        <v>10595</v>
      </c>
      <c r="B148" t="s">
        <v>9606</v>
      </c>
      <c r="C148" t="s">
        <v>5043</v>
      </c>
      <c r="D148" t="s">
        <v>8401</v>
      </c>
    </row>
    <row r="149" spans="1:4" ht="14.45" x14ac:dyDescent="0.3">
      <c r="A149">
        <v>10637</v>
      </c>
      <c r="B149" t="s">
        <v>9606</v>
      </c>
      <c r="C149" t="s">
        <v>5043</v>
      </c>
      <c r="D149" t="s">
        <v>8401</v>
      </c>
    </row>
    <row r="150" spans="1:4" ht="14.45" x14ac:dyDescent="0.3">
      <c r="A150">
        <v>10648</v>
      </c>
      <c r="B150" t="s">
        <v>9606</v>
      </c>
      <c r="C150" t="s">
        <v>5043</v>
      </c>
      <c r="D150" t="s">
        <v>8401</v>
      </c>
    </row>
    <row r="151" spans="1:4" ht="14.45" x14ac:dyDescent="0.3">
      <c r="A151">
        <v>10656</v>
      </c>
      <c r="B151" t="s">
        <v>9606</v>
      </c>
      <c r="C151" t="s">
        <v>5043</v>
      </c>
      <c r="D151" t="s">
        <v>8401</v>
      </c>
    </row>
    <row r="152" spans="1:4" ht="14.45" x14ac:dyDescent="0.3">
      <c r="A152">
        <v>10675</v>
      </c>
      <c r="B152" t="s">
        <v>9606</v>
      </c>
      <c r="C152" t="s">
        <v>5043</v>
      </c>
      <c r="D152" t="s">
        <v>8401</v>
      </c>
    </row>
    <row r="153" spans="1:4" ht="14.45" x14ac:dyDescent="0.3">
      <c r="A153">
        <v>10699</v>
      </c>
      <c r="B153" t="s">
        <v>9606</v>
      </c>
      <c r="C153" t="s">
        <v>5043</v>
      </c>
      <c r="D153" t="s">
        <v>8401</v>
      </c>
    </row>
    <row r="154" spans="1:4" ht="14.45" x14ac:dyDescent="0.3">
      <c r="A154">
        <v>10706</v>
      </c>
      <c r="B154" t="s">
        <v>9606</v>
      </c>
      <c r="C154" t="s">
        <v>5043</v>
      </c>
      <c r="D154" t="s">
        <v>8401</v>
      </c>
    </row>
    <row r="155" spans="1:4" ht="14.45" x14ac:dyDescent="0.3">
      <c r="A155">
        <v>10717</v>
      </c>
      <c r="B155" t="s">
        <v>9606</v>
      </c>
      <c r="C155" t="s">
        <v>5043</v>
      </c>
      <c r="D155" t="s">
        <v>8401</v>
      </c>
    </row>
    <row r="156" spans="1:4" ht="14.45" x14ac:dyDescent="0.3">
      <c r="A156">
        <v>10724</v>
      </c>
      <c r="B156" t="s">
        <v>9606</v>
      </c>
      <c r="C156" t="s">
        <v>5043</v>
      </c>
      <c r="D156" t="s">
        <v>8401</v>
      </c>
    </row>
    <row r="157" spans="1:4" ht="14.45" x14ac:dyDescent="0.3">
      <c r="A157">
        <v>10727</v>
      </c>
      <c r="B157" t="s">
        <v>9606</v>
      </c>
      <c r="C157" t="s">
        <v>5043</v>
      </c>
      <c r="D157" t="s">
        <v>8401</v>
      </c>
    </row>
    <row r="158" spans="1:4" ht="14.45" x14ac:dyDescent="0.3">
      <c r="A158">
        <v>10733</v>
      </c>
      <c r="B158" t="s">
        <v>9606</v>
      </c>
      <c r="C158" t="s">
        <v>5043</v>
      </c>
      <c r="D158" t="s">
        <v>8401</v>
      </c>
    </row>
    <row r="159" spans="1:4" ht="14.45" x14ac:dyDescent="0.3">
      <c r="A159">
        <v>10735</v>
      </c>
      <c r="B159" t="s">
        <v>9606</v>
      </c>
      <c r="C159" t="s">
        <v>5043</v>
      </c>
      <c r="D159" t="s">
        <v>8401</v>
      </c>
    </row>
    <row r="160" spans="1:4" ht="14.45" x14ac:dyDescent="0.3">
      <c r="A160">
        <v>10737</v>
      </c>
      <c r="B160" t="s">
        <v>9606</v>
      </c>
      <c r="C160" t="s">
        <v>5043</v>
      </c>
      <c r="D160" t="s">
        <v>8401</v>
      </c>
    </row>
    <row r="161" spans="1:4" ht="14.45" x14ac:dyDescent="0.3">
      <c r="A161">
        <v>10741</v>
      </c>
      <c r="B161" t="s">
        <v>9606</v>
      </c>
      <c r="C161" t="s">
        <v>5043</v>
      </c>
      <c r="D161" t="s">
        <v>8401</v>
      </c>
    </row>
    <row r="162" spans="1:4" ht="14.45" x14ac:dyDescent="0.3">
      <c r="A162">
        <v>10750</v>
      </c>
      <c r="B162" t="s">
        <v>9606</v>
      </c>
      <c r="C162" t="s">
        <v>5043</v>
      </c>
      <c r="D162" t="s">
        <v>8401</v>
      </c>
    </row>
    <row r="163" spans="1:4" ht="14.45" x14ac:dyDescent="0.3">
      <c r="A163">
        <v>10751</v>
      </c>
      <c r="B163" t="s">
        <v>9606</v>
      </c>
      <c r="C163" t="s">
        <v>5043</v>
      </c>
      <c r="D163" t="s">
        <v>8401</v>
      </c>
    </row>
    <row r="164" spans="1:4" ht="14.45" x14ac:dyDescent="0.3">
      <c r="A164">
        <v>10769</v>
      </c>
      <c r="B164" t="s">
        <v>9606</v>
      </c>
      <c r="C164" t="s">
        <v>5043</v>
      </c>
      <c r="D164" t="s">
        <v>8401</v>
      </c>
    </row>
    <row r="165" spans="1:4" ht="14.45" x14ac:dyDescent="0.3">
      <c r="A165">
        <v>10811</v>
      </c>
      <c r="B165" t="s">
        <v>9606</v>
      </c>
      <c r="C165" t="s">
        <v>5043</v>
      </c>
      <c r="D165" t="s">
        <v>8401</v>
      </c>
    </row>
    <row r="166" spans="1:4" ht="14.45" x14ac:dyDescent="0.3">
      <c r="A166">
        <v>10812</v>
      </c>
      <c r="B166" t="s">
        <v>9606</v>
      </c>
      <c r="C166" t="s">
        <v>5043</v>
      </c>
      <c r="D166" t="s">
        <v>8401</v>
      </c>
    </row>
    <row r="167" spans="1:4" ht="14.45" x14ac:dyDescent="0.3">
      <c r="A167">
        <v>10813</v>
      </c>
      <c r="B167" t="s">
        <v>9606</v>
      </c>
      <c r="C167" t="s">
        <v>5043</v>
      </c>
      <c r="D167" t="s">
        <v>8401</v>
      </c>
    </row>
    <row r="168" spans="1:4" ht="14.45" x14ac:dyDescent="0.3">
      <c r="A168">
        <v>10814</v>
      </c>
      <c r="B168" t="s">
        <v>9606</v>
      </c>
      <c r="C168" t="s">
        <v>5043</v>
      </c>
      <c r="D168" t="s">
        <v>8401</v>
      </c>
    </row>
    <row r="169" spans="1:4" ht="14.45" x14ac:dyDescent="0.3">
      <c r="A169">
        <v>10818</v>
      </c>
      <c r="B169" t="s">
        <v>9606</v>
      </c>
      <c r="C169" t="s">
        <v>5043</v>
      </c>
      <c r="D169" t="s">
        <v>8401</v>
      </c>
    </row>
    <row r="170" spans="1:4" ht="14.45" x14ac:dyDescent="0.3">
      <c r="A170">
        <v>10824</v>
      </c>
      <c r="B170" t="s">
        <v>9606</v>
      </c>
      <c r="C170" t="s">
        <v>5043</v>
      </c>
      <c r="D170" t="s">
        <v>8401</v>
      </c>
    </row>
    <row r="171" spans="1:4" ht="14.45" x14ac:dyDescent="0.3">
      <c r="A171">
        <v>9639</v>
      </c>
      <c r="B171" t="s">
        <v>9607</v>
      </c>
      <c r="C171" t="s">
        <v>5043</v>
      </c>
      <c r="D171" t="s">
        <v>8401</v>
      </c>
    </row>
    <row r="172" spans="1:4" ht="14.45" x14ac:dyDescent="0.3">
      <c r="A172">
        <v>5281</v>
      </c>
      <c r="B172" t="s">
        <v>8507</v>
      </c>
      <c r="C172" t="s">
        <v>5043</v>
      </c>
      <c r="D172" t="s">
        <v>8401</v>
      </c>
    </row>
    <row r="173" spans="1:4" ht="14.45" x14ac:dyDescent="0.3">
      <c r="A173">
        <v>6442</v>
      </c>
      <c r="B173" t="s">
        <v>8507</v>
      </c>
      <c r="C173" t="s">
        <v>5043</v>
      </c>
      <c r="D173" t="s">
        <v>8401</v>
      </c>
    </row>
    <row r="174" spans="1:4" ht="14.45" x14ac:dyDescent="0.3">
      <c r="A174">
        <v>8030</v>
      </c>
      <c r="B174" t="s">
        <v>8507</v>
      </c>
      <c r="C174" t="s">
        <v>5043</v>
      </c>
      <c r="D174" t="s">
        <v>8401</v>
      </c>
    </row>
    <row r="175" spans="1:4" ht="14.45" x14ac:dyDescent="0.3">
      <c r="A175">
        <v>8560</v>
      </c>
      <c r="B175" t="s">
        <v>8507</v>
      </c>
      <c r="C175" t="s">
        <v>5043</v>
      </c>
      <c r="D175" t="s">
        <v>8401</v>
      </c>
    </row>
    <row r="176" spans="1:4" ht="14.45" x14ac:dyDescent="0.3">
      <c r="A176">
        <v>5822</v>
      </c>
      <c r="B176" t="s">
        <v>9608</v>
      </c>
      <c r="C176" t="s">
        <v>5043</v>
      </c>
      <c r="D176" t="s">
        <v>8401</v>
      </c>
    </row>
    <row r="177" spans="1:4" ht="14.45" x14ac:dyDescent="0.3">
      <c r="A177">
        <v>6104</v>
      </c>
      <c r="B177" t="s">
        <v>9608</v>
      </c>
      <c r="C177" t="s">
        <v>5043</v>
      </c>
      <c r="D177" t="s">
        <v>8401</v>
      </c>
    </row>
    <row r="178" spans="1:4" ht="14.45" x14ac:dyDescent="0.3">
      <c r="A178">
        <v>6257</v>
      </c>
      <c r="B178" t="s">
        <v>9608</v>
      </c>
      <c r="C178" t="s">
        <v>5043</v>
      </c>
      <c r="D178" t="s">
        <v>8401</v>
      </c>
    </row>
    <row r="179" spans="1:4" ht="14.45" x14ac:dyDescent="0.3">
      <c r="A179">
        <v>7681</v>
      </c>
      <c r="B179" t="s">
        <v>9608</v>
      </c>
      <c r="C179" t="s">
        <v>5043</v>
      </c>
      <c r="D179" t="s">
        <v>8401</v>
      </c>
    </row>
    <row r="180" spans="1:4" ht="14.45" x14ac:dyDescent="0.3">
      <c r="A180">
        <v>10375</v>
      </c>
      <c r="B180" t="s">
        <v>9609</v>
      </c>
      <c r="C180" t="s">
        <v>5043</v>
      </c>
      <c r="D180" t="s">
        <v>8401</v>
      </c>
    </row>
    <row r="181" spans="1:4" ht="14.45" x14ac:dyDescent="0.3">
      <c r="A181">
        <v>10376</v>
      </c>
      <c r="B181" t="s">
        <v>9609</v>
      </c>
      <c r="C181" t="s">
        <v>5043</v>
      </c>
      <c r="D181" t="s">
        <v>8401</v>
      </c>
    </row>
    <row r="182" spans="1:4" ht="14.45" x14ac:dyDescent="0.3">
      <c r="A182">
        <v>10378</v>
      </c>
      <c r="B182" t="s">
        <v>9609</v>
      </c>
      <c r="C182" t="s">
        <v>5043</v>
      </c>
      <c r="D182" t="s">
        <v>8401</v>
      </c>
    </row>
    <row r="183" spans="1:4" ht="14.45" x14ac:dyDescent="0.3">
      <c r="A183">
        <v>10380</v>
      </c>
      <c r="B183" t="s">
        <v>9609</v>
      </c>
      <c r="C183" t="s">
        <v>5043</v>
      </c>
      <c r="D183" t="s">
        <v>8401</v>
      </c>
    </row>
    <row r="184" spans="1:4" ht="14.45" x14ac:dyDescent="0.3">
      <c r="A184">
        <v>10383</v>
      </c>
      <c r="B184" t="s">
        <v>9609</v>
      </c>
      <c r="C184" t="s">
        <v>5043</v>
      </c>
      <c r="D184" t="s">
        <v>8401</v>
      </c>
    </row>
    <row r="185" spans="1:4" ht="14.45" x14ac:dyDescent="0.3">
      <c r="A185">
        <v>10386</v>
      </c>
      <c r="B185" t="s">
        <v>9609</v>
      </c>
      <c r="C185" t="s">
        <v>5043</v>
      </c>
      <c r="D185" t="s">
        <v>8401</v>
      </c>
    </row>
    <row r="186" spans="1:4" ht="14.45" x14ac:dyDescent="0.3">
      <c r="A186">
        <v>10387</v>
      </c>
      <c r="B186" t="s">
        <v>9609</v>
      </c>
      <c r="C186" t="s">
        <v>5043</v>
      </c>
      <c r="D186" t="s">
        <v>8401</v>
      </c>
    </row>
    <row r="187" spans="1:4" ht="14.45" x14ac:dyDescent="0.3">
      <c r="A187">
        <v>10388</v>
      </c>
      <c r="B187" t="s">
        <v>9609</v>
      </c>
      <c r="C187" t="s">
        <v>5043</v>
      </c>
      <c r="D187" t="s">
        <v>8401</v>
      </c>
    </row>
    <row r="188" spans="1:4" ht="14.45" x14ac:dyDescent="0.3">
      <c r="A188">
        <v>10389</v>
      </c>
      <c r="B188" t="s">
        <v>9609</v>
      </c>
      <c r="C188" t="s">
        <v>5043</v>
      </c>
      <c r="D188" t="s">
        <v>8401</v>
      </c>
    </row>
    <row r="189" spans="1:4" ht="14.45" x14ac:dyDescent="0.3">
      <c r="A189">
        <v>10390</v>
      </c>
      <c r="B189" t="s">
        <v>9609</v>
      </c>
      <c r="C189" t="s">
        <v>5043</v>
      </c>
      <c r="D189" t="s">
        <v>8401</v>
      </c>
    </row>
    <row r="190" spans="1:4" ht="14.45" x14ac:dyDescent="0.3">
      <c r="A190">
        <v>10391</v>
      </c>
      <c r="B190" t="s">
        <v>9609</v>
      </c>
      <c r="C190" t="s">
        <v>5043</v>
      </c>
      <c r="D190" t="s">
        <v>8401</v>
      </c>
    </row>
    <row r="191" spans="1:4" ht="14.45" x14ac:dyDescent="0.3">
      <c r="A191">
        <v>10394</v>
      </c>
      <c r="B191" t="s">
        <v>9609</v>
      </c>
      <c r="C191" t="s">
        <v>5043</v>
      </c>
      <c r="D191" t="s">
        <v>8401</v>
      </c>
    </row>
    <row r="192" spans="1:4" ht="14.45" x14ac:dyDescent="0.3">
      <c r="A192">
        <v>10395</v>
      </c>
      <c r="B192" t="s">
        <v>9609</v>
      </c>
      <c r="C192" t="s">
        <v>5043</v>
      </c>
      <c r="D192" t="s">
        <v>8401</v>
      </c>
    </row>
    <row r="193" spans="1:4" ht="14.45" x14ac:dyDescent="0.3">
      <c r="A193">
        <v>10397</v>
      </c>
      <c r="B193" t="s">
        <v>9609</v>
      </c>
      <c r="C193" t="s">
        <v>5043</v>
      </c>
      <c r="D193" t="s">
        <v>8401</v>
      </c>
    </row>
    <row r="194" spans="1:4" ht="14.45" x14ac:dyDescent="0.3">
      <c r="A194">
        <v>10398</v>
      </c>
      <c r="B194" t="s">
        <v>9609</v>
      </c>
      <c r="C194" t="s">
        <v>5043</v>
      </c>
      <c r="D194" t="s">
        <v>8401</v>
      </c>
    </row>
    <row r="195" spans="1:4" ht="14.45" x14ac:dyDescent="0.3">
      <c r="A195">
        <v>10400</v>
      </c>
      <c r="B195" t="s">
        <v>9609</v>
      </c>
      <c r="C195" t="s">
        <v>5043</v>
      </c>
      <c r="D195" t="s">
        <v>8401</v>
      </c>
    </row>
    <row r="196" spans="1:4" ht="14.45" x14ac:dyDescent="0.3">
      <c r="A196">
        <v>10401</v>
      </c>
      <c r="B196" t="s">
        <v>9609</v>
      </c>
      <c r="C196" t="s">
        <v>5043</v>
      </c>
      <c r="D196" t="s">
        <v>8401</v>
      </c>
    </row>
    <row r="197" spans="1:4" ht="14.45" x14ac:dyDescent="0.3">
      <c r="A197">
        <v>10402</v>
      </c>
      <c r="B197" t="s">
        <v>9609</v>
      </c>
      <c r="C197" t="s">
        <v>5043</v>
      </c>
      <c r="D197" t="s">
        <v>8401</v>
      </c>
    </row>
    <row r="198" spans="1:4" ht="14.45" x14ac:dyDescent="0.3">
      <c r="A198">
        <v>10403</v>
      </c>
      <c r="B198" t="s">
        <v>9609</v>
      </c>
      <c r="C198" t="s">
        <v>5043</v>
      </c>
      <c r="D198" t="s">
        <v>8401</v>
      </c>
    </row>
    <row r="199" spans="1:4" ht="14.45" x14ac:dyDescent="0.3">
      <c r="A199">
        <v>10404</v>
      </c>
      <c r="B199" t="s">
        <v>9609</v>
      </c>
      <c r="C199" t="s">
        <v>5043</v>
      </c>
      <c r="D199" t="s">
        <v>8401</v>
      </c>
    </row>
    <row r="200" spans="1:4" ht="14.45" x14ac:dyDescent="0.3">
      <c r="A200">
        <v>10405</v>
      </c>
      <c r="B200" t="s">
        <v>9609</v>
      </c>
      <c r="C200" t="s">
        <v>5043</v>
      </c>
      <c r="D200" t="s">
        <v>8401</v>
      </c>
    </row>
    <row r="201" spans="1:4" ht="14.45" x14ac:dyDescent="0.3">
      <c r="A201">
        <v>10406</v>
      </c>
      <c r="B201" t="s">
        <v>9609</v>
      </c>
      <c r="C201" t="s">
        <v>5043</v>
      </c>
      <c r="D201" t="s">
        <v>8401</v>
      </c>
    </row>
    <row r="202" spans="1:4" ht="14.45" x14ac:dyDescent="0.3">
      <c r="A202">
        <v>10409</v>
      </c>
      <c r="B202" t="s">
        <v>9609</v>
      </c>
      <c r="C202" t="s">
        <v>5043</v>
      </c>
      <c r="D202" t="s">
        <v>8401</v>
      </c>
    </row>
    <row r="203" spans="1:4" ht="14.45" x14ac:dyDescent="0.3">
      <c r="A203">
        <v>10410</v>
      </c>
      <c r="B203" t="s">
        <v>9609</v>
      </c>
      <c r="C203" t="s">
        <v>5043</v>
      </c>
      <c r="D203" t="s">
        <v>8401</v>
      </c>
    </row>
    <row r="204" spans="1:4" ht="14.45" x14ac:dyDescent="0.3">
      <c r="A204">
        <v>10411</v>
      </c>
      <c r="B204" t="s">
        <v>9609</v>
      </c>
      <c r="C204" t="s">
        <v>5043</v>
      </c>
      <c r="D204" t="s">
        <v>8401</v>
      </c>
    </row>
    <row r="205" spans="1:4" ht="14.45" x14ac:dyDescent="0.3">
      <c r="A205">
        <v>10413</v>
      </c>
      <c r="B205" t="s">
        <v>9609</v>
      </c>
      <c r="C205" t="s">
        <v>5043</v>
      </c>
      <c r="D205" t="s">
        <v>8401</v>
      </c>
    </row>
    <row r="206" spans="1:4" ht="14.45" x14ac:dyDescent="0.3">
      <c r="A206">
        <v>10415</v>
      </c>
      <c r="B206" t="s">
        <v>9609</v>
      </c>
      <c r="C206" t="s">
        <v>5043</v>
      </c>
      <c r="D206" t="s">
        <v>8401</v>
      </c>
    </row>
    <row r="207" spans="1:4" ht="14.45" x14ac:dyDescent="0.3">
      <c r="A207">
        <v>10416</v>
      </c>
      <c r="B207" t="s">
        <v>9609</v>
      </c>
      <c r="C207" t="s">
        <v>5043</v>
      </c>
      <c r="D207" t="s">
        <v>8401</v>
      </c>
    </row>
    <row r="208" spans="1:4" ht="14.45" x14ac:dyDescent="0.3">
      <c r="A208">
        <v>10419</v>
      </c>
      <c r="B208" t="s">
        <v>9609</v>
      </c>
      <c r="C208" t="s">
        <v>5043</v>
      </c>
      <c r="D208" t="s">
        <v>8401</v>
      </c>
    </row>
    <row r="209" spans="1:4" ht="14.45" x14ac:dyDescent="0.3">
      <c r="A209">
        <v>10420</v>
      </c>
      <c r="B209" t="s">
        <v>9609</v>
      </c>
      <c r="C209" t="s">
        <v>5043</v>
      </c>
      <c r="D209" t="s">
        <v>8401</v>
      </c>
    </row>
    <row r="210" spans="1:4" ht="14.45" x14ac:dyDescent="0.3">
      <c r="A210">
        <v>10421</v>
      </c>
      <c r="B210" t="s">
        <v>9609</v>
      </c>
      <c r="C210" t="s">
        <v>5043</v>
      </c>
      <c r="D210" t="s">
        <v>8401</v>
      </c>
    </row>
    <row r="211" spans="1:4" ht="14.45" x14ac:dyDescent="0.3">
      <c r="A211">
        <v>10422</v>
      </c>
      <c r="B211" t="s">
        <v>9609</v>
      </c>
      <c r="C211" t="s">
        <v>5043</v>
      </c>
      <c r="D211" t="s">
        <v>8401</v>
      </c>
    </row>
    <row r="212" spans="1:4" ht="14.45" x14ac:dyDescent="0.3">
      <c r="A212">
        <v>10424</v>
      </c>
      <c r="B212" t="s">
        <v>9609</v>
      </c>
      <c r="C212" t="s">
        <v>5043</v>
      </c>
      <c r="D212" t="s">
        <v>8401</v>
      </c>
    </row>
    <row r="213" spans="1:4" ht="14.45" x14ac:dyDescent="0.3">
      <c r="A213">
        <v>10427</v>
      </c>
      <c r="B213" t="s">
        <v>9609</v>
      </c>
      <c r="C213" t="s">
        <v>5043</v>
      </c>
      <c r="D213" t="s">
        <v>8401</v>
      </c>
    </row>
    <row r="214" spans="1:4" ht="14.45" x14ac:dyDescent="0.3">
      <c r="A214">
        <v>10428</v>
      </c>
      <c r="B214" t="s">
        <v>9609</v>
      </c>
      <c r="C214" t="s">
        <v>5043</v>
      </c>
      <c r="D214" t="s">
        <v>8401</v>
      </c>
    </row>
    <row r="215" spans="1:4" ht="14.45" x14ac:dyDescent="0.3">
      <c r="A215">
        <v>10431</v>
      </c>
      <c r="B215" t="s">
        <v>9609</v>
      </c>
      <c r="C215" t="s">
        <v>5043</v>
      </c>
      <c r="D215" t="s">
        <v>8401</v>
      </c>
    </row>
    <row r="216" spans="1:4" ht="14.45" x14ac:dyDescent="0.3">
      <c r="A216">
        <v>10432</v>
      </c>
      <c r="B216" t="s">
        <v>9609</v>
      </c>
      <c r="C216" t="s">
        <v>5043</v>
      </c>
      <c r="D216" t="s">
        <v>8401</v>
      </c>
    </row>
    <row r="217" spans="1:4" ht="14.45" x14ac:dyDescent="0.3">
      <c r="A217">
        <v>10436</v>
      </c>
      <c r="B217" t="s">
        <v>9609</v>
      </c>
      <c r="C217" t="s">
        <v>5043</v>
      </c>
      <c r="D217" t="s">
        <v>8401</v>
      </c>
    </row>
    <row r="218" spans="1:4" ht="14.45" x14ac:dyDescent="0.3">
      <c r="A218">
        <v>10437</v>
      </c>
      <c r="B218" t="s">
        <v>9609</v>
      </c>
      <c r="C218" t="s">
        <v>5043</v>
      </c>
      <c r="D218" t="s">
        <v>8401</v>
      </c>
    </row>
    <row r="219" spans="1:4" ht="14.45" x14ac:dyDescent="0.3">
      <c r="A219">
        <v>10440</v>
      </c>
      <c r="B219" t="s">
        <v>9609</v>
      </c>
      <c r="C219" t="s">
        <v>5043</v>
      </c>
      <c r="D219" t="s">
        <v>8401</v>
      </c>
    </row>
    <row r="220" spans="1:4" ht="14.45" x14ac:dyDescent="0.3">
      <c r="A220">
        <v>10379</v>
      </c>
      <c r="B220" t="s">
        <v>9610</v>
      </c>
      <c r="C220" t="s">
        <v>5043</v>
      </c>
      <c r="D220" t="s">
        <v>8401</v>
      </c>
    </row>
    <row r="221" spans="1:4" ht="14.45" x14ac:dyDescent="0.3">
      <c r="A221">
        <v>10382</v>
      </c>
      <c r="B221" t="s">
        <v>9610</v>
      </c>
      <c r="C221" t="s">
        <v>5043</v>
      </c>
      <c r="D221" t="s">
        <v>8401</v>
      </c>
    </row>
    <row r="222" spans="1:4" ht="14.45" x14ac:dyDescent="0.3">
      <c r="A222">
        <v>10384</v>
      </c>
      <c r="B222" t="s">
        <v>9610</v>
      </c>
      <c r="C222" t="s">
        <v>5043</v>
      </c>
      <c r="D222" t="s">
        <v>8401</v>
      </c>
    </row>
    <row r="223" spans="1:4" ht="14.45" x14ac:dyDescent="0.3">
      <c r="A223">
        <v>10385</v>
      </c>
      <c r="B223" t="s">
        <v>9610</v>
      </c>
      <c r="C223" t="s">
        <v>5043</v>
      </c>
      <c r="D223" t="s">
        <v>8401</v>
      </c>
    </row>
    <row r="224" spans="1:4" ht="14.45" x14ac:dyDescent="0.3">
      <c r="A224">
        <v>10392</v>
      </c>
      <c r="B224" t="s">
        <v>9610</v>
      </c>
      <c r="C224" t="s">
        <v>5043</v>
      </c>
      <c r="D224" t="s">
        <v>8401</v>
      </c>
    </row>
    <row r="225" spans="1:4" ht="14.45" x14ac:dyDescent="0.3">
      <c r="A225">
        <v>10393</v>
      </c>
      <c r="B225" t="s">
        <v>9610</v>
      </c>
      <c r="C225" t="s">
        <v>5043</v>
      </c>
      <c r="D225" t="s">
        <v>8401</v>
      </c>
    </row>
    <row r="226" spans="1:4" ht="14.45" x14ac:dyDescent="0.3">
      <c r="A226">
        <v>10407</v>
      </c>
      <c r="B226" t="s">
        <v>9610</v>
      </c>
      <c r="C226" t="s">
        <v>5043</v>
      </c>
      <c r="D226" t="s">
        <v>8401</v>
      </c>
    </row>
    <row r="227" spans="1:4" ht="14.45" x14ac:dyDescent="0.3">
      <c r="A227">
        <v>10417</v>
      </c>
      <c r="B227" t="s">
        <v>9610</v>
      </c>
      <c r="C227" t="s">
        <v>5043</v>
      </c>
      <c r="D227" t="s">
        <v>8401</v>
      </c>
    </row>
    <row r="228" spans="1:4" ht="14.45" x14ac:dyDescent="0.3">
      <c r="A228">
        <v>10418</v>
      </c>
      <c r="B228" t="s">
        <v>9610</v>
      </c>
      <c r="C228" t="s">
        <v>5043</v>
      </c>
      <c r="D228" t="s">
        <v>8401</v>
      </c>
    </row>
    <row r="229" spans="1:4" ht="14.45" x14ac:dyDescent="0.3">
      <c r="A229">
        <v>10423</v>
      </c>
      <c r="B229" t="s">
        <v>9610</v>
      </c>
      <c r="C229" t="s">
        <v>5043</v>
      </c>
      <c r="D229" t="s">
        <v>8401</v>
      </c>
    </row>
    <row r="230" spans="1:4" ht="14.45" x14ac:dyDescent="0.3">
      <c r="A230">
        <v>10425</v>
      </c>
      <c r="B230" t="s">
        <v>9610</v>
      </c>
      <c r="C230" t="s">
        <v>5043</v>
      </c>
      <c r="D230" t="s">
        <v>8401</v>
      </c>
    </row>
    <row r="231" spans="1:4" ht="14.45" x14ac:dyDescent="0.3">
      <c r="A231">
        <v>10426</v>
      </c>
      <c r="B231" t="s">
        <v>9610</v>
      </c>
      <c r="C231" t="s">
        <v>5043</v>
      </c>
      <c r="D231" t="s">
        <v>8401</v>
      </c>
    </row>
    <row r="232" spans="1:4" ht="14.45" x14ac:dyDescent="0.3">
      <c r="A232">
        <v>10429</v>
      </c>
      <c r="B232" t="s">
        <v>9610</v>
      </c>
      <c r="C232" t="s">
        <v>5043</v>
      </c>
      <c r="D232" t="s">
        <v>8401</v>
      </c>
    </row>
    <row r="233" spans="1:4" ht="14.45" x14ac:dyDescent="0.3">
      <c r="A233">
        <v>10430</v>
      </c>
      <c r="B233" t="s">
        <v>9610</v>
      </c>
      <c r="C233" t="s">
        <v>5043</v>
      </c>
      <c r="D233" t="s">
        <v>8401</v>
      </c>
    </row>
    <row r="234" spans="1:4" ht="14.45" x14ac:dyDescent="0.3">
      <c r="A234">
        <v>10435</v>
      </c>
      <c r="B234" t="s">
        <v>9610</v>
      </c>
      <c r="C234" t="s">
        <v>5043</v>
      </c>
      <c r="D234" t="s">
        <v>8401</v>
      </c>
    </row>
    <row r="235" spans="1:4" ht="14.45" x14ac:dyDescent="0.3">
      <c r="A235">
        <v>10438</v>
      </c>
      <c r="B235" t="s">
        <v>9610</v>
      </c>
      <c r="C235" t="s">
        <v>5043</v>
      </c>
      <c r="D235" t="s">
        <v>8401</v>
      </c>
    </row>
    <row r="236" spans="1:4" ht="14.45" x14ac:dyDescent="0.3">
      <c r="A236">
        <v>10441</v>
      </c>
      <c r="B236" t="s">
        <v>9610</v>
      </c>
      <c r="C236" t="s">
        <v>5043</v>
      </c>
      <c r="D236" t="s">
        <v>8401</v>
      </c>
    </row>
    <row r="237" spans="1:4" ht="14.45" x14ac:dyDescent="0.3">
      <c r="A237">
        <v>10523</v>
      </c>
      <c r="B237" t="s">
        <v>9610</v>
      </c>
      <c r="C237" t="s">
        <v>5043</v>
      </c>
      <c r="D237" t="s">
        <v>8401</v>
      </c>
    </row>
    <row r="238" spans="1:4" ht="14.45" x14ac:dyDescent="0.3">
      <c r="A238">
        <v>10525</v>
      </c>
      <c r="B238" t="s">
        <v>9610</v>
      </c>
      <c r="C238" t="s">
        <v>5043</v>
      </c>
      <c r="D238" t="s">
        <v>8401</v>
      </c>
    </row>
    <row r="239" spans="1:4" ht="14.45" x14ac:dyDescent="0.3">
      <c r="A239">
        <v>10535</v>
      </c>
      <c r="B239" t="s">
        <v>9610</v>
      </c>
      <c r="C239" t="s">
        <v>5043</v>
      </c>
      <c r="D239" t="s">
        <v>8401</v>
      </c>
    </row>
    <row r="240" spans="1:4" ht="14.45" x14ac:dyDescent="0.3">
      <c r="A240">
        <v>10572</v>
      </c>
      <c r="B240" t="s">
        <v>9610</v>
      </c>
      <c r="C240" t="s">
        <v>5043</v>
      </c>
      <c r="D240" t="s">
        <v>8401</v>
      </c>
    </row>
    <row r="241" spans="1:4" ht="14.45" x14ac:dyDescent="0.3">
      <c r="A241">
        <v>10573</v>
      </c>
      <c r="B241" t="s">
        <v>9610</v>
      </c>
      <c r="C241" t="s">
        <v>5043</v>
      </c>
      <c r="D241" t="s">
        <v>8401</v>
      </c>
    </row>
    <row r="242" spans="1:4" ht="14.45" x14ac:dyDescent="0.3">
      <c r="A242">
        <v>10574</v>
      </c>
      <c r="B242" t="s">
        <v>9610</v>
      </c>
      <c r="C242" t="s">
        <v>5043</v>
      </c>
      <c r="D242" t="s">
        <v>8401</v>
      </c>
    </row>
    <row r="243" spans="1:4" ht="14.45" x14ac:dyDescent="0.3">
      <c r="A243">
        <v>10575</v>
      </c>
      <c r="B243" t="s">
        <v>9610</v>
      </c>
      <c r="C243" t="s">
        <v>5043</v>
      </c>
      <c r="D243" t="s">
        <v>8401</v>
      </c>
    </row>
    <row r="244" spans="1:4" ht="14.45" x14ac:dyDescent="0.3">
      <c r="A244">
        <v>10587</v>
      </c>
      <c r="B244" t="s">
        <v>9610</v>
      </c>
      <c r="C244" t="s">
        <v>5043</v>
      </c>
      <c r="D244" t="s">
        <v>8401</v>
      </c>
    </row>
    <row r="245" spans="1:4" ht="14.45" x14ac:dyDescent="0.3">
      <c r="A245">
        <v>10588</v>
      </c>
      <c r="B245" t="s">
        <v>9610</v>
      </c>
      <c r="C245" t="s">
        <v>5043</v>
      </c>
      <c r="D245" t="s">
        <v>8401</v>
      </c>
    </row>
    <row r="246" spans="1:4" ht="14.45" x14ac:dyDescent="0.3">
      <c r="A246">
        <v>10657</v>
      </c>
      <c r="B246" t="s">
        <v>9610</v>
      </c>
      <c r="C246" t="s">
        <v>5043</v>
      </c>
      <c r="D246" t="s">
        <v>8401</v>
      </c>
    </row>
    <row r="247" spans="1:4" ht="14.45" x14ac:dyDescent="0.3">
      <c r="A247">
        <v>10767</v>
      </c>
      <c r="B247" t="s">
        <v>9610</v>
      </c>
      <c r="C247" t="s">
        <v>5043</v>
      </c>
      <c r="D247" t="s">
        <v>8401</v>
      </c>
    </row>
    <row r="248" spans="1:4" ht="14.45" x14ac:dyDescent="0.3">
      <c r="A248">
        <v>10768</v>
      </c>
      <c r="B248" t="s">
        <v>9610</v>
      </c>
      <c r="C248" t="s">
        <v>5043</v>
      </c>
      <c r="D248" t="s">
        <v>8401</v>
      </c>
    </row>
    <row r="249" spans="1:4" ht="14.45" x14ac:dyDescent="0.3">
      <c r="A249">
        <v>10770</v>
      </c>
      <c r="B249" t="s">
        <v>9610</v>
      </c>
      <c r="C249" t="s">
        <v>5043</v>
      </c>
      <c r="D249" t="s">
        <v>8401</v>
      </c>
    </row>
    <row r="250" spans="1:4" ht="14.45" x14ac:dyDescent="0.3">
      <c r="A250">
        <v>10408</v>
      </c>
      <c r="B250" t="s">
        <v>9611</v>
      </c>
      <c r="C250" t="s">
        <v>5043</v>
      </c>
      <c r="D250" t="s">
        <v>8401</v>
      </c>
    </row>
    <row r="251" spans="1:4" ht="14.45" x14ac:dyDescent="0.3">
      <c r="A251">
        <v>10412</v>
      </c>
      <c r="B251" t="s">
        <v>9611</v>
      </c>
      <c r="C251" t="s">
        <v>5043</v>
      </c>
      <c r="D251" t="s">
        <v>8401</v>
      </c>
    </row>
    <row r="252" spans="1:4" ht="14.45" x14ac:dyDescent="0.3">
      <c r="A252">
        <v>8160</v>
      </c>
      <c r="B252" t="s">
        <v>8508</v>
      </c>
      <c r="C252" t="s">
        <v>5043</v>
      </c>
      <c r="D252" t="s">
        <v>8401</v>
      </c>
    </row>
    <row r="253" spans="1:4" ht="14.45" x14ac:dyDescent="0.3">
      <c r="A253">
        <v>9274</v>
      </c>
      <c r="B253" t="s">
        <v>8508</v>
      </c>
      <c r="C253" t="s">
        <v>5043</v>
      </c>
      <c r="D253" t="s">
        <v>8401</v>
      </c>
    </row>
    <row r="254" spans="1:4" ht="14.45" x14ac:dyDescent="0.3">
      <c r="A254">
        <v>6000</v>
      </c>
      <c r="B254" t="s">
        <v>8509</v>
      </c>
      <c r="C254" t="s">
        <v>5043</v>
      </c>
      <c r="D254" t="s">
        <v>8401</v>
      </c>
    </row>
    <row r="255" spans="1:4" ht="14.45" x14ac:dyDescent="0.3">
      <c r="A255">
        <v>7042</v>
      </c>
      <c r="B255" t="s">
        <v>8509</v>
      </c>
      <c r="C255" t="s">
        <v>5043</v>
      </c>
      <c r="D255" t="s">
        <v>8401</v>
      </c>
    </row>
    <row r="256" spans="1:4" ht="14.45" x14ac:dyDescent="0.3">
      <c r="A256">
        <v>8954</v>
      </c>
      <c r="B256" t="s">
        <v>8509</v>
      </c>
      <c r="C256" t="s">
        <v>5043</v>
      </c>
      <c r="D256" t="s">
        <v>8401</v>
      </c>
    </row>
    <row r="257" spans="1:4" ht="14.45" x14ac:dyDescent="0.3">
      <c r="A257">
        <v>9640</v>
      </c>
      <c r="B257" t="s">
        <v>8510</v>
      </c>
      <c r="C257" t="s">
        <v>5043</v>
      </c>
      <c r="D257" t="s">
        <v>8401</v>
      </c>
    </row>
    <row r="258" spans="1:4" ht="14.45" x14ac:dyDescent="0.3">
      <c r="A258">
        <v>5203</v>
      </c>
      <c r="B258" t="s">
        <v>9612</v>
      </c>
      <c r="C258" t="s">
        <v>5043</v>
      </c>
      <c r="D258" t="s">
        <v>8401</v>
      </c>
    </row>
    <row r="259" spans="1:4" ht="14.45" x14ac:dyDescent="0.3">
      <c r="A259">
        <v>9402</v>
      </c>
      <c r="B259" t="s">
        <v>9613</v>
      </c>
      <c r="C259" t="s">
        <v>5043</v>
      </c>
      <c r="D259" t="s">
        <v>8401</v>
      </c>
    </row>
    <row r="260" spans="1:4" ht="14.45" x14ac:dyDescent="0.3">
      <c r="A260">
        <v>7789</v>
      </c>
      <c r="B260" t="s">
        <v>9614</v>
      </c>
      <c r="C260" t="s">
        <v>5043</v>
      </c>
      <c r="D260" t="s">
        <v>8401</v>
      </c>
    </row>
    <row r="261" spans="1:4" ht="14.45" x14ac:dyDescent="0.3">
      <c r="A261">
        <v>6827</v>
      </c>
      <c r="B261" t="s">
        <v>9615</v>
      </c>
      <c r="C261" t="s">
        <v>5043</v>
      </c>
      <c r="D261" t="s">
        <v>8401</v>
      </c>
    </row>
    <row r="262" spans="1:4" ht="14.45" x14ac:dyDescent="0.3">
      <c r="A262">
        <v>6749</v>
      </c>
      <c r="B262" t="s">
        <v>9616</v>
      </c>
      <c r="C262" t="s">
        <v>5043</v>
      </c>
      <c r="D262" t="s">
        <v>8401</v>
      </c>
    </row>
    <row r="263" spans="1:4" ht="14.45" x14ac:dyDescent="0.3">
      <c r="A263">
        <v>8614</v>
      </c>
      <c r="B263" t="s">
        <v>9616</v>
      </c>
      <c r="C263" t="s">
        <v>5043</v>
      </c>
      <c r="D263" t="s">
        <v>8401</v>
      </c>
    </row>
    <row r="264" spans="1:4" ht="14.45" x14ac:dyDescent="0.3">
      <c r="A264">
        <v>5953</v>
      </c>
      <c r="B264" t="s">
        <v>9617</v>
      </c>
      <c r="C264" t="s">
        <v>5043</v>
      </c>
      <c r="D264" t="s">
        <v>8401</v>
      </c>
    </row>
    <row r="265" spans="1:4" ht="14.45" x14ac:dyDescent="0.3">
      <c r="A265">
        <v>6207</v>
      </c>
      <c r="B265" t="s">
        <v>9617</v>
      </c>
      <c r="C265" t="s">
        <v>5043</v>
      </c>
      <c r="D265" t="s">
        <v>8401</v>
      </c>
    </row>
    <row r="266" spans="1:4" ht="14.45" x14ac:dyDescent="0.3">
      <c r="A266">
        <v>7296</v>
      </c>
      <c r="B266" t="s">
        <v>9618</v>
      </c>
      <c r="C266" t="s">
        <v>5043</v>
      </c>
      <c r="D266" t="s">
        <v>8401</v>
      </c>
    </row>
    <row r="267" spans="1:4" ht="14.45" x14ac:dyDescent="0.3">
      <c r="A267">
        <v>5447</v>
      </c>
      <c r="B267" t="s">
        <v>9619</v>
      </c>
      <c r="C267" t="s">
        <v>5043</v>
      </c>
      <c r="D267" t="s">
        <v>8401</v>
      </c>
    </row>
    <row r="268" spans="1:4" ht="14.45" x14ac:dyDescent="0.3">
      <c r="A268">
        <v>7545</v>
      </c>
      <c r="B268" t="s">
        <v>9619</v>
      </c>
      <c r="C268" t="s">
        <v>5043</v>
      </c>
      <c r="D268" t="s">
        <v>8401</v>
      </c>
    </row>
    <row r="269" spans="1:4" ht="14.45" x14ac:dyDescent="0.3">
      <c r="A269">
        <v>7683</v>
      </c>
      <c r="B269" t="s">
        <v>9619</v>
      </c>
      <c r="C269" t="s">
        <v>5043</v>
      </c>
      <c r="D269" t="s">
        <v>8401</v>
      </c>
    </row>
    <row r="270" spans="1:4" ht="14.45" x14ac:dyDescent="0.3">
      <c r="A270">
        <v>7738</v>
      </c>
      <c r="B270" t="s">
        <v>9619</v>
      </c>
      <c r="C270" t="s">
        <v>5043</v>
      </c>
      <c r="D270" t="s">
        <v>8401</v>
      </c>
    </row>
    <row r="271" spans="1:4" ht="14.45" x14ac:dyDescent="0.3">
      <c r="A271">
        <v>6609</v>
      </c>
      <c r="B271" t="s">
        <v>8511</v>
      </c>
      <c r="C271" t="s">
        <v>5043</v>
      </c>
      <c r="D271" t="s">
        <v>8401</v>
      </c>
    </row>
    <row r="272" spans="1:4" ht="14.45" x14ac:dyDescent="0.3">
      <c r="A272">
        <v>6699</v>
      </c>
      <c r="B272" t="s">
        <v>8511</v>
      </c>
      <c r="C272" t="s">
        <v>5043</v>
      </c>
      <c r="D272" t="s">
        <v>8401</v>
      </c>
    </row>
    <row r="273" spans="1:4" ht="14.45" x14ac:dyDescent="0.3">
      <c r="A273">
        <v>7072</v>
      </c>
      <c r="B273" t="s">
        <v>8511</v>
      </c>
      <c r="C273" t="s">
        <v>5043</v>
      </c>
      <c r="D273" t="s">
        <v>8401</v>
      </c>
    </row>
    <row r="274" spans="1:4" ht="14.45" x14ac:dyDescent="0.3">
      <c r="A274">
        <v>7454</v>
      </c>
      <c r="B274" t="s">
        <v>8511</v>
      </c>
      <c r="C274" t="s">
        <v>5043</v>
      </c>
      <c r="D274" t="s">
        <v>8401</v>
      </c>
    </row>
    <row r="275" spans="1:4" ht="14.45" x14ac:dyDescent="0.3">
      <c r="A275">
        <v>5863</v>
      </c>
      <c r="B275" t="s">
        <v>9620</v>
      </c>
      <c r="C275" t="s">
        <v>5043</v>
      </c>
      <c r="D275" t="s">
        <v>8401</v>
      </c>
    </row>
    <row r="276" spans="1:4" ht="14.45" x14ac:dyDescent="0.3">
      <c r="A276">
        <v>7981</v>
      </c>
      <c r="B276" t="s">
        <v>9620</v>
      </c>
      <c r="C276" t="s">
        <v>5043</v>
      </c>
      <c r="D276" t="s">
        <v>8401</v>
      </c>
    </row>
    <row r="277" spans="1:4" ht="14.45" x14ac:dyDescent="0.3">
      <c r="A277">
        <v>8763</v>
      </c>
      <c r="B277" t="s">
        <v>9620</v>
      </c>
      <c r="C277" t="s">
        <v>5043</v>
      </c>
      <c r="D277" t="s">
        <v>8401</v>
      </c>
    </row>
    <row r="278" spans="1:4" ht="14.45" x14ac:dyDescent="0.3">
      <c r="A278">
        <v>5833</v>
      </c>
      <c r="B278" t="s">
        <v>8512</v>
      </c>
      <c r="C278" t="s">
        <v>5043</v>
      </c>
      <c r="D278" t="s">
        <v>8401</v>
      </c>
    </row>
    <row r="279" spans="1:4" ht="14.45" x14ac:dyDescent="0.3">
      <c r="A279">
        <v>9622</v>
      </c>
      <c r="B279" t="s">
        <v>8512</v>
      </c>
      <c r="C279" t="s">
        <v>5043</v>
      </c>
      <c r="D279" t="s">
        <v>8401</v>
      </c>
    </row>
    <row r="280" spans="1:4" ht="14.45" x14ac:dyDescent="0.3">
      <c r="A280">
        <v>5841</v>
      </c>
      <c r="B280" t="s">
        <v>8513</v>
      </c>
      <c r="C280" t="s">
        <v>5043</v>
      </c>
      <c r="D280" t="s">
        <v>8401</v>
      </c>
    </row>
    <row r="281" spans="1:4" ht="14.45" x14ac:dyDescent="0.3">
      <c r="A281">
        <v>6400</v>
      </c>
      <c r="B281" t="s">
        <v>8513</v>
      </c>
      <c r="C281" t="s">
        <v>5043</v>
      </c>
      <c r="D281" t="s">
        <v>8401</v>
      </c>
    </row>
    <row r="282" spans="1:4" ht="14.45" x14ac:dyDescent="0.3">
      <c r="A282">
        <v>7811</v>
      </c>
      <c r="B282" t="s">
        <v>8513</v>
      </c>
      <c r="C282" t="s">
        <v>5043</v>
      </c>
      <c r="D282" t="s">
        <v>8401</v>
      </c>
    </row>
    <row r="283" spans="1:4" ht="14.45" x14ac:dyDescent="0.3">
      <c r="A283">
        <v>9507</v>
      </c>
      <c r="B283" t="s">
        <v>8513</v>
      </c>
      <c r="C283" t="s">
        <v>5043</v>
      </c>
      <c r="D283" t="s">
        <v>8401</v>
      </c>
    </row>
    <row r="284" spans="1:4" ht="14.45" x14ac:dyDescent="0.3">
      <c r="A284">
        <v>7796</v>
      </c>
      <c r="B284" t="s">
        <v>8514</v>
      </c>
      <c r="C284" t="s">
        <v>5043</v>
      </c>
      <c r="D284" t="s">
        <v>8401</v>
      </c>
    </row>
    <row r="285" spans="1:4" ht="14.45" x14ac:dyDescent="0.3">
      <c r="A285">
        <v>9730</v>
      </c>
      <c r="B285" t="s">
        <v>8514</v>
      </c>
      <c r="C285" t="s">
        <v>5043</v>
      </c>
      <c r="D285" t="s">
        <v>8401</v>
      </c>
    </row>
    <row r="286" spans="1:4" ht="14.45" x14ac:dyDescent="0.3">
      <c r="A286">
        <v>7839</v>
      </c>
      <c r="B286" t="s">
        <v>8515</v>
      </c>
      <c r="C286" t="s">
        <v>5043</v>
      </c>
      <c r="D286" t="s">
        <v>8401</v>
      </c>
    </row>
    <row r="287" spans="1:4" ht="14.45" x14ac:dyDescent="0.3">
      <c r="A287">
        <v>6270</v>
      </c>
      <c r="B287" t="s">
        <v>9621</v>
      </c>
      <c r="C287" t="s">
        <v>5043</v>
      </c>
      <c r="D287" t="s">
        <v>8401</v>
      </c>
    </row>
    <row r="288" spans="1:4" ht="14.45" x14ac:dyDescent="0.3">
      <c r="A288">
        <v>9224</v>
      </c>
      <c r="B288" t="s">
        <v>9622</v>
      </c>
      <c r="C288" t="s">
        <v>5043</v>
      </c>
      <c r="D288" t="s">
        <v>8401</v>
      </c>
    </row>
    <row r="289" spans="1:4" ht="14.45" x14ac:dyDescent="0.3">
      <c r="A289">
        <v>6695</v>
      </c>
      <c r="B289" t="s">
        <v>9623</v>
      </c>
      <c r="C289" t="s">
        <v>5043</v>
      </c>
      <c r="D289" t="s">
        <v>8401</v>
      </c>
    </row>
    <row r="290" spans="1:4" ht="14.45" x14ac:dyDescent="0.3">
      <c r="A290">
        <v>6589</v>
      </c>
      <c r="B290" t="s">
        <v>8516</v>
      </c>
      <c r="C290" t="s">
        <v>5043</v>
      </c>
      <c r="D290" t="s">
        <v>8401</v>
      </c>
    </row>
    <row r="291" spans="1:4" ht="14.45" x14ac:dyDescent="0.3">
      <c r="A291">
        <v>8115</v>
      </c>
      <c r="B291" t="s">
        <v>8516</v>
      </c>
      <c r="C291" t="s">
        <v>5043</v>
      </c>
      <c r="D291" t="s">
        <v>8401</v>
      </c>
    </row>
    <row r="292" spans="1:4" ht="14.45" x14ac:dyDescent="0.3">
      <c r="A292">
        <v>8623</v>
      </c>
      <c r="B292" t="s">
        <v>8516</v>
      </c>
      <c r="C292" t="s">
        <v>5043</v>
      </c>
      <c r="D292" t="s">
        <v>8401</v>
      </c>
    </row>
    <row r="293" spans="1:4" ht="14.45" x14ac:dyDescent="0.3">
      <c r="A293">
        <v>6459</v>
      </c>
      <c r="B293" t="s">
        <v>9624</v>
      </c>
      <c r="C293" t="s">
        <v>5043</v>
      </c>
      <c r="D293" t="s">
        <v>8401</v>
      </c>
    </row>
    <row r="294" spans="1:4" ht="14.45" x14ac:dyDescent="0.3">
      <c r="A294">
        <v>6964</v>
      </c>
      <c r="B294" t="s">
        <v>9624</v>
      </c>
      <c r="C294" t="s">
        <v>5043</v>
      </c>
      <c r="D294" t="s">
        <v>8401</v>
      </c>
    </row>
    <row r="295" spans="1:4" ht="14.45" x14ac:dyDescent="0.3">
      <c r="A295">
        <v>8107</v>
      </c>
      <c r="B295" t="s">
        <v>9624</v>
      </c>
      <c r="C295" t="s">
        <v>5043</v>
      </c>
      <c r="D295" t="s">
        <v>8401</v>
      </c>
    </row>
    <row r="296" spans="1:4" ht="14.45" x14ac:dyDescent="0.3">
      <c r="A296">
        <v>8529</v>
      </c>
      <c r="B296" t="s">
        <v>8517</v>
      </c>
      <c r="C296" t="s">
        <v>5043</v>
      </c>
      <c r="D296" t="s">
        <v>8401</v>
      </c>
    </row>
    <row r="297" spans="1:4" ht="14.45" x14ac:dyDescent="0.3">
      <c r="A297">
        <v>8842</v>
      </c>
      <c r="B297" t="s">
        <v>9625</v>
      </c>
      <c r="C297" t="s">
        <v>5043</v>
      </c>
      <c r="D297" t="s">
        <v>8401</v>
      </c>
    </row>
    <row r="298" spans="1:4" ht="14.45" x14ac:dyDescent="0.3">
      <c r="A298">
        <v>7347</v>
      </c>
      <c r="B298" t="s">
        <v>8518</v>
      </c>
      <c r="C298" t="s">
        <v>5043</v>
      </c>
      <c r="D298" t="s">
        <v>8401</v>
      </c>
    </row>
    <row r="299" spans="1:4" ht="14.45" x14ac:dyDescent="0.3">
      <c r="A299">
        <v>9719</v>
      </c>
      <c r="B299" t="s">
        <v>8519</v>
      </c>
      <c r="C299" t="s">
        <v>5043</v>
      </c>
      <c r="D299" t="s">
        <v>8401</v>
      </c>
    </row>
    <row r="300" spans="1:4" ht="14.45" x14ac:dyDescent="0.3">
      <c r="A300">
        <v>10455</v>
      </c>
      <c r="B300" t="s">
        <v>9626</v>
      </c>
      <c r="C300" t="s">
        <v>5043</v>
      </c>
      <c r="D300" t="s">
        <v>8401</v>
      </c>
    </row>
    <row r="301" spans="1:4" ht="14.45" x14ac:dyDescent="0.3">
      <c r="A301">
        <v>5446</v>
      </c>
      <c r="B301" t="s">
        <v>9627</v>
      </c>
      <c r="C301" t="s">
        <v>5043</v>
      </c>
      <c r="D301" t="s">
        <v>8401</v>
      </c>
    </row>
    <row r="302" spans="1:4" ht="14.45" x14ac:dyDescent="0.3">
      <c r="A302">
        <v>9414</v>
      </c>
      <c r="B302" t="s">
        <v>9627</v>
      </c>
      <c r="C302" t="s">
        <v>5043</v>
      </c>
      <c r="D302" t="s">
        <v>8401</v>
      </c>
    </row>
    <row r="303" spans="1:4" ht="14.45" x14ac:dyDescent="0.3">
      <c r="A303">
        <v>9295</v>
      </c>
      <c r="B303" t="s">
        <v>9628</v>
      </c>
      <c r="C303" t="s">
        <v>5043</v>
      </c>
      <c r="D303" t="s">
        <v>8401</v>
      </c>
    </row>
    <row r="304" spans="1:4" ht="14.45" x14ac:dyDescent="0.3">
      <c r="A304">
        <v>9252</v>
      </c>
      <c r="B304" t="s">
        <v>8520</v>
      </c>
      <c r="C304" t="s">
        <v>5043</v>
      </c>
      <c r="D304" t="s">
        <v>8401</v>
      </c>
    </row>
    <row r="305" spans="1:4" ht="14.45" x14ac:dyDescent="0.3">
      <c r="A305">
        <v>10458</v>
      </c>
      <c r="B305" t="s">
        <v>9629</v>
      </c>
      <c r="C305" t="s">
        <v>5043</v>
      </c>
      <c r="D305" t="s">
        <v>8401</v>
      </c>
    </row>
    <row r="306" spans="1:4" ht="14.45" x14ac:dyDescent="0.3">
      <c r="A306">
        <v>6584</v>
      </c>
      <c r="B306" t="s">
        <v>9630</v>
      </c>
      <c r="C306" t="s">
        <v>5043</v>
      </c>
      <c r="D306" t="s">
        <v>8401</v>
      </c>
    </row>
    <row r="307" spans="1:4" ht="14.45" x14ac:dyDescent="0.3">
      <c r="A307">
        <v>8802</v>
      </c>
      <c r="B307" t="s">
        <v>9630</v>
      </c>
      <c r="C307" t="s">
        <v>5043</v>
      </c>
      <c r="D307" t="s">
        <v>8401</v>
      </c>
    </row>
    <row r="308" spans="1:4" ht="14.45" x14ac:dyDescent="0.3">
      <c r="A308">
        <v>9616</v>
      </c>
      <c r="B308" t="s">
        <v>9630</v>
      </c>
      <c r="C308" t="s">
        <v>5043</v>
      </c>
      <c r="D308" t="s">
        <v>8401</v>
      </c>
    </row>
    <row r="309" spans="1:4" ht="14.45" x14ac:dyDescent="0.3">
      <c r="A309">
        <v>5024</v>
      </c>
      <c r="B309" t="s">
        <v>8521</v>
      </c>
      <c r="C309" t="s">
        <v>5043</v>
      </c>
      <c r="D309" t="s">
        <v>8401</v>
      </c>
    </row>
    <row r="310" spans="1:4" ht="14.45" x14ac:dyDescent="0.3">
      <c r="A310">
        <v>7247</v>
      </c>
      <c r="B310" t="s">
        <v>8521</v>
      </c>
      <c r="C310" t="s">
        <v>5043</v>
      </c>
      <c r="D310" t="s">
        <v>8401</v>
      </c>
    </row>
    <row r="311" spans="1:4" ht="14.45" x14ac:dyDescent="0.3">
      <c r="A311">
        <v>7524</v>
      </c>
      <c r="B311" t="s">
        <v>8521</v>
      </c>
      <c r="C311" t="s">
        <v>5043</v>
      </c>
      <c r="D311" t="s">
        <v>8401</v>
      </c>
    </row>
    <row r="312" spans="1:4" ht="14.45" x14ac:dyDescent="0.3">
      <c r="A312">
        <v>9293</v>
      </c>
      <c r="B312" t="s">
        <v>8521</v>
      </c>
      <c r="C312" t="s">
        <v>5043</v>
      </c>
      <c r="D312" t="s">
        <v>8401</v>
      </c>
    </row>
    <row r="313" spans="1:4" ht="14.45" x14ac:dyDescent="0.3">
      <c r="A313">
        <v>10259</v>
      </c>
      <c r="B313" t="s">
        <v>9631</v>
      </c>
      <c r="C313" t="s">
        <v>5043</v>
      </c>
      <c r="D313" t="s">
        <v>8401</v>
      </c>
    </row>
    <row r="314" spans="1:4" ht="14.45" x14ac:dyDescent="0.3">
      <c r="A314">
        <v>10256</v>
      </c>
      <c r="B314" t="s">
        <v>9632</v>
      </c>
      <c r="C314" t="s">
        <v>5043</v>
      </c>
      <c r="D314" t="s">
        <v>8401</v>
      </c>
    </row>
    <row r="315" spans="1:4" ht="14.45" x14ac:dyDescent="0.3">
      <c r="A315">
        <v>10233</v>
      </c>
      <c r="B315" t="s">
        <v>9633</v>
      </c>
      <c r="C315" t="s">
        <v>5043</v>
      </c>
      <c r="D315" t="s">
        <v>8401</v>
      </c>
    </row>
    <row r="316" spans="1:4" ht="14.45" x14ac:dyDescent="0.3">
      <c r="A316">
        <v>10235</v>
      </c>
      <c r="B316" t="s">
        <v>9634</v>
      </c>
      <c r="C316" t="s">
        <v>5043</v>
      </c>
      <c r="D316" t="s">
        <v>8401</v>
      </c>
    </row>
    <row r="317" spans="1:4" ht="14.45" x14ac:dyDescent="0.3">
      <c r="A317">
        <v>10237</v>
      </c>
      <c r="B317" t="s">
        <v>9634</v>
      </c>
      <c r="C317" t="s">
        <v>5043</v>
      </c>
      <c r="D317" t="s">
        <v>8401</v>
      </c>
    </row>
    <row r="318" spans="1:4" ht="14.45" x14ac:dyDescent="0.3">
      <c r="A318">
        <v>10230</v>
      </c>
      <c r="B318" t="s">
        <v>9635</v>
      </c>
      <c r="C318" t="s">
        <v>5043</v>
      </c>
      <c r="D318" t="s">
        <v>8401</v>
      </c>
    </row>
    <row r="319" spans="1:4" ht="14.45" x14ac:dyDescent="0.3">
      <c r="A319">
        <v>10241</v>
      </c>
      <c r="B319" t="s">
        <v>9636</v>
      </c>
      <c r="C319" t="s">
        <v>5043</v>
      </c>
      <c r="D319" t="s">
        <v>8401</v>
      </c>
    </row>
    <row r="320" spans="1:4" ht="14.45" x14ac:dyDescent="0.3">
      <c r="A320">
        <v>10265</v>
      </c>
      <c r="B320" t="s">
        <v>9637</v>
      </c>
      <c r="C320" t="s">
        <v>5043</v>
      </c>
      <c r="D320" t="s">
        <v>8401</v>
      </c>
    </row>
    <row r="321" spans="1:4" ht="14.45" x14ac:dyDescent="0.3">
      <c r="A321">
        <v>6152</v>
      </c>
      <c r="B321" t="s">
        <v>9638</v>
      </c>
      <c r="C321" t="s">
        <v>5083</v>
      </c>
      <c r="D321" t="s">
        <v>11531</v>
      </c>
    </row>
    <row r="322" spans="1:4" ht="14.45" x14ac:dyDescent="0.3">
      <c r="A322">
        <v>10611</v>
      </c>
      <c r="B322" t="s">
        <v>11500</v>
      </c>
      <c r="C322" t="s">
        <v>5043</v>
      </c>
      <c r="D322" t="s">
        <v>8401</v>
      </c>
    </row>
    <row r="323" spans="1:4" ht="14.45" x14ac:dyDescent="0.3">
      <c r="A323">
        <v>10609</v>
      </c>
      <c r="B323" t="s">
        <v>11501</v>
      </c>
      <c r="C323" t="s">
        <v>5043</v>
      </c>
      <c r="D323" t="s">
        <v>8401</v>
      </c>
    </row>
    <row r="324" spans="1:4" ht="14.45" x14ac:dyDescent="0.3">
      <c r="A324">
        <v>9267</v>
      </c>
      <c r="B324" t="s">
        <v>9639</v>
      </c>
      <c r="C324" t="s">
        <v>5083</v>
      </c>
      <c r="D324" t="s">
        <v>8401</v>
      </c>
    </row>
    <row r="325" spans="1:4" ht="14.45" x14ac:dyDescent="0.3">
      <c r="A325">
        <v>5643</v>
      </c>
      <c r="B325" t="s">
        <v>9640</v>
      </c>
      <c r="C325" t="s">
        <v>5043</v>
      </c>
      <c r="D325" t="s">
        <v>8401</v>
      </c>
    </row>
    <row r="326" spans="1:4" ht="14.45" x14ac:dyDescent="0.3">
      <c r="A326">
        <v>6867</v>
      </c>
      <c r="B326" t="s">
        <v>9641</v>
      </c>
      <c r="C326" t="s">
        <v>5043</v>
      </c>
      <c r="D326" t="s">
        <v>8401</v>
      </c>
    </row>
    <row r="327" spans="1:4" ht="14.45" x14ac:dyDescent="0.3">
      <c r="A327">
        <v>6600</v>
      </c>
      <c r="B327" t="s">
        <v>8522</v>
      </c>
      <c r="C327" t="s">
        <v>5043</v>
      </c>
      <c r="D327" t="s">
        <v>8401</v>
      </c>
    </row>
    <row r="328" spans="1:4" ht="14.45" x14ac:dyDescent="0.3">
      <c r="A328">
        <v>6631</v>
      </c>
      <c r="B328" t="s">
        <v>8523</v>
      </c>
      <c r="C328" t="s">
        <v>5043</v>
      </c>
      <c r="D328" t="s">
        <v>8401</v>
      </c>
    </row>
    <row r="329" spans="1:4" ht="14.45" x14ac:dyDescent="0.3">
      <c r="A329">
        <v>10720</v>
      </c>
      <c r="B329" t="s">
        <v>11532</v>
      </c>
      <c r="C329" t="s">
        <v>5043</v>
      </c>
      <c r="D329" t="s">
        <v>8401</v>
      </c>
    </row>
    <row r="330" spans="1:4" ht="14.45" x14ac:dyDescent="0.3">
      <c r="A330">
        <v>10527</v>
      </c>
      <c r="B330" t="s">
        <v>9642</v>
      </c>
      <c r="C330" t="s">
        <v>5043</v>
      </c>
      <c r="D330" t="s">
        <v>8401</v>
      </c>
    </row>
    <row r="331" spans="1:4" ht="14.45" x14ac:dyDescent="0.3">
      <c r="A331">
        <v>10718</v>
      </c>
      <c r="B331" t="s">
        <v>11533</v>
      </c>
      <c r="C331" t="s">
        <v>5043</v>
      </c>
      <c r="D331" t="s">
        <v>8401</v>
      </c>
    </row>
    <row r="332" spans="1:4" ht="14.45" x14ac:dyDescent="0.3">
      <c r="A332">
        <v>10722</v>
      </c>
      <c r="B332" t="s">
        <v>11534</v>
      </c>
      <c r="C332" t="s">
        <v>5043</v>
      </c>
      <c r="D332" t="s">
        <v>8401</v>
      </c>
    </row>
    <row r="333" spans="1:4" ht="14.45" x14ac:dyDescent="0.3">
      <c r="A333">
        <v>10529</v>
      </c>
      <c r="B333" t="s">
        <v>9643</v>
      </c>
      <c r="C333" t="s">
        <v>5043</v>
      </c>
      <c r="D333" t="s">
        <v>8401</v>
      </c>
    </row>
    <row r="334" spans="1:4" ht="14.45" x14ac:dyDescent="0.3">
      <c r="A334">
        <v>10584</v>
      </c>
      <c r="B334" t="s">
        <v>11496</v>
      </c>
      <c r="C334" t="s">
        <v>5043</v>
      </c>
      <c r="D334" t="s">
        <v>8401</v>
      </c>
    </row>
    <row r="335" spans="1:4" ht="14.45" x14ac:dyDescent="0.3">
      <c r="A335">
        <v>10297</v>
      </c>
      <c r="B335" t="s">
        <v>9644</v>
      </c>
      <c r="C335" t="s">
        <v>5043</v>
      </c>
      <c r="D335" t="s">
        <v>8401</v>
      </c>
    </row>
    <row r="336" spans="1:4" ht="14.45" x14ac:dyDescent="0.3">
      <c r="A336">
        <v>10556</v>
      </c>
      <c r="B336" t="s">
        <v>9644</v>
      </c>
      <c r="C336" t="s">
        <v>5043</v>
      </c>
      <c r="D336" t="s">
        <v>8401</v>
      </c>
    </row>
    <row r="337" spans="1:4" ht="14.45" x14ac:dyDescent="0.3">
      <c r="A337">
        <v>10530</v>
      </c>
      <c r="B337" t="s">
        <v>9645</v>
      </c>
      <c r="C337" t="s">
        <v>5043</v>
      </c>
      <c r="D337" t="s">
        <v>8401</v>
      </c>
    </row>
    <row r="338" spans="1:4" ht="14.45" x14ac:dyDescent="0.3">
      <c r="A338">
        <v>10531</v>
      </c>
      <c r="B338" t="s">
        <v>9646</v>
      </c>
      <c r="C338" t="s">
        <v>5043</v>
      </c>
      <c r="D338" t="s">
        <v>8401</v>
      </c>
    </row>
    <row r="339" spans="1:4" ht="14.45" x14ac:dyDescent="0.3">
      <c r="A339">
        <v>10540</v>
      </c>
      <c r="B339" t="s">
        <v>9647</v>
      </c>
      <c r="C339" t="s">
        <v>5043</v>
      </c>
      <c r="D339" t="s">
        <v>8401</v>
      </c>
    </row>
    <row r="340" spans="1:4" ht="14.45" x14ac:dyDescent="0.3">
      <c r="A340">
        <v>10591</v>
      </c>
      <c r="B340" t="s">
        <v>11497</v>
      </c>
      <c r="C340" t="s">
        <v>5043</v>
      </c>
      <c r="D340" t="s">
        <v>8401</v>
      </c>
    </row>
    <row r="341" spans="1:4" ht="14.45" x14ac:dyDescent="0.3">
      <c r="A341">
        <v>10526</v>
      </c>
      <c r="B341" t="s">
        <v>9648</v>
      </c>
      <c r="C341" t="s">
        <v>5043</v>
      </c>
      <c r="D341" t="s">
        <v>8401</v>
      </c>
    </row>
    <row r="342" spans="1:4" ht="14.45" x14ac:dyDescent="0.3">
      <c r="A342">
        <v>10560</v>
      </c>
      <c r="B342" t="s">
        <v>9649</v>
      </c>
      <c r="C342" t="s">
        <v>5043</v>
      </c>
      <c r="D342" t="s">
        <v>8401</v>
      </c>
    </row>
    <row r="343" spans="1:4" ht="14.45" x14ac:dyDescent="0.3">
      <c r="A343">
        <v>10555</v>
      </c>
      <c r="B343" t="s">
        <v>9650</v>
      </c>
      <c r="C343" t="s">
        <v>5043</v>
      </c>
      <c r="D343" t="s">
        <v>8401</v>
      </c>
    </row>
    <row r="344" spans="1:4" ht="14.45" x14ac:dyDescent="0.3">
      <c r="A344">
        <v>10532</v>
      </c>
      <c r="B344" t="s">
        <v>9651</v>
      </c>
      <c r="C344" t="s">
        <v>5043</v>
      </c>
      <c r="D344" t="s">
        <v>8401</v>
      </c>
    </row>
    <row r="345" spans="1:4" ht="14.45" x14ac:dyDescent="0.3">
      <c r="A345">
        <v>10567</v>
      </c>
      <c r="B345" t="s">
        <v>11498</v>
      </c>
      <c r="C345" t="s">
        <v>5043</v>
      </c>
      <c r="D345" t="s">
        <v>8401</v>
      </c>
    </row>
    <row r="346" spans="1:4" ht="14.45" x14ac:dyDescent="0.3">
      <c r="A346">
        <v>10537</v>
      </c>
      <c r="B346" t="s">
        <v>9652</v>
      </c>
      <c r="C346" t="s">
        <v>5043</v>
      </c>
      <c r="D346" t="s">
        <v>8401</v>
      </c>
    </row>
    <row r="347" spans="1:4" ht="14.45" x14ac:dyDescent="0.3">
      <c r="A347">
        <v>10281</v>
      </c>
      <c r="B347" t="s">
        <v>9653</v>
      </c>
      <c r="C347" t="s">
        <v>5043</v>
      </c>
      <c r="D347" t="s">
        <v>8401</v>
      </c>
    </row>
    <row r="348" spans="1:4" ht="14.45" x14ac:dyDescent="0.3">
      <c r="A348">
        <v>10299</v>
      </c>
      <c r="B348" t="s">
        <v>9654</v>
      </c>
      <c r="C348" t="s">
        <v>5043</v>
      </c>
      <c r="D348" t="s">
        <v>8401</v>
      </c>
    </row>
    <row r="349" spans="1:4" ht="14.45" x14ac:dyDescent="0.3">
      <c r="A349">
        <v>10302</v>
      </c>
      <c r="B349" t="s">
        <v>9654</v>
      </c>
      <c r="C349" t="s">
        <v>5043</v>
      </c>
      <c r="D349" t="s">
        <v>8401</v>
      </c>
    </row>
    <row r="350" spans="1:4" ht="14.45" x14ac:dyDescent="0.3">
      <c r="A350">
        <v>10307</v>
      </c>
      <c r="B350" t="s">
        <v>9655</v>
      </c>
      <c r="C350" t="s">
        <v>5043</v>
      </c>
      <c r="D350" t="s">
        <v>8401</v>
      </c>
    </row>
    <row r="351" spans="1:4" ht="14.45" x14ac:dyDescent="0.3">
      <c r="A351">
        <v>10305</v>
      </c>
      <c r="B351" t="s">
        <v>9656</v>
      </c>
      <c r="C351" t="s">
        <v>5043</v>
      </c>
      <c r="D351" t="s">
        <v>8401</v>
      </c>
    </row>
    <row r="352" spans="1:4" ht="14.45" x14ac:dyDescent="0.3">
      <c r="A352">
        <v>10306</v>
      </c>
      <c r="B352" t="s">
        <v>9657</v>
      </c>
      <c r="C352" t="s">
        <v>5043</v>
      </c>
      <c r="D352" t="s">
        <v>8401</v>
      </c>
    </row>
    <row r="353" spans="1:4" ht="14.45" x14ac:dyDescent="0.3">
      <c r="A353">
        <v>10450</v>
      </c>
      <c r="B353" t="s">
        <v>9658</v>
      </c>
      <c r="C353" t="s">
        <v>5043</v>
      </c>
      <c r="D353" t="s">
        <v>8401</v>
      </c>
    </row>
    <row r="354" spans="1:4" ht="14.45" x14ac:dyDescent="0.3">
      <c r="A354">
        <v>10451</v>
      </c>
      <c r="B354" t="s">
        <v>9658</v>
      </c>
      <c r="C354" t="s">
        <v>5043</v>
      </c>
      <c r="D354" t="s">
        <v>8401</v>
      </c>
    </row>
    <row r="355" spans="1:4" ht="14.45" x14ac:dyDescent="0.3">
      <c r="A355">
        <v>10452</v>
      </c>
      <c r="B355" t="s">
        <v>9658</v>
      </c>
      <c r="C355" t="s">
        <v>5043</v>
      </c>
      <c r="D355" t="s">
        <v>8401</v>
      </c>
    </row>
    <row r="356" spans="1:4" ht="14.45" x14ac:dyDescent="0.3">
      <c r="A356">
        <v>10453</v>
      </c>
      <c r="B356" t="s">
        <v>9658</v>
      </c>
      <c r="C356" t="s">
        <v>5043</v>
      </c>
      <c r="D356" t="s">
        <v>8401</v>
      </c>
    </row>
    <row r="357" spans="1:4" ht="14.45" x14ac:dyDescent="0.3">
      <c r="A357">
        <v>10301</v>
      </c>
      <c r="B357" t="s">
        <v>9659</v>
      </c>
      <c r="C357" t="s">
        <v>5043</v>
      </c>
      <c r="D357" t="s">
        <v>8401</v>
      </c>
    </row>
    <row r="358" spans="1:4" ht="14.45" x14ac:dyDescent="0.3">
      <c r="A358">
        <v>10565</v>
      </c>
      <c r="B358" t="s">
        <v>9660</v>
      </c>
      <c r="C358" t="s">
        <v>5043</v>
      </c>
      <c r="D358" t="s">
        <v>8401</v>
      </c>
    </row>
    <row r="359" spans="1:4" ht="14.45" x14ac:dyDescent="0.3">
      <c r="A359">
        <v>5616</v>
      </c>
      <c r="B359" t="s">
        <v>8524</v>
      </c>
      <c r="C359" t="s">
        <v>5043</v>
      </c>
      <c r="D359" t="s">
        <v>8401</v>
      </c>
    </row>
    <row r="360" spans="1:4" ht="14.45" x14ac:dyDescent="0.3">
      <c r="A360">
        <v>9384</v>
      </c>
      <c r="B360" t="s">
        <v>9661</v>
      </c>
      <c r="C360" t="s">
        <v>5043</v>
      </c>
      <c r="D360" t="s">
        <v>8401</v>
      </c>
    </row>
    <row r="361" spans="1:4" ht="14.45" x14ac:dyDescent="0.3">
      <c r="A361">
        <v>5118</v>
      </c>
      <c r="B361" t="s">
        <v>9662</v>
      </c>
      <c r="C361" t="s">
        <v>5043</v>
      </c>
      <c r="D361" t="s">
        <v>8401</v>
      </c>
    </row>
    <row r="362" spans="1:4" ht="14.45" x14ac:dyDescent="0.3">
      <c r="A362">
        <v>8963</v>
      </c>
      <c r="B362" t="s">
        <v>8525</v>
      </c>
      <c r="C362" t="s">
        <v>5043</v>
      </c>
      <c r="D362" t="s">
        <v>8401</v>
      </c>
    </row>
    <row r="363" spans="1:4" ht="14.45" x14ac:dyDescent="0.3">
      <c r="A363">
        <v>5085</v>
      </c>
      <c r="B363" t="s">
        <v>8526</v>
      </c>
      <c r="C363" t="s">
        <v>5043</v>
      </c>
      <c r="D363" t="s">
        <v>8401</v>
      </c>
    </row>
    <row r="364" spans="1:4" ht="14.45" x14ac:dyDescent="0.3">
      <c r="A364">
        <v>5874</v>
      </c>
      <c r="B364" t="s">
        <v>8526</v>
      </c>
      <c r="C364" t="s">
        <v>5043</v>
      </c>
      <c r="D364" t="s">
        <v>8401</v>
      </c>
    </row>
    <row r="365" spans="1:4" ht="14.45" x14ac:dyDescent="0.3">
      <c r="A365">
        <v>6473</v>
      </c>
      <c r="B365" t="s">
        <v>8526</v>
      </c>
      <c r="C365" t="s">
        <v>5043</v>
      </c>
      <c r="D365" t="s">
        <v>8401</v>
      </c>
    </row>
    <row r="366" spans="1:4" ht="14.45" x14ac:dyDescent="0.3">
      <c r="A366">
        <v>6489</v>
      </c>
      <c r="B366" t="s">
        <v>8526</v>
      </c>
      <c r="C366" t="s">
        <v>5043</v>
      </c>
      <c r="D366" t="s">
        <v>8401</v>
      </c>
    </row>
    <row r="367" spans="1:4" ht="14.45" x14ac:dyDescent="0.3">
      <c r="A367">
        <v>7751</v>
      </c>
      <c r="B367" t="s">
        <v>8526</v>
      </c>
      <c r="C367" t="s">
        <v>5043</v>
      </c>
      <c r="D367" t="s">
        <v>8401</v>
      </c>
    </row>
    <row r="368" spans="1:4" ht="14.45" x14ac:dyDescent="0.3">
      <c r="A368">
        <v>8141</v>
      </c>
      <c r="B368" t="s">
        <v>8526</v>
      </c>
      <c r="C368" t="s">
        <v>5043</v>
      </c>
      <c r="D368" t="s">
        <v>8401</v>
      </c>
    </row>
    <row r="369" spans="1:4" ht="14.45" x14ac:dyDescent="0.3">
      <c r="A369">
        <v>8829</v>
      </c>
      <c r="B369" t="s">
        <v>8526</v>
      </c>
      <c r="C369" t="s">
        <v>5043</v>
      </c>
      <c r="D369" t="s">
        <v>8401</v>
      </c>
    </row>
    <row r="370" spans="1:4" ht="14.45" x14ac:dyDescent="0.3">
      <c r="A370">
        <v>8947</v>
      </c>
      <c r="B370" t="s">
        <v>8526</v>
      </c>
      <c r="C370" t="s">
        <v>5043</v>
      </c>
      <c r="D370" t="s">
        <v>8401</v>
      </c>
    </row>
    <row r="371" spans="1:4" ht="14.45" x14ac:dyDescent="0.3">
      <c r="A371">
        <v>9057</v>
      </c>
      <c r="B371" t="s">
        <v>8526</v>
      </c>
      <c r="C371" t="s">
        <v>5043</v>
      </c>
      <c r="D371" t="s">
        <v>8401</v>
      </c>
    </row>
    <row r="372" spans="1:4" ht="14.45" x14ac:dyDescent="0.3">
      <c r="A372">
        <v>9065</v>
      </c>
      <c r="B372" t="s">
        <v>8526</v>
      </c>
      <c r="C372" t="s">
        <v>5043</v>
      </c>
      <c r="D372" t="s">
        <v>8401</v>
      </c>
    </row>
    <row r="373" spans="1:4" ht="14.45" x14ac:dyDescent="0.3">
      <c r="A373">
        <v>9140</v>
      </c>
      <c r="B373" t="s">
        <v>8526</v>
      </c>
      <c r="C373" t="s">
        <v>5043</v>
      </c>
      <c r="D373" t="s">
        <v>8401</v>
      </c>
    </row>
    <row r="374" spans="1:4" ht="14.45" x14ac:dyDescent="0.3">
      <c r="A374">
        <v>5241</v>
      </c>
      <c r="B374" t="s">
        <v>8527</v>
      </c>
      <c r="C374" t="s">
        <v>5043</v>
      </c>
      <c r="D374" t="s">
        <v>8401</v>
      </c>
    </row>
    <row r="375" spans="1:4" ht="14.45" x14ac:dyDescent="0.3">
      <c r="A375">
        <v>7574</v>
      </c>
      <c r="B375" t="s">
        <v>8527</v>
      </c>
      <c r="C375" t="s">
        <v>5043</v>
      </c>
      <c r="D375" t="s">
        <v>8401</v>
      </c>
    </row>
    <row r="376" spans="1:4" ht="14.45" x14ac:dyDescent="0.3">
      <c r="A376">
        <v>5693</v>
      </c>
      <c r="B376" t="s">
        <v>9663</v>
      </c>
      <c r="C376" t="s">
        <v>5043</v>
      </c>
      <c r="D376" t="s">
        <v>8401</v>
      </c>
    </row>
    <row r="377" spans="1:4" ht="14.45" x14ac:dyDescent="0.3">
      <c r="A377">
        <v>10734</v>
      </c>
      <c r="B377" t="s">
        <v>11535</v>
      </c>
      <c r="C377" t="s">
        <v>5043</v>
      </c>
      <c r="D377" t="s">
        <v>8401</v>
      </c>
    </row>
    <row r="378" spans="1:4" ht="14.45" x14ac:dyDescent="0.3">
      <c r="A378">
        <v>10736</v>
      </c>
      <c r="B378" t="s">
        <v>11535</v>
      </c>
      <c r="C378" t="s">
        <v>5043</v>
      </c>
      <c r="D378" t="s">
        <v>8401</v>
      </c>
    </row>
    <row r="379" spans="1:4" ht="14.45" x14ac:dyDescent="0.3">
      <c r="A379">
        <v>10742</v>
      </c>
      <c r="B379" t="s">
        <v>11536</v>
      </c>
      <c r="C379" t="s">
        <v>5043</v>
      </c>
      <c r="D379" t="s">
        <v>8401</v>
      </c>
    </row>
    <row r="380" spans="1:4" ht="14.45" x14ac:dyDescent="0.3">
      <c r="A380">
        <v>10743</v>
      </c>
      <c r="B380" t="s">
        <v>11536</v>
      </c>
      <c r="C380" t="s">
        <v>5043</v>
      </c>
      <c r="D380" t="s">
        <v>8401</v>
      </c>
    </row>
    <row r="381" spans="1:4" ht="14.45" x14ac:dyDescent="0.3">
      <c r="A381">
        <v>10749</v>
      </c>
      <c r="B381" t="s">
        <v>11537</v>
      </c>
      <c r="C381" t="s">
        <v>5043</v>
      </c>
      <c r="D381" t="s">
        <v>8401</v>
      </c>
    </row>
    <row r="382" spans="1:4" ht="14.45" x14ac:dyDescent="0.3">
      <c r="A382">
        <v>10662</v>
      </c>
      <c r="B382" t="s">
        <v>11502</v>
      </c>
      <c r="C382" t="s">
        <v>5043</v>
      </c>
      <c r="D382" t="s">
        <v>8401</v>
      </c>
    </row>
    <row r="383" spans="1:4" ht="14.45" x14ac:dyDescent="0.3">
      <c r="A383">
        <v>10789</v>
      </c>
      <c r="B383" t="s">
        <v>11538</v>
      </c>
      <c r="C383" t="s">
        <v>5043</v>
      </c>
      <c r="D383" t="s">
        <v>8401</v>
      </c>
    </row>
    <row r="384" spans="1:4" ht="14.45" x14ac:dyDescent="0.3">
      <c r="A384">
        <v>10790</v>
      </c>
      <c r="B384" t="s">
        <v>11539</v>
      </c>
      <c r="C384" t="s">
        <v>5043</v>
      </c>
      <c r="D384" t="s">
        <v>8401</v>
      </c>
    </row>
    <row r="385" spans="1:4" ht="14.45" x14ac:dyDescent="0.3">
      <c r="A385">
        <v>10820</v>
      </c>
      <c r="B385" t="s">
        <v>11540</v>
      </c>
      <c r="C385" t="s">
        <v>5043</v>
      </c>
      <c r="D385" t="s">
        <v>8401</v>
      </c>
    </row>
    <row r="386" spans="1:4" ht="14.45" x14ac:dyDescent="0.3">
      <c r="A386">
        <v>5860</v>
      </c>
      <c r="B386" t="s">
        <v>9664</v>
      </c>
      <c r="C386" t="s">
        <v>5043</v>
      </c>
      <c r="D386" t="s">
        <v>8401</v>
      </c>
    </row>
    <row r="387" spans="1:4" ht="14.45" x14ac:dyDescent="0.3">
      <c r="A387">
        <v>8961</v>
      </c>
      <c r="B387" t="s">
        <v>9664</v>
      </c>
      <c r="C387" t="s">
        <v>5043</v>
      </c>
      <c r="D387" t="s">
        <v>8401</v>
      </c>
    </row>
    <row r="388" spans="1:4" ht="14.45" x14ac:dyDescent="0.3">
      <c r="A388">
        <v>9766</v>
      </c>
      <c r="B388" t="s">
        <v>9665</v>
      </c>
      <c r="C388" t="s">
        <v>5043</v>
      </c>
      <c r="D388" t="s">
        <v>8401</v>
      </c>
    </row>
    <row r="389" spans="1:4" ht="14.45" x14ac:dyDescent="0.3">
      <c r="A389">
        <v>10273</v>
      </c>
      <c r="B389" t="s">
        <v>9666</v>
      </c>
      <c r="C389" t="s">
        <v>5043</v>
      </c>
      <c r="D389" t="s">
        <v>8401</v>
      </c>
    </row>
    <row r="390" spans="1:4" ht="14.45" x14ac:dyDescent="0.3">
      <c r="A390">
        <v>7704</v>
      </c>
      <c r="B390" t="s">
        <v>9667</v>
      </c>
      <c r="C390" t="s">
        <v>5043</v>
      </c>
      <c r="D390" t="s">
        <v>8401</v>
      </c>
    </row>
    <row r="391" spans="1:4" ht="14.45" x14ac:dyDescent="0.3">
      <c r="A391">
        <v>5152</v>
      </c>
      <c r="B391" t="s">
        <v>9668</v>
      </c>
      <c r="C391" t="s">
        <v>5043</v>
      </c>
      <c r="D391" t="s">
        <v>8401</v>
      </c>
    </row>
    <row r="392" spans="1:4" ht="14.45" x14ac:dyDescent="0.3">
      <c r="A392">
        <v>6865</v>
      </c>
      <c r="B392" t="s">
        <v>9668</v>
      </c>
      <c r="C392" t="s">
        <v>5043</v>
      </c>
      <c r="D392" t="s">
        <v>8401</v>
      </c>
    </row>
    <row r="393" spans="1:4" ht="14.45" x14ac:dyDescent="0.3">
      <c r="A393">
        <v>8425</v>
      </c>
      <c r="B393" t="s">
        <v>9669</v>
      </c>
      <c r="C393" t="s">
        <v>5043</v>
      </c>
      <c r="D393" t="s">
        <v>8401</v>
      </c>
    </row>
    <row r="394" spans="1:4" ht="14.45" x14ac:dyDescent="0.3">
      <c r="A394">
        <v>9489</v>
      </c>
      <c r="B394" t="s">
        <v>9669</v>
      </c>
      <c r="C394" t="s">
        <v>5043</v>
      </c>
      <c r="D394" t="s">
        <v>8401</v>
      </c>
    </row>
    <row r="395" spans="1:4" ht="14.45" x14ac:dyDescent="0.3">
      <c r="A395">
        <v>5666</v>
      </c>
      <c r="B395" t="s">
        <v>9670</v>
      </c>
      <c r="C395" t="s">
        <v>5043</v>
      </c>
      <c r="D395" t="s">
        <v>8401</v>
      </c>
    </row>
    <row r="396" spans="1:4" ht="14.45" x14ac:dyDescent="0.3">
      <c r="A396">
        <v>6530</v>
      </c>
      <c r="B396" t="s">
        <v>8528</v>
      </c>
      <c r="C396" t="s">
        <v>5043</v>
      </c>
      <c r="D396" t="s">
        <v>8401</v>
      </c>
    </row>
    <row r="397" spans="1:4" ht="14.45" x14ac:dyDescent="0.3">
      <c r="A397">
        <v>5583</v>
      </c>
      <c r="B397" t="s">
        <v>8529</v>
      </c>
      <c r="C397" t="s">
        <v>5043</v>
      </c>
      <c r="D397" t="s">
        <v>8401</v>
      </c>
    </row>
    <row r="398" spans="1:4" ht="14.45" x14ac:dyDescent="0.3">
      <c r="A398">
        <v>5792</v>
      </c>
      <c r="B398" t="s">
        <v>8529</v>
      </c>
      <c r="C398" t="s">
        <v>5043</v>
      </c>
      <c r="D398" t="s">
        <v>8401</v>
      </c>
    </row>
    <row r="399" spans="1:4" ht="14.45" x14ac:dyDescent="0.3">
      <c r="A399">
        <v>5835</v>
      </c>
      <c r="B399" t="s">
        <v>8529</v>
      </c>
      <c r="C399" t="s">
        <v>5043</v>
      </c>
      <c r="D399" t="s">
        <v>8401</v>
      </c>
    </row>
    <row r="400" spans="1:4" ht="14.45" x14ac:dyDescent="0.3">
      <c r="A400">
        <v>7111</v>
      </c>
      <c r="B400" t="s">
        <v>8529</v>
      </c>
      <c r="C400" t="s">
        <v>5043</v>
      </c>
      <c r="D400" t="s">
        <v>8401</v>
      </c>
    </row>
    <row r="401" spans="1:4" ht="14.45" x14ac:dyDescent="0.3">
      <c r="A401">
        <v>5576</v>
      </c>
      <c r="B401" t="s">
        <v>8530</v>
      </c>
      <c r="C401" t="s">
        <v>5043</v>
      </c>
      <c r="D401" t="s">
        <v>8401</v>
      </c>
    </row>
    <row r="402" spans="1:4" ht="14.45" x14ac:dyDescent="0.3">
      <c r="A402">
        <v>6523</v>
      </c>
      <c r="B402" t="s">
        <v>8530</v>
      </c>
      <c r="C402" t="s">
        <v>5043</v>
      </c>
      <c r="D402" t="s">
        <v>8401</v>
      </c>
    </row>
    <row r="403" spans="1:4" ht="14.45" x14ac:dyDescent="0.3">
      <c r="A403">
        <v>6913</v>
      </c>
      <c r="B403" t="s">
        <v>8530</v>
      </c>
      <c r="C403" t="s">
        <v>5043</v>
      </c>
      <c r="D403" t="s">
        <v>8401</v>
      </c>
    </row>
    <row r="404" spans="1:4" ht="14.45" x14ac:dyDescent="0.3">
      <c r="A404">
        <v>7228</v>
      </c>
      <c r="B404" t="s">
        <v>8530</v>
      </c>
      <c r="C404" t="s">
        <v>5043</v>
      </c>
      <c r="D404" t="s">
        <v>8401</v>
      </c>
    </row>
    <row r="405" spans="1:4" ht="14.45" x14ac:dyDescent="0.3">
      <c r="A405">
        <v>7276</v>
      </c>
      <c r="B405" t="s">
        <v>9671</v>
      </c>
      <c r="C405" t="s">
        <v>5043</v>
      </c>
      <c r="D405" t="s">
        <v>8401</v>
      </c>
    </row>
    <row r="406" spans="1:4" ht="14.45" x14ac:dyDescent="0.3">
      <c r="A406">
        <v>6494</v>
      </c>
      <c r="B406" t="s">
        <v>9672</v>
      </c>
      <c r="C406" t="s">
        <v>5043</v>
      </c>
      <c r="D406" t="s">
        <v>8401</v>
      </c>
    </row>
    <row r="407" spans="1:4" ht="14.45" x14ac:dyDescent="0.3">
      <c r="A407">
        <v>5145</v>
      </c>
      <c r="B407" t="s">
        <v>8531</v>
      </c>
      <c r="C407" t="s">
        <v>5043</v>
      </c>
      <c r="D407" t="s">
        <v>8401</v>
      </c>
    </row>
    <row r="408" spans="1:4" ht="14.45" x14ac:dyDescent="0.3">
      <c r="A408">
        <v>6313</v>
      </c>
      <c r="B408" t="s">
        <v>8531</v>
      </c>
      <c r="C408" t="s">
        <v>5043</v>
      </c>
      <c r="D408" t="s">
        <v>8401</v>
      </c>
    </row>
    <row r="409" spans="1:4" ht="14.45" x14ac:dyDescent="0.3">
      <c r="A409">
        <v>6636</v>
      </c>
      <c r="B409" t="s">
        <v>8531</v>
      </c>
      <c r="C409" t="s">
        <v>5043</v>
      </c>
      <c r="D409" t="s">
        <v>8401</v>
      </c>
    </row>
    <row r="410" spans="1:4" ht="14.45" x14ac:dyDescent="0.3">
      <c r="A410">
        <v>5691</v>
      </c>
      <c r="B410" t="s">
        <v>8532</v>
      </c>
      <c r="C410" t="s">
        <v>5043</v>
      </c>
      <c r="D410" t="s">
        <v>8401</v>
      </c>
    </row>
    <row r="411" spans="1:4" ht="14.45" x14ac:dyDescent="0.3">
      <c r="A411">
        <v>5734</v>
      </c>
      <c r="B411" t="s">
        <v>8533</v>
      </c>
      <c r="C411" t="s">
        <v>5043</v>
      </c>
      <c r="D411" t="s">
        <v>8401</v>
      </c>
    </row>
    <row r="412" spans="1:4" ht="14.45" x14ac:dyDescent="0.3">
      <c r="A412">
        <v>6355</v>
      </c>
      <c r="B412" t="s">
        <v>8533</v>
      </c>
      <c r="C412" t="s">
        <v>5043</v>
      </c>
      <c r="D412" t="s">
        <v>8401</v>
      </c>
    </row>
    <row r="413" spans="1:4" ht="14.45" x14ac:dyDescent="0.3">
      <c r="A413">
        <v>5268</v>
      </c>
      <c r="B413" t="s">
        <v>9673</v>
      </c>
      <c r="C413" t="s">
        <v>5043</v>
      </c>
      <c r="D413" t="s">
        <v>8401</v>
      </c>
    </row>
    <row r="414" spans="1:4" ht="14.45" x14ac:dyDescent="0.3">
      <c r="A414">
        <v>5814</v>
      </c>
      <c r="B414" t="s">
        <v>9673</v>
      </c>
      <c r="C414" t="s">
        <v>5043</v>
      </c>
      <c r="D414" t="s">
        <v>8401</v>
      </c>
    </row>
    <row r="415" spans="1:4" ht="14.45" x14ac:dyDescent="0.3">
      <c r="A415">
        <v>5031</v>
      </c>
      <c r="B415" t="s">
        <v>8534</v>
      </c>
      <c r="C415" t="s">
        <v>5043</v>
      </c>
      <c r="D415" t="s">
        <v>8401</v>
      </c>
    </row>
    <row r="416" spans="1:4" ht="14.45" x14ac:dyDescent="0.3">
      <c r="A416">
        <v>5051</v>
      </c>
      <c r="B416" t="s">
        <v>8534</v>
      </c>
      <c r="C416" t="s">
        <v>5043</v>
      </c>
      <c r="D416" t="s">
        <v>8401</v>
      </c>
    </row>
    <row r="417" spans="1:4" ht="14.45" x14ac:dyDescent="0.3">
      <c r="A417">
        <v>5060</v>
      </c>
      <c r="B417" t="s">
        <v>8534</v>
      </c>
      <c r="C417" t="s">
        <v>5043</v>
      </c>
      <c r="D417" t="s">
        <v>8401</v>
      </c>
    </row>
    <row r="418" spans="1:4" ht="14.45" x14ac:dyDescent="0.3">
      <c r="A418">
        <v>5061</v>
      </c>
      <c r="B418" t="s">
        <v>8534</v>
      </c>
      <c r="C418" t="s">
        <v>5043</v>
      </c>
      <c r="D418" t="s">
        <v>8401</v>
      </c>
    </row>
    <row r="419" spans="1:4" ht="14.45" x14ac:dyDescent="0.3">
      <c r="A419">
        <v>5086</v>
      </c>
      <c r="B419" t="s">
        <v>8534</v>
      </c>
      <c r="C419" t="s">
        <v>5043</v>
      </c>
      <c r="D419" t="s">
        <v>8401</v>
      </c>
    </row>
    <row r="420" spans="1:4" ht="14.45" x14ac:dyDescent="0.3">
      <c r="A420">
        <v>5088</v>
      </c>
      <c r="B420" t="s">
        <v>8534</v>
      </c>
      <c r="C420" t="s">
        <v>5043</v>
      </c>
      <c r="D420" t="s">
        <v>8401</v>
      </c>
    </row>
    <row r="421" spans="1:4" ht="14.45" x14ac:dyDescent="0.3">
      <c r="A421">
        <v>5096</v>
      </c>
      <c r="B421" t="s">
        <v>8534</v>
      </c>
      <c r="C421" t="s">
        <v>5043</v>
      </c>
      <c r="D421" t="s">
        <v>8401</v>
      </c>
    </row>
    <row r="422" spans="1:4" ht="14.45" x14ac:dyDescent="0.3">
      <c r="A422">
        <v>5156</v>
      </c>
      <c r="B422" t="s">
        <v>8534</v>
      </c>
      <c r="C422" t="s">
        <v>5043</v>
      </c>
      <c r="D422" t="s">
        <v>8401</v>
      </c>
    </row>
    <row r="423" spans="1:4" ht="14.45" x14ac:dyDescent="0.3">
      <c r="A423">
        <v>5165</v>
      </c>
      <c r="B423" t="s">
        <v>8534</v>
      </c>
      <c r="C423" t="s">
        <v>5043</v>
      </c>
      <c r="D423" t="s">
        <v>8401</v>
      </c>
    </row>
    <row r="424" spans="1:4" ht="14.45" x14ac:dyDescent="0.3">
      <c r="A424">
        <v>5236</v>
      </c>
      <c r="B424" t="s">
        <v>8534</v>
      </c>
      <c r="C424" t="s">
        <v>5043</v>
      </c>
      <c r="D424" t="s">
        <v>8401</v>
      </c>
    </row>
    <row r="425" spans="1:4" ht="14.45" x14ac:dyDescent="0.3">
      <c r="A425">
        <v>5264</v>
      </c>
      <c r="B425" t="s">
        <v>8534</v>
      </c>
      <c r="C425" t="s">
        <v>5043</v>
      </c>
      <c r="D425" t="s">
        <v>8401</v>
      </c>
    </row>
    <row r="426" spans="1:4" ht="14.45" x14ac:dyDescent="0.3">
      <c r="A426">
        <v>5307</v>
      </c>
      <c r="B426" t="s">
        <v>8534</v>
      </c>
      <c r="C426" t="s">
        <v>5043</v>
      </c>
      <c r="D426" t="s">
        <v>8401</v>
      </c>
    </row>
    <row r="427" spans="1:4" ht="14.45" x14ac:dyDescent="0.3">
      <c r="A427">
        <v>5317</v>
      </c>
      <c r="B427" t="s">
        <v>8534</v>
      </c>
      <c r="C427" t="s">
        <v>5043</v>
      </c>
      <c r="D427" t="s">
        <v>8401</v>
      </c>
    </row>
    <row r="428" spans="1:4" ht="14.45" x14ac:dyDescent="0.3">
      <c r="A428">
        <v>5373</v>
      </c>
      <c r="B428" t="s">
        <v>8534</v>
      </c>
      <c r="C428" t="s">
        <v>5043</v>
      </c>
      <c r="D428" t="s">
        <v>8401</v>
      </c>
    </row>
    <row r="429" spans="1:4" ht="14.45" x14ac:dyDescent="0.3">
      <c r="A429">
        <v>5475</v>
      </c>
      <c r="B429" t="s">
        <v>8534</v>
      </c>
      <c r="C429" t="s">
        <v>5043</v>
      </c>
      <c r="D429" t="s">
        <v>8401</v>
      </c>
    </row>
    <row r="430" spans="1:4" ht="14.45" x14ac:dyDescent="0.3">
      <c r="A430">
        <v>5502</v>
      </c>
      <c r="B430" t="s">
        <v>8534</v>
      </c>
      <c r="C430" t="s">
        <v>5043</v>
      </c>
      <c r="D430" t="s">
        <v>8401</v>
      </c>
    </row>
    <row r="431" spans="1:4" ht="14.45" x14ac:dyDescent="0.3">
      <c r="A431">
        <v>5516</v>
      </c>
      <c r="B431" t="s">
        <v>8534</v>
      </c>
      <c r="C431" t="s">
        <v>5043</v>
      </c>
      <c r="D431" t="s">
        <v>8401</v>
      </c>
    </row>
    <row r="432" spans="1:4" ht="14.45" x14ac:dyDescent="0.3">
      <c r="A432">
        <v>5518</v>
      </c>
      <c r="B432" t="s">
        <v>8534</v>
      </c>
      <c r="C432" t="s">
        <v>5043</v>
      </c>
      <c r="D432" t="s">
        <v>8401</v>
      </c>
    </row>
    <row r="433" spans="1:4" ht="14.45" x14ac:dyDescent="0.3">
      <c r="A433">
        <v>5572</v>
      </c>
      <c r="B433" t="s">
        <v>8534</v>
      </c>
      <c r="C433" t="s">
        <v>5043</v>
      </c>
      <c r="D433" t="s">
        <v>8401</v>
      </c>
    </row>
    <row r="434" spans="1:4" ht="14.45" x14ac:dyDescent="0.3">
      <c r="A434">
        <v>5586</v>
      </c>
      <c r="B434" t="s">
        <v>8534</v>
      </c>
      <c r="C434" t="s">
        <v>5043</v>
      </c>
      <c r="D434" t="s">
        <v>8401</v>
      </c>
    </row>
    <row r="435" spans="1:4" ht="14.45" x14ac:dyDescent="0.3">
      <c r="A435">
        <v>5613</v>
      </c>
      <c r="B435" t="s">
        <v>8534</v>
      </c>
      <c r="C435" t="s">
        <v>5043</v>
      </c>
      <c r="D435" t="s">
        <v>8401</v>
      </c>
    </row>
    <row r="436" spans="1:4" ht="14.45" x14ac:dyDescent="0.3">
      <c r="A436">
        <v>5628</v>
      </c>
      <c r="B436" t="s">
        <v>8534</v>
      </c>
      <c r="C436" t="s">
        <v>5043</v>
      </c>
      <c r="D436" t="s">
        <v>8401</v>
      </c>
    </row>
    <row r="437" spans="1:4" ht="14.45" x14ac:dyDescent="0.3">
      <c r="A437">
        <v>5707</v>
      </c>
      <c r="B437" t="s">
        <v>8534</v>
      </c>
      <c r="C437" t="s">
        <v>5043</v>
      </c>
      <c r="D437" t="s">
        <v>8401</v>
      </c>
    </row>
    <row r="438" spans="1:4" ht="14.45" x14ac:dyDescent="0.3">
      <c r="A438">
        <v>5715</v>
      </c>
      <c r="B438" t="s">
        <v>8534</v>
      </c>
      <c r="C438" t="s">
        <v>5043</v>
      </c>
      <c r="D438" t="s">
        <v>8401</v>
      </c>
    </row>
    <row r="439" spans="1:4" ht="14.45" x14ac:dyDescent="0.3">
      <c r="A439">
        <v>5724</v>
      </c>
      <c r="B439" t="s">
        <v>8534</v>
      </c>
      <c r="C439" t="s">
        <v>5043</v>
      </c>
      <c r="D439" t="s">
        <v>8401</v>
      </c>
    </row>
    <row r="440" spans="1:4" ht="14.45" x14ac:dyDescent="0.3">
      <c r="A440">
        <v>5827</v>
      </c>
      <c r="B440" t="s">
        <v>8534</v>
      </c>
      <c r="C440" t="s">
        <v>5043</v>
      </c>
      <c r="D440" t="s">
        <v>8401</v>
      </c>
    </row>
    <row r="441" spans="1:4" ht="14.45" x14ac:dyDescent="0.3">
      <c r="A441">
        <v>5850</v>
      </c>
      <c r="B441" t="s">
        <v>8534</v>
      </c>
      <c r="C441" t="s">
        <v>5043</v>
      </c>
      <c r="D441" t="s">
        <v>8401</v>
      </c>
    </row>
    <row r="442" spans="1:4" ht="14.45" x14ac:dyDescent="0.3">
      <c r="A442">
        <v>5869</v>
      </c>
      <c r="B442" t="s">
        <v>8534</v>
      </c>
      <c r="C442" t="s">
        <v>5043</v>
      </c>
      <c r="D442" t="s">
        <v>8401</v>
      </c>
    </row>
    <row r="443" spans="1:4" ht="14.45" x14ac:dyDescent="0.3">
      <c r="A443">
        <v>5904</v>
      </c>
      <c r="B443" t="s">
        <v>8534</v>
      </c>
      <c r="C443" t="s">
        <v>5043</v>
      </c>
      <c r="D443" t="s">
        <v>8401</v>
      </c>
    </row>
    <row r="444" spans="1:4" ht="14.45" x14ac:dyDescent="0.3">
      <c r="A444">
        <v>5923</v>
      </c>
      <c r="B444" t="s">
        <v>8534</v>
      </c>
      <c r="C444" t="s">
        <v>5043</v>
      </c>
      <c r="D444" t="s">
        <v>8401</v>
      </c>
    </row>
    <row r="445" spans="1:4" ht="14.45" x14ac:dyDescent="0.3">
      <c r="A445">
        <v>5972</v>
      </c>
      <c r="B445" t="s">
        <v>8534</v>
      </c>
      <c r="C445" t="s">
        <v>5043</v>
      </c>
      <c r="D445" t="s">
        <v>8401</v>
      </c>
    </row>
    <row r="446" spans="1:4" ht="14.45" x14ac:dyDescent="0.3">
      <c r="A446">
        <v>6001</v>
      </c>
      <c r="B446" t="s">
        <v>8534</v>
      </c>
      <c r="C446" t="s">
        <v>5043</v>
      </c>
      <c r="D446" t="s">
        <v>8401</v>
      </c>
    </row>
    <row r="447" spans="1:4" ht="14.45" x14ac:dyDescent="0.3">
      <c r="A447">
        <v>6127</v>
      </c>
      <c r="B447" t="s">
        <v>8534</v>
      </c>
      <c r="C447" t="s">
        <v>5043</v>
      </c>
      <c r="D447" t="s">
        <v>8401</v>
      </c>
    </row>
    <row r="448" spans="1:4" ht="14.45" x14ac:dyDescent="0.3">
      <c r="A448">
        <v>6149</v>
      </c>
      <c r="B448" t="s">
        <v>8534</v>
      </c>
      <c r="C448" t="s">
        <v>5043</v>
      </c>
      <c r="D448" t="s">
        <v>8401</v>
      </c>
    </row>
    <row r="449" spans="1:4" ht="14.45" x14ac:dyDescent="0.3">
      <c r="A449">
        <v>6157</v>
      </c>
      <c r="B449" t="s">
        <v>8534</v>
      </c>
      <c r="C449" t="s">
        <v>5043</v>
      </c>
      <c r="D449" t="s">
        <v>8401</v>
      </c>
    </row>
    <row r="450" spans="1:4" ht="14.45" x14ac:dyDescent="0.3">
      <c r="A450">
        <v>6176</v>
      </c>
      <c r="B450" t="s">
        <v>8534</v>
      </c>
      <c r="C450" t="s">
        <v>5043</v>
      </c>
      <c r="D450" t="s">
        <v>8401</v>
      </c>
    </row>
    <row r="451" spans="1:4" ht="14.45" x14ac:dyDescent="0.3">
      <c r="A451">
        <v>6188</v>
      </c>
      <c r="B451" t="s">
        <v>8534</v>
      </c>
      <c r="C451" t="s">
        <v>5043</v>
      </c>
      <c r="D451" t="s">
        <v>8401</v>
      </c>
    </row>
    <row r="452" spans="1:4" ht="14.45" x14ac:dyDescent="0.3">
      <c r="A452">
        <v>6211</v>
      </c>
      <c r="B452" t="s">
        <v>8534</v>
      </c>
      <c r="C452" t="s">
        <v>5043</v>
      </c>
      <c r="D452" t="s">
        <v>8401</v>
      </c>
    </row>
    <row r="453" spans="1:4" ht="14.45" x14ac:dyDescent="0.3">
      <c r="A453">
        <v>6261</v>
      </c>
      <c r="B453" t="s">
        <v>8534</v>
      </c>
      <c r="C453" t="s">
        <v>5043</v>
      </c>
      <c r="D453" t="s">
        <v>8401</v>
      </c>
    </row>
    <row r="454" spans="1:4" ht="14.45" x14ac:dyDescent="0.3">
      <c r="A454">
        <v>6278</v>
      </c>
      <c r="B454" t="s">
        <v>8534</v>
      </c>
      <c r="C454" t="s">
        <v>5043</v>
      </c>
      <c r="D454" t="s">
        <v>8401</v>
      </c>
    </row>
    <row r="455" spans="1:4" ht="14.45" x14ac:dyDescent="0.3">
      <c r="A455">
        <v>6342</v>
      </c>
      <c r="B455" t="s">
        <v>8534</v>
      </c>
      <c r="C455" t="s">
        <v>5043</v>
      </c>
      <c r="D455" t="s">
        <v>8401</v>
      </c>
    </row>
    <row r="456" spans="1:4" ht="14.45" x14ac:dyDescent="0.3">
      <c r="A456">
        <v>6348</v>
      </c>
      <c r="B456" t="s">
        <v>8534</v>
      </c>
      <c r="C456" t="s">
        <v>5043</v>
      </c>
      <c r="D456" t="s">
        <v>8401</v>
      </c>
    </row>
    <row r="457" spans="1:4" ht="14.45" x14ac:dyDescent="0.3">
      <c r="A457">
        <v>6369</v>
      </c>
      <c r="B457" t="s">
        <v>8534</v>
      </c>
      <c r="C457" t="s">
        <v>5043</v>
      </c>
      <c r="D457" t="s">
        <v>8401</v>
      </c>
    </row>
    <row r="458" spans="1:4" ht="14.45" x14ac:dyDescent="0.3">
      <c r="A458">
        <v>6431</v>
      </c>
      <c r="B458" t="s">
        <v>8534</v>
      </c>
      <c r="C458" t="s">
        <v>5043</v>
      </c>
      <c r="D458" t="s">
        <v>8401</v>
      </c>
    </row>
    <row r="459" spans="1:4" ht="14.45" x14ac:dyDescent="0.3">
      <c r="A459">
        <v>6566</v>
      </c>
      <c r="B459" t="s">
        <v>8534</v>
      </c>
      <c r="C459" t="s">
        <v>5043</v>
      </c>
      <c r="D459" t="s">
        <v>8401</v>
      </c>
    </row>
    <row r="460" spans="1:4" ht="14.45" x14ac:dyDescent="0.3">
      <c r="A460">
        <v>6567</v>
      </c>
      <c r="B460" t="s">
        <v>8534</v>
      </c>
      <c r="C460" t="s">
        <v>5043</v>
      </c>
      <c r="D460" t="s">
        <v>8401</v>
      </c>
    </row>
    <row r="461" spans="1:4" ht="14.45" x14ac:dyDescent="0.3">
      <c r="A461">
        <v>6579</v>
      </c>
      <c r="B461" t="s">
        <v>8534</v>
      </c>
      <c r="C461" t="s">
        <v>5043</v>
      </c>
      <c r="D461" t="s">
        <v>8401</v>
      </c>
    </row>
    <row r="462" spans="1:4" ht="14.45" x14ac:dyDescent="0.3">
      <c r="A462">
        <v>6624</v>
      </c>
      <c r="B462" t="s">
        <v>8534</v>
      </c>
      <c r="C462" t="s">
        <v>5043</v>
      </c>
      <c r="D462" t="s">
        <v>8401</v>
      </c>
    </row>
    <row r="463" spans="1:4" ht="14.45" x14ac:dyDescent="0.3">
      <c r="A463">
        <v>6643</v>
      </c>
      <c r="B463" t="s">
        <v>8534</v>
      </c>
      <c r="C463" t="s">
        <v>5043</v>
      </c>
      <c r="D463" t="s">
        <v>8401</v>
      </c>
    </row>
    <row r="464" spans="1:4" ht="14.45" x14ac:dyDescent="0.3">
      <c r="A464">
        <v>6686</v>
      </c>
      <c r="B464" t="s">
        <v>8534</v>
      </c>
      <c r="C464" t="s">
        <v>5043</v>
      </c>
      <c r="D464" t="s">
        <v>8401</v>
      </c>
    </row>
    <row r="465" spans="1:4" ht="14.45" x14ac:dyDescent="0.3">
      <c r="A465">
        <v>6703</v>
      </c>
      <c r="B465" t="s">
        <v>8534</v>
      </c>
      <c r="C465" t="s">
        <v>5043</v>
      </c>
      <c r="D465" t="s">
        <v>8401</v>
      </c>
    </row>
    <row r="466" spans="1:4" ht="14.45" x14ac:dyDescent="0.3">
      <c r="A466">
        <v>6777</v>
      </c>
      <c r="B466" t="s">
        <v>8534</v>
      </c>
      <c r="C466" t="s">
        <v>5043</v>
      </c>
      <c r="D466" t="s">
        <v>8401</v>
      </c>
    </row>
    <row r="467" spans="1:4" ht="14.45" x14ac:dyDescent="0.3">
      <c r="A467">
        <v>6778</v>
      </c>
      <c r="B467" t="s">
        <v>8534</v>
      </c>
      <c r="C467" t="s">
        <v>5043</v>
      </c>
      <c r="D467" t="s">
        <v>8401</v>
      </c>
    </row>
    <row r="468" spans="1:4" ht="14.45" x14ac:dyDescent="0.3">
      <c r="A468">
        <v>6779</v>
      </c>
      <c r="B468" t="s">
        <v>8534</v>
      </c>
      <c r="C468" t="s">
        <v>5043</v>
      </c>
      <c r="D468" t="s">
        <v>8401</v>
      </c>
    </row>
    <row r="469" spans="1:4" ht="14.45" x14ac:dyDescent="0.3">
      <c r="A469">
        <v>6862</v>
      </c>
      <c r="B469" t="s">
        <v>8534</v>
      </c>
      <c r="C469" t="s">
        <v>5043</v>
      </c>
      <c r="D469" t="s">
        <v>8401</v>
      </c>
    </row>
    <row r="470" spans="1:4" ht="14.45" x14ac:dyDescent="0.3">
      <c r="A470">
        <v>6894</v>
      </c>
      <c r="B470" t="s">
        <v>8534</v>
      </c>
      <c r="C470" t="s">
        <v>5043</v>
      </c>
      <c r="D470" t="s">
        <v>8401</v>
      </c>
    </row>
    <row r="471" spans="1:4" ht="14.45" x14ac:dyDescent="0.3">
      <c r="A471">
        <v>6983</v>
      </c>
      <c r="B471" t="s">
        <v>8534</v>
      </c>
      <c r="C471" t="s">
        <v>5043</v>
      </c>
      <c r="D471" t="s">
        <v>8401</v>
      </c>
    </row>
    <row r="472" spans="1:4" ht="14.45" x14ac:dyDescent="0.3">
      <c r="A472">
        <v>7030</v>
      </c>
      <c r="B472" t="s">
        <v>8534</v>
      </c>
      <c r="C472" t="s">
        <v>5043</v>
      </c>
      <c r="D472" t="s">
        <v>8401</v>
      </c>
    </row>
    <row r="473" spans="1:4" ht="14.45" x14ac:dyDescent="0.3">
      <c r="A473">
        <v>7045</v>
      </c>
      <c r="B473" t="s">
        <v>8534</v>
      </c>
      <c r="C473" t="s">
        <v>5043</v>
      </c>
      <c r="D473" t="s">
        <v>8401</v>
      </c>
    </row>
    <row r="474" spans="1:4" ht="14.45" x14ac:dyDescent="0.3">
      <c r="A474">
        <v>7062</v>
      </c>
      <c r="B474" t="s">
        <v>8534</v>
      </c>
      <c r="C474" t="s">
        <v>5043</v>
      </c>
      <c r="D474" t="s">
        <v>8401</v>
      </c>
    </row>
    <row r="475" spans="1:4" ht="14.45" x14ac:dyDescent="0.3">
      <c r="A475">
        <v>7091</v>
      </c>
      <c r="B475" t="s">
        <v>8534</v>
      </c>
      <c r="C475" t="s">
        <v>5043</v>
      </c>
      <c r="D475" t="s">
        <v>8401</v>
      </c>
    </row>
    <row r="476" spans="1:4" ht="14.45" x14ac:dyDescent="0.3">
      <c r="A476">
        <v>7097</v>
      </c>
      <c r="B476" t="s">
        <v>8534</v>
      </c>
      <c r="C476" t="s">
        <v>5043</v>
      </c>
      <c r="D476" t="s">
        <v>8401</v>
      </c>
    </row>
    <row r="477" spans="1:4" ht="14.45" x14ac:dyDescent="0.3">
      <c r="A477">
        <v>7115</v>
      </c>
      <c r="B477" t="s">
        <v>8534</v>
      </c>
      <c r="C477" t="s">
        <v>5043</v>
      </c>
      <c r="D477" t="s">
        <v>8401</v>
      </c>
    </row>
    <row r="478" spans="1:4" ht="14.45" x14ac:dyDescent="0.3">
      <c r="A478">
        <v>7169</v>
      </c>
      <c r="B478" t="s">
        <v>8534</v>
      </c>
      <c r="C478" t="s">
        <v>5043</v>
      </c>
      <c r="D478" t="s">
        <v>8401</v>
      </c>
    </row>
    <row r="479" spans="1:4" ht="14.45" x14ac:dyDescent="0.3">
      <c r="A479">
        <v>7193</v>
      </c>
      <c r="B479" t="s">
        <v>8534</v>
      </c>
      <c r="C479" t="s">
        <v>5043</v>
      </c>
      <c r="D479" t="s">
        <v>8401</v>
      </c>
    </row>
    <row r="480" spans="1:4" ht="14.45" x14ac:dyDescent="0.3">
      <c r="A480">
        <v>7292</v>
      </c>
      <c r="B480" t="s">
        <v>8534</v>
      </c>
      <c r="C480" t="s">
        <v>5043</v>
      </c>
      <c r="D480" t="s">
        <v>8401</v>
      </c>
    </row>
    <row r="481" spans="1:4" ht="14.45" x14ac:dyDescent="0.3">
      <c r="A481">
        <v>7300</v>
      </c>
      <c r="B481" t="s">
        <v>8534</v>
      </c>
      <c r="C481" t="s">
        <v>5043</v>
      </c>
      <c r="D481" t="s">
        <v>8401</v>
      </c>
    </row>
    <row r="482" spans="1:4" ht="14.45" x14ac:dyDescent="0.3">
      <c r="A482">
        <v>7332</v>
      </c>
      <c r="B482" t="s">
        <v>8534</v>
      </c>
      <c r="C482" t="s">
        <v>5043</v>
      </c>
      <c r="D482" t="s">
        <v>8401</v>
      </c>
    </row>
    <row r="483" spans="1:4" ht="14.45" x14ac:dyDescent="0.3">
      <c r="A483">
        <v>7480</v>
      </c>
      <c r="B483" t="s">
        <v>8534</v>
      </c>
      <c r="C483" t="s">
        <v>5043</v>
      </c>
      <c r="D483" t="s">
        <v>8401</v>
      </c>
    </row>
    <row r="484" spans="1:4" ht="14.45" x14ac:dyDescent="0.3">
      <c r="A484">
        <v>7496</v>
      </c>
      <c r="B484" t="s">
        <v>8534</v>
      </c>
      <c r="C484" t="s">
        <v>5043</v>
      </c>
      <c r="D484" t="s">
        <v>8401</v>
      </c>
    </row>
    <row r="485" spans="1:4" ht="14.45" x14ac:dyDescent="0.3">
      <c r="A485">
        <v>7587</v>
      </c>
      <c r="B485" t="s">
        <v>8534</v>
      </c>
      <c r="C485" t="s">
        <v>5043</v>
      </c>
      <c r="D485" t="s">
        <v>8401</v>
      </c>
    </row>
    <row r="486" spans="1:4" ht="14.45" x14ac:dyDescent="0.3">
      <c r="A486">
        <v>7604</v>
      </c>
      <c r="B486" t="s">
        <v>8534</v>
      </c>
      <c r="C486" t="s">
        <v>5043</v>
      </c>
      <c r="D486" t="s">
        <v>8401</v>
      </c>
    </row>
    <row r="487" spans="1:4" ht="14.45" x14ac:dyDescent="0.3">
      <c r="A487">
        <v>7650</v>
      </c>
      <c r="B487" t="s">
        <v>8534</v>
      </c>
      <c r="C487" t="s">
        <v>5043</v>
      </c>
      <c r="D487" t="s">
        <v>8401</v>
      </c>
    </row>
    <row r="488" spans="1:4" ht="14.45" x14ac:dyDescent="0.3">
      <c r="A488">
        <v>7654</v>
      </c>
      <c r="B488" t="s">
        <v>8534</v>
      </c>
      <c r="C488" t="s">
        <v>5043</v>
      </c>
      <c r="D488" t="s">
        <v>8401</v>
      </c>
    </row>
    <row r="489" spans="1:4" ht="14.45" x14ac:dyDescent="0.3">
      <c r="A489">
        <v>7657</v>
      </c>
      <c r="B489" t="s">
        <v>8534</v>
      </c>
      <c r="C489" t="s">
        <v>5043</v>
      </c>
      <c r="D489" t="s">
        <v>8401</v>
      </c>
    </row>
    <row r="490" spans="1:4" ht="14.45" x14ac:dyDescent="0.3">
      <c r="A490">
        <v>7682</v>
      </c>
      <c r="B490" t="s">
        <v>8534</v>
      </c>
      <c r="C490" t="s">
        <v>5043</v>
      </c>
      <c r="D490" t="s">
        <v>8401</v>
      </c>
    </row>
    <row r="491" spans="1:4" ht="14.45" x14ac:dyDescent="0.3">
      <c r="A491">
        <v>7715</v>
      </c>
      <c r="B491" t="s">
        <v>8534</v>
      </c>
      <c r="C491" t="s">
        <v>5043</v>
      </c>
      <c r="D491" t="s">
        <v>8401</v>
      </c>
    </row>
    <row r="492" spans="1:4" ht="14.45" x14ac:dyDescent="0.3">
      <c r="A492">
        <v>7784</v>
      </c>
      <c r="B492" t="s">
        <v>8534</v>
      </c>
      <c r="C492" t="s">
        <v>5043</v>
      </c>
      <c r="D492" t="s">
        <v>8401</v>
      </c>
    </row>
    <row r="493" spans="1:4" ht="14.45" x14ac:dyDescent="0.3">
      <c r="A493">
        <v>7808</v>
      </c>
      <c r="B493" t="s">
        <v>8534</v>
      </c>
      <c r="C493" t="s">
        <v>5043</v>
      </c>
      <c r="D493" t="s">
        <v>8401</v>
      </c>
    </row>
    <row r="494" spans="1:4" ht="14.45" x14ac:dyDescent="0.3">
      <c r="A494">
        <v>7836</v>
      </c>
      <c r="B494" t="s">
        <v>8534</v>
      </c>
      <c r="C494" t="s">
        <v>5043</v>
      </c>
      <c r="D494" t="s">
        <v>8401</v>
      </c>
    </row>
    <row r="495" spans="1:4" ht="14.45" x14ac:dyDescent="0.3">
      <c r="A495">
        <v>7867</v>
      </c>
      <c r="B495" t="s">
        <v>8534</v>
      </c>
      <c r="C495" t="s">
        <v>5043</v>
      </c>
      <c r="D495" t="s">
        <v>8401</v>
      </c>
    </row>
    <row r="496" spans="1:4" ht="14.45" x14ac:dyDescent="0.3">
      <c r="A496">
        <v>7883</v>
      </c>
      <c r="B496" t="s">
        <v>8534</v>
      </c>
      <c r="C496" t="s">
        <v>5043</v>
      </c>
      <c r="D496" t="s">
        <v>8401</v>
      </c>
    </row>
    <row r="497" spans="1:4" ht="14.45" x14ac:dyDescent="0.3">
      <c r="A497">
        <v>7917</v>
      </c>
      <c r="B497" t="s">
        <v>8534</v>
      </c>
      <c r="C497" t="s">
        <v>5043</v>
      </c>
      <c r="D497" t="s">
        <v>8401</v>
      </c>
    </row>
    <row r="498" spans="1:4" ht="14.45" x14ac:dyDescent="0.3">
      <c r="A498">
        <v>7920</v>
      </c>
      <c r="B498" t="s">
        <v>8534</v>
      </c>
      <c r="C498" t="s">
        <v>5043</v>
      </c>
      <c r="D498" t="s">
        <v>8401</v>
      </c>
    </row>
    <row r="499" spans="1:4" ht="14.45" x14ac:dyDescent="0.3">
      <c r="A499">
        <v>7932</v>
      </c>
      <c r="B499" t="s">
        <v>8534</v>
      </c>
      <c r="C499" t="s">
        <v>5043</v>
      </c>
      <c r="D499" t="s">
        <v>8401</v>
      </c>
    </row>
    <row r="500" spans="1:4" ht="14.45" x14ac:dyDescent="0.3">
      <c r="A500">
        <v>7944</v>
      </c>
      <c r="B500" t="s">
        <v>8534</v>
      </c>
      <c r="C500" t="s">
        <v>5043</v>
      </c>
      <c r="D500" t="s">
        <v>8401</v>
      </c>
    </row>
    <row r="501" spans="1:4" ht="14.45" x14ac:dyDescent="0.3">
      <c r="A501">
        <v>7973</v>
      </c>
      <c r="B501" t="s">
        <v>8534</v>
      </c>
      <c r="C501" t="s">
        <v>5043</v>
      </c>
      <c r="D501" t="s">
        <v>8401</v>
      </c>
    </row>
    <row r="502" spans="1:4" ht="14.45" x14ac:dyDescent="0.3">
      <c r="A502">
        <v>7995</v>
      </c>
      <c r="B502" t="s">
        <v>8534</v>
      </c>
      <c r="C502" t="s">
        <v>5043</v>
      </c>
      <c r="D502" t="s">
        <v>8401</v>
      </c>
    </row>
    <row r="503" spans="1:4" ht="14.45" x14ac:dyDescent="0.3">
      <c r="A503">
        <v>8064</v>
      </c>
      <c r="B503" t="s">
        <v>8534</v>
      </c>
      <c r="C503" t="s">
        <v>5043</v>
      </c>
      <c r="D503" t="s">
        <v>8401</v>
      </c>
    </row>
    <row r="504" spans="1:4" ht="14.45" x14ac:dyDescent="0.3">
      <c r="A504">
        <v>8109</v>
      </c>
      <c r="B504" t="s">
        <v>8534</v>
      </c>
      <c r="C504" t="s">
        <v>5043</v>
      </c>
      <c r="D504" t="s">
        <v>8401</v>
      </c>
    </row>
    <row r="505" spans="1:4" ht="14.45" x14ac:dyDescent="0.3">
      <c r="A505">
        <v>8145</v>
      </c>
      <c r="B505" t="s">
        <v>8534</v>
      </c>
      <c r="C505" t="s">
        <v>5043</v>
      </c>
      <c r="D505" t="s">
        <v>8401</v>
      </c>
    </row>
    <row r="506" spans="1:4" ht="14.45" x14ac:dyDescent="0.3">
      <c r="A506">
        <v>8153</v>
      </c>
      <c r="B506" t="s">
        <v>8534</v>
      </c>
      <c r="C506" t="s">
        <v>5043</v>
      </c>
      <c r="D506" t="s">
        <v>8401</v>
      </c>
    </row>
    <row r="507" spans="1:4" ht="14.45" x14ac:dyDescent="0.3">
      <c r="A507">
        <v>8191</v>
      </c>
      <c r="B507" t="s">
        <v>8534</v>
      </c>
      <c r="C507" t="s">
        <v>5043</v>
      </c>
      <c r="D507" t="s">
        <v>8401</v>
      </c>
    </row>
    <row r="508" spans="1:4" ht="14.45" x14ac:dyDescent="0.3">
      <c r="A508">
        <v>8208</v>
      </c>
      <c r="B508" t="s">
        <v>8534</v>
      </c>
      <c r="C508" t="s">
        <v>5043</v>
      </c>
      <c r="D508" t="s">
        <v>8401</v>
      </c>
    </row>
    <row r="509" spans="1:4" ht="14.45" x14ac:dyDescent="0.3">
      <c r="A509">
        <v>8275</v>
      </c>
      <c r="B509" t="s">
        <v>8534</v>
      </c>
      <c r="C509" t="s">
        <v>5043</v>
      </c>
      <c r="D509" t="s">
        <v>8401</v>
      </c>
    </row>
    <row r="510" spans="1:4" ht="14.45" x14ac:dyDescent="0.3">
      <c r="A510">
        <v>8380</v>
      </c>
      <c r="B510" t="s">
        <v>8534</v>
      </c>
      <c r="C510" t="s">
        <v>5043</v>
      </c>
      <c r="D510" t="s">
        <v>8401</v>
      </c>
    </row>
    <row r="511" spans="1:4" ht="14.45" x14ac:dyDescent="0.3">
      <c r="A511">
        <v>8404</v>
      </c>
      <c r="B511" t="s">
        <v>8534</v>
      </c>
      <c r="C511" t="s">
        <v>5043</v>
      </c>
      <c r="D511" t="s">
        <v>8401</v>
      </c>
    </row>
    <row r="512" spans="1:4" ht="14.45" x14ac:dyDescent="0.3">
      <c r="A512">
        <v>8430</v>
      </c>
      <c r="B512" t="s">
        <v>8534</v>
      </c>
      <c r="C512" t="s">
        <v>5043</v>
      </c>
      <c r="D512" t="s">
        <v>8401</v>
      </c>
    </row>
    <row r="513" spans="1:4" ht="14.45" x14ac:dyDescent="0.3">
      <c r="A513">
        <v>8504</v>
      </c>
      <c r="B513" t="s">
        <v>8534</v>
      </c>
      <c r="C513" t="s">
        <v>5043</v>
      </c>
      <c r="D513" t="s">
        <v>8401</v>
      </c>
    </row>
    <row r="514" spans="1:4" ht="14.45" x14ac:dyDescent="0.3">
      <c r="A514">
        <v>8523</v>
      </c>
      <c r="B514" t="s">
        <v>8534</v>
      </c>
      <c r="C514" t="s">
        <v>5043</v>
      </c>
      <c r="D514" t="s">
        <v>8401</v>
      </c>
    </row>
    <row r="515" spans="1:4" ht="14.45" x14ac:dyDescent="0.3">
      <c r="A515">
        <v>8723</v>
      </c>
      <c r="B515" t="s">
        <v>8534</v>
      </c>
      <c r="C515" t="s">
        <v>5043</v>
      </c>
      <c r="D515" t="s">
        <v>8401</v>
      </c>
    </row>
    <row r="516" spans="1:4" ht="14.45" x14ac:dyDescent="0.3">
      <c r="A516">
        <v>8751</v>
      </c>
      <c r="B516" t="s">
        <v>8534</v>
      </c>
      <c r="C516" t="s">
        <v>5043</v>
      </c>
      <c r="D516" t="s">
        <v>8401</v>
      </c>
    </row>
    <row r="517" spans="1:4" ht="14.45" x14ac:dyDescent="0.3">
      <c r="A517">
        <v>8877</v>
      </c>
      <c r="B517" t="s">
        <v>8534</v>
      </c>
      <c r="C517" t="s">
        <v>5043</v>
      </c>
      <c r="D517" t="s">
        <v>8401</v>
      </c>
    </row>
    <row r="518" spans="1:4" ht="14.45" x14ac:dyDescent="0.3">
      <c r="A518">
        <v>9012</v>
      </c>
      <c r="B518" t="s">
        <v>8534</v>
      </c>
      <c r="C518" t="s">
        <v>5043</v>
      </c>
      <c r="D518" t="s">
        <v>8401</v>
      </c>
    </row>
    <row r="519" spans="1:4" ht="14.45" x14ac:dyDescent="0.3">
      <c r="A519">
        <v>9027</v>
      </c>
      <c r="B519" t="s">
        <v>8534</v>
      </c>
      <c r="C519" t="s">
        <v>5043</v>
      </c>
      <c r="D519" t="s">
        <v>8401</v>
      </c>
    </row>
    <row r="520" spans="1:4" ht="14.45" x14ac:dyDescent="0.3">
      <c r="A520">
        <v>9047</v>
      </c>
      <c r="B520" t="s">
        <v>8534</v>
      </c>
      <c r="C520" t="s">
        <v>5043</v>
      </c>
      <c r="D520" t="s">
        <v>8401</v>
      </c>
    </row>
    <row r="521" spans="1:4" ht="14.45" x14ac:dyDescent="0.3">
      <c r="A521">
        <v>9154</v>
      </c>
      <c r="B521" t="s">
        <v>8534</v>
      </c>
      <c r="C521" t="s">
        <v>5043</v>
      </c>
      <c r="D521" t="s">
        <v>8401</v>
      </c>
    </row>
    <row r="522" spans="1:4" ht="14.45" x14ac:dyDescent="0.3">
      <c r="A522">
        <v>9229</v>
      </c>
      <c r="B522" t="s">
        <v>8534</v>
      </c>
      <c r="C522" t="s">
        <v>5043</v>
      </c>
      <c r="D522" t="s">
        <v>8401</v>
      </c>
    </row>
    <row r="523" spans="1:4" ht="14.45" x14ac:dyDescent="0.3">
      <c r="A523">
        <v>9254</v>
      </c>
      <c r="B523" t="s">
        <v>8534</v>
      </c>
      <c r="C523" t="s">
        <v>5043</v>
      </c>
      <c r="D523" t="s">
        <v>8401</v>
      </c>
    </row>
    <row r="524" spans="1:4" ht="14.45" x14ac:dyDescent="0.3">
      <c r="A524">
        <v>9257</v>
      </c>
      <c r="B524" t="s">
        <v>8534</v>
      </c>
      <c r="C524" t="s">
        <v>5043</v>
      </c>
      <c r="D524" t="s">
        <v>8401</v>
      </c>
    </row>
    <row r="525" spans="1:4" ht="14.45" x14ac:dyDescent="0.3">
      <c r="A525">
        <v>9259</v>
      </c>
      <c r="B525" t="s">
        <v>8534</v>
      </c>
      <c r="C525" t="s">
        <v>5043</v>
      </c>
      <c r="D525" t="s">
        <v>8401</v>
      </c>
    </row>
    <row r="526" spans="1:4" ht="14.45" x14ac:dyDescent="0.3">
      <c r="A526">
        <v>9263</v>
      </c>
      <c r="B526" t="s">
        <v>8534</v>
      </c>
      <c r="C526" t="s">
        <v>5043</v>
      </c>
      <c r="D526" t="s">
        <v>8401</v>
      </c>
    </row>
    <row r="527" spans="1:4" ht="14.45" x14ac:dyDescent="0.3">
      <c r="A527">
        <v>9330</v>
      </c>
      <c r="B527" t="s">
        <v>8534</v>
      </c>
      <c r="C527" t="s">
        <v>5043</v>
      </c>
      <c r="D527" t="s">
        <v>8401</v>
      </c>
    </row>
    <row r="528" spans="1:4" ht="14.45" x14ac:dyDescent="0.3">
      <c r="A528">
        <v>9355</v>
      </c>
      <c r="B528" t="s">
        <v>8534</v>
      </c>
      <c r="C528" t="s">
        <v>5043</v>
      </c>
      <c r="D528" t="s">
        <v>8401</v>
      </c>
    </row>
    <row r="529" spans="1:4" ht="14.45" x14ac:dyDescent="0.3">
      <c r="A529">
        <v>9365</v>
      </c>
      <c r="B529" t="s">
        <v>8534</v>
      </c>
      <c r="C529" t="s">
        <v>5043</v>
      </c>
      <c r="D529" t="s">
        <v>8401</v>
      </c>
    </row>
    <row r="530" spans="1:4" ht="14.45" x14ac:dyDescent="0.3">
      <c r="A530">
        <v>9373</v>
      </c>
      <c r="B530" t="s">
        <v>8534</v>
      </c>
      <c r="C530" t="s">
        <v>5043</v>
      </c>
      <c r="D530" t="s">
        <v>8401</v>
      </c>
    </row>
    <row r="531" spans="1:4" ht="14.45" x14ac:dyDescent="0.3">
      <c r="A531">
        <v>9484</v>
      </c>
      <c r="B531" t="s">
        <v>8534</v>
      </c>
      <c r="C531" t="s">
        <v>5043</v>
      </c>
      <c r="D531" t="s">
        <v>8401</v>
      </c>
    </row>
    <row r="532" spans="1:4" ht="14.45" x14ac:dyDescent="0.3">
      <c r="A532">
        <v>9583</v>
      </c>
      <c r="B532" t="s">
        <v>8534</v>
      </c>
      <c r="C532" t="s">
        <v>5043</v>
      </c>
      <c r="D532" t="s">
        <v>8401</v>
      </c>
    </row>
    <row r="533" spans="1:4" ht="14.45" x14ac:dyDescent="0.3">
      <c r="A533">
        <v>9599</v>
      </c>
      <c r="B533" t="s">
        <v>8534</v>
      </c>
      <c r="C533" t="s">
        <v>5043</v>
      </c>
      <c r="D533" t="s">
        <v>8401</v>
      </c>
    </row>
    <row r="534" spans="1:4" ht="14.45" x14ac:dyDescent="0.3">
      <c r="A534">
        <v>9697</v>
      </c>
      <c r="B534" t="s">
        <v>8534</v>
      </c>
      <c r="C534" t="s">
        <v>5043</v>
      </c>
      <c r="D534" t="s">
        <v>8401</v>
      </c>
    </row>
    <row r="535" spans="1:4" ht="14.45" x14ac:dyDescent="0.3">
      <c r="A535">
        <v>9733</v>
      </c>
      <c r="B535" t="s">
        <v>8534</v>
      </c>
      <c r="C535" t="s">
        <v>5043</v>
      </c>
      <c r="D535" t="s">
        <v>8401</v>
      </c>
    </row>
    <row r="536" spans="1:4" ht="14.45" x14ac:dyDescent="0.3">
      <c r="A536">
        <v>9785</v>
      </c>
      <c r="B536" t="s">
        <v>8534</v>
      </c>
      <c r="C536" t="s">
        <v>5043</v>
      </c>
      <c r="D536" t="s">
        <v>8401</v>
      </c>
    </row>
    <row r="537" spans="1:4" ht="14.45" x14ac:dyDescent="0.3">
      <c r="A537">
        <v>9036</v>
      </c>
      <c r="B537" t="s">
        <v>8535</v>
      </c>
      <c r="C537" t="s">
        <v>5043</v>
      </c>
      <c r="D537" t="s">
        <v>8401</v>
      </c>
    </row>
    <row r="538" spans="1:4" ht="14.45" x14ac:dyDescent="0.3">
      <c r="A538">
        <v>9201</v>
      </c>
      <c r="B538" t="s">
        <v>8535</v>
      </c>
      <c r="C538" t="s">
        <v>5043</v>
      </c>
      <c r="D538" t="s">
        <v>8401</v>
      </c>
    </row>
    <row r="539" spans="1:4" ht="14.45" x14ac:dyDescent="0.3">
      <c r="A539">
        <v>5758</v>
      </c>
      <c r="B539" t="s">
        <v>9674</v>
      </c>
      <c r="C539" t="s">
        <v>5043</v>
      </c>
      <c r="D539" t="s">
        <v>8401</v>
      </c>
    </row>
    <row r="540" spans="1:4" ht="14.45" x14ac:dyDescent="0.3">
      <c r="A540">
        <v>6006</v>
      </c>
      <c r="B540" t="s">
        <v>9674</v>
      </c>
      <c r="C540" t="s">
        <v>5043</v>
      </c>
      <c r="D540" t="s">
        <v>8401</v>
      </c>
    </row>
    <row r="541" spans="1:4" ht="14.45" x14ac:dyDescent="0.3">
      <c r="A541">
        <v>8210</v>
      </c>
      <c r="B541" t="s">
        <v>9674</v>
      </c>
      <c r="C541" t="s">
        <v>5043</v>
      </c>
      <c r="D541" t="s">
        <v>8401</v>
      </c>
    </row>
    <row r="542" spans="1:4" ht="14.45" x14ac:dyDescent="0.3">
      <c r="A542">
        <v>8644</v>
      </c>
      <c r="B542" t="s">
        <v>9674</v>
      </c>
      <c r="C542" t="s">
        <v>5043</v>
      </c>
      <c r="D542" t="s">
        <v>8401</v>
      </c>
    </row>
    <row r="543" spans="1:4" ht="14.45" x14ac:dyDescent="0.3">
      <c r="A543">
        <v>7760</v>
      </c>
      <c r="B543" t="s">
        <v>8536</v>
      </c>
      <c r="C543" t="s">
        <v>5043</v>
      </c>
      <c r="D543" t="s">
        <v>8401</v>
      </c>
    </row>
    <row r="544" spans="1:4" ht="14.45" x14ac:dyDescent="0.3">
      <c r="A544">
        <v>7240</v>
      </c>
      <c r="B544" t="s">
        <v>9675</v>
      </c>
      <c r="C544" t="s">
        <v>5043</v>
      </c>
      <c r="D544" t="s">
        <v>8401</v>
      </c>
    </row>
    <row r="545" spans="1:4" ht="14.45" x14ac:dyDescent="0.3">
      <c r="A545">
        <v>5055</v>
      </c>
      <c r="B545" t="s">
        <v>8537</v>
      </c>
      <c r="C545" t="s">
        <v>5043</v>
      </c>
      <c r="D545" t="s">
        <v>8401</v>
      </c>
    </row>
    <row r="546" spans="1:4" ht="14.45" x14ac:dyDescent="0.3">
      <c r="A546">
        <v>7575</v>
      </c>
      <c r="B546" t="s">
        <v>9676</v>
      </c>
      <c r="C546" t="s">
        <v>5043</v>
      </c>
      <c r="D546" t="s">
        <v>8401</v>
      </c>
    </row>
    <row r="547" spans="1:4" ht="14.45" x14ac:dyDescent="0.3">
      <c r="A547">
        <v>10802</v>
      </c>
      <c r="B547" t="s">
        <v>11541</v>
      </c>
      <c r="C547" t="s">
        <v>5043</v>
      </c>
      <c r="D547" t="s">
        <v>8401</v>
      </c>
    </row>
    <row r="548" spans="1:4" ht="14.45" x14ac:dyDescent="0.3">
      <c r="A548">
        <v>5291</v>
      </c>
      <c r="B548" t="s">
        <v>9677</v>
      </c>
      <c r="C548" t="s">
        <v>5043</v>
      </c>
      <c r="D548" t="s">
        <v>8401</v>
      </c>
    </row>
    <row r="549" spans="1:4" ht="14.45" x14ac:dyDescent="0.3">
      <c r="A549">
        <v>7152</v>
      </c>
      <c r="B549" t="s">
        <v>9677</v>
      </c>
      <c r="C549" t="s">
        <v>5043</v>
      </c>
      <c r="D549" t="s">
        <v>8401</v>
      </c>
    </row>
    <row r="550" spans="1:4" ht="14.45" x14ac:dyDescent="0.3">
      <c r="A550">
        <v>7251</v>
      </c>
      <c r="B550" t="s">
        <v>9677</v>
      </c>
      <c r="C550" t="s">
        <v>5043</v>
      </c>
      <c r="D550" t="s">
        <v>8401</v>
      </c>
    </row>
    <row r="551" spans="1:4" ht="14.45" x14ac:dyDescent="0.3">
      <c r="A551">
        <v>7578</v>
      </c>
      <c r="B551" t="s">
        <v>9677</v>
      </c>
      <c r="C551" t="s">
        <v>5043</v>
      </c>
      <c r="D551" t="s">
        <v>8401</v>
      </c>
    </row>
    <row r="552" spans="1:4" ht="14.45" x14ac:dyDescent="0.3">
      <c r="A552">
        <v>6611</v>
      </c>
      <c r="B552" t="s">
        <v>9678</v>
      </c>
      <c r="C552" t="s">
        <v>5043</v>
      </c>
      <c r="D552" t="s">
        <v>8401</v>
      </c>
    </row>
    <row r="553" spans="1:4" ht="14.45" x14ac:dyDescent="0.3">
      <c r="A553">
        <v>7136</v>
      </c>
      <c r="B553" t="s">
        <v>9678</v>
      </c>
      <c r="C553" t="s">
        <v>5043</v>
      </c>
      <c r="D553" t="s">
        <v>8401</v>
      </c>
    </row>
    <row r="554" spans="1:4" ht="14.45" x14ac:dyDescent="0.3">
      <c r="A554">
        <v>5213</v>
      </c>
      <c r="B554" t="s">
        <v>9679</v>
      </c>
      <c r="C554" t="s">
        <v>5043</v>
      </c>
      <c r="D554" t="s">
        <v>8401</v>
      </c>
    </row>
    <row r="555" spans="1:4" ht="14.45" x14ac:dyDescent="0.3">
      <c r="A555">
        <v>5382</v>
      </c>
      <c r="B555" t="s">
        <v>9679</v>
      </c>
      <c r="C555" t="s">
        <v>5043</v>
      </c>
      <c r="D555" t="s">
        <v>8401</v>
      </c>
    </row>
    <row r="556" spans="1:4" ht="14.45" x14ac:dyDescent="0.3">
      <c r="A556">
        <v>5641</v>
      </c>
      <c r="B556" t="s">
        <v>9679</v>
      </c>
      <c r="C556" t="s">
        <v>5043</v>
      </c>
      <c r="D556" t="s">
        <v>8401</v>
      </c>
    </row>
    <row r="557" spans="1:4" ht="14.45" x14ac:dyDescent="0.3">
      <c r="A557">
        <v>5765</v>
      </c>
      <c r="B557" t="s">
        <v>9679</v>
      </c>
      <c r="C557" t="s">
        <v>5043</v>
      </c>
      <c r="D557" t="s">
        <v>8401</v>
      </c>
    </row>
    <row r="558" spans="1:4" ht="14.45" x14ac:dyDescent="0.3">
      <c r="A558">
        <v>6198</v>
      </c>
      <c r="B558" t="s">
        <v>9679</v>
      </c>
      <c r="C558" t="s">
        <v>5043</v>
      </c>
      <c r="D558" t="s">
        <v>8401</v>
      </c>
    </row>
    <row r="559" spans="1:4" ht="14.45" x14ac:dyDescent="0.3">
      <c r="A559">
        <v>6200</v>
      </c>
      <c r="B559" t="s">
        <v>9679</v>
      </c>
      <c r="C559" t="s">
        <v>5043</v>
      </c>
      <c r="D559" t="s">
        <v>8401</v>
      </c>
    </row>
    <row r="560" spans="1:4" ht="14.45" x14ac:dyDescent="0.3">
      <c r="A560">
        <v>6597</v>
      </c>
      <c r="B560" t="s">
        <v>9679</v>
      </c>
      <c r="C560" t="s">
        <v>5043</v>
      </c>
      <c r="D560" t="s">
        <v>8401</v>
      </c>
    </row>
    <row r="561" spans="1:4" ht="14.45" x14ac:dyDescent="0.3">
      <c r="A561">
        <v>7339</v>
      </c>
      <c r="B561" t="s">
        <v>9679</v>
      </c>
      <c r="C561" t="s">
        <v>5043</v>
      </c>
      <c r="D561" t="s">
        <v>8401</v>
      </c>
    </row>
    <row r="562" spans="1:4" ht="14.45" x14ac:dyDescent="0.3">
      <c r="A562">
        <v>7761</v>
      </c>
      <c r="B562" t="s">
        <v>9679</v>
      </c>
      <c r="C562" t="s">
        <v>5043</v>
      </c>
      <c r="D562" t="s">
        <v>8401</v>
      </c>
    </row>
    <row r="563" spans="1:4" ht="14.45" x14ac:dyDescent="0.3">
      <c r="A563">
        <v>8244</v>
      </c>
      <c r="B563" t="s">
        <v>9679</v>
      </c>
      <c r="C563" t="s">
        <v>5043</v>
      </c>
      <c r="D563" t="s">
        <v>8401</v>
      </c>
    </row>
    <row r="564" spans="1:4" ht="14.45" x14ac:dyDescent="0.3">
      <c r="A564">
        <v>8280</v>
      </c>
      <c r="B564" t="s">
        <v>9679</v>
      </c>
      <c r="C564" t="s">
        <v>5043</v>
      </c>
      <c r="D564" t="s">
        <v>8401</v>
      </c>
    </row>
    <row r="565" spans="1:4" ht="14.45" x14ac:dyDescent="0.3">
      <c r="A565">
        <v>8335</v>
      </c>
      <c r="B565" t="s">
        <v>9679</v>
      </c>
      <c r="C565" t="s">
        <v>5043</v>
      </c>
      <c r="D565" t="s">
        <v>8401</v>
      </c>
    </row>
    <row r="566" spans="1:4" ht="14.45" x14ac:dyDescent="0.3">
      <c r="A566">
        <v>9009</v>
      </c>
      <c r="B566" t="s">
        <v>9679</v>
      </c>
      <c r="C566" t="s">
        <v>5043</v>
      </c>
      <c r="D566" t="s">
        <v>8401</v>
      </c>
    </row>
    <row r="567" spans="1:4" ht="14.45" x14ac:dyDescent="0.3">
      <c r="A567">
        <v>9175</v>
      </c>
      <c r="B567" t="s">
        <v>9679</v>
      </c>
      <c r="C567" t="s">
        <v>5043</v>
      </c>
      <c r="D567" t="s">
        <v>8401</v>
      </c>
    </row>
    <row r="568" spans="1:4" ht="14.45" x14ac:dyDescent="0.3">
      <c r="A568">
        <v>9376</v>
      </c>
      <c r="B568" t="s">
        <v>9679</v>
      </c>
      <c r="C568" t="s">
        <v>5043</v>
      </c>
      <c r="D568" t="s">
        <v>8401</v>
      </c>
    </row>
    <row r="569" spans="1:4" ht="14.45" x14ac:dyDescent="0.3">
      <c r="A569">
        <v>9689</v>
      </c>
      <c r="B569" t="s">
        <v>9679</v>
      </c>
      <c r="C569" t="s">
        <v>5043</v>
      </c>
      <c r="D569" t="s">
        <v>8401</v>
      </c>
    </row>
    <row r="570" spans="1:4" ht="14.45" x14ac:dyDescent="0.3">
      <c r="A570">
        <v>9758</v>
      </c>
      <c r="B570" t="s">
        <v>9679</v>
      </c>
      <c r="C570" t="s">
        <v>5043</v>
      </c>
      <c r="D570" t="s">
        <v>8401</v>
      </c>
    </row>
    <row r="571" spans="1:4" ht="14.45" x14ac:dyDescent="0.3">
      <c r="A571">
        <v>9787</v>
      </c>
      <c r="B571" t="s">
        <v>9679</v>
      </c>
      <c r="C571" t="s">
        <v>5043</v>
      </c>
      <c r="D571" t="s">
        <v>8401</v>
      </c>
    </row>
    <row r="572" spans="1:4" ht="14.45" x14ac:dyDescent="0.3">
      <c r="A572">
        <v>7360</v>
      </c>
      <c r="B572" t="s">
        <v>9680</v>
      </c>
      <c r="C572" t="s">
        <v>5043</v>
      </c>
      <c r="D572" t="s">
        <v>8401</v>
      </c>
    </row>
    <row r="573" spans="1:4" ht="14.45" x14ac:dyDescent="0.3">
      <c r="A573">
        <v>9134</v>
      </c>
      <c r="B573" t="s">
        <v>9680</v>
      </c>
      <c r="C573" t="s">
        <v>5043</v>
      </c>
      <c r="D573" t="s">
        <v>8401</v>
      </c>
    </row>
    <row r="574" spans="1:4" ht="14.45" x14ac:dyDescent="0.3">
      <c r="A574">
        <v>5749</v>
      </c>
      <c r="B574" t="s">
        <v>9681</v>
      </c>
      <c r="C574" t="s">
        <v>5043</v>
      </c>
      <c r="D574" t="s">
        <v>8401</v>
      </c>
    </row>
    <row r="575" spans="1:4" ht="14.45" x14ac:dyDescent="0.3">
      <c r="A575">
        <v>6484</v>
      </c>
      <c r="B575" t="s">
        <v>9682</v>
      </c>
      <c r="C575" t="s">
        <v>5043</v>
      </c>
      <c r="D575" t="s">
        <v>8401</v>
      </c>
    </row>
    <row r="576" spans="1:4" ht="14.45" x14ac:dyDescent="0.3">
      <c r="A576">
        <v>9696</v>
      </c>
      <c r="B576" t="s">
        <v>9682</v>
      </c>
      <c r="C576" t="s">
        <v>5043</v>
      </c>
      <c r="D576" t="s">
        <v>8401</v>
      </c>
    </row>
    <row r="577" spans="1:4" ht="14.45" x14ac:dyDescent="0.3">
      <c r="A577">
        <v>5379</v>
      </c>
      <c r="B577" t="s">
        <v>9683</v>
      </c>
      <c r="C577" t="s">
        <v>5043</v>
      </c>
      <c r="D577" t="s">
        <v>8401</v>
      </c>
    </row>
    <row r="578" spans="1:4" ht="14.45" x14ac:dyDescent="0.3">
      <c r="A578">
        <v>10275</v>
      </c>
      <c r="B578" t="s">
        <v>9684</v>
      </c>
      <c r="C578" t="s">
        <v>5043</v>
      </c>
      <c r="D578" t="s">
        <v>8401</v>
      </c>
    </row>
    <row r="579" spans="1:4" ht="14.45" x14ac:dyDescent="0.3">
      <c r="A579">
        <v>8670</v>
      </c>
      <c r="B579" t="s">
        <v>9685</v>
      </c>
      <c r="C579" t="s">
        <v>5043</v>
      </c>
      <c r="D579" t="s">
        <v>8401</v>
      </c>
    </row>
    <row r="580" spans="1:4" ht="14.45" x14ac:dyDescent="0.3">
      <c r="A580">
        <v>10267</v>
      </c>
      <c r="B580" t="s">
        <v>9686</v>
      </c>
      <c r="C580" t="s">
        <v>5043</v>
      </c>
      <c r="D580" t="s">
        <v>8401</v>
      </c>
    </row>
    <row r="581" spans="1:4" ht="14.45" x14ac:dyDescent="0.3">
      <c r="A581">
        <v>10499</v>
      </c>
      <c r="B581" t="s">
        <v>9686</v>
      </c>
      <c r="C581" t="s">
        <v>5043</v>
      </c>
      <c r="D581" t="s">
        <v>8401</v>
      </c>
    </row>
    <row r="582" spans="1:4" ht="14.45" x14ac:dyDescent="0.3">
      <c r="A582">
        <v>10500</v>
      </c>
      <c r="B582" t="s">
        <v>9686</v>
      </c>
      <c r="C582" t="s">
        <v>5043</v>
      </c>
      <c r="D582" t="s">
        <v>8401</v>
      </c>
    </row>
    <row r="583" spans="1:4" ht="14.45" x14ac:dyDescent="0.3">
      <c r="A583">
        <v>5588</v>
      </c>
      <c r="B583" t="s">
        <v>8538</v>
      </c>
      <c r="C583" t="s">
        <v>5043</v>
      </c>
      <c r="D583" t="s">
        <v>8401</v>
      </c>
    </row>
    <row r="584" spans="1:4" ht="14.45" x14ac:dyDescent="0.3">
      <c r="A584">
        <v>6653</v>
      </c>
      <c r="B584" t="s">
        <v>8538</v>
      </c>
      <c r="C584" t="s">
        <v>5043</v>
      </c>
      <c r="D584" t="s">
        <v>8401</v>
      </c>
    </row>
    <row r="585" spans="1:4" ht="14.45" x14ac:dyDescent="0.3">
      <c r="A585">
        <v>7463</v>
      </c>
      <c r="B585" t="s">
        <v>9687</v>
      </c>
      <c r="C585" t="s">
        <v>5043</v>
      </c>
      <c r="D585" t="s">
        <v>8401</v>
      </c>
    </row>
    <row r="586" spans="1:4" ht="14.45" x14ac:dyDescent="0.3">
      <c r="A586">
        <v>5540</v>
      </c>
      <c r="B586" t="s">
        <v>8539</v>
      </c>
      <c r="C586" t="s">
        <v>5043</v>
      </c>
      <c r="D586" t="s">
        <v>8401</v>
      </c>
    </row>
    <row r="587" spans="1:4" ht="14.45" x14ac:dyDescent="0.3">
      <c r="A587">
        <v>10561</v>
      </c>
      <c r="B587" t="s">
        <v>9688</v>
      </c>
      <c r="C587" t="s">
        <v>5043</v>
      </c>
      <c r="D587" t="s">
        <v>8401</v>
      </c>
    </row>
    <row r="588" spans="1:4" ht="14.45" x14ac:dyDescent="0.3">
      <c r="A588">
        <v>6009</v>
      </c>
      <c r="B588" t="s">
        <v>9688</v>
      </c>
      <c r="C588" t="s">
        <v>5043</v>
      </c>
      <c r="D588" t="s">
        <v>8401</v>
      </c>
    </row>
    <row r="589" spans="1:4" ht="14.45" x14ac:dyDescent="0.3">
      <c r="A589">
        <v>8691</v>
      </c>
      <c r="B589" t="s">
        <v>9688</v>
      </c>
      <c r="C589" t="s">
        <v>5043</v>
      </c>
      <c r="D589" t="s">
        <v>8401</v>
      </c>
    </row>
    <row r="590" spans="1:4" ht="14.45" x14ac:dyDescent="0.3">
      <c r="A590">
        <v>8701</v>
      </c>
      <c r="B590" t="s">
        <v>9688</v>
      </c>
      <c r="C590" t="s">
        <v>5043</v>
      </c>
      <c r="D590" t="s">
        <v>8401</v>
      </c>
    </row>
    <row r="591" spans="1:4" ht="14.45" x14ac:dyDescent="0.3">
      <c r="A591">
        <v>8905</v>
      </c>
      <c r="B591" t="s">
        <v>9688</v>
      </c>
      <c r="C591" t="s">
        <v>5043</v>
      </c>
      <c r="D591" t="s">
        <v>8401</v>
      </c>
    </row>
    <row r="592" spans="1:4" ht="14.45" x14ac:dyDescent="0.3">
      <c r="A592">
        <v>7525</v>
      </c>
      <c r="B592" t="s">
        <v>9689</v>
      </c>
      <c r="C592" t="s">
        <v>5043</v>
      </c>
      <c r="D592" t="s">
        <v>8401</v>
      </c>
    </row>
    <row r="593" spans="1:4" ht="14.45" x14ac:dyDescent="0.3">
      <c r="A593">
        <v>7773</v>
      </c>
      <c r="B593" t="s">
        <v>9689</v>
      </c>
      <c r="C593" t="s">
        <v>5043</v>
      </c>
      <c r="D593" t="s">
        <v>8401</v>
      </c>
    </row>
    <row r="594" spans="1:4" ht="14.45" x14ac:dyDescent="0.3">
      <c r="A594">
        <v>9683</v>
      </c>
      <c r="B594" t="s">
        <v>9689</v>
      </c>
      <c r="C594" t="s">
        <v>5043</v>
      </c>
      <c r="D594" t="s">
        <v>8401</v>
      </c>
    </row>
    <row r="595" spans="1:4" ht="14.45" x14ac:dyDescent="0.3">
      <c r="A595">
        <v>10782</v>
      </c>
      <c r="B595" t="s">
        <v>11542</v>
      </c>
      <c r="C595" t="s">
        <v>5043</v>
      </c>
      <c r="D595" t="s">
        <v>8401</v>
      </c>
    </row>
    <row r="596" spans="1:4" ht="14.45" x14ac:dyDescent="0.3">
      <c r="A596">
        <v>10784</v>
      </c>
      <c r="B596" t="s">
        <v>11542</v>
      </c>
      <c r="C596" t="s">
        <v>5043</v>
      </c>
      <c r="D596" t="s">
        <v>8401</v>
      </c>
    </row>
    <row r="597" spans="1:4" ht="14.45" x14ac:dyDescent="0.3">
      <c r="A597">
        <v>10785</v>
      </c>
      <c r="B597" t="s">
        <v>11542</v>
      </c>
      <c r="C597" t="s">
        <v>5043</v>
      </c>
      <c r="D597" t="s">
        <v>8401</v>
      </c>
    </row>
    <row r="598" spans="1:4" ht="14.45" x14ac:dyDescent="0.3">
      <c r="A598">
        <v>10786</v>
      </c>
      <c r="B598" t="s">
        <v>11542</v>
      </c>
      <c r="C598" t="s">
        <v>5043</v>
      </c>
      <c r="D598" t="s">
        <v>8401</v>
      </c>
    </row>
    <row r="599" spans="1:4" ht="14.45" x14ac:dyDescent="0.3">
      <c r="A599">
        <v>10792</v>
      </c>
      <c r="B599" t="s">
        <v>11542</v>
      </c>
      <c r="C599" t="s">
        <v>5043</v>
      </c>
      <c r="D599" t="s">
        <v>8401</v>
      </c>
    </row>
    <row r="600" spans="1:4" ht="14.45" x14ac:dyDescent="0.3">
      <c r="A600">
        <v>10832</v>
      </c>
      <c r="B600" t="s">
        <v>11542</v>
      </c>
      <c r="C600" t="s">
        <v>5043</v>
      </c>
      <c r="D600" t="s">
        <v>8401</v>
      </c>
    </row>
    <row r="601" spans="1:4" ht="14.45" x14ac:dyDescent="0.3">
      <c r="A601">
        <v>10833</v>
      </c>
      <c r="B601" t="s">
        <v>11542</v>
      </c>
      <c r="C601" t="s">
        <v>5043</v>
      </c>
      <c r="D601" t="s">
        <v>8401</v>
      </c>
    </row>
    <row r="602" spans="1:4" ht="14.45" x14ac:dyDescent="0.3">
      <c r="A602">
        <v>7254</v>
      </c>
      <c r="B602" t="s">
        <v>9690</v>
      </c>
      <c r="C602" t="s">
        <v>5043</v>
      </c>
      <c r="D602" t="s">
        <v>8401</v>
      </c>
    </row>
    <row r="603" spans="1:4" ht="14.45" x14ac:dyDescent="0.3">
      <c r="A603">
        <v>5077</v>
      </c>
      <c r="B603" t="s">
        <v>9691</v>
      </c>
      <c r="C603" t="s">
        <v>5043</v>
      </c>
      <c r="D603" t="s">
        <v>8401</v>
      </c>
    </row>
    <row r="604" spans="1:4" ht="14.45" x14ac:dyDescent="0.3">
      <c r="A604">
        <v>5197</v>
      </c>
      <c r="B604" t="s">
        <v>9692</v>
      </c>
      <c r="C604" t="s">
        <v>5043</v>
      </c>
      <c r="D604" t="s">
        <v>8401</v>
      </c>
    </row>
    <row r="605" spans="1:4" ht="14.45" x14ac:dyDescent="0.3">
      <c r="A605">
        <v>6670</v>
      </c>
      <c r="B605" t="s">
        <v>9692</v>
      </c>
      <c r="C605" t="s">
        <v>5043</v>
      </c>
      <c r="D605" t="s">
        <v>8401</v>
      </c>
    </row>
    <row r="606" spans="1:4" ht="14.45" x14ac:dyDescent="0.3">
      <c r="A606">
        <v>8780</v>
      </c>
      <c r="B606" t="s">
        <v>9693</v>
      </c>
      <c r="C606" t="s">
        <v>5043</v>
      </c>
      <c r="D606" t="s">
        <v>8401</v>
      </c>
    </row>
    <row r="607" spans="1:4" ht="14.45" x14ac:dyDescent="0.3">
      <c r="A607">
        <v>5218</v>
      </c>
      <c r="B607" t="s">
        <v>9694</v>
      </c>
      <c r="C607" t="s">
        <v>5043</v>
      </c>
      <c r="D607" t="s">
        <v>8401</v>
      </c>
    </row>
    <row r="608" spans="1:4" ht="14.45" x14ac:dyDescent="0.3">
      <c r="A608">
        <v>7601</v>
      </c>
      <c r="B608" t="s">
        <v>9694</v>
      </c>
      <c r="C608" t="s">
        <v>5043</v>
      </c>
      <c r="D608" t="s">
        <v>8401</v>
      </c>
    </row>
    <row r="609" spans="1:4" ht="14.45" x14ac:dyDescent="0.3">
      <c r="A609">
        <v>7923</v>
      </c>
      <c r="B609" t="s">
        <v>9694</v>
      </c>
      <c r="C609" t="s">
        <v>5043</v>
      </c>
      <c r="D609" t="s">
        <v>8401</v>
      </c>
    </row>
    <row r="610" spans="1:4" ht="14.45" x14ac:dyDescent="0.3">
      <c r="A610">
        <v>9458</v>
      </c>
      <c r="B610" t="s">
        <v>9695</v>
      </c>
      <c r="C610" t="s">
        <v>5043</v>
      </c>
      <c r="D610" t="s">
        <v>8401</v>
      </c>
    </row>
    <row r="611" spans="1:4" ht="14.45" x14ac:dyDescent="0.3">
      <c r="A611">
        <v>5448</v>
      </c>
      <c r="B611" t="s">
        <v>8540</v>
      </c>
      <c r="C611" t="s">
        <v>5043</v>
      </c>
      <c r="D611" t="s">
        <v>8401</v>
      </c>
    </row>
    <row r="612" spans="1:4" ht="14.45" x14ac:dyDescent="0.3">
      <c r="A612">
        <v>6687</v>
      </c>
      <c r="B612" t="s">
        <v>8540</v>
      </c>
      <c r="C612" t="s">
        <v>5043</v>
      </c>
      <c r="D612" t="s">
        <v>8401</v>
      </c>
    </row>
    <row r="613" spans="1:4" ht="14.45" x14ac:dyDescent="0.3">
      <c r="A613">
        <v>7305</v>
      </c>
      <c r="B613" t="s">
        <v>8540</v>
      </c>
      <c r="C613" t="s">
        <v>5043</v>
      </c>
      <c r="D613" t="s">
        <v>8401</v>
      </c>
    </row>
    <row r="614" spans="1:4" ht="14.45" x14ac:dyDescent="0.3">
      <c r="A614">
        <v>7902</v>
      </c>
      <c r="B614" t="s">
        <v>9696</v>
      </c>
      <c r="C614" t="s">
        <v>5043</v>
      </c>
      <c r="D614" t="s">
        <v>8401</v>
      </c>
    </row>
    <row r="615" spans="1:4" ht="14.45" x14ac:dyDescent="0.3">
      <c r="A615">
        <v>5525</v>
      </c>
      <c r="B615" t="s">
        <v>9697</v>
      </c>
      <c r="C615" t="s">
        <v>5043</v>
      </c>
      <c r="D615" t="s">
        <v>8401</v>
      </c>
    </row>
    <row r="616" spans="1:4" ht="14.45" x14ac:dyDescent="0.3">
      <c r="A616">
        <v>7752</v>
      </c>
      <c r="B616" t="s">
        <v>9698</v>
      </c>
      <c r="C616" t="s">
        <v>5043</v>
      </c>
      <c r="D616" t="s">
        <v>8401</v>
      </c>
    </row>
    <row r="617" spans="1:4" ht="14.45" x14ac:dyDescent="0.3">
      <c r="A617">
        <v>9789</v>
      </c>
      <c r="B617" t="s">
        <v>9698</v>
      </c>
      <c r="C617" t="s">
        <v>5043</v>
      </c>
      <c r="D617" t="s">
        <v>8401</v>
      </c>
    </row>
    <row r="618" spans="1:4" ht="14.45" x14ac:dyDescent="0.3">
      <c r="A618">
        <v>10694</v>
      </c>
      <c r="B618" t="s">
        <v>11543</v>
      </c>
      <c r="C618" t="s">
        <v>5043</v>
      </c>
      <c r="D618" t="s">
        <v>8401</v>
      </c>
    </row>
    <row r="619" spans="1:4" ht="14.45" x14ac:dyDescent="0.3">
      <c r="A619">
        <v>9720</v>
      </c>
      <c r="B619" t="s">
        <v>9699</v>
      </c>
      <c r="C619" t="s">
        <v>5043</v>
      </c>
      <c r="D619" t="s">
        <v>8401</v>
      </c>
    </row>
    <row r="620" spans="1:4" ht="14.45" x14ac:dyDescent="0.3">
      <c r="A620">
        <v>10698</v>
      </c>
      <c r="B620" t="s">
        <v>8541</v>
      </c>
      <c r="C620" t="s">
        <v>5043</v>
      </c>
      <c r="D620" t="s">
        <v>8401</v>
      </c>
    </row>
    <row r="621" spans="1:4" ht="14.45" x14ac:dyDescent="0.3">
      <c r="A621">
        <v>5217</v>
      </c>
      <c r="B621" t="s">
        <v>8541</v>
      </c>
      <c r="C621" t="s">
        <v>5043</v>
      </c>
      <c r="D621" t="s">
        <v>8401</v>
      </c>
    </row>
    <row r="622" spans="1:4" ht="14.45" x14ac:dyDescent="0.3">
      <c r="A622">
        <v>7051</v>
      </c>
      <c r="B622" t="s">
        <v>8541</v>
      </c>
      <c r="C622" t="s">
        <v>5043</v>
      </c>
      <c r="D622" t="s">
        <v>8401</v>
      </c>
    </row>
    <row r="623" spans="1:4" ht="14.45" x14ac:dyDescent="0.3">
      <c r="A623">
        <v>10774</v>
      </c>
      <c r="B623" t="s">
        <v>9700</v>
      </c>
      <c r="C623" t="s">
        <v>5043</v>
      </c>
      <c r="D623" t="s">
        <v>8401</v>
      </c>
    </row>
    <row r="624" spans="1:4" ht="14.45" x14ac:dyDescent="0.3">
      <c r="A624">
        <v>10775</v>
      </c>
      <c r="B624" t="s">
        <v>9700</v>
      </c>
      <c r="C624" t="s">
        <v>5043</v>
      </c>
      <c r="D624" t="s">
        <v>8401</v>
      </c>
    </row>
    <row r="625" spans="1:4" ht="14.45" x14ac:dyDescent="0.3">
      <c r="A625">
        <v>10776</v>
      </c>
      <c r="B625" t="s">
        <v>9700</v>
      </c>
      <c r="C625" t="s">
        <v>5043</v>
      </c>
      <c r="D625" t="s">
        <v>8401</v>
      </c>
    </row>
    <row r="626" spans="1:4" ht="14.45" x14ac:dyDescent="0.3">
      <c r="A626">
        <v>7861</v>
      </c>
      <c r="B626" t="s">
        <v>9700</v>
      </c>
      <c r="C626" t="s">
        <v>5043</v>
      </c>
      <c r="D626" t="s">
        <v>8401</v>
      </c>
    </row>
    <row r="627" spans="1:4" ht="14.45" x14ac:dyDescent="0.3">
      <c r="A627">
        <v>8328</v>
      </c>
      <c r="B627" t="s">
        <v>9700</v>
      </c>
      <c r="C627" t="s">
        <v>5043</v>
      </c>
      <c r="D627" t="s">
        <v>8401</v>
      </c>
    </row>
    <row r="628" spans="1:4" ht="14.45" x14ac:dyDescent="0.3">
      <c r="A628">
        <v>6583</v>
      </c>
      <c r="B628" t="s">
        <v>9701</v>
      </c>
      <c r="C628" t="s">
        <v>5043</v>
      </c>
      <c r="D628" t="s">
        <v>8401</v>
      </c>
    </row>
    <row r="629" spans="1:4" ht="14.45" x14ac:dyDescent="0.3">
      <c r="A629">
        <v>5565</v>
      </c>
      <c r="B629" t="s">
        <v>8542</v>
      </c>
      <c r="C629" t="s">
        <v>5043</v>
      </c>
      <c r="D629" t="s">
        <v>8401</v>
      </c>
    </row>
    <row r="630" spans="1:4" ht="14.45" x14ac:dyDescent="0.3">
      <c r="A630">
        <v>5409</v>
      </c>
      <c r="B630" t="s">
        <v>8543</v>
      </c>
      <c r="C630" t="s">
        <v>5043</v>
      </c>
      <c r="D630" t="s">
        <v>8401</v>
      </c>
    </row>
    <row r="631" spans="1:4" ht="14.45" x14ac:dyDescent="0.3">
      <c r="A631">
        <v>7467</v>
      </c>
      <c r="B631" t="s">
        <v>8543</v>
      </c>
      <c r="C631" t="s">
        <v>5043</v>
      </c>
      <c r="D631" t="s">
        <v>8401</v>
      </c>
    </row>
    <row r="632" spans="1:4" ht="14.45" x14ac:dyDescent="0.3">
      <c r="A632">
        <v>7905</v>
      </c>
      <c r="B632" t="s">
        <v>8543</v>
      </c>
      <c r="C632" t="s">
        <v>5043</v>
      </c>
      <c r="D632" t="s">
        <v>8401</v>
      </c>
    </row>
    <row r="633" spans="1:4" ht="14.45" x14ac:dyDescent="0.3">
      <c r="A633">
        <v>9318</v>
      </c>
      <c r="B633" t="s">
        <v>8543</v>
      </c>
      <c r="C633" t="s">
        <v>5043</v>
      </c>
      <c r="D633" t="s">
        <v>8401</v>
      </c>
    </row>
    <row r="634" spans="1:4" ht="14.45" x14ac:dyDescent="0.3">
      <c r="A634">
        <v>9706</v>
      </c>
      <c r="B634" t="s">
        <v>8543</v>
      </c>
      <c r="C634" t="s">
        <v>5043</v>
      </c>
      <c r="D634" t="s">
        <v>8401</v>
      </c>
    </row>
    <row r="635" spans="1:4" ht="14.45" x14ac:dyDescent="0.3">
      <c r="A635">
        <v>5124</v>
      </c>
      <c r="B635" t="s">
        <v>8544</v>
      </c>
      <c r="C635" t="s">
        <v>5043</v>
      </c>
      <c r="D635" t="s">
        <v>8401</v>
      </c>
    </row>
    <row r="636" spans="1:4" ht="14.45" x14ac:dyDescent="0.3">
      <c r="A636">
        <v>5416</v>
      </c>
      <c r="B636" t="s">
        <v>8544</v>
      </c>
      <c r="C636" t="s">
        <v>5043</v>
      </c>
      <c r="D636" t="s">
        <v>8401</v>
      </c>
    </row>
    <row r="637" spans="1:4" ht="14.45" x14ac:dyDescent="0.3">
      <c r="A637">
        <v>6121</v>
      </c>
      <c r="B637" t="s">
        <v>8544</v>
      </c>
      <c r="C637" t="s">
        <v>5043</v>
      </c>
      <c r="D637" t="s">
        <v>8401</v>
      </c>
    </row>
    <row r="638" spans="1:4" ht="14.45" x14ac:dyDescent="0.3">
      <c r="A638">
        <v>6309</v>
      </c>
      <c r="B638" t="s">
        <v>8544</v>
      </c>
      <c r="C638" t="s">
        <v>5043</v>
      </c>
      <c r="D638" t="s">
        <v>8401</v>
      </c>
    </row>
    <row r="639" spans="1:4" ht="14.45" x14ac:dyDescent="0.3">
      <c r="A639">
        <v>6719</v>
      </c>
      <c r="B639" t="s">
        <v>8544</v>
      </c>
      <c r="C639" t="s">
        <v>5043</v>
      </c>
      <c r="D639" t="s">
        <v>8401</v>
      </c>
    </row>
    <row r="640" spans="1:4" ht="14.45" x14ac:dyDescent="0.3">
      <c r="A640">
        <v>8150</v>
      </c>
      <c r="B640" t="s">
        <v>8544</v>
      </c>
      <c r="C640" t="s">
        <v>5043</v>
      </c>
      <c r="D640" t="s">
        <v>8401</v>
      </c>
    </row>
    <row r="641" spans="1:4" ht="14.45" x14ac:dyDescent="0.3">
      <c r="A641">
        <v>8650</v>
      </c>
      <c r="B641" t="s">
        <v>8544</v>
      </c>
      <c r="C641" t="s">
        <v>5043</v>
      </c>
      <c r="D641" t="s">
        <v>8401</v>
      </c>
    </row>
    <row r="642" spans="1:4" ht="14.45" x14ac:dyDescent="0.3">
      <c r="A642">
        <v>9039</v>
      </c>
      <c r="B642" t="s">
        <v>8544</v>
      </c>
      <c r="C642" t="s">
        <v>5043</v>
      </c>
      <c r="D642" t="s">
        <v>8401</v>
      </c>
    </row>
    <row r="643" spans="1:4" ht="14.45" x14ac:dyDescent="0.3">
      <c r="A643">
        <v>9652</v>
      </c>
      <c r="B643" t="s">
        <v>8544</v>
      </c>
      <c r="C643" t="s">
        <v>5043</v>
      </c>
      <c r="D643" t="s">
        <v>8401</v>
      </c>
    </row>
    <row r="644" spans="1:4" ht="14.45" x14ac:dyDescent="0.3">
      <c r="A644">
        <v>6017</v>
      </c>
      <c r="B644" t="s">
        <v>8545</v>
      </c>
      <c r="C644" t="s">
        <v>5043</v>
      </c>
      <c r="D644" t="s">
        <v>8401</v>
      </c>
    </row>
    <row r="645" spans="1:4" ht="14.45" x14ac:dyDescent="0.3">
      <c r="A645">
        <v>8389</v>
      </c>
      <c r="B645" t="s">
        <v>8545</v>
      </c>
      <c r="C645" t="s">
        <v>5043</v>
      </c>
      <c r="D645" t="s">
        <v>8401</v>
      </c>
    </row>
    <row r="646" spans="1:4" ht="14.45" x14ac:dyDescent="0.3">
      <c r="A646">
        <v>8866</v>
      </c>
      <c r="B646" t="s">
        <v>8545</v>
      </c>
      <c r="C646" t="s">
        <v>5043</v>
      </c>
      <c r="D646" t="s">
        <v>8401</v>
      </c>
    </row>
    <row r="647" spans="1:4" ht="14.45" x14ac:dyDescent="0.3">
      <c r="A647">
        <v>6792</v>
      </c>
      <c r="B647" t="s">
        <v>8546</v>
      </c>
      <c r="C647" t="s">
        <v>5043</v>
      </c>
      <c r="D647" t="s">
        <v>8401</v>
      </c>
    </row>
    <row r="648" spans="1:4" ht="14.45" x14ac:dyDescent="0.3">
      <c r="A648">
        <v>7822</v>
      </c>
      <c r="B648" t="s">
        <v>9702</v>
      </c>
      <c r="C648" t="s">
        <v>5043</v>
      </c>
      <c r="D648" t="s">
        <v>8401</v>
      </c>
    </row>
    <row r="649" spans="1:4" ht="14.45" x14ac:dyDescent="0.3">
      <c r="A649">
        <v>6841</v>
      </c>
      <c r="B649" t="s">
        <v>8547</v>
      </c>
      <c r="C649" t="s">
        <v>5043</v>
      </c>
      <c r="D649" t="s">
        <v>8401</v>
      </c>
    </row>
    <row r="650" spans="1:4" ht="14.45" x14ac:dyDescent="0.3">
      <c r="A650">
        <v>7010</v>
      </c>
      <c r="B650" t="s">
        <v>8548</v>
      </c>
      <c r="C650" t="s">
        <v>5043</v>
      </c>
      <c r="D650" t="s">
        <v>8401</v>
      </c>
    </row>
    <row r="651" spans="1:4" ht="14.45" x14ac:dyDescent="0.3">
      <c r="A651">
        <v>7938</v>
      </c>
      <c r="B651" t="s">
        <v>8549</v>
      </c>
      <c r="C651" t="s">
        <v>5043</v>
      </c>
      <c r="D651" t="s">
        <v>8401</v>
      </c>
    </row>
    <row r="652" spans="1:4" ht="14.45" x14ac:dyDescent="0.3">
      <c r="A652">
        <v>8070</v>
      </c>
      <c r="B652" t="s">
        <v>8549</v>
      </c>
      <c r="C652" t="s">
        <v>5043</v>
      </c>
      <c r="D652" t="s">
        <v>8401</v>
      </c>
    </row>
    <row r="653" spans="1:4" ht="14.45" x14ac:dyDescent="0.3">
      <c r="A653">
        <v>5705</v>
      </c>
      <c r="B653" t="s">
        <v>8550</v>
      </c>
      <c r="C653" t="s">
        <v>5043</v>
      </c>
      <c r="D653" t="s">
        <v>8401</v>
      </c>
    </row>
    <row r="654" spans="1:4" ht="14.45" x14ac:dyDescent="0.3">
      <c r="A654">
        <v>6284</v>
      </c>
      <c r="B654" t="s">
        <v>8550</v>
      </c>
      <c r="C654" t="s">
        <v>5043</v>
      </c>
      <c r="D654" t="s">
        <v>8401</v>
      </c>
    </row>
    <row r="655" spans="1:4" ht="14.45" x14ac:dyDescent="0.3">
      <c r="A655">
        <v>6570</v>
      </c>
      <c r="B655" t="s">
        <v>8551</v>
      </c>
      <c r="C655" t="s">
        <v>5043</v>
      </c>
      <c r="D655" t="s">
        <v>8401</v>
      </c>
    </row>
    <row r="656" spans="1:4" ht="14.45" x14ac:dyDescent="0.3">
      <c r="A656">
        <v>9178</v>
      </c>
      <c r="B656" t="s">
        <v>8551</v>
      </c>
      <c r="C656" t="s">
        <v>5043</v>
      </c>
      <c r="D656" t="s">
        <v>8401</v>
      </c>
    </row>
    <row r="657" spans="1:4" ht="14.45" x14ac:dyDescent="0.3">
      <c r="A657">
        <v>7274</v>
      </c>
      <c r="B657" t="s">
        <v>8552</v>
      </c>
      <c r="C657" t="s">
        <v>5043</v>
      </c>
      <c r="D657" t="s">
        <v>8401</v>
      </c>
    </row>
    <row r="658" spans="1:4" ht="14.45" x14ac:dyDescent="0.3">
      <c r="A658">
        <v>8745</v>
      </c>
      <c r="B658" t="s">
        <v>9703</v>
      </c>
      <c r="C658" t="s">
        <v>5043</v>
      </c>
      <c r="D658" t="s">
        <v>8401</v>
      </c>
    </row>
    <row r="659" spans="1:4" ht="14.45" x14ac:dyDescent="0.3">
      <c r="A659">
        <v>8352</v>
      </c>
      <c r="B659" t="s">
        <v>9704</v>
      </c>
      <c r="C659" t="s">
        <v>5043</v>
      </c>
      <c r="D659" t="s">
        <v>8401</v>
      </c>
    </row>
    <row r="660" spans="1:4" ht="14.45" x14ac:dyDescent="0.3">
      <c r="A660">
        <v>9815</v>
      </c>
      <c r="B660" t="s">
        <v>9705</v>
      </c>
      <c r="C660" t="s">
        <v>5043</v>
      </c>
      <c r="D660" t="s">
        <v>8401</v>
      </c>
    </row>
    <row r="661" spans="1:4" ht="14.45" x14ac:dyDescent="0.3">
      <c r="A661">
        <v>9816</v>
      </c>
      <c r="B661" t="s">
        <v>9705</v>
      </c>
      <c r="C661" t="s">
        <v>5043</v>
      </c>
      <c r="D661" t="s">
        <v>8401</v>
      </c>
    </row>
    <row r="662" spans="1:4" ht="14.45" x14ac:dyDescent="0.3">
      <c r="A662">
        <v>9817</v>
      </c>
      <c r="B662" t="s">
        <v>9705</v>
      </c>
      <c r="C662" t="s">
        <v>5043</v>
      </c>
      <c r="D662" t="s">
        <v>8401</v>
      </c>
    </row>
    <row r="663" spans="1:4" ht="14.45" x14ac:dyDescent="0.3">
      <c r="A663">
        <v>7533</v>
      </c>
      <c r="B663" t="s">
        <v>9706</v>
      </c>
      <c r="C663" t="s">
        <v>5043</v>
      </c>
      <c r="D663" t="s">
        <v>8401</v>
      </c>
    </row>
    <row r="664" spans="1:4" ht="14.45" x14ac:dyDescent="0.3">
      <c r="A664">
        <v>5364</v>
      </c>
      <c r="B664" t="s">
        <v>8553</v>
      </c>
      <c r="C664" t="s">
        <v>5043</v>
      </c>
      <c r="D664" t="s">
        <v>8401</v>
      </c>
    </row>
    <row r="665" spans="1:4" ht="14.45" x14ac:dyDescent="0.3">
      <c r="A665">
        <v>6347</v>
      </c>
      <c r="B665" t="s">
        <v>8553</v>
      </c>
      <c r="C665" t="s">
        <v>5043</v>
      </c>
      <c r="D665" t="s">
        <v>8401</v>
      </c>
    </row>
    <row r="666" spans="1:4" ht="14.45" x14ac:dyDescent="0.3">
      <c r="A666">
        <v>9729</v>
      </c>
      <c r="B666" t="s">
        <v>8553</v>
      </c>
      <c r="C666" t="s">
        <v>5043</v>
      </c>
      <c r="D666" t="s">
        <v>8401</v>
      </c>
    </row>
    <row r="667" spans="1:4" ht="14.45" x14ac:dyDescent="0.3">
      <c r="A667">
        <v>10258</v>
      </c>
      <c r="B667" t="s">
        <v>8554</v>
      </c>
      <c r="C667" t="s">
        <v>5043</v>
      </c>
      <c r="D667" t="s">
        <v>8401</v>
      </c>
    </row>
    <row r="668" spans="1:4" ht="14.45" x14ac:dyDescent="0.3">
      <c r="A668">
        <v>10655</v>
      </c>
      <c r="B668" t="s">
        <v>8554</v>
      </c>
      <c r="C668" t="s">
        <v>5043</v>
      </c>
      <c r="D668" t="s">
        <v>8401</v>
      </c>
    </row>
    <row r="669" spans="1:4" ht="14.45" x14ac:dyDescent="0.3">
      <c r="A669">
        <v>7165</v>
      </c>
      <c r="B669" t="s">
        <v>8554</v>
      </c>
      <c r="C669" t="s">
        <v>5043</v>
      </c>
      <c r="D669" t="s">
        <v>8401</v>
      </c>
    </row>
    <row r="670" spans="1:4" ht="14.45" x14ac:dyDescent="0.3">
      <c r="A670">
        <v>8773</v>
      </c>
      <c r="B670" t="s">
        <v>8554</v>
      </c>
      <c r="C670" t="s">
        <v>5043</v>
      </c>
      <c r="D670" t="s">
        <v>8401</v>
      </c>
    </row>
    <row r="671" spans="1:4" ht="14.45" x14ac:dyDescent="0.3">
      <c r="A671">
        <v>5736</v>
      </c>
      <c r="B671" t="s">
        <v>8555</v>
      </c>
      <c r="C671" t="s">
        <v>5043</v>
      </c>
      <c r="D671" t="s">
        <v>8401</v>
      </c>
    </row>
    <row r="672" spans="1:4" ht="14.45" x14ac:dyDescent="0.3">
      <c r="A672">
        <v>7161</v>
      </c>
      <c r="B672" t="s">
        <v>8555</v>
      </c>
      <c r="C672" t="s">
        <v>5043</v>
      </c>
      <c r="D672" t="s">
        <v>8401</v>
      </c>
    </row>
    <row r="673" spans="1:4" ht="14.45" x14ac:dyDescent="0.3">
      <c r="A673">
        <v>6952</v>
      </c>
      <c r="B673" t="s">
        <v>8556</v>
      </c>
      <c r="C673" t="s">
        <v>5043</v>
      </c>
      <c r="D673" t="s">
        <v>8401</v>
      </c>
    </row>
    <row r="674" spans="1:4" ht="14.45" x14ac:dyDescent="0.3">
      <c r="A674">
        <v>7770</v>
      </c>
      <c r="B674" t="s">
        <v>8556</v>
      </c>
      <c r="C674" t="s">
        <v>5043</v>
      </c>
      <c r="D674" t="s">
        <v>8401</v>
      </c>
    </row>
    <row r="675" spans="1:4" ht="14.45" x14ac:dyDescent="0.3">
      <c r="A675">
        <v>7882</v>
      </c>
      <c r="B675" t="s">
        <v>8556</v>
      </c>
      <c r="C675" t="s">
        <v>5043</v>
      </c>
      <c r="D675" t="s">
        <v>8401</v>
      </c>
    </row>
    <row r="676" spans="1:4" ht="14.45" x14ac:dyDescent="0.3">
      <c r="A676">
        <v>7983</v>
      </c>
      <c r="B676" t="s">
        <v>8556</v>
      </c>
      <c r="C676" t="s">
        <v>5043</v>
      </c>
      <c r="D676" t="s">
        <v>8401</v>
      </c>
    </row>
    <row r="677" spans="1:4" ht="14.45" x14ac:dyDescent="0.3">
      <c r="A677">
        <v>8627</v>
      </c>
      <c r="B677" t="s">
        <v>8556</v>
      </c>
      <c r="C677" t="s">
        <v>5043</v>
      </c>
      <c r="D677" t="s">
        <v>8401</v>
      </c>
    </row>
    <row r="678" spans="1:4" ht="14.45" x14ac:dyDescent="0.3">
      <c r="A678">
        <v>7361</v>
      </c>
      <c r="B678" t="s">
        <v>8557</v>
      </c>
      <c r="C678" t="s">
        <v>5043</v>
      </c>
      <c r="D678" t="s">
        <v>8401</v>
      </c>
    </row>
    <row r="679" spans="1:4" ht="14.45" x14ac:dyDescent="0.3">
      <c r="A679">
        <v>6509</v>
      </c>
      <c r="B679" t="s">
        <v>8558</v>
      </c>
      <c r="C679" t="s">
        <v>5043</v>
      </c>
      <c r="D679" t="s">
        <v>8401</v>
      </c>
    </row>
    <row r="680" spans="1:4" ht="14.45" x14ac:dyDescent="0.3">
      <c r="A680">
        <v>5033</v>
      </c>
      <c r="B680" t="s">
        <v>8559</v>
      </c>
      <c r="C680" t="s">
        <v>5043</v>
      </c>
      <c r="D680" t="s">
        <v>8401</v>
      </c>
    </row>
    <row r="681" spans="1:4" ht="14.45" x14ac:dyDescent="0.3">
      <c r="A681">
        <v>5082</v>
      </c>
      <c r="B681" t="s">
        <v>8559</v>
      </c>
      <c r="C681" t="s">
        <v>5043</v>
      </c>
      <c r="D681" t="s">
        <v>8401</v>
      </c>
    </row>
    <row r="682" spans="1:4" ht="14.45" x14ac:dyDescent="0.3">
      <c r="A682">
        <v>5120</v>
      </c>
      <c r="B682" t="s">
        <v>8559</v>
      </c>
      <c r="C682" t="s">
        <v>5043</v>
      </c>
      <c r="D682" t="s">
        <v>8401</v>
      </c>
    </row>
    <row r="683" spans="1:4" ht="14.45" x14ac:dyDescent="0.3">
      <c r="A683">
        <v>5637</v>
      </c>
      <c r="B683" t="s">
        <v>8559</v>
      </c>
      <c r="C683" t="s">
        <v>5043</v>
      </c>
      <c r="D683" t="s">
        <v>8401</v>
      </c>
    </row>
    <row r="684" spans="1:4" ht="14.45" x14ac:dyDescent="0.3">
      <c r="A684">
        <v>5774</v>
      </c>
      <c r="B684" t="s">
        <v>8559</v>
      </c>
      <c r="C684" t="s">
        <v>5043</v>
      </c>
      <c r="D684" t="s">
        <v>8401</v>
      </c>
    </row>
    <row r="685" spans="1:4" ht="14.45" x14ac:dyDescent="0.3">
      <c r="A685">
        <v>5847</v>
      </c>
      <c r="B685" t="s">
        <v>8559</v>
      </c>
      <c r="C685" t="s">
        <v>5043</v>
      </c>
      <c r="D685" t="s">
        <v>8401</v>
      </c>
    </row>
    <row r="686" spans="1:4" ht="14.45" x14ac:dyDescent="0.3">
      <c r="A686">
        <v>6005</v>
      </c>
      <c r="B686" t="s">
        <v>8559</v>
      </c>
      <c r="C686" t="s">
        <v>5043</v>
      </c>
      <c r="D686" t="s">
        <v>8401</v>
      </c>
    </row>
    <row r="687" spans="1:4" ht="14.45" x14ac:dyDescent="0.3">
      <c r="A687">
        <v>6183</v>
      </c>
      <c r="B687" t="s">
        <v>8559</v>
      </c>
      <c r="C687" t="s">
        <v>5043</v>
      </c>
      <c r="D687" t="s">
        <v>8401</v>
      </c>
    </row>
    <row r="688" spans="1:4" ht="14.45" x14ac:dyDescent="0.3">
      <c r="A688">
        <v>6242</v>
      </c>
      <c r="B688" t="s">
        <v>8559</v>
      </c>
      <c r="C688" t="s">
        <v>5043</v>
      </c>
      <c r="D688" t="s">
        <v>8401</v>
      </c>
    </row>
    <row r="689" spans="1:4" ht="14.45" x14ac:dyDescent="0.3">
      <c r="A689">
        <v>6361</v>
      </c>
      <c r="B689" t="s">
        <v>8559</v>
      </c>
      <c r="C689" t="s">
        <v>5043</v>
      </c>
      <c r="D689" t="s">
        <v>8401</v>
      </c>
    </row>
    <row r="690" spans="1:4" ht="14.45" x14ac:dyDescent="0.3">
      <c r="A690">
        <v>6808</v>
      </c>
      <c r="B690" t="s">
        <v>8559</v>
      </c>
      <c r="C690" t="s">
        <v>5043</v>
      </c>
      <c r="D690" t="s">
        <v>8401</v>
      </c>
    </row>
    <row r="691" spans="1:4" ht="14.45" x14ac:dyDescent="0.3">
      <c r="A691">
        <v>6838</v>
      </c>
      <c r="B691" t="s">
        <v>8559</v>
      </c>
      <c r="C691" t="s">
        <v>5043</v>
      </c>
      <c r="D691" t="s">
        <v>8401</v>
      </c>
    </row>
    <row r="692" spans="1:4" ht="14.45" x14ac:dyDescent="0.3">
      <c r="A692">
        <v>6976</v>
      </c>
      <c r="B692" t="s">
        <v>8559</v>
      </c>
      <c r="C692" t="s">
        <v>5043</v>
      </c>
      <c r="D692" t="s">
        <v>8401</v>
      </c>
    </row>
    <row r="693" spans="1:4" ht="14.45" x14ac:dyDescent="0.3">
      <c r="A693">
        <v>7018</v>
      </c>
      <c r="B693" t="s">
        <v>8559</v>
      </c>
      <c r="C693" t="s">
        <v>5043</v>
      </c>
      <c r="D693" t="s">
        <v>8401</v>
      </c>
    </row>
    <row r="694" spans="1:4" ht="14.45" x14ac:dyDescent="0.3">
      <c r="A694">
        <v>7301</v>
      </c>
      <c r="B694" t="s">
        <v>8559</v>
      </c>
      <c r="C694" t="s">
        <v>5043</v>
      </c>
      <c r="D694" t="s">
        <v>8401</v>
      </c>
    </row>
    <row r="695" spans="1:4" ht="14.45" x14ac:dyDescent="0.3">
      <c r="A695">
        <v>7322</v>
      </c>
      <c r="B695" t="s">
        <v>8559</v>
      </c>
      <c r="C695" t="s">
        <v>5043</v>
      </c>
      <c r="D695" t="s">
        <v>8401</v>
      </c>
    </row>
    <row r="696" spans="1:4" ht="14.45" x14ac:dyDescent="0.3">
      <c r="A696">
        <v>7401</v>
      </c>
      <c r="B696" t="s">
        <v>8559</v>
      </c>
      <c r="C696" t="s">
        <v>5043</v>
      </c>
      <c r="D696" t="s">
        <v>8401</v>
      </c>
    </row>
    <row r="697" spans="1:4" ht="14.45" x14ac:dyDescent="0.3">
      <c r="A697">
        <v>7418</v>
      </c>
      <c r="B697" t="s">
        <v>8559</v>
      </c>
      <c r="C697" t="s">
        <v>5043</v>
      </c>
      <c r="D697" t="s">
        <v>8401</v>
      </c>
    </row>
    <row r="698" spans="1:4" ht="14.45" x14ac:dyDescent="0.3">
      <c r="A698">
        <v>7491</v>
      </c>
      <c r="B698" t="s">
        <v>8559</v>
      </c>
      <c r="C698" t="s">
        <v>5043</v>
      </c>
      <c r="D698" t="s">
        <v>8401</v>
      </c>
    </row>
    <row r="699" spans="1:4" ht="14.45" x14ac:dyDescent="0.3">
      <c r="A699">
        <v>7858</v>
      </c>
      <c r="B699" t="s">
        <v>8559</v>
      </c>
      <c r="C699" t="s">
        <v>5043</v>
      </c>
      <c r="D699" t="s">
        <v>8401</v>
      </c>
    </row>
    <row r="700" spans="1:4" ht="14.45" x14ac:dyDescent="0.3">
      <c r="A700">
        <v>7874</v>
      </c>
      <c r="B700" t="s">
        <v>8559</v>
      </c>
      <c r="C700" t="s">
        <v>5043</v>
      </c>
      <c r="D700" t="s">
        <v>8401</v>
      </c>
    </row>
    <row r="701" spans="1:4" ht="14.45" x14ac:dyDescent="0.3">
      <c r="A701">
        <v>7889</v>
      </c>
      <c r="B701" t="s">
        <v>8559</v>
      </c>
      <c r="C701" t="s">
        <v>5043</v>
      </c>
      <c r="D701" t="s">
        <v>8401</v>
      </c>
    </row>
    <row r="702" spans="1:4" ht="14.45" x14ac:dyDescent="0.3">
      <c r="A702">
        <v>8037</v>
      </c>
      <c r="B702" t="s">
        <v>8559</v>
      </c>
      <c r="C702" t="s">
        <v>5043</v>
      </c>
      <c r="D702" t="s">
        <v>8401</v>
      </c>
    </row>
    <row r="703" spans="1:4" ht="14.45" x14ac:dyDescent="0.3">
      <c r="A703">
        <v>8048</v>
      </c>
      <c r="B703" t="s">
        <v>8559</v>
      </c>
      <c r="C703" t="s">
        <v>5043</v>
      </c>
      <c r="D703" t="s">
        <v>8401</v>
      </c>
    </row>
    <row r="704" spans="1:4" ht="14.45" x14ac:dyDescent="0.3">
      <c r="A704">
        <v>8058</v>
      </c>
      <c r="B704" t="s">
        <v>8559</v>
      </c>
      <c r="C704" t="s">
        <v>5043</v>
      </c>
      <c r="D704" t="s">
        <v>8401</v>
      </c>
    </row>
    <row r="705" spans="1:4" ht="14.45" x14ac:dyDescent="0.3">
      <c r="A705">
        <v>8111</v>
      </c>
      <c r="B705" t="s">
        <v>8559</v>
      </c>
      <c r="C705" t="s">
        <v>5043</v>
      </c>
      <c r="D705" t="s">
        <v>8401</v>
      </c>
    </row>
    <row r="706" spans="1:4" ht="14.45" x14ac:dyDescent="0.3">
      <c r="A706">
        <v>8271</v>
      </c>
      <c r="B706" t="s">
        <v>8559</v>
      </c>
      <c r="C706" t="s">
        <v>5043</v>
      </c>
      <c r="D706" t="s">
        <v>8401</v>
      </c>
    </row>
    <row r="707" spans="1:4" ht="14.45" x14ac:dyDescent="0.3">
      <c r="A707">
        <v>8475</v>
      </c>
      <c r="B707" t="s">
        <v>8559</v>
      </c>
      <c r="C707" t="s">
        <v>5043</v>
      </c>
      <c r="D707" t="s">
        <v>8401</v>
      </c>
    </row>
    <row r="708" spans="1:4" ht="14.45" x14ac:dyDescent="0.3">
      <c r="A708">
        <v>8479</v>
      </c>
      <c r="B708" t="s">
        <v>8559</v>
      </c>
      <c r="C708" t="s">
        <v>5043</v>
      </c>
      <c r="D708" t="s">
        <v>8401</v>
      </c>
    </row>
    <row r="709" spans="1:4" ht="14.45" x14ac:dyDescent="0.3">
      <c r="A709">
        <v>8612</v>
      </c>
      <c r="B709" t="s">
        <v>8559</v>
      </c>
      <c r="C709" t="s">
        <v>5043</v>
      </c>
      <c r="D709" t="s">
        <v>8401</v>
      </c>
    </row>
    <row r="710" spans="1:4" ht="14.45" x14ac:dyDescent="0.3">
      <c r="A710">
        <v>8737</v>
      </c>
      <c r="B710" t="s">
        <v>8559</v>
      </c>
      <c r="C710" t="s">
        <v>5043</v>
      </c>
      <c r="D710" t="s">
        <v>8401</v>
      </c>
    </row>
    <row r="711" spans="1:4" ht="14.45" x14ac:dyDescent="0.3">
      <c r="A711">
        <v>8789</v>
      </c>
      <c r="B711" t="s">
        <v>8559</v>
      </c>
      <c r="C711" t="s">
        <v>5043</v>
      </c>
      <c r="D711" t="s">
        <v>8401</v>
      </c>
    </row>
    <row r="712" spans="1:4" ht="14.45" x14ac:dyDescent="0.3">
      <c r="A712">
        <v>8859</v>
      </c>
      <c r="B712" t="s">
        <v>8559</v>
      </c>
      <c r="C712" t="s">
        <v>5043</v>
      </c>
      <c r="D712" t="s">
        <v>8401</v>
      </c>
    </row>
    <row r="713" spans="1:4" ht="14.45" x14ac:dyDescent="0.3">
      <c r="A713">
        <v>8904</v>
      </c>
      <c r="B713" t="s">
        <v>8559</v>
      </c>
      <c r="C713" t="s">
        <v>5043</v>
      </c>
      <c r="D713" t="s">
        <v>8401</v>
      </c>
    </row>
    <row r="714" spans="1:4" ht="14.45" x14ac:dyDescent="0.3">
      <c r="A714">
        <v>8915</v>
      </c>
      <c r="B714" t="s">
        <v>8559</v>
      </c>
      <c r="C714" t="s">
        <v>5043</v>
      </c>
      <c r="D714" t="s">
        <v>8401</v>
      </c>
    </row>
    <row r="715" spans="1:4" ht="14.45" x14ac:dyDescent="0.3">
      <c r="A715">
        <v>9208</v>
      </c>
      <c r="B715" t="s">
        <v>8559</v>
      </c>
      <c r="C715" t="s">
        <v>5043</v>
      </c>
      <c r="D715" t="s">
        <v>8401</v>
      </c>
    </row>
    <row r="716" spans="1:4" ht="14.45" x14ac:dyDescent="0.3">
      <c r="A716">
        <v>9468</v>
      </c>
      <c r="B716" t="s">
        <v>8559</v>
      </c>
      <c r="C716" t="s">
        <v>5043</v>
      </c>
      <c r="D716" t="s">
        <v>8401</v>
      </c>
    </row>
    <row r="717" spans="1:4" ht="14.45" x14ac:dyDescent="0.3">
      <c r="A717">
        <v>9595</v>
      </c>
      <c r="B717" t="s">
        <v>8559</v>
      </c>
      <c r="C717" t="s">
        <v>5043</v>
      </c>
      <c r="D717" t="s">
        <v>8401</v>
      </c>
    </row>
    <row r="718" spans="1:4" ht="14.45" x14ac:dyDescent="0.3">
      <c r="A718">
        <v>9694</v>
      </c>
      <c r="B718" t="s">
        <v>8559</v>
      </c>
      <c r="C718" t="s">
        <v>5043</v>
      </c>
      <c r="D718" t="s">
        <v>8401</v>
      </c>
    </row>
    <row r="719" spans="1:4" ht="14.45" x14ac:dyDescent="0.3">
      <c r="A719">
        <v>9724</v>
      </c>
      <c r="B719" t="s">
        <v>8559</v>
      </c>
      <c r="C719" t="s">
        <v>5043</v>
      </c>
      <c r="D719" t="s">
        <v>8401</v>
      </c>
    </row>
    <row r="720" spans="1:4" ht="14.45" x14ac:dyDescent="0.3">
      <c r="A720">
        <v>10702</v>
      </c>
      <c r="B720" t="s">
        <v>11544</v>
      </c>
      <c r="C720" t="s">
        <v>5043</v>
      </c>
      <c r="D720" t="s">
        <v>8401</v>
      </c>
    </row>
    <row r="721" spans="1:4" ht="14.45" x14ac:dyDescent="0.3">
      <c r="A721">
        <v>10703</v>
      </c>
      <c r="B721" t="s">
        <v>11545</v>
      </c>
      <c r="C721" t="s">
        <v>5043</v>
      </c>
      <c r="D721" t="s">
        <v>8401</v>
      </c>
    </row>
    <row r="722" spans="1:4" ht="14.45" x14ac:dyDescent="0.3">
      <c r="A722">
        <v>6468</v>
      </c>
      <c r="B722" t="s">
        <v>9707</v>
      </c>
      <c r="C722" t="s">
        <v>5043</v>
      </c>
      <c r="D722" t="s">
        <v>8401</v>
      </c>
    </row>
    <row r="723" spans="1:4" ht="14.45" x14ac:dyDescent="0.3">
      <c r="A723">
        <v>10762</v>
      </c>
      <c r="B723" t="s">
        <v>11546</v>
      </c>
      <c r="C723" t="s">
        <v>5083</v>
      </c>
      <c r="D723" t="s">
        <v>11547</v>
      </c>
    </row>
    <row r="724" spans="1:4" ht="14.45" x14ac:dyDescent="0.3">
      <c r="A724">
        <v>7355</v>
      </c>
      <c r="B724" t="s">
        <v>8560</v>
      </c>
      <c r="C724" t="s">
        <v>5043</v>
      </c>
      <c r="D724" t="s">
        <v>8401</v>
      </c>
    </row>
    <row r="725" spans="1:4" ht="14.45" x14ac:dyDescent="0.3">
      <c r="A725">
        <v>5271</v>
      </c>
      <c r="B725" t="s">
        <v>8561</v>
      </c>
      <c r="C725" t="s">
        <v>5043</v>
      </c>
      <c r="D725" t="s">
        <v>8401</v>
      </c>
    </row>
    <row r="726" spans="1:4" ht="14.45" x14ac:dyDescent="0.3">
      <c r="A726">
        <v>5854</v>
      </c>
      <c r="B726" t="s">
        <v>8562</v>
      </c>
      <c r="C726" t="s">
        <v>5043</v>
      </c>
      <c r="D726" t="s">
        <v>8401</v>
      </c>
    </row>
    <row r="727" spans="1:4" ht="14.45" x14ac:dyDescent="0.3">
      <c r="A727">
        <v>6012</v>
      </c>
      <c r="B727" t="s">
        <v>8562</v>
      </c>
      <c r="C727" t="s">
        <v>5043</v>
      </c>
      <c r="D727" t="s">
        <v>8401</v>
      </c>
    </row>
    <row r="728" spans="1:4" ht="14.45" x14ac:dyDescent="0.3">
      <c r="A728">
        <v>8589</v>
      </c>
      <c r="B728" t="s">
        <v>8562</v>
      </c>
      <c r="C728" t="s">
        <v>5043</v>
      </c>
      <c r="D728" t="s">
        <v>8401</v>
      </c>
    </row>
    <row r="729" spans="1:4" ht="14.45" x14ac:dyDescent="0.3">
      <c r="A729">
        <v>8979</v>
      </c>
      <c r="B729" t="s">
        <v>8562</v>
      </c>
      <c r="C729" t="s">
        <v>5043</v>
      </c>
      <c r="D729" t="s">
        <v>8401</v>
      </c>
    </row>
    <row r="730" spans="1:4" ht="14.45" x14ac:dyDescent="0.3">
      <c r="A730">
        <v>5727</v>
      </c>
      <c r="B730" t="s">
        <v>8563</v>
      </c>
      <c r="C730" t="s">
        <v>5043</v>
      </c>
      <c r="D730" t="s">
        <v>8401</v>
      </c>
    </row>
    <row r="731" spans="1:4" ht="14.45" x14ac:dyDescent="0.3">
      <c r="A731">
        <v>7748</v>
      </c>
      <c r="B731" t="s">
        <v>8563</v>
      </c>
      <c r="C731" t="s">
        <v>5043</v>
      </c>
      <c r="D731" t="s">
        <v>8401</v>
      </c>
    </row>
    <row r="732" spans="1:4" ht="14.45" x14ac:dyDescent="0.3">
      <c r="A732">
        <v>7830</v>
      </c>
      <c r="B732" t="s">
        <v>8563</v>
      </c>
      <c r="C732" t="s">
        <v>5043</v>
      </c>
      <c r="D732" t="s">
        <v>8401</v>
      </c>
    </row>
    <row r="733" spans="1:4" ht="14.45" x14ac:dyDescent="0.3">
      <c r="A733">
        <v>8596</v>
      </c>
      <c r="B733" t="s">
        <v>8563</v>
      </c>
      <c r="C733" t="s">
        <v>5043</v>
      </c>
      <c r="D733" t="s">
        <v>8401</v>
      </c>
    </row>
    <row r="734" spans="1:4" ht="14.45" x14ac:dyDescent="0.3">
      <c r="A734">
        <v>5820</v>
      </c>
      <c r="B734" t="s">
        <v>9708</v>
      </c>
      <c r="C734" t="s">
        <v>5043</v>
      </c>
      <c r="D734" t="s">
        <v>8401</v>
      </c>
    </row>
    <row r="735" spans="1:4" ht="14.45" x14ac:dyDescent="0.3">
      <c r="A735">
        <v>7031</v>
      </c>
      <c r="B735" t="s">
        <v>9709</v>
      </c>
      <c r="C735" t="s">
        <v>5043</v>
      </c>
      <c r="D735" t="s">
        <v>8401</v>
      </c>
    </row>
    <row r="736" spans="1:4" ht="14.45" x14ac:dyDescent="0.3">
      <c r="A736">
        <v>5501</v>
      </c>
      <c r="B736" t="s">
        <v>9710</v>
      </c>
      <c r="C736" t="s">
        <v>5043</v>
      </c>
      <c r="D736" t="s">
        <v>8401</v>
      </c>
    </row>
    <row r="737" spans="1:4" ht="14.45" x14ac:dyDescent="0.3">
      <c r="A737">
        <v>8820</v>
      </c>
      <c r="B737" t="s">
        <v>9710</v>
      </c>
      <c r="C737" t="s">
        <v>5043</v>
      </c>
      <c r="D737" t="s">
        <v>8401</v>
      </c>
    </row>
    <row r="738" spans="1:4" ht="14.45" x14ac:dyDescent="0.3">
      <c r="A738">
        <v>9233</v>
      </c>
      <c r="B738" t="s">
        <v>9711</v>
      </c>
      <c r="C738" t="s">
        <v>5043</v>
      </c>
      <c r="D738" t="s">
        <v>8401</v>
      </c>
    </row>
    <row r="739" spans="1:4" ht="14.45" x14ac:dyDescent="0.3">
      <c r="A739">
        <v>6119</v>
      </c>
      <c r="B739" t="s">
        <v>9712</v>
      </c>
      <c r="C739" t="s">
        <v>5043</v>
      </c>
      <c r="D739" t="s">
        <v>8401</v>
      </c>
    </row>
    <row r="740" spans="1:4" ht="14.45" x14ac:dyDescent="0.3">
      <c r="A740">
        <v>5626</v>
      </c>
      <c r="B740" t="s">
        <v>9713</v>
      </c>
      <c r="C740" t="s">
        <v>5043</v>
      </c>
      <c r="D740" t="s">
        <v>8401</v>
      </c>
    </row>
    <row r="741" spans="1:4" ht="14.45" x14ac:dyDescent="0.3">
      <c r="A741">
        <v>6508</v>
      </c>
      <c r="B741" t="s">
        <v>9713</v>
      </c>
      <c r="C741" t="s">
        <v>5043</v>
      </c>
      <c r="D741" t="s">
        <v>8401</v>
      </c>
    </row>
    <row r="742" spans="1:4" ht="14.45" x14ac:dyDescent="0.3">
      <c r="A742">
        <v>8110</v>
      </c>
      <c r="B742" t="s">
        <v>9713</v>
      </c>
      <c r="C742" t="s">
        <v>5043</v>
      </c>
      <c r="D742" t="s">
        <v>8401</v>
      </c>
    </row>
    <row r="743" spans="1:4" ht="14.45" x14ac:dyDescent="0.3">
      <c r="A743">
        <v>6004</v>
      </c>
      <c r="B743" t="s">
        <v>9714</v>
      </c>
      <c r="C743" t="s">
        <v>5043</v>
      </c>
      <c r="D743" t="s">
        <v>8401</v>
      </c>
    </row>
    <row r="744" spans="1:4" ht="14.45" x14ac:dyDescent="0.3">
      <c r="A744">
        <v>7359</v>
      </c>
      <c r="B744" t="s">
        <v>9714</v>
      </c>
      <c r="C744" t="s">
        <v>5043</v>
      </c>
      <c r="D744" t="s">
        <v>8401</v>
      </c>
    </row>
    <row r="745" spans="1:4" ht="14.45" x14ac:dyDescent="0.3">
      <c r="A745">
        <v>5955</v>
      </c>
      <c r="B745" t="s">
        <v>9715</v>
      </c>
      <c r="C745" t="s">
        <v>5043</v>
      </c>
      <c r="D745" t="s">
        <v>8401</v>
      </c>
    </row>
    <row r="746" spans="1:4" ht="14.45" x14ac:dyDescent="0.3">
      <c r="A746">
        <v>5563</v>
      </c>
      <c r="B746" t="s">
        <v>9716</v>
      </c>
      <c r="C746" t="s">
        <v>5043</v>
      </c>
      <c r="D746" t="s">
        <v>8401</v>
      </c>
    </row>
    <row r="747" spans="1:4" ht="14.45" x14ac:dyDescent="0.3">
      <c r="A747">
        <v>6860</v>
      </c>
      <c r="B747" t="s">
        <v>9717</v>
      </c>
      <c r="C747" t="s">
        <v>5043</v>
      </c>
      <c r="D747" t="s">
        <v>8401</v>
      </c>
    </row>
    <row r="748" spans="1:4" ht="14.45" x14ac:dyDescent="0.3">
      <c r="A748">
        <v>7394</v>
      </c>
      <c r="B748" t="s">
        <v>9718</v>
      </c>
      <c r="C748" t="s">
        <v>5043</v>
      </c>
      <c r="D748" t="s">
        <v>8401</v>
      </c>
    </row>
    <row r="749" spans="1:4" ht="14.45" x14ac:dyDescent="0.3">
      <c r="A749">
        <v>9656</v>
      </c>
      <c r="B749" t="s">
        <v>9718</v>
      </c>
      <c r="C749" t="s">
        <v>5043</v>
      </c>
      <c r="D749" t="s">
        <v>8401</v>
      </c>
    </row>
    <row r="750" spans="1:4" ht="14.45" x14ac:dyDescent="0.3">
      <c r="A750">
        <v>5342</v>
      </c>
      <c r="B750" t="s">
        <v>9719</v>
      </c>
      <c r="C750" t="s">
        <v>5043</v>
      </c>
      <c r="D750" t="s">
        <v>8401</v>
      </c>
    </row>
    <row r="751" spans="1:4" ht="14.45" x14ac:dyDescent="0.3">
      <c r="A751">
        <v>6358</v>
      </c>
      <c r="B751" t="s">
        <v>8564</v>
      </c>
      <c r="C751" t="s">
        <v>5043</v>
      </c>
      <c r="D751" t="s">
        <v>8401</v>
      </c>
    </row>
    <row r="752" spans="1:4" ht="14.45" x14ac:dyDescent="0.3">
      <c r="A752">
        <v>8016</v>
      </c>
      <c r="B752" t="s">
        <v>8565</v>
      </c>
      <c r="C752" t="s">
        <v>5043</v>
      </c>
      <c r="D752" t="s">
        <v>8401</v>
      </c>
    </row>
    <row r="753" spans="1:4" ht="14.45" x14ac:dyDescent="0.3">
      <c r="A753">
        <v>6818</v>
      </c>
      <c r="B753" t="s">
        <v>9720</v>
      </c>
      <c r="C753" t="s">
        <v>5043</v>
      </c>
      <c r="D753" t="s">
        <v>8401</v>
      </c>
    </row>
    <row r="754" spans="1:4" ht="14.45" x14ac:dyDescent="0.3">
      <c r="A754">
        <v>5412</v>
      </c>
      <c r="B754" t="s">
        <v>9721</v>
      </c>
      <c r="C754" t="s">
        <v>5043</v>
      </c>
      <c r="D754" t="s">
        <v>8401</v>
      </c>
    </row>
    <row r="755" spans="1:4" ht="14.45" x14ac:dyDescent="0.3">
      <c r="A755">
        <v>7028</v>
      </c>
      <c r="B755" t="s">
        <v>9721</v>
      </c>
      <c r="C755" t="s">
        <v>5043</v>
      </c>
      <c r="D755" t="s">
        <v>8401</v>
      </c>
    </row>
    <row r="756" spans="1:4" ht="14.45" x14ac:dyDescent="0.3">
      <c r="A756">
        <v>9439</v>
      </c>
      <c r="B756" t="s">
        <v>9722</v>
      </c>
      <c r="C756" t="s">
        <v>5043</v>
      </c>
      <c r="D756" t="s">
        <v>8401</v>
      </c>
    </row>
    <row r="757" spans="1:4" ht="14.45" x14ac:dyDescent="0.3">
      <c r="A757">
        <v>6581</v>
      </c>
      <c r="B757" t="s">
        <v>9723</v>
      </c>
      <c r="C757" t="s">
        <v>5043</v>
      </c>
      <c r="D757" t="s">
        <v>8401</v>
      </c>
    </row>
    <row r="758" spans="1:4" ht="14.45" x14ac:dyDescent="0.3">
      <c r="A758">
        <v>8040</v>
      </c>
      <c r="B758" t="s">
        <v>9723</v>
      </c>
      <c r="C758" t="s">
        <v>5043</v>
      </c>
      <c r="D758" t="s">
        <v>8401</v>
      </c>
    </row>
    <row r="759" spans="1:4" ht="14.45" x14ac:dyDescent="0.3">
      <c r="A759">
        <v>6328</v>
      </c>
      <c r="B759" t="s">
        <v>8566</v>
      </c>
      <c r="C759" t="s">
        <v>5043</v>
      </c>
      <c r="D759" t="s">
        <v>8401</v>
      </c>
    </row>
    <row r="760" spans="1:4" ht="14.45" x14ac:dyDescent="0.3">
      <c r="A760">
        <v>6357</v>
      </c>
      <c r="B760" t="s">
        <v>8566</v>
      </c>
      <c r="C760" t="s">
        <v>5043</v>
      </c>
      <c r="D760" t="s">
        <v>8401</v>
      </c>
    </row>
    <row r="761" spans="1:4" ht="14.45" x14ac:dyDescent="0.3">
      <c r="A761">
        <v>5546</v>
      </c>
      <c r="B761" t="s">
        <v>8567</v>
      </c>
      <c r="C761" t="s">
        <v>5043</v>
      </c>
      <c r="D761" t="s">
        <v>8401</v>
      </c>
    </row>
    <row r="762" spans="1:4" ht="14.45" x14ac:dyDescent="0.3">
      <c r="A762">
        <v>5224</v>
      </c>
      <c r="B762" t="s">
        <v>8568</v>
      </c>
      <c r="C762" t="s">
        <v>5043</v>
      </c>
      <c r="D762" t="s">
        <v>8401</v>
      </c>
    </row>
    <row r="763" spans="1:4" ht="14.45" x14ac:dyDescent="0.3">
      <c r="A763">
        <v>5596</v>
      </c>
      <c r="B763" t="s">
        <v>8568</v>
      </c>
      <c r="C763" t="s">
        <v>5043</v>
      </c>
      <c r="D763" t="s">
        <v>8401</v>
      </c>
    </row>
    <row r="764" spans="1:4" ht="14.45" x14ac:dyDescent="0.3">
      <c r="A764">
        <v>6020</v>
      </c>
      <c r="B764" t="s">
        <v>8568</v>
      </c>
      <c r="C764" t="s">
        <v>5043</v>
      </c>
      <c r="D764" t="s">
        <v>8401</v>
      </c>
    </row>
    <row r="765" spans="1:4" ht="14.45" x14ac:dyDescent="0.3">
      <c r="A765">
        <v>6439</v>
      </c>
      <c r="B765" t="s">
        <v>8568</v>
      </c>
      <c r="C765" t="s">
        <v>5043</v>
      </c>
      <c r="D765" t="s">
        <v>8401</v>
      </c>
    </row>
    <row r="766" spans="1:4" ht="14.45" x14ac:dyDescent="0.3">
      <c r="A766">
        <v>6762</v>
      </c>
      <c r="B766" t="s">
        <v>8568</v>
      </c>
      <c r="C766" t="s">
        <v>5043</v>
      </c>
      <c r="D766" t="s">
        <v>8401</v>
      </c>
    </row>
    <row r="767" spans="1:4" ht="14.45" x14ac:dyDescent="0.3">
      <c r="A767">
        <v>7135</v>
      </c>
      <c r="B767" t="s">
        <v>8568</v>
      </c>
      <c r="C767" t="s">
        <v>5043</v>
      </c>
      <c r="D767" t="s">
        <v>8401</v>
      </c>
    </row>
    <row r="768" spans="1:4" ht="14.45" x14ac:dyDescent="0.3">
      <c r="A768">
        <v>7397</v>
      </c>
      <c r="B768" t="s">
        <v>8568</v>
      </c>
      <c r="C768" t="s">
        <v>5043</v>
      </c>
      <c r="D768" t="s">
        <v>8401</v>
      </c>
    </row>
    <row r="769" spans="1:4" ht="14.45" x14ac:dyDescent="0.3">
      <c r="A769">
        <v>8185</v>
      </c>
      <c r="B769" t="s">
        <v>8568</v>
      </c>
      <c r="C769" t="s">
        <v>5043</v>
      </c>
      <c r="D769" t="s">
        <v>8401</v>
      </c>
    </row>
    <row r="770" spans="1:4" ht="14.45" x14ac:dyDescent="0.3">
      <c r="A770">
        <v>8662</v>
      </c>
      <c r="B770" t="s">
        <v>8568</v>
      </c>
      <c r="C770" t="s">
        <v>5043</v>
      </c>
      <c r="D770" t="s">
        <v>8401</v>
      </c>
    </row>
    <row r="771" spans="1:4" ht="14.45" x14ac:dyDescent="0.3">
      <c r="A771">
        <v>5821</v>
      </c>
      <c r="B771" t="s">
        <v>8569</v>
      </c>
      <c r="C771" t="s">
        <v>5043</v>
      </c>
      <c r="D771" t="s">
        <v>8401</v>
      </c>
    </row>
    <row r="772" spans="1:4" ht="14.45" x14ac:dyDescent="0.3">
      <c r="A772">
        <v>5836</v>
      </c>
      <c r="B772" t="s">
        <v>8569</v>
      </c>
      <c r="C772" t="s">
        <v>5043</v>
      </c>
      <c r="D772" t="s">
        <v>8401</v>
      </c>
    </row>
    <row r="773" spans="1:4" ht="14.45" x14ac:dyDescent="0.3">
      <c r="A773">
        <v>8376</v>
      </c>
      <c r="B773" t="s">
        <v>8569</v>
      </c>
      <c r="C773" t="s">
        <v>5043</v>
      </c>
      <c r="D773" t="s">
        <v>8401</v>
      </c>
    </row>
    <row r="774" spans="1:4" ht="14.45" x14ac:dyDescent="0.3">
      <c r="A774">
        <v>8906</v>
      </c>
      <c r="B774" t="s">
        <v>8569</v>
      </c>
      <c r="C774" t="s">
        <v>5043</v>
      </c>
      <c r="D774" t="s">
        <v>8401</v>
      </c>
    </row>
    <row r="775" spans="1:4" ht="14.45" x14ac:dyDescent="0.3">
      <c r="A775">
        <v>9437</v>
      </c>
      <c r="B775" t="s">
        <v>8569</v>
      </c>
      <c r="C775" t="s">
        <v>5043</v>
      </c>
      <c r="D775" t="s">
        <v>8401</v>
      </c>
    </row>
    <row r="776" spans="1:4" ht="14.45" x14ac:dyDescent="0.3">
      <c r="A776">
        <v>9511</v>
      </c>
      <c r="B776" t="s">
        <v>8569</v>
      </c>
      <c r="C776" t="s">
        <v>5043</v>
      </c>
      <c r="D776" t="s">
        <v>8401</v>
      </c>
    </row>
    <row r="777" spans="1:4" ht="14.45" x14ac:dyDescent="0.3">
      <c r="A777">
        <v>9520</v>
      </c>
      <c r="B777" t="s">
        <v>8569</v>
      </c>
      <c r="C777" t="s">
        <v>5043</v>
      </c>
      <c r="D777" t="s">
        <v>8401</v>
      </c>
    </row>
    <row r="778" spans="1:4" ht="14.45" x14ac:dyDescent="0.3">
      <c r="A778">
        <v>5098</v>
      </c>
      <c r="B778" t="s">
        <v>8570</v>
      </c>
      <c r="C778" t="s">
        <v>5043</v>
      </c>
      <c r="D778" t="s">
        <v>8401</v>
      </c>
    </row>
    <row r="779" spans="1:4" ht="14.45" x14ac:dyDescent="0.3">
      <c r="A779">
        <v>5339</v>
      </c>
      <c r="B779" t="s">
        <v>8570</v>
      </c>
      <c r="C779" t="s">
        <v>5043</v>
      </c>
      <c r="D779" t="s">
        <v>8401</v>
      </c>
    </row>
    <row r="780" spans="1:4" ht="14.45" x14ac:dyDescent="0.3">
      <c r="A780">
        <v>6391</v>
      </c>
      <c r="B780" t="s">
        <v>8570</v>
      </c>
      <c r="C780" t="s">
        <v>5043</v>
      </c>
      <c r="D780" t="s">
        <v>8401</v>
      </c>
    </row>
    <row r="781" spans="1:4" ht="14.45" x14ac:dyDescent="0.3">
      <c r="A781">
        <v>7645</v>
      </c>
      <c r="B781" t="s">
        <v>8570</v>
      </c>
      <c r="C781" t="s">
        <v>5043</v>
      </c>
      <c r="D781" t="s">
        <v>8401</v>
      </c>
    </row>
    <row r="782" spans="1:4" ht="14.45" x14ac:dyDescent="0.3">
      <c r="A782">
        <v>8645</v>
      </c>
      <c r="B782" t="s">
        <v>8570</v>
      </c>
      <c r="C782" t="s">
        <v>5043</v>
      </c>
      <c r="D782" t="s">
        <v>8401</v>
      </c>
    </row>
    <row r="783" spans="1:4" ht="14.45" x14ac:dyDescent="0.3">
      <c r="A783">
        <v>8653</v>
      </c>
      <c r="B783" t="s">
        <v>8570</v>
      </c>
      <c r="C783" t="s">
        <v>5043</v>
      </c>
      <c r="D783" t="s">
        <v>8401</v>
      </c>
    </row>
    <row r="784" spans="1:4" ht="14.45" x14ac:dyDescent="0.3">
      <c r="A784">
        <v>9757</v>
      </c>
      <c r="B784" t="s">
        <v>8570</v>
      </c>
      <c r="C784" t="s">
        <v>5043</v>
      </c>
      <c r="D784" t="s">
        <v>8401</v>
      </c>
    </row>
    <row r="785" spans="1:4" ht="14.45" x14ac:dyDescent="0.3">
      <c r="A785">
        <v>8700</v>
      </c>
      <c r="B785" t="s">
        <v>8571</v>
      </c>
      <c r="C785" t="s">
        <v>5043</v>
      </c>
      <c r="D785" t="s">
        <v>8401</v>
      </c>
    </row>
    <row r="786" spans="1:4" ht="14.45" x14ac:dyDescent="0.3">
      <c r="A786">
        <v>9603</v>
      </c>
      <c r="B786" t="s">
        <v>8572</v>
      </c>
      <c r="C786" t="s">
        <v>5043</v>
      </c>
      <c r="D786" t="s">
        <v>8401</v>
      </c>
    </row>
    <row r="787" spans="1:4" ht="14.45" x14ac:dyDescent="0.3">
      <c r="A787">
        <v>9727</v>
      </c>
      <c r="B787" t="s">
        <v>8572</v>
      </c>
      <c r="C787" t="s">
        <v>5043</v>
      </c>
      <c r="D787" t="s">
        <v>8401</v>
      </c>
    </row>
    <row r="788" spans="1:4" ht="14.45" x14ac:dyDescent="0.3">
      <c r="A788">
        <v>8918</v>
      </c>
      <c r="B788" t="s">
        <v>8573</v>
      </c>
      <c r="C788" t="s">
        <v>5043</v>
      </c>
      <c r="D788" t="s">
        <v>8401</v>
      </c>
    </row>
    <row r="789" spans="1:4" ht="14.45" x14ac:dyDescent="0.3">
      <c r="A789">
        <v>5775</v>
      </c>
      <c r="B789" t="s">
        <v>8574</v>
      </c>
      <c r="C789" t="s">
        <v>5043</v>
      </c>
      <c r="D789" t="s">
        <v>8401</v>
      </c>
    </row>
    <row r="790" spans="1:4" ht="14.45" x14ac:dyDescent="0.3">
      <c r="A790">
        <v>7313</v>
      </c>
      <c r="B790" t="s">
        <v>8574</v>
      </c>
      <c r="C790" t="s">
        <v>5043</v>
      </c>
      <c r="D790" t="s">
        <v>8401</v>
      </c>
    </row>
    <row r="791" spans="1:4" ht="14.45" x14ac:dyDescent="0.3">
      <c r="A791">
        <v>8412</v>
      </c>
      <c r="B791" t="s">
        <v>8574</v>
      </c>
      <c r="C791" t="s">
        <v>5043</v>
      </c>
      <c r="D791" t="s">
        <v>8401</v>
      </c>
    </row>
    <row r="792" spans="1:4" ht="14.45" x14ac:dyDescent="0.3">
      <c r="A792">
        <v>6372</v>
      </c>
      <c r="B792" t="s">
        <v>8575</v>
      </c>
      <c r="C792" t="s">
        <v>5043</v>
      </c>
      <c r="D792" t="s">
        <v>8401</v>
      </c>
    </row>
    <row r="793" spans="1:4" ht="14.45" x14ac:dyDescent="0.3">
      <c r="A793">
        <v>6702</v>
      </c>
      <c r="B793" t="s">
        <v>8575</v>
      </c>
      <c r="C793" t="s">
        <v>5043</v>
      </c>
      <c r="D793" t="s">
        <v>8401</v>
      </c>
    </row>
    <row r="794" spans="1:4" ht="14.45" x14ac:dyDescent="0.3">
      <c r="A794">
        <v>7734</v>
      </c>
      <c r="B794" t="s">
        <v>8575</v>
      </c>
      <c r="C794" t="s">
        <v>5043</v>
      </c>
      <c r="D794" t="s">
        <v>8401</v>
      </c>
    </row>
    <row r="795" spans="1:4" ht="14.45" x14ac:dyDescent="0.3">
      <c r="A795">
        <v>8212</v>
      </c>
      <c r="B795" t="s">
        <v>8575</v>
      </c>
      <c r="C795" t="s">
        <v>5043</v>
      </c>
      <c r="D795" t="s">
        <v>8401</v>
      </c>
    </row>
    <row r="796" spans="1:4" ht="14.45" x14ac:dyDescent="0.3">
      <c r="A796">
        <v>8276</v>
      </c>
      <c r="B796" t="s">
        <v>8575</v>
      </c>
      <c r="C796" t="s">
        <v>5043</v>
      </c>
      <c r="D796" t="s">
        <v>8401</v>
      </c>
    </row>
    <row r="797" spans="1:4" ht="14.45" x14ac:dyDescent="0.3">
      <c r="A797">
        <v>8990</v>
      </c>
      <c r="B797" t="s">
        <v>8575</v>
      </c>
      <c r="C797" t="s">
        <v>5043</v>
      </c>
      <c r="D797" t="s">
        <v>8401</v>
      </c>
    </row>
    <row r="798" spans="1:4" ht="14.45" x14ac:dyDescent="0.3">
      <c r="A798">
        <v>9265</v>
      </c>
      <c r="B798" t="s">
        <v>8575</v>
      </c>
      <c r="C798" t="s">
        <v>5043</v>
      </c>
      <c r="D798" t="s">
        <v>8401</v>
      </c>
    </row>
    <row r="799" spans="1:4" ht="14.45" x14ac:dyDescent="0.3">
      <c r="A799">
        <v>8437</v>
      </c>
      <c r="B799" t="s">
        <v>8576</v>
      </c>
      <c r="C799" t="s">
        <v>5043</v>
      </c>
      <c r="D799" t="s">
        <v>8401</v>
      </c>
    </row>
    <row r="800" spans="1:4" ht="14.45" x14ac:dyDescent="0.3">
      <c r="A800">
        <v>8509</v>
      </c>
      <c r="B800" t="s">
        <v>8576</v>
      </c>
      <c r="C800" t="s">
        <v>5043</v>
      </c>
      <c r="D800" t="s">
        <v>8401</v>
      </c>
    </row>
    <row r="801" spans="1:4" ht="14.45" x14ac:dyDescent="0.3">
      <c r="A801">
        <v>8371</v>
      </c>
      <c r="B801" t="s">
        <v>8577</v>
      </c>
      <c r="C801" t="s">
        <v>5043</v>
      </c>
      <c r="D801" t="s">
        <v>8401</v>
      </c>
    </row>
    <row r="802" spans="1:4" ht="14.45" x14ac:dyDescent="0.3">
      <c r="A802">
        <v>9130</v>
      </c>
      <c r="B802" t="s">
        <v>9724</v>
      </c>
      <c r="C802" t="s">
        <v>5043</v>
      </c>
      <c r="D802" t="s">
        <v>8401</v>
      </c>
    </row>
    <row r="803" spans="1:4" ht="14.45" x14ac:dyDescent="0.3">
      <c r="A803">
        <v>9001</v>
      </c>
      <c r="B803" t="s">
        <v>9725</v>
      </c>
      <c r="C803" t="s">
        <v>5043</v>
      </c>
      <c r="D803" t="s">
        <v>8401</v>
      </c>
    </row>
    <row r="804" spans="1:4" ht="14.45" x14ac:dyDescent="0.3">
      <c r="A804">
        <v>5103</v>
      </c>
      <c r="B804" t="s">
        <v>9726</v>
      </c>
      <c r="C804" t="s">
        <v>5043</v>
      </c>
      <c r="D804" t="s">
        <v>8401</v>
      </c>
    </row>
    <row r="805" spans="1:4" ht="14.45" x14ac:dyDescent="0.3">
      <c r="A805">
        <v>5561</v>
      </c>
      <c r="B805" t="s">
        <v>9726</v>
      </c>
      <c r="C805" t="s">
        <v>5043</v>
      </c>
      <c r="D805" t="s">
        <v>8401</v>
      </c>
    </row>
    <row r="806" spans="1:4" ht="14.45" x14ac:dyDescent="0.3">
      <c r="A806">
        <v>6101</v>
      </c>
      <c r="B806" t="s">
        <v>9726</v>
      </c>
      <c r="C806" t="s">
        <v>5043</v>
      </c>
      <c r="D806" t="s">
        <v>8401</v>
      </c>
    </row>
    <row r="807" spans="1:4" ht="14.45" x14ac:dyDescent="0.3">
      <c r="A807">
        <v>8940</v>
      </c>
      <c r="B807" t="s">
        <v>9726</v>
      </c>
      <c r="C807" t="s">
        <v>5043</v>
      </c>
      <c r="D807" t="s">
        <v>8401</v>
      </c>
    </row>
    <row r="808" spans="1:4" ht="14.45" x14ac:dyDescent="0.3">
      <c r="A808">
        <v>8125</v>
      </c>
      <c r="B808" t="s">
        <v>8578</v>
      </c>
      <c r="C808" t="s">
        <v>5043</v>
      </c>
      <c r="D808" t="s">
        <v>8401</v>
      </c>
    </row>
    <row r="809" spans="1:4" ht="14.45" x14ac:dyDescent="0.3">
      <c r="A809">
        <v>9174</v>
      </c>
      <c r="B809" t="s">
        <v>8578</v>
      </c>
      <c r="C809" t="s">
        <v>5043</v>
      </c>
      <c r="D809" t="s">
        <v>8401</v>
      </c>
    </row>
    <row r="810" spans="1:4" ht="14.45" x14ac:dyDescent="0.3">
      <c r="A810">
        <v>7009</v>
      </c>
      <c r="B810" t="s">
        <v>9727</v>
      </c>
      <c r="C810" t="s">
        <v>5043</v>
      </c>
      <c r="D810" t="s">
        <v>8401</v>
      </c>
    </row>
    <row r="811" spans="1:4" ht="14.45" x14ac:dyDescent="0.3">
      <c r="A811">
        <v>7232</v>
      </c>
      <c r="B811" t="s">
        <v>9727</v>
      </c>
      <c r="C811" t="s">
        <v>5043</v>
      </c>
      <c r="D811" t="s">
        <v>8401</v>
      </c>
    </row>
    <row r="812" spans="1:4" ht="14.45" x14ac:dyDescent="0.3">
      <c r="A812">
        <v>6381</v>
      </c>
      <c r="B812" t="s">
        <v>9728</v>
      </c>
      <c r="C812" t="s">
        <v>5043</v>
      </c>
      <c r="D812" t="s">
        <v>8401</v>
      </c>
    </row>
    <row r="813" spans="1:4" ht="14.45" x14ac:dyDescent="0.3">
      <c r="A813">
        <v>9212</v>
      </c>
      <c r="B813" t="s">
        <v>9728</v>
      </c>
      <c r="C813" t="s">
        <v>5043</v>
      </c>
      <c r="D813" t="s">
        <v>8401</v>
      </c>
    </row>
    <row r="814" spans="1:4" ht="14.45" x14ac:dyDescent="0.3">
      <c r="A814">
        <v>5334</v>
      </c>
      <c r="B814" t="s">
        <v>8579</v>
      </c>
      <c r="C814" t="s">
        <v>5043</v>
      </c>
      <c r="D814" t="s">
        <v>8401</v>
      </c>
    </row>
    <row r="815" spans="1:4" ht="14.45" x14ac:dyDescent="0.3">
      <c r="A815">
        <v>8655</v>
      </c>
      <c r="B815" t="s">
        <v>8579</v>
      </c>
      <c r="C815" t="s">
        <v>5043</v>
      </c>
      <c r="D815" t="s">
        <v>8401</v>
      </c>
    </row>
    <row r="816" spans="1:4" ht="14.45" x14ac:dyDescent="0.3">
      <c r="A816">
        <v>6208</v>
      </c>
      <c r="B816" t="s">
        <v>8580</v>
      </c>
      <c r="C816" t="s">
        <v>5043</v>
      </c>
      <c r="D816" t="s">
        <v>8401</v>
      </c>
    </row>
    <row r="817" spans="1:4" ht="14.45" x14ac:dyDescent="0.3">
      <c r="A817">
        <v>6805</v>
      </c>
      <c r="B817" t="s">
        <v>8580</v>
      </c>
      <c r="C817" t="s">
        <v>5043</v>
      </c>
      <c r="D817" t="s">
        <v>8401</v>
      </c>
    </row>
    <row r="818" spans="1:4" ht="14.45" x14ac:dyDescent="0.3">
      <c r="A818">
        <v>5240</v>
      </c>
      <c r="B818" t="s">
        <v>8581</v>
      </c>
      <c r="C818" t="s">
        <v>5043</v>
      </c>
      <c r="D818" t="s">
        <v>8401</v>
      </c>
    </row>
    <row r="819" spans="1:4" ht="14.45" x14ac:dyDescent="0.3">
      <c r="A819">
        <v>8292</v>
      </c>
      <c r="B819" t="s">
        <v>9729</v>
      </c>
      <c r="C819" t="s">
        <v>5043</v>
      </c>
      <c r="D819" t="s">
        <v>8401</v>
      </c>
    </row>
    <row r="820" spans="1:4" ht="14.45" x14ac:dyDescent="0.3">
      <c r="A820">
        <v>9383</v>
      </c>
      <c r="B820" t="s">
        <v>8582</v>
      </c>
      <c r="C820" t="s">
        <v>5043</v>
      </c>
      <c r="D820" t="s">
        <v>8401</v>
      </c>
    </row>
    <row r="821" spans="1:4" ht="14.45" x14ac:dyDescent="0.3">
      <c r="A821">
        <v>6165</v>
      </c>
      <c r="B821" t="s">
        <v>9730</v>
      </c>
      <c r="C821" t="s">
        <v>5043</v>
      </c>
      <c r="D821" t="s">
        <v>8401</v>
      </c>
    </row>
    <row r="822" spans="1:4" ht="14.45" x14ac:dyDescent="0.3">
      <c r="A822">
        <v>9657</v>
      </c>
      <c r="B822" t="s">
        <v>9730</v>
      </c>
      <c r="C822" t="s">
        <v>5043</v>
      </c>
      <c r="D822" t="s">
        <v>8401</v>
      </c>
    </row>
    <row r="823" spans="1:4" ht="14.45" x14ac:dyDescent="0.3">
      <c r="A823">
        <v>6798</v>
      </c>
      <c r="B823" t="s">
        <v>9731</v>
      </c>
      <c r="C823" t="s">
        <v>5043</v>
      </c>
      <c r="D823" t="s">
        <v>8401</v>
      </c>
    </row>
    <row r="824" spans="1:4" ht="14.45" x14ac:dyDescent="0.3">
      <c r="A824">
        <v>7448</v>
      </c>
      <c r="B824" t="s">
        <v>9731</v>
      </c>
      <c r="C824" t="s">
        <v>5043</v>
      </c>
      <c r="D824" t="s">
        <v>8401</v>
      </c>
    </row>
    <row r="825" spans="1:4" ht="14.45" x14ac:dyDescent="0.3">
      <c r="A825">
        <v>5112</v>
      </c>
      <c r="B825" t="s">
        <v>9732</v>
      </c>
      <c r="C825" t="s">
        <v>5043</v>
      </c>
      <c r="D825" t="s">
        <v>8401</v>
      </c>
    </row>
    <row r="826" spans="1:4" ht="14.45" x14ac:dyDescent="0.3">
      <c r="A826">
        <v>8844</v>
      </c>
      <c r="B826" t="s">
        <v>9732</v>
      </c>
      <c r="C826" t="s">
        <v>5043</v>
      </c>
      <c r="D826" t="s">
        <v>8401</v>
      </c>
    </row>
    <row r="827" spans="1:4" ht="14.45" x14ac:dyDescent="0.3">
      <c r="A827">
        <v>9018</v>
      </c>
      <c r="B827" t="s">
        <v>9733</v>
      </c>
      <c r="C827" t="s">
        <v>5043</v>
      </c>
      <c r="D827" t="s">
        <v>8401</v>
      </c>
    </row>
    <row r="828" spans="1:4" ht="14.45" x14ac:dyDescent="0.3">
      <c r="A828">
        <v>7020</v>
      </c>
      <c r="B828" t="s">
        <v>9734</v>
      </c>
      <c r="C828" t="s">
        <v>5043</v>
      </c>
      <c r="D828" t="s">
        <v>8401</v>
      </c>
    </row>
    <row r="829" spans="1:4" ht="14.45" x14ac:dyDescent="0.3">
      <c r="A829">
        <v>6464</v>
      </c>
      <c r="B829" t="s">
        <v>9735</v>
      </c>
      <c r="C829" t="s">
        <v>5043</v>
      </c>
      <c r="D829" t="s">
        <v>8402</v>
      </c>
    </row>
    <row r="830" spans="1:4" ht="14.45" x14ac:dyDescent="0.3">
      <c r="A830">
        <v>7589</v>
      </c>
      <c r="B830" t="s">
        <v>9735</v>
      </c>
      <c r="C830" t="s">
        <v>5043</v>
      </c>
      <c r="D830" t="s">
        <v>8401</v>
      </c>
    </row>
    <row r="831" spans="1:4" ht="14.45" x14ac:dyDescent="0.3">
      <c r="A831">
        <v>8349</v>
      </c>
      <c r="B831" t="s">
        <v>9736</v>
      </c>
      <c r="C831" t="s">
        <v>5043</v>
      </c>
      <c r="D831" t="s">
        <v>8401</v>
      </c>
    </row>
    <row r="832" spans="1:4" ht="14.45" x14ac:dyDescent="0.3">
      <c r="A832">
        <v>6550</v>
      </c>
      <c r="B832" t="s">
        <v>9737</v>
      </c>
      <c r="C832" t="s">
        <v>5043</v>
      </c>
      <c r="D832" t="s">
        <v>8401</v>
      </c>
    </row>
    <row r="833" spans="1:4" ht="14.45" x14ac:dyDescent="0.3">
      <c r="A833">
        <v>8637</v>
      </c>
      <c r="B833" t="s">
        <v>9737</v>
      </c>
      <c r="C833" t="s">
        <v>5043</v>
      </c>
      <c r="D833" t="s">
        <v>8401</v>
      </c>
    </row>
    <row r="834" spans="1:4" ht="14.45" x14ac:dyDescent="0.3">
      <c r="A834">
        <v>5722</v>
      </c>
      <c r="B834" t="s">
        <v>9738</v>
      </c>
      <c r="C834" t="s">
        <v>5043</v>
      </c>
      <c r="D834" t="s">
        <v>8402</v>
      </c>
    </row>
    <row r="835" spans="1:4" ht="14.45" x14ac:dyDescent="0.3">
      <c r="A835">
        <v>5747</v>
      </c>
      <c r="B835" t="s">
        <v>9738</v>
      </c>
      <c r="C835" t="s">
        <v>5043</v>
      </c>
      <c r="D835" t="s">
        <v>8402</v>
      </c>
    </row>
    <row r="836" spans="1:4" ht="14.45" x14ac:dyDescent="0.3">
      <c r="A836">
        <v>7615</v>
      </c>
      <c r="B836" t="s">
        <v>9738</v>
      </c>
      <c r="C836" t="s">
        <v>5043</v>
      </c>
      <c r="D836" t="s">
        <v>8402</v>
      </c>
    </row>
    <row r="837" spans="1:4" ht="14.45" x14ac:dyDescent="0.3">
      <c r="A837">
        <v>8164</v>
      </c>
      <c r="B837" t="s">
        <v>9738</v>
      </c>
      <c r="C837" t="s">
        <v>5043</v>
      </c>
      <c r="D837" t="s">
        <v>8401</v>
      </c>
    </row>
    <row r="838" spans="1:4" ht="14.45" x14ac:dyDescent="0.3">
      <c r="A838">
        <v>5764</v>
      </c>
      <c r="B838" t="s">
        <v>9739</v>
      </c>
      <c r="C838" t="s">
        <v>5043</v>
      </c>
      <c r="D838" t="s">
        <v>8401</v>
      </c>
    </row>
    <row r="839" spans="1:4" ht="14.45" x14ac:dyDescent="0.3">
      <c r="A839">
        <v>7850</v>
      </c>
      <c r="B839" t="s">
        <v>9739</v>
      </c>
      <c r="C839" t="s">
        <v>5043</v>
      </c>
      <c r="D839" t="s">
        <v>8401</v>
      </c>
    </row>
    <row r="840" spans="1:4" ht="14.45" x14ac:dyDescent="0.3">
      <c r="A840">
        <v>8659</v>
      </c>
      <c r="B840" t="s">
        <v>9739</v>
      </c>
      <c r="C840" t="s">
        <v>5043</v>
      </c>
      <c r="D840" t="s">
        <v>8401</v>
      </c>
    </row>
    <row r="841" spans="1:4" ht="14.45" x14ac:dyDescent="0.3">
      <c r="A841">
        <v>8993</v>
      </c>
      <c r="B841" t="s">
        <v>9739</v>
      </c>
      <c r="C841" t="s">
        <v>5043</v>
      </c>
      <c r="D841" t="s">
        <v>8401</v>
      </c>
    </row>
    <row r="842" spans="1:4" ht="14.45" x14ac:dyDescent="0.3">
      <c r="A842">
        <v>5567</v>
      </c>
      <c r="B842" t="s">
        <v>9740</v>
      </c>
      <c r="C842" t="s">
        <v>5043</v>
      </c>
      <c r="D842" t="s">
        <v>8401</v>
      </c>
    </row>
    <row r="843" spans="1:4" ht="14.45" x14ac:dyDescent="0.3">
      <c r="A843">
        <v>7316</v>
      </c>
      <c r="B843" t="s">
        <v>9740</v>
      </c>
      <c r="C843" t="s">
        <v>5043</v>
      </c>
      <c r="D843" t="s">
        <v>8401</v>
      </c>
    </row>
    <row r="844" spans="1:4" ht="14.45" x14ac:dyDescent="0.3">
      <c r="A844">
        <v>6682</v>
      </c>
      <c r="B844" t="s">
        <v>9741</v>
      </c>
      <c r="C844" t="s">
        <v>5043</v>
      </c>
      <c r="D844" t="s">
        <v>8401</v>
      </c>
    </row>
    <row r="845" spans="1:4" ht="14.45" x14ac:dyDescent="0.3">
      <c r="A845">
        <v>9303</v>
      </c>
      <c r="B845" t="s">
        <v>9741</v>
      </c>
      <c r="C845" t="s">
        <v>5043</v>
      </c>
      <c r="D845" t="s">
        <v>8401</v>
      </c>
    </row>
    <row r="846" spans="1:4" ht="14.45" x14ac:dyDescent="0.3">
      <c r="A846">
        <v>5600</v>
      </c>
      <c r="B846" t="s">
        <v>9742</v>
      </c>
      <c r="C846" t="s">
        <v>5043</v>
      </c>
      <c r="D846" t="s">
        <v>8401</v>
      </c>
    </row>
    <row r="847" spans="1:4" ht="14.45" x14ac:dyDescent="0.3">
      <c r="A847">
        <v>7308</v>
      </c>
      <c r="B847" t="s">
        <v>9742</v>
      </c>
      <c r="C847" t="s">
        <v>5043</v>
      </c>
      <c r="D847" t="s">
        <v>8401</v>
      </c>
    </row>
    <row r="848" spans="1:4" ht="14.45" x14ac:dyDescent="0.3">
      <c r="A848">
        <v>7986</v>
      </c>
      <c r="B848" t="s">
        <v>9742</v>
      </c>
      <c r="C848" t="s">
        <v>5043</v>
      </c>
      <c r="D848" t="s">
        <v>8401</v>
      </c>
    </row>
    <row r="849" spans="1:4" ht="14.45" x14ac:dyDescent="0.3">
      <c r="A849">
        <v>8080</v>
      </c>
      <c r="B849" t="s">
        <v>9742</v>
      </c>
      <c r="C849" t="s">
        <v>5043</v>
      </c>
      <c r="D849" t="s">
        <v>8401</v>
      </c>
    </row>
    <row r="850" spans="1:4" ht="14.45" x14ac:dyDescent="0.3">
      <c r="A850">
        <v>8938</v>
      </c>
      <c r="B850" t="s">
        <v>9742</v>
      </c>
      <c r="C850" t="s">
        <v>5043</v>
      </c>
      <c r="D850" t="s">
        <v>8401</v>
      </c>
    </row>
    <row r="851" spans="1:4" ht="14.45" x14ac:dyDescent="0.3">
      <c r="A851">
        <v>6307</v>
      </c>
      <c r="B851" t="s">
        <v>9743</v>
      </c>
      <c r="C851" t="s">
        <v>5043</v>
      </c>
      <c r="D851" t="s">
        <v>8401</v>
      </c>
    </row>
    <row r="852" spans="1:4" ht="14.45" x14ac:dyDescent="0.3">
      <c r="A852">
        <v>6069</v>
      </c>
      <c r="B852" t="s">
        <v>9744</v>
      </c>
      <c r="C852" t="s">
        <v>5043</v>
      </c>
      <c r="D852" t="s">
        <v>8401</v>
      </c>
    </row>
    <row r="853" spans="1:4" ht="14.45" x14ac:dyDescent="0.3">
      <c r="A853">
        <v>7068</v>
      </c>
      <c r="B853" t="s">
        <v>9744</v>
      </c>
      <c r="C853" t="s">
        <v>5043</v>
      </c>
      <c r="D853" t="s">
        <v>8401</v>
      </c>
    </row>
    <row r="854" spans="1:4" ht="14.45" x14ac:dyDescent="0.3">
      <c r="A854">
        <v>8204</v>
      </c>
      <c r="B854" t="s">
        <v>9745</v>
      </c>
      <c r="C854" t="s">
        <v>5043</v>
      </c>
      <c r="D854" t="s">
        <v>8401</v>
      </c>
    </row>
    <row r="855" spans="1:4" ht="14.45" x14ac:dyDescent="0.3">
      <c r="A855">
        <v>5105</v>
      </c>
      <c r="B855" t="s">
        <v>8583</v>
      </c>
      <c r="C855" t="s">
        <v>5043</v>
      </c>
      <c r="D855" t="s">
        <v>8401</v>
      </c>
    </row>
    <row r="856" spans="1:4" ht="14.45" x14ac:dyDescent="0.3">
      <c r="A856">
        <v>5809</v>
      </c>
      <c r="B856" t="s">
        <v>8583</v>
      </c>
      <c r="C856" t="s">
        <v>5043</v>
      </c>
      <c r="D856" t="s">
        <v>8401</v>
      </c>
    </row>
    <row r="857" spans="1:4" ht="14.45" x14ac:dyDescent="0.3">
      <c r="A857">
        <v>5925</v>
      </c>
      <c r="B857" t="s">
        <v>8583</v>
      </c>
      <c r="C857" t="s">
        <v>5043</v>
      </c>
      <c r="D857" t="s">
        <v>8401</v>
      </c>
    </row>
    <row r="858" spans="1:4" ht="14.45" x14ac:dyDescent="0.3">
      <c r="A858">
        <v>7032</v>
      </c>
      <c r="B858" t="s">
        <v>8583</v>
      </c>
      <c r="C858" t="s">
        <v>5043</v>
      </c>
      <c r="D858" t="s">
        <v>8401</v>
      </c>
    </row>
    <row r="859" spans="1:4" ht="14.45" x14ac:dyDescent="0.3">
      <c r="A859">
        <v>7586</v>
      </c>
      <c r="B859" t="s">
        <v>8583</v>
      </c>
      <c r="C859" t="s">
        <v>5043</v>
      </c>
      <c r="D859" t="s">
        <v>8401</v>
      </c>
    </row>
    <row r="860" spans="1:4" ht="14.45" x14ac:dyDescent="0.3">
      <c r="A860">
        <v>7613</v>
      </c>
      <c r="B860" t="s">
        <v>8583</v>
      </c>
      <c r="C860" t="s">
        <v>5043</v>
      </c>
      <c r="D860" t="s">
        <v>8401</v>
      </c>
    </row>
    <row r="861" spans="1:4" ht="14.45" x14ac:dyDescent="0.3">
      <c r="A861">
        <v>8021</v>
      </c>
      <c r="B861" t="s">
        <v>8583</v>
      </c>
      <c r="C861" t="s">
        <v>5043</v>
      </c>
      <c r="D861" t="s">
        <v>8401</v>
      </c>
    </row>
    <row r="862" spans="1:4" ht="14.45" x14ac:dyDescent="0.3">
      <c r="A862">
        <v>9558</v>
      </c>
      <c r="B862" t="s">
        <v>8583</v>
      </c>
      <c r="C862" t="s">
        <v>5043</v>
      </c>
      <c r="D862" t="s">
        <v>8401</v>
      </c>
    </row>
    <row r="863" spans="1:4" ht="14.45" x14ac:dyDescent="0.3">
      <c r="A863">
        <v>9713</v>
      </c>
      <c r="B863" t="s">
        <v>8583</v>
      </c>
      <c r="C863" t="s">
        <v>5043</v>
      </c>
      <c r="D863" t="s">
        <v>8401</v>
      </c>
    </row>
    <row r="864" spans="1:4" ht="14.45" x14ac:dyDescent="0.3">
      <c r="A864">
        <v>5295</v>
      </c>
      <c r="B864" t="s">
        <v>8584</v>
      </c>
      <c r="C864" t="s">
        <v>5043</v>
      </c>
      <c r="D864" t="s">
        <v>8401</v>
      </c>
    </row>
    <row r="865" spans="1:4" ht="14.45" x14ac:dyDescent="0.3">
      <c r="A865">
        <v>8127</v>
      </c>
      <c r="B865" t="s">
        <v>8584</v>
      </c>
      <c r="C865" t="s">
        <v>5043</v>
      </c>
      <c r="D865" t="s">
        <v>8401</v>
      </c>
    </row>
    <row r="866" spans="1:4" ht="14.45" x14ac:dyDescent="0.3">
      <c r="A866">
        <v>8312</v>
      </c>
      <c r="B866" t="s">
        <v>8584</v>
      </c>
      <c r="C866" t="s">
        <v>5043</v>
      </c>
      <c r="D866" t="s">
        <v>8401</v>
      </c>
    </row>
    <row r="867" spans="1:4" ht="14.45" x14ac:dyDescent="0.3">
      <c r="A867">
        <v>7775</v>
      </c>
      <c r="B867" t="s">
        <v>8585</v>
      </c>
      <c r="C867" t="s">
        <v>5043</v>
      </c>
      <c r="D867" t="s">
        <v>8401</v>
      </c>
    </row>
    <row r="868" spans="1:4" ht="14.45" x14ac:dyDescent="0.3">
      <c r="A868">
        <v>5617</v>
      </c>
      <c r="B868" t="s">
        <v>8586</v>
      </c>
      <c r="C868" t="s">
        <v>5043</v>
      </c>
      <c r="D868" t="s">
        <v>8401</v>
      </c>
    </row>
    <row r="869" spans="1:4" ht="14.45" x14ac:dyDescent="0.3">
      <c r="A869">
        <v>8896</v>
      </c>
      <c r="B869" t="s">
        <v>9746</v>
      </c>
      <c r="C869" t="s">
        <v>5043</v>
      </c>
      <c r="D869" t="s">
        <v>8401</v>
      </c>
    </row>
    <row r="870" spans="1:4" ht="14.45" x14ac:dyDescent="0.3">
      <c r="A870">
        <v>5287</v>
      </c>
      <c r="B870" t="s">
        <v>8587</v>
      </c>
      <c r="C870" t="s">
        <v>5043</v>
      </c>
      <c r="D870" t="s">
        <v>8401</v>
      </c>
    </row>
    <row r="871" spans="1:4" ht="14.45" x14ac:dyDescent="0.3">
      <c r="A871">
        <v>5332</v>
      </c>
      <c r="B871" t="s">
        <v>8588</v>
      </c>
      <c r="C871" t="s">
        <v>5043</v>
      </c>
      <c r="D871" t="s">
        <v>8401</v>
      </c>
    </row>
    <row r="872" spans="1:4" ht="14.45" x14ac:dyDescent="0.3">
      <c r="A872">
        <v>6725</v>
      </c>
      <c r="B872" t="s">
        <v>8588</v>
      </c>
      <c r="C872" t="s">
        <v>5043</v>
      </c>
      <c r="D872" t="s">
        <v>8401</v>
      </c>
    </row>
    <row r="873" spans="1:4" ht="14.45" x14ac:dyDescent="0.3">
      <c r="A873">
        <v>8790</v>
      </c>
      <c r="B873" t="s">
        <v>8588</v>
      </c>
      <c r="C873" t="s">
        <v>5043</v>
      </c>
      <c r="D873" t="s">
        <v>8401</v>
      </c>
    </row>
    <row r="874" spans="1:4" ht="14.45" x14ac:dyDescent="0.3">
      <c r="A874">
        <v>5928</v>
      </c>
      <c r="B874" t="s">
        <v>8589</v>
      </c>
      <c r="C874" t="s">
        <v>5043</v>
      </c>
      <c r="D874" t="s">
        <v>8401</v>
      </c>
    </row>
    <row r="875" spans="1:4" ht="14.45" x14ac:dyDescent="0.3">
      <c r="A875">
        <v>8146</v>
      </c>
      <c r="B875" t="s">
        <v>8590</v>
      </c>
      <c r="C875" t="s">
        <v>5043</v>
      </c>
      <c r="D875" t="s">
        <v>8401</v>
      </c>
    </row>
    <row r="876" spans="1:4" ht="14.45" x14ac:dyDescent="0.3">
      <c r="A876">
        <v>10545</v>
      </c>
      <c r="B876" t="s">
        <v>9747</v>
      </c>
      <c r="C876" t="s">
        <v>5043</v>
      </c>
      <c r="D876" t="s">
        <v>8401</v>
      </c>
    </row>
    <row r="877" spans="1:4" ht="14.45" x14ac:dyDescent="0.3">
      <c r="A877">
        <v>5292</v>
      </c>
      <c r="B877" t="s">
        <v>8591</v>
      </c>
      <c r="C877" t="s">
        <v>5043</v>
      </c>
      <c r="D877" t="s">
        <v>8401</v>
      </c>
    </row>
    <row r="878" spans="1:4" ht="14.45" x14ac:dyDescent="0.3">
      <c r="A878">
        <v>6858</v>
      </c>
      <c r="B878" t="s">
        <v>8592</v>
      </c>
      <c r="C878" t="s">
        <v>5043</v>
      </c>
      <c r="D878" t="s">
        <v>8401</v>
      </c>
    </row>
    <row r="879" spans="1:4" ht="14.45" x14ac:dyDescent="0.3">
      <c r="A879">
        <v>8062</v>
      </c>
      <c r="B879" t="s">
        <v>8592</v>
      </c>
      <c r="C879" t="s">
        <v>5043</v>
      </c>
      <c r="D879" t="s">
        <v>8401</v>
      </c>
    </row>
    <row r="880" spans="1:4" ht="14.45" x14ac:dyDescent="0.3">
      <c r="A880">
        <v>8494</v>
      </c>
      <c r="B880" t="s">
        <v>8592</v>
      </c>
      <c r="C880" t="s">
        <v>5043</v>
      </c>
      <c r="D880" t="s">
        <v>8401</v>
      </c>
    </row>
    <row r="881" spans="1:4" ht="14.45" x14ac:dyDescent="0.3">
      <c r="A881">
        <v>5180</v>
      </c>
      <c r="B881" t="s">
        <v>8593</v>
      </c>
      <c r="C881" t="s">
        <v>5043</v>
      </c>
      <c r="D881" t="s">
        <v>8401</v>
      </c>
    </row>
    <row r="882" spans="1:4" ht="14.45" x14ac:dyDescent="0.3">
      <c r="A882">
        <v>5376</v>
      </c>
      <c r="B882" t="s">
        <v>8593</v>
      </c>
      <c r="C882" t="s">
        <v>5043</v>
      </c>
      <c r="D882" t="s">
        <v>8401</v>
      </c>
    </row>
    <row r="883" spans="1:4" ht="14.45" x14ac:dyDescent="0.3">
      <c r="A883">
        <v>5515</v>
      </c>
      <c r="B883" t="s">
        <v>8593</v>
      </c>
      <c r="C883" t="s">
        <v>5043</v>
      </c>
      <c r="D883" t="s">
        <v>8401</v>
      </c>
    </row>
    <row r="884" spans="1:4" ht="14.45" x14ac:dyDescent="0.3">
      <c r="A884">
        <v>6204</v>
      </c>
      <c r="B884" t="s">
        <v>8593</v>
      </c>
      <c r="C884" t="s">
        <v>5043</v>
      </c>
      <c r="D884" t="s">
        <v>8401</v>
      </c>
    </row>
    <row r="885" spans="1:4" ht="14.45" x14ac:dyDescent="0.3">
      <c r="A885">
        <v>6773</v>
      </c>
      <c r="B885" t="s">
        <v>8593</v>
      </c>
      <c r="C885" t="s">
        <v>5043</v>
      </c>
      <c r="D885" t="s">
        <v>8401</v>
      </c>
    </row>
    <row r="886" spans="1:4" ht="14.45" x14ac:dyDescent="0.3">
      <c r="A886">
        <v>8112</v>
      </c>
      <c r="B886" t="s">
        <v>8593</v>
      </c>
      <c r="C886" t="s">
        <v>5043</v>
      </c>
      <c r="D886" t="s">
        <v>8401</v>
      </c>
    </row>
    <row r="887" spans="1:4" ht="14.45" x14ac:dyDescent="0.3">
      <c r="A887">
        <v>8120</v>
      </c>
      <c r="B887" t="s">
        <v>8593</v>
      </c>
      <c r="C887" t="s">
        <v>5043</v>
      </c>
      <c r="D887" t="s">
        <v>8401</v>
      </c>
    </row>
    <row r="888" spans="1:4" ht="14.45" x14ac:dyDescent="0.3">
      <c r="A888">
        <v>8880</v>
      </c>
      <c r="B888" t="s">
        <v>8593</v>
      </c>
      <c r="C888" t="s">
        <v>5043</v>
      </c>
      <c r="D888" t="s">
        <v>8401</v>
      </c>
    </row>
    <row r="889" spans="1:4" ht="14.45" x14ac:dyDescent="0.3">
      <c r="A889">
        <v>7410</v>
      </c>
      <c r="B889" t="s">
        <v>9748</v>
      </c>
      <c r="C889" t="s">
        <v>5043</v>
      </c>
      <c r="D889" t="s">
        <v>8401</v>
      </c>
    </row>
    <row r="890" spans="1:4" ht="14.45" x14ac:dyDescent="0.3">
      <c r="A890">
        <v>6740</v>
      </c>
      <c r="B890" t="s">
        <v>9749</v>
      </c>
      <c r="C890" t="s">
        <v>5043</v>
      </c>
      <c r="D890" t="s">
        <v>8401</v>
      </c>
    </row>
    <row r="891" spans="1:4" ht="14.45" x14ac:dyDescent="0.3">
      <c r="A891">
        <v>8964</v>
      </c>
      <c r="B891" t="s">
        <v>9749</v>
      </c>
      <c r="C891" t="s">
        <v>5043</v>
      </c>
      <c r="D891" t="s">
        <v>8401</v>
      </c>
    </row>
    <row r="892" spans="1:4" ht="14.45" x14ac:dyDescent="0.3">
      <c r="A892">
        <v>5443</v>
      </c>
      <c r="B892" t="s">
        <v>9750</v>
      </c>
      <c r="C892" t="s">
        <v>5043</v>
      </c>
      <c r="D892" t="s">
        <v>8401</v>
      </c>
    </row>
    <row r="893" spans="1:4" ht="14.45" x14ac:dyDescent="0.3">
      <c r="A893">
        <v>5770</v>
      </c>
      <c r="B893" t="s">
        <v>9750</v>
      </c>
      <c r="C893" t="s">
        <v>5043</v>
      </c>
      <c r="D893" t="s">
        <v>8401</v>
      </c>
    </row>
    <row r="894" spans="1:4" ht="14.45" x14ac:dyDescent="0.3">
      <c r="A894">
        <v>8214</v>
      </c>
      <c r="B894" t="s">
        <v>9750</v>
      </c>
      <c r="C894" t="s">
        <v>5043</v>
      </c>
      <c r="D894" t="s">
        <v>8401</v>
      </c>
    </row>
    <row r="895" spans="1:4" ht="14.45" x14ac:dyDescent="0.3">
      <c r="A895">
        <v>9737</v>
      </c>
      <c r="B895" t="s">
        <v>9750</v>
      </c>
      <c r="C895" t="s">
        <v>5043</v>
      </c>
      <c r="D895" t="s">
        <v>8401</v>
      </c>
    </row>
    <row r="896" spans="1:4" ht="14.45" x14ac:dyDescent="0.3">
      <c r="A896">
        <v>9298</v>
      </c>
      <c r="B896" t="s">
        <v>9751</v>
      </c>
      <c r="C896" t="s">
        <v>5043</v>
      </c>
      <c r="D896" t="s">
        <v>8401</v>
      </c>
    </row>
    <row r="897" spans="1:4" ht="14.45" x14ac:dyDescent="0.3">
      <c r="A897">
        <v>7557</v>
      </c>
      <c r="B897" t="s">
        <v>9752</v>
      </c>
      <c r="C897" t="s">
        <v>5043</v>
      </c>
      <c r="D897" t="s">
        <v>8401</v>
      </c>
    </row>
    <row r="898" spans="1:4" ht="14.45" x14ac:dyDescent="0.3">
      <c r="A898">
        <v>10799</v>
      </c>
      <c r="B898" t="s">
        <v>11548</v>
      </c>
      <c r="C898" t="s">
        <v>5043</v>
      </c>
      <c r="D898" t="s">
        <v>8401</v>
      </c>
    </row>
    <row r="899" spans="1:4" ht="14.45" x14ac:dyDescent="0.3">
      <c r="A899">
        <v>10800</v>
      </c>
      <c r="B899" t="s">
        <v>11548</v>
      </c>
      <c r="C899" t="s">
        <v>5043</v>
      </c>
      <c r="D899" t="s">
        <v>8401</v>
      </c>
    </row>
    <row r="900" spans="1:4" ht="14.45" x14ac:dyDescent="0.3">
      <c r="A900">
        <v>10828</v>
      </c>
      <c r="B900" t="s">
        <v>11549</v>
      </c>
      <c r="C900" t="s">
        <v>5043</v>
      </c>
      <c r="D900" t="s">
        <v>8401</v>
      </c>
    </row>
    <row r="901" spans="1:4" ht="14.45" x14ac:dyDescent="0.3">
      <c r="A901">
        <v>10827</v>
      </c>
      <c r="B901" t="s">
        <v>11550</v>
      </c>
      <c r="C901" t="s">
        <v>5043</v>
      </c>
      <c r="D901" t="s">
        <v>8401</v>
      </c>
    </row>
    <row r="902" spans="1:4" ht="14.45" x14ac:dyDescent="0.3">
      <c r="A902">
        <v>6048</v>
      </c>
      <c r="B902" t="s">
        <v>9753</v>
      </c>
      <c r="C902" t="s">
        <v>5043</v>
      </c>
      <c r="D902" t="s">
        <v>8401</v>
      </c>
    </row>
    <row r="903" spans="1:4" ht="14.45" x14ac:dyDescent="0.3">
      <c r="A903">
        <v>6386</v>
      </c>
      <c r="B903" t="s">
        <v>9754</v>
      </c>
      <c r="C903" t="s">
        <v>5043</v>
      </c>
      <c r="D903" t="s">
        <v>8401</v>
      </c>
    </row>
    <row r="904" spans="1:4" ht="14.45" x14ac:dyDescent="0.3">
      <c r="A904">
        <v>6676</v>
      </c>
      <c r="B904" t="s">
        <v>9755</v>
      </c>
      <c r="C904" t="s">
        <v>5043</v>
      </c>
      <c r="D904" t="s">
        <v>8401</v>
      </c>
    </row>
    <row r="905" spans="1:4" ht="14.45" x14ac:dyDescent="0.3">
      <c r="A905">
        <v>7262</v>
      </c>
      <c r="B905" t="s">
        <v>9755</v>
      </c>
      <c r="C905" t="s">
        <v>5043</v>
      </c>
      <c r="D905" t="s">
        <v>8401</v>
      </c>
    </row>
    <row r="906" spans="1:4" ht="14.45" x14ac:dyDescent="0.3">
      <c r="A906">
        <v>5405</v>
      </c>
      <c r="B906" t="s">
        <v>9756</v>
      </c>
      <c r="C906" t="s">
        <v>5043</v>
      </c>
      <c r="D906" t="s">
        <v>8401</v>
      </c>
    </row>
    <row r="907" spans="1:4" ht="14.45" x14ac:dyDescent="0.3">
      <c r="A907">
        <v>5689</v>
      </c>
      <c r="B907" t="s">
        <v>9757</v>
      </c>
      <c r="C907" t="s">
        <v>5043</v>
      </c>
      <c r="D907" t="s">
        <v>8401</v>
      </c>
    </row>
    <row r="908" spans="1:4" ht="14.45" x14ac:dyDescent="0.3">
      <c r="A908">
        <v>9426</v>
      </c>
      <c r="B908" t="s">
        <v>9758</v>
      </c>
      <c r="C908" t="s">
        <v>5043</v>
      </c>
      <c r="D908" t="s">
        <v>8401</v>
      </c>
    </row>
    <row r="909" spans="1:4" ht="14.45" x14ac:dyDescent="0.3">
      <c r="A909">
        <v>8026</v>
      </c>
      <c r="B909" t="s">
        <v>9759</v>
      </c>
      <c r="C909" t="s">
        <v>5043</v>
      </c>
      <c r="D909" t="s">
        <v>8401</v>
      </c>
    </row>
    <row r="910" spans="1:4" ht="14.45" x14ac:dyDescent="0.3">
      <c r="A910">
        <v>7145</v>
      </c>
      <c r="B910" t="s">
        <v>8594</v>
      </c>
      <c r="C910" t="s">
        <v>5043</v>
      </c>
      <c r="D910" t="s">
        <v>8401</v>
      </c>
    </row>
    <row r="911" spans="1:4" ht="14.45" x14ac:dyDescent="0.3">
      <c r="A911">
        <v>6988</v>
      </c>
      <c r="B911" t="s">
        <v>9760</v>
      </c>
      <c r="C911" t="s">
        <v>5043</v>
      </c>
      <c r="D911" t="s">
        <v>8401</v>
      </c>
    </row>
    <row r="912" spans="1:4" ht="14.45" x14ac:dyDescent="0.3">
      <c r="A912">
        <v>7621</v>
      </c>
      <c r="B912" t="s">
        <v>9760</v>
      </c>
      <c r="C912" t="s">
        <v>5043</v>
      </c>
      <c r="D912" t="s">
        <v>8401</v>
      </c>
    </row>
    <row r="913" spans="1:4" ht="14.45" x14ac:dyDescent="0.3">
      <c r="A913">
        <v>8126</v>
      </c>
      <c r="B913" t="s">
        <v>9760</v>
      </c>
      <c r="C913" t="s">
        <v>5043</v>
      </c>
      <c r="D913" t="s">
        <v>8401</v>
      </c>
    </row>
    <row r="914" spans="1:4" ht="14.45" x14ac:dyDescent="0.3">
      <c r="A914">
        <v>8272</v>
      </c>
      <c r="B914" t="s">
        <v>9760</v>
      </c>
      <c r="C914" t="s">
        <v>5043</v>
      </c>
      <c r="D914" t="s">
        <v>8401</v>
      </c>
    </row>
    <row r="915" spans="1:4" ht="14.45" x14ac:dyDescent="0.3">
      <c r="A915">
        <v>8431</v>
      </c>
      <c r="B915" t="s">
        <v>9760</v>
      </c>
      <c r="C915" t="s">
        <v>5043</v>
      </c>
      <c r="D915" t="s">
        <v>8401</v>
      </c>
    </row>
    <row r="916" spans="1:4" ht="14.45" x14ac:dyDescent="0.3">
      <c r="A916">
        <v>6654</v>
      </c>
      <c r="B916" t="s">
        <v>9761</v>
      </c>
      <c r="C916" t="s">
        <v>5043</v>
      </c>
      <c r="D916" t="s">
        <v>8401</v>
      </c>
    </row>
    <row r="917" spans="1:4" ht="14.45" x14ac:dyDescent="0.3">
      <c r="A917">
        <v>5408</v>
      </c>
      <c r="B917" t="s">
        <v>9762</v>
      </c>
      <c r="C917" t="s">
        <v>5043</v>
      </c>
      <c r="D917" t="s">
        <v>8401</v>
      </c>
    </row>
    <row r="918" spans="1:4" ht="14.45" x14ac:dyDescent="0.3">
      <c r="A918">
        <v>5958</v>
      </c>
      <c r="B918" t="s">
        <v>9763</v>
      </c>
      <c r="C918" t="s">
        <v>5043</v>
      </c>
      <c r="D918" t="s">
        <v>8401</v>
      </c>
    </row>
    <row r="919" spans="1:4" ht="14.45" x14ac:dyDescent="0.3">
      <c r="A919">
        <v>7802</v>
      </c>
      <c r="B919" t="s">
        <v>9764</v>
      </c>
      <c r="C919" t="s">
        <v>5043</v>
      </c>
      <c r="D919" t="s">
        <v>8401</v>
      </c>
    </row>
    <row r="920" spans="1:4" ht="14.45" x14ac:dyDescent="0.3">
      <c r="A920">
        <v>9325</v>
      </c>
      <c r="B920" t="s">
        <v>9765</v>
      </c>
      <c r="C920" t="s">
        <v>5043</v>
      </c>
      <c r="D920" t="s">
        <v>8401</v>
      </c>
    </row>
    <row r="921" spans="1:4" ht="14.45" x14ac:dyDescent="0.3">
      <c r="A921">
        <v>6886</v>
      </c>
      <c r="B921" t="s">
        <v>9766</v>
      </c>
      <c r="C921" t="s">
        <v>5043</v>
      </c>
      <c r="D921" t="s">
        <v>8401</v>
      </c>
    </row>
    <row r="922" spans="1:4" ht="14.45" x14ac:dyDescent="0.3">
      <c r="A922">
        <v>7951</v>
      </c>
      <c r="B922" t="s">
        <v>9766</v>
      </c>
      <c r="C922" t="s">
        <v>5043</v>
      </c>
      <c r="D922" t="s">
        <v>8401</v>
      </c>
    </row>
    <row r="923" spans="1:4" ht="14.45" x14ac:dyDescent="0.3">
      <c r="A923">
        <v>7900</v>
      </c>
      <c r="B923" t="s">
        <v>9767</v>
      </c>
      <c r="C923" t="s">
        <v>5043</v>
      </c>
      <c r="D923" t="s">
        <v>8401</v>
      </c>
    </row>
    <row r="924" spans="1:4" ht="14.45" x14ac:dyDescent="0.3">
      <c r="A924">
        <v>5400</v>
      </c>
      <c r="B924" t="s">
        <v>9768</v>
      </c>
      <c r="C924" t="s">
        <v>5043</v>
      </c>
      <c r="D924" t="s">
        <v>8401</v>
      </c>
    </row>
    <row r="925" spans="1:4" ht="14.45" x14ac:dyDescent="0.3">
      <c r="A925">
        <v>7898</v>
      </c>
      <c r="B925" t="s">
        <v>9768</v>
      </c>
      <c r="C925" t="s">
        <v>5043</v>
      </c>
      <c r="D925" t="s">
        <v>8401</v>
      </c>
    </row>
    <row r="926" spans="1:4" ht="14.45" x14ac:dyDescent="0.3">
      <c r="A926">
        <v>8738</v>
      </c>
      <c r="B926" t="s">
        <v>9768</v>
      </c>
      <c r="C926" t="s">
        <v>5043</v>
      </c>
      <c r="D926" t="s">
        <v>8401</v>
      </c>
    </row>
    <row r="927" spans="1:4" ht="14.45" x14ac:dyDescent="0.3">
      <c r="A927">
        <v>9462</v>
      </c>
      <c r="B927" t="s">
        <v>9768</v>
      </c>
      <c r="C927" t="s">
        <v>5043</v>
      </c>
      <c r="D927" t="s">
        <v>8401</v>
      </c>
    </row>
    <row r="928" spans="1:4" ht="14.45" x14ac:dyDescent="0.3">
      <c r="A928">
        <v>9220</v>
      </c>
      <c r="B928" t="s">
        <v>9769</v>
      </c>
      <c r="C928" t="s">
        <v>5043</v>
      </c>
      <c r="D928" t="s">
        <v>8401</v>
      </c>
    </row>
    <row r="929" spans="1:4" ht="14.45" x14ac:dyDescent="0.3">
      <c r="A929">
        <v>5274</v>
      </c>
      <c r="B929" t="s">
        <v>9770</v>
      </c>
      <c r="C929" t="s">
        <v>5043</v>
      </c>
      <c r="D929" t="s">
        <v>8401</v>
      </c>
    </row>
    <row r="930" spans="1:4" ht="14.45" x14ac:dyDescent="0.3">
      <c r="A930">
        <v>8274</v>
      </c>
      <c r="B930" t="s">
        <v>9771</v>
      </c>
      <c r="C930" t="s">
        <v>5043</v>
      </c>
      <c r="D930" t="s">
        <v>8401</v>
      </c>
    </row>
    <row r="931" spans="1:4" ht="14.45" x14ac:dyDescent="0.3">
      <c r="A931">
        <v>8526</v>
      </c>
      <c r="B931" t="s">
        <v>9771</v>
      </c>
      <c r="C931" t="s">
        <v>5043</v>
      </c>
      <c r="D931" t="s">
        <v>8401</v>
      </c>
    </row>
    <row r="932" spans="1:4" ht="14.45" x14ac:dyDescent="0.3">
      <c r="A932">
        <v>9183</v>
      </c>
      <c r="B932" t="s">
        <v>9772</v>
      </c>
      <c r="C932" t="s">
        <v>5043</v>
      </c>
      <c r="D932" t="s">
        <v>8401</v>
      </c>
    </row>
    <row r="933" spans="1:4" ht="14.45" x14ac:dyDescent="0.3">
      <c r="A933">
        <v>5444</v>
      </c>
      <c r="B933" t="s">
        <v>9773</v>
      </c>
      <c r="C933" t="s">
        <v>5043</v>
      </c>
      <c r="D933" t="s">
        <v>8401</v>
      </c>
    </row>
    <row r="934" spans="1:4" ht="14.45" x14ac:dyDescent="0.3">
      <c r="A934">
        <v>8715</v>
      </c>
      <c r="B934" t="s">
        <v>9773</v>
      </c>
      <c r="C934" t="s">
        <v>5043</v>
      </c>
      <c r="D934" t="s">
        <v>8401</v>
      </c>
    </row>
    <row r="935" spans="1:4" ht="14.45" x14ac:dyDescent="0.3">
      <c r="A935">
        <v>9246</v>
      </c>
      <c r="B935" t="s">
        <v>9773</v>
      </c>
      <c r="C935" t="s">
        <v>5043</v>
      </c>
      <c r="D935" t="s">
        <v>8401</v>
      </c>
    </row>
    <row r="936" spans="1:4" ht="14.45" x14ac:dyDescent="0.3">
      <c r="A936">
        <v>6399</v>
      </c>
      <c r="B936" t="s">
        <v>9774</v>
      </c>
      <c r="C936" t="s">
        <v>5043</v>
      </c>
      <c r="D936" t="s">
        <v>8401</v>
      </c>
    </row>
    <row r="937" spans="1:4" ht="14.45" x14ac:dyDescent="0.3">
      <c r="A937">
        <v>5046</v>
      </c>
      <c r="B937" t="s">
        <v>9775</v>
      </c>
      <c r="C937" t="s">
        <v>5043</v>
      </c>
      <c r="D937" t="s">
        <v>8401</v>
      </c>
    </row>
    <row r="938" spans="1:4" ht="14.45" x14ac:dyDescent="0.3">
      <c r="A938">
        <v>5258</v>
      </c>
      <c r="B938" t="s">
        <v>8595</v>
      </c>
      <c r="C938" t="s">
        <v>5043</v>
      </c>
      <c r="D938" t="s">
        <v>8401</v>
      </c>
    </row>
    <row r="939" spans="1:4" ht="14.45" x14ac:dyDescent="0.3">
      <c r="A939">
        <v>7199</v>
      </c>
      <c r="B939" t="s">
        <v>8595</v>
      </c>
      <c r="C939" t="s">
        <v>5043</v>
      </c>
      <c r="D939" t="s">
        <v>8401</v>
      </c>
    </row>
    <row r="940" spans="1:4" ht="14.45" x14ac:dyDescent="0.3">
      <c r="A940">
        <v>9088</v>
      </c>
      <c r="B940" t="s">
        <v>8595</v>
      </c>
      <c r="C940" t="s">
        <v>5043</v>
      </c>
      <c r="D940" t="s">
        <v>8401</v>
      </c>
    </row>
    <row r="941" spans="1:4" ht="14.45" x14ac:dyDescent="0.3">
      <c r="A941">
        <v>6493</v>
      </c>
      <c r="B941" t="s">
        <v>9776</v>
      </c>
      <c r="C941" t="s">
        <v>5043</v>
      </c>
      <c r="D941" t="s">
        <v>8401</v>
      </c>
    </row>
    <row r="942" spans="1:4" ht="14.45" x14ac:dyDescent="0.3">
      <c r="A942">
        <v>5845</v>
      </c>
      <c r="B942" t="s">
        <v>9777</v>
      </c>
      <c r="C942" t="s">
        <v>5043</v>
      </c>
      <c r="D942" t="s">
        <v>8401</v>
      </c>
    </row>
    <row r="943" spans="1:4" ht="14.45" x14ac:dyDescent="0.3">
      <c r="A943">
        <v>9784</v>
      </c>
      <c r="B943" t="s">
        <v>9777</v>
      </c>
      <c r="C943" t="s">
        <v>5043</v>
      </c>
      <c r="D943" t="s">
        <v>8401</v>
      </c>
    </row>
    <row r="944" spans="1:4" ht="14.45" x14ac:dyDescent="0.3">
      <c r="A944">
        <v>7847</v>
      </c>
      <c r="B944" t="s">
        <v>9778</v>
      </c>
      <c r="C944" t="s">
        <v>5043</v>
      </c>
      <c r="D944" t="s">
        <v>8401</v>
      </c>
    </row>
    <row r="945" spans="1:4" ht="14.45" x14ac:dyDescent="0.3">
      <c r="A945">
        <v>8172</v>
      </c>
      <c r="B945" t="s">
        <v>9778</v>
      </c>
      <c r="C945" t="s">
        <v>5043</v>
      </c>
      <c r="D945" t="s">
        <v>8401</v>
      </c>
    </row>
    <row r="946" spans="1:4" ht="14.45" x14ac:dyDescent="0.3">
      <c r="A946">
        <v>9690</v>
      </c>
      <c r="B946" t="s">
        <v>9779</v>
      </c>
      <c r="C946" t="s">
        <v>5043</v>
      </c>
      <c r="D946" t="s">
        <v>8401</v>
      </c>
    </row>
    <row r="947" spans="1:4" ht="14.45" x14ac:dyDescent="0.3">
      <c r="A947">
        <v>6701</v>
      </c>
      <c r="B947" t="s">
        <v>9780</v>
      </c>
      <c r="C947" t="s">
        <v>5043</v>
      </c>
      <c r="D947" t="s">
        <v>8401</v>
      </c>
    </row>
    <row r="948" spans="1:4" ht="14.45" x14ac:dyDescent="0.3">
      <c r="A948">
        <v>5893</v>
      </c>
      <c r="B948" t="s">
        <v>9781</v>
      </c>
      <c r="C948" t="s">
        <v>5043</v>
      </c>
      <c r="D948" t="s">
        <v>8401</v>
      </c>
    </row>
    <row r="949" spans="1:4" ht="14.45" x14ac:dyDescent="0.3">
      <c r="A949">
        <v>5906</v>
      </c>
      <c r="B949" t="s">
        <v>9781</v>
      </c>
      <c r="C949" t="s">
        <v>5043</v>
      </c>
      <c r="D949" t="s">
        <v>8401</v>
      </c>
    </row>
    <row r="950" spans="1:4" ht="14.45" x14ac:dyDescent="0.3">
      <c r="A950">
        <v>6337</v>
      </c>
      <c r="B950" t="s">
        <v>9781</v>
      </c>
      <c r="C950" t="s">
        <v>5043</v>
      </c>
      <c r="D950" t="s">
        <v>8401</v>
      </c>
    </row>
    <row r="951" spans="1:4" ht="14.45" x14ac:dyDescent="0.3">
      <c r="A951">
        <v>7034</v>
      </c>
      <c r="B951" t="s">
        <v>9781</v>
      </c>
      <c r="C951" t="s">
        <v>5043</v>
      </c>
      <c r="D951" t="s">
        <v>8401</v>
      </c>
    </row>
    <row r="952" spans="1:4" ht="14.45" x14ac:dyDescent="0.3">
      <c r="A952">
        <v>8072</v>
      </c>
      <c r="B952" t="s">
        <v>9781</v>
      </c>
      <c r="C952" t="s">
        <v>5043</v>
      </c>
      <c r="D952" t="s">
        <v>8401</v>
      </c>
    </row>
    <row r="953" spans="1:4" ht="14.45" x14ac:dyDescent="0.3">
      <c r="A953">
        <v>7470</v>
      </c>
      <c r="B953" t="s">
        <v>9782</v>
      </c>
      <c r="C953" t="s">
        <v>5043</v>
      </c>
      <c r="D953" t="s">
        <v>8401</v>
      </c>
    </row>
    <row r="954" spans="1:4" ht="14.45" x14ac:dyDescent="0.3">
      <c r="A954">
        <v>9619</v>
      </c>
      <c r="B954" t="s">
        <v>9782</v>
      </c>
      <c r="C954" t="s">
        <v>5043</v>
      </c>
      <c r="D954" t="s">
        <v>8401</v>
      </c>
    </row>
    <row r="955" spans="1:4" ht="14.45" x14ac:dyDescent="0.3">
      <c r="A955">
        <v>6301</v>
      </c>
      <c r="B955" t="s">
        <v>9783</v>
      </c>
      <c r="C955" t="s">
        <v>5043</v>
      </c>
      <c r="D955" t="s">
        <v>8401</v>
      </c>
    </row>
    <row r="956" spans="1:4" ht="14.45" x14ac:dyDescent="0.3">
      <c r="A956">
        <v>7162</v>
      </c>
      <c r="B956" t="s">
        <v>9783</v>
      </c>
      <c r="C956" t="s">
        <v>5043</v>
      </c>
      <c r="D956" t="s">
        <v>8401</v>
      </c>
    </row>
    <row r="957" spans="1:4" ht="14.45" x14ac:dyDescent="0.3">
      <c r="A957">
        <v>8803</v>
      </c>
      <c r="B957" t="s">
        <v>9783</v>
      </c>
      <c r="C957" t="s">
        <v>5043</v>
      </c>
      <c r="D957" t="s">
        <v>8401</v>
      </c>
    </row>
    <row r="958" spans="1:4" ht="14.45" x14ac:dyDescent="0.3">
      <c r="A958">
        <v>9743</v>
      </c>
      <c r="B958" t="s">
        <v>9783</v>
      </c>
      <c r="C958" t="s">
        <v>5043</v>
      </c>
      <c r="D958" t="s">
        <v>8401</v>
      </c>
    </row>
    <row r="959" spans="1:4" ht="14.45" x14ac:dyDescent="0.3">
      <c r="A959">
        <v>7317</v>
      </c>
      <c r="B959" t="s">
        <v>9784</v>
      </c>
      <c r="C959" t="s">
        <v>5043</v>
      </c>
      <c r="D959" t="s">
        <v>8401</v>
      </c>
    </row>
    <row r="960" spans="1:4" ht="14.45" x14ac:dyDescent="0.3">
      <c r="A960">
        <v>8355</v>
      </c>
      <c r="B960" t="s">
        <v>9784</v>
      </c>
      <c r="C960" t="s">
        <v>5043</v>
      </c>
      <c r="D960" t="s">
        <v>8401</v>
      </c>
    </row>
    <row r="961" spans="1:4" ht="14.45" x14ac:dyDescent="0.3">
      <c r="A961">
        <v>6050</v>
      </c>
      <c r="B961" t="s">
        <v>9785</v>
      </c>
      <c r="C961" t="s">
        <v>5043</v>
      </c>
      <c r="D961" t="s">
        <v>8401</v>
      </c>
    </row>
    <row r="962" spans="1:4" ht="14.45" x14ac:dyDescent="0.3">
      <c r="A962">
        <v>8291</v>
      </c>
      <c r="B962" t="s">
        <v>9785</v>
      </c>
      <c r="C962" t="s">
        <v>5043</v>
      </c>
      <c r="D962" t="s">
        <v>8401</v>
      </c>
    </row>
    <row r="963" spans="1:4" ht="14.45" x14ac:dyDescent="0.3">
      <c r="A963">
        <v>5655</v>
      </c>
      <c r="B963" t="s">
        <v>9786</v>
      </c>
      <c r="C963" t="s">
        <v>5043</v>
      </c>
      <c r="D963" t="s">
        <v>8401</v>
      </c>
    </row>
    <row r="964" spans="1:4" ht="14.45" x14ac:dyDescent="0.3">
      <c r="A964">
        <v>7121</v>
      </c>
      <c r="B964" t="s">
        <v>9787</v>
      </c>
      <c r="C964" t="s">
        <v>5043</v>
      </c>
      <c r="D964" t="s">
        <v>8401</v>
      </c>
    </row>
    <row r="965" spans="1:4" ht="14.45" x14ac:dyDescent="0.3">
      <c r="A965">
        <v>10809</v>
      </c>
      <c r="B965" t="s">
        <v>11551</v>
      </c>
      <c r="C965" t="s">
        <v>5043</v>
      </c>
      <c r="D965" t="s">
        <v>8401</v>
      </c>
    </row>
    <row r="966" spans="1:4" ht="14.45" x14ac:dyDescent="0.3">
      <c r="A966">
        <v>6109</v>
      </c>
      <c r="B966" t="s">
        <v>8596</v>
      </c>
      <c r="C966" t="s">
        <v>5043</v>
      </c>
      <c r="D966" t="s">
        <v>8401</v>
      </c>
    </row>
    <row r="967" spans="1:4" ht="14.45" x14ac:dyDescent="0.3">
      <c r="A967">
        <v>8079</v>
      </c>
      <c r="B967" t="s">
        <v>8596</v>
      </c>
      <c r="C967" t="s">
        <v>5043</v>
      </c>
      <c r="D967" t="s">
        <v>8401</v>
      </c>
    </row>
    <row r="968" spans="1:4" ht="14.45" x14ac:dyDescent="0.3">
      <c r="A968">
        <v>8426</v>
      </c>
      <c r="B968" t="s">
        <v>8597</v>
      </c>
      <c r="C968" t="s">
        <v>5043</v>
      </c>
      <c r="D968" t="s">
        <v>8401</v>
      </c>
    </row>
    <row r="969" spans="1:4" ht="14.45" x14ac:dyDescent="0.3">
      <c r="A969">
        <v>8682</v>
      </c>
      <c r="B969" t="s">
        <v>8597</v>
      </c>
      <c r="C969" t="s">
        <v>5043</v>
      </c>
      <c r="D969" t="s">
        <v>8401</v>
      </c>
    </row>
    <row r="970" spans="1:4" ht="14.45" x14ac:dyDescent="0.3">
      <c r="A970">
        <v>5495</v>
      </c>
      <c r="B970" t="s">
        <v>8598</v>
      </c>
      <c r="C970" t="s">
        <v>5043</v>
      </c>
      <c r="D970" t="s">
        <v>8401</v>
      </c>
    </row>
    <row r="971" spans="1:4" ht="14.45" x14ac:dyDescent="0.3">
      <c r="A971">
        <v>6129</v>
      </c>
      <c r="B971" t="s">
        <v>9788</v>
      </c>
      <c r="C971" t="s">
        <v>5043</v>
      </c>
      <c r="D971" t="s">
        <v>8401</v>
      </c>
    </row>
    <row r="972" spans="1:4" ht="14.45" x14ac:dyDescent="0.3">
      <c r="A972">
        <v>6456</v>
      </c>
      <c r="B972" t="s">
        <v>9788</v>
      </c>
      <c r="C972" t="s">
        <v>5043</v>
      </c>
      <c r="D972" t="s">
        <v>8401</v>
      </c>
    </row>
    <row r="973" spans="1:4" ht="14.45" x14ac:dyDescent="0.3">
      <c r="A973">
        <v>9621</v>
      </c>
      <c r="B973" t="s">
        <v>9788</v>
      </c>
      <c r="C973" t="s">
        <v>5043</v>
      </c>
      <c r="D973" t="s">
        <v>8401</v>
      </c>
    </row>
    <row r="974" spans="1:4" ht="14.45" x14ac:dyDescent="0.3">
      <c r="A974">
        <v>7550</v>
      </c>
      <c r="B974" t="s">
        <v>9789</v>
      </c>
      <c r="C974" t="s">
        <v>5043</v>
      </c>
      <c r="D974" t="s">
        <v>8401</v>
      </c>
    </row>
    <row r="975" spans="1:4" ht="14.45" x14ac:dyDescent="0.3">
      <c r="A975">
        <v>6365</v>
      </c>
      <c r="B975" t="s">
        <v>9561</v>
      </c>
      <c r="C975" t="s">
        <v>5043</v>
      </c>
      <c r="D975" t="s">
        <v>8401</v>
      </c>
    </row>
    <row r="976" spans="1:4" ht="14.45" x14ac:dyDescent="0.3">
      <c r="A976">
        <v>6560</v>
      </c>
      <c r="B976" t="s">
        <v>9561</v>
      </c>
      <c r="C976" t="s">
        <v>5043</v>
      </c>
      <c r="D976" t="s">
        <v>8401</v>
      </c>
    </row>
    <row r="977" spans="1:4" ht="14.45" x14ac:dyDescent="0.3">
      <c r="A977">
        <v>9151</v>
      </c>
      <c r="B977" t="s">
        <v>9561</v>
      </c>
      <c r="C977" t="s">
        <v>5043</v>
      </c>
      <c r="D977" t="s">
        <v>8401</v>
      </c>
    </row>
    <row r="978" spans="1:4" ht="14.45" x14ac:dyDescent="0.3">
      <c r="A978">
        <v>5199</v>
      </c>
      <c r="B978" t="s">
        <v>9790</v>
      </c>
      <c r="C978" t="s">
        <v>5043</v>
      </c>
      <c r="D978" t="s">
        <v>8401</v>
      </c>
    </row>
    <row r="979" spans="1:4" ht="14.45" x14ac:dyDescent="0.3">
      <c r="A979">
        <v>6891</v>
      </c>
      <c r="B979" t="s">
        <v>9791</v>
      </c>
      <c r="C979" t="s">
        <v>5043</v>
      </c>
      <c r="D979" t="s">
        <v>8401</v>
      </c>
    </row>
    <row r="980" spans="1:4" ht="14.45" x14ac:dyDescent="0.3">
      <c r="A980">
        <v>5413</v>
      </c>
      <c r="B980" t="s">
        <v>8599</v>
      </c>
      <c r="C980" t="s">
        <v>5043</v>
      </c>
      <c r="D980" t="s">
        <v>8401</v>
      </c>
    </row>
    <row r="981" spans="1:4" ht="14.45" x14ac:dyDescent="0.3">
      <c r="A981">
        <v>6215</v>
      </c>
      <c r="B981" t="s">
        <v>8599</v>
      </c>
      <c r="C981" t="s">
        <v>5043</v>
      </c>
      <c r="D981" t="s">
        <v>8401</v>
      </c>
    </row>
    <row r="982" spans="1:4" ht="14.45" x14ac:dyDescent="0.3">
      <c r="A982">
        <v>8203</v>
      </c>
      <c r="B982" t="s">
        <v>8600</v>
      </c>
      <c r="C982" t="s">
        <v>5043</v>
      </c>
      <c r="D982" t="s">
        <v>8401</v>
      </c>
    </row>
    <row r="983" spans="1:4" ht="14.45" x14ac:dyDescent="0.3">
      <c r="A983">
        <v>7911</v>
      </c>
      <c r="B983" t="s">
        <v>9792</v>
      </c>
      <c r="C983" t="s">
        <v>5043</v>
      </c>
      <c r="D983" t="s">
        <v>8401</v>
      </c>
    </row>
    <row r="984" spans="1:4" ht="14.45" x14ac:dyDescent="0.3">
      <c r="A984">
        <v>6128</v>
      </c>
      <c r="B984" t="s">
        <v>9793</v>
      </c>
      <c r="C984" t="s">
        <v>5043</v>
      </c>
      <c r="D984" t="s">
        <v>8401</v>
      </c>
    </row>
    <row r="985" spans="1:4" ht="14.45" x14ac:dyDescent="0.3">
      <c r="A985">
        <v>6938</v>
      </c>
      <c r="B985" t="s">
        <v>9794</v>
      </c>
      <c r="C985" t="s">
        <v>5043</v>
      </c>
      <c r="D985" t="s">
        <v>8401</v>
      </c>
    </row>
    <row r="986" spans="1:4" ht="14.45" x14ac:dyDescent="0.3">
      <c r="A986">
        <v>5378</v>
      </c>
      <c r="B986" t="s">
        <v>9795</v>
      </c>
      <c r="C986" t="s">
        <v>5043</v>
      </c>
      <c r="D986" t="s">
        <v>8401</v>
      </c>
    </row>
    <row r="987" spans="1:4" ht="14.45" x14ac:dyDescent="0.3">
      <c r="A987">
        <v>5532</v>
      </c>
      <c r="B987" t="s">
        <v>9795</v>
      </c>
      <c r="C987" t="s">
        <v>5043</v>
      </c>
      <c r="D987" t="s">
        <v>8401</v>
      </c>
    </row>
    <row r="988" spans="1:4" ht="14.45" x14ac:dyDescent="0.3">
      <c r="A988">
        <v>6741</v>
      </c>
      <c r="B988" t="s">
        <v>9795</v>
      </c>
      <c r="C988" t="s">
        <v>5043</v>
      </c>
      <c r="D988" t="s">
        <v>8401</v>
      </c>
    </row>
    <row r="989" spans="1:4" ht="14.45" x14ac:dyDescent="0.3">
      <c r="A989">
        <v>8134</v>
      </c>
      <c r="B989" t="s">
        <v>9795</v>
      </c>
      <c r="C989" t="s">
        <v>5043</v>
      </c>
      <c r="D989" t="s">
        <v>8401</v>
      </c>
    </row>
    <row r="990" spans="1:4" ht="14.45" x14ac:dyDescent="0.3">
      <c r="A990">
        <v>8137</v>
      </c>
      <c r="B990" t="s">
        <v>9795</v>
      </c>
      <c r="C990" t="s">
        <v>5043</v>
      </c>
      <c r="D990" t="s">
        <v>8401</v>
      </c>
    </row>
    <row r="991" spans="1:4" ht="14.45" x14ac:dyDescent="0.3">
      <c r="A991">
        <v>9744</v>
      </c>
      <c r="B991" t="s">
        <v>9795</v>
      </c>
      <c r="C991" t="s">
        <v>5043</v>
      </c>
      <c r="D991" t="s">
        <v>8401</v>
      </c>
    </row>
    <row r="992" spans="1:4" ht="14.45" x14ac:dyDescent="0.3">
      <c r="A992">
        <v>10748</v>
      </c>
      <c r="B992" t="s">
        <v>9796</v>
      </c>
      <c r="C992" t="s">
        <v>5043</v>
      </c>
      <c r="D992" t="s">
        <v>8401</v>
      </c>
    </row>
    <row r="993" spans="1:4" ht="14.45" x14ac:dyDescent="0.3">
      <c r="A993">
        <v>7013</v>
      </c>
      <c r="B993" t="s">
        <v>9797</v>
      </c>
      <c r="C993" t="s">
        <v>5043</v>
      </c>
      <c r="D993" t="s">
        <v>8401</v>
      </c>
    </row>
    <row r="994" spans="1:4" ht="14.45" x14ac:dyDescent="0.3">
      <c r="A994">
        <v>9326</v>
      </c>
      <c r="B994" t="s">
        <v>9797</v>
      </c>
      <c r="C994" t="s">
        <v>5043</v>
      </c>
      <c r="D994" t="s">
        <v>8401</v>
      </c>
    </row>
    <row r="995" spans="1:4" ht="14.45" x14ac:dyDescent="0.3">
      <c r="A995">
        <v>8498</v>
      </c>
      <c r="B995" t="s">
        <v>9798</v>
      </c>
      <c r="C995" t="s">
        <v>5043</v>
      </c>
      <c r="D995" t="s">
        <v>8401</v>
      </c>
    </row>
    <row r="996" spans="1:4" ht="14.45" x14ac:dyDescent="0.3">
      <c r="A996">
        <v>8908</v>
      </c>
      <c r="B996" t="s">
        <v>9798</v>
      </c>
      <c r="C996" t="s">
        <v>5043</v>
      </c>
      <c r="D996" t="s">
        <v>8401</v>
      </c>
    </row>
    <row r="997" spans="1:4" ht="14.45" x14ac:dyDescent="0.3">
      <c r="A997">
        <v>6185</v>
      </c>
      <c r="B997" t="s">
        <v>9799</v>
      </c>
      <c r="C997" t="s">
        <v>5043</v>
      </c>
      <c r="D997" t="s">
        <v>8401</v>
      </c>
    </row>
    <row r="998" spans="1:4" ht="14.45" x14ac:dyDescent="0.3">
      <c r="A998">
        <v>6690</v>
      </c>
      <c r="B998" t="s">
        <v>8601</v>
      </c>
      <c r="C998" t="s">
        <v>5043</v>
      </c>
      <c r="D998" t="s">
        <v>8401</v>
      </c>
    </row>
    <row r="999" spans="1:4" ht="14.45" x14ac:dyDescent="0.3">
      <c r="A999">
        <v>7832</v>
      </c>
      <c r="B999" t="s">
        <v>8601</v>
      </c>
      <c r="C999" t="s">
        <v>5043</v>
      </c>
      <c r="D999" t="s">
        <v>8401</v>
      </c>
    </row>
    <row r="1000" spans="1:4" ht="14.45" x14ac:dyDescent="0.3">
      <c r="A1000">
        <v>9370</v>
      </c>
      <c r="B1000" t="s">
        <v>9800</v>
      </c>
      <c r="C1000" t="s">
        <v>5043</v>
      </c>
      <c r="D1000" t="s">
        <v>8401</v>
      </c>
    </row>
    <row r="1001" spans="1:4" ht="14.45" x14ac:dyDescent="0.3">
      <c r="A1001">
        <v>7975</v>
      </c>
      <c r="B1001" t="s">
        <v>9801</v>
      </c>
      <c r="C1001" t="s">
        <v>5043</v>
      </c>
      <c r="D1001" t="s">
        <v>8401</v>
      </c>
    </row>
    <row r="1002" spans="1:4" ht="14.45" x14ac:dyDescent="0.3">
      <c r="A1002">
        <v>8862</v>
      </c>
      <c r="B1002" t="s">
        <v>9801</v>
      </c>
      <c r="C1002" t="s">
        <v>5043</v>
      </c>
      <c r="D1002" t="s">
        <v>8401</v>
      </c>
    </row>
    <row r="1003" spans="1:4" ht="14.45" x14ac:dyDescent="0.3">
      <c r="A1003">
        <v>5662</v>
      </c>
      <c r="B1003" t="s">
        <v>8602</v>
      </c>
      <c r="C1003" t="s">
        <v>5043</v>
      </c>
      <c r="D1003" t="s">
        <v>8401</v>
      </c>
    </row>
    <row r="1004" spans="1:4" ht="14.45" x14ac:dyDescent="0.3">
      <c r="A1004">
        <v>7173</v>
      </c>
      <c r="B1004" t="s">
        <v>8602</v>
      </c>
      <c r="C1004" t="s">
        <v>5043</v>
      </c>
      <c r="D1004" t="s">
        <v>8401</v>
      </c>
    </row>
    <row r="1005" spans="1:4" ht="14.45" x14ac:dyDescent="0.3">
      <c r="A1005">
        <v>8555</v>
      </c>
      <c r="B1005" t="s">
        <v>8602</v>
      </c>
      <c r="C1005" t="s">
        <v>5043</v>
      </c>
      <c r="D1005" t="s">
        <v>8401</v>
      </c>
    </row>
    <row r="1006" spans="1:4" ht="14.45" x14ac:dyDescent="0.3">
      <c r="A1006">
        <v>10682</v>
      </c>
      <c r="B1006" t="s">
        <v>11552</v>
      </c>
      <c r="C1006" t="s">
        <v>5043</v>
      </c>
      <c r="D1006" t="s">
        <v>8401</v>
      </c>
    </row>
    <row r="1007" spans="1:4" ht="14.45" x14ac:dyDescent="0.3">
      <c r="A1007">
        <v>5983</v>
      </c>
      <c r="B1007" t="s">
        <v>8603</v>
      </c>
      <c r="C1007" t="s">
        <v>5043</v>
      </c>
      <c r="D1007" t="s">
        <v>8401</v>
      </c>
    </row>
    <row r="1008" spans="1:4" ht="14.45" x14ac:dyDescent="0.3">
      <c r="A1008">
        <v>5649</v>
      </c>
      <c r="B1008" t="s">
        <v>9802</v>
      </c>
      <c r="C1008" t="s">
        <v>5043</v>
      </c>
      <c r="D1008" t="s">
        <v>8401</v>
      </c>
    </row>
    <row r="1009" spans="1:4" ht="14.45" x14ac:dyDescent="0.3">
      <c r="A1009">
        <v>7662</v>
      </c>
      <c r="B1009" t="s">
        <v>9802</v>
      </c>
      <c r="C1009" t="s">
        <v>5043</v>
      </c>
      <c r="D1009" t="s">
        <v>8401</v>
      </c>
    </row>
    <row r="1010" spans="1:4" ht="14.45" x14ac:dyDescent="0.3">
      <c r="A1010">
        <v>8296</v>
      </c>
      <c r="B1010" t="s">
        <v>9803</v>
      </c>
      <c r="C1010" t="s">
        <v>5043</v>
      </c>
      <c r="D1010" t="s">
        <v>8401</v>
      </c>
    </row>
    <row r="1011" spans="1:4" ht="14.45" x14ac:dyDescent="0.3">
      <c r="A1011">
        <v>6159</v>
      </c>
      <c r="B1011" t="s">
        <v>9804</v>
      </c>
      <c r="C1011" t="s">
        <v>5043</v>
      </c>
      <c r="D1011" t="s">
        <v>8401</v>
      </c>
    </row>
    <row r="1012" spans="1:4" ht="14.45" x14ac:dyDescent="0.3">
      <c r="A1012">
        <v>7843</v>
      </c>
      <c r="B1012" t="s">
        <v>9805</v>
      </c>
      <c r="C1012" t="s">
        <v>5043</v>
      </c>
      <c r="D1012" t="s">
        <v>8401</v>
      </c>
    </row>
    <row r="1013" spans="1:4" ht="14.45" x14ac:dyDescent="0.3">
      <c r="A1013">
        <v>6854</v>
      </c>
      <c r="B1013" t="s">
        <v>9806</v>
      </c>
      <c r="C1013" t="s">
        <v>5043</v>
      </c>
      <c r="D1013" t="s">
        <v>8401</v>
      </c>
    </row>
    <row r="1014" spans="1:4" ht="14.45" x14ac:dyDescent="0.3">
      <c r="A1014">
        <v>7968</v>
      </c>
      <c r="B1014" t="s">
        <v>9806</v>
      </c>
      <c r="C1014" t="s">
        <v>5043</v>
      </c>
      <c r="D1014" t="s">
        <v>8401</v>
      </c>
    </row>
    <row r="1015" spans="1:4" ht="14.45" x14ac:dyDescent="0.3">
      <c r="A1015">
        <v>5719</v>
      </c>
      <c r="B1015" t="s">
        <v>8604</v>
      </c>
      <c r="C1015" t="s">
        <v>5043</v>
      </c>
      <c r="D1015" t="s">
        <v>8401</v>
      </c>
    </row>
    <row r="1016" spans="1:4" ht="14.45" x14ac:dyDescent="0.3">
      <c r="A1016">
        <v>7473</v>
      </c>
      <c r="B1016" t="s">
        <v>8604</v>
      </c>
      <c r="C1016" t="s">
        <v>5043</v>
      </c>
      <c r="D1016" t="s">
        <v>8401</v>
      </c>
    </row>
    <row r="1017" spans="1:4" ht="14.45" x14ac:dyDescent="0.3">
      <c r="A1017">
        <v>6281</v>
      </c>
      <c r="B1017" t="s">
        <v>9807</v>
      </c>
      <c r="C1017" t="s">
        <v>5043</v>
      </c>
      <c r="D1017" t="s">
        <v>8401</v>
      </c>
    </row>
    <row r="1018" spans="1:4" ht="14.45" x14ac:dyDescent="0.3">
      <c r="A1018">
        <v>6352</v>
      </c>
      <c r="B1018" t="s">
        <v>9807</v>
      </c>
      <c r="C1018" t="s">
        <v>5043</v>
      </c>
      <c r="D1018" t="s">
        <v>8401</v>
      </c>
    </row>
    <row r="1019" spans="1:4" ht="14.45" x14ac:dyDescent="0.3">
      <c r="A1019">
        <v>7624</v>
      </c>
      <c r="B1019" t="s">
        <v>9807</v>
      </c>
      <c r="C1019" t="s">
        <v>5043</v>
      </c>
      <c r="D1019" t="s">
        <v>8401</v>
      </c>
    </row>
    <row r="1020" spans="1:4" ht="14.45" x14ac:dyDescent="0.3">
      <c r="A1020">
        <v>9477</v>
      </c>
      <c r="B1020" t="s">
        <v>9807</v>
      </c>
      <c r="C1020" t="s">
        <v>5043</v>
      </c>
      <c r="D1020" t="s">
        <v>8401</v>
      </c>
    </row>
    <row r="1021" spans="1:4" ht="14.45" x14ac:dyDescent="0.3">
      <c r="A1021">
        <v>7582</v>
      </c>
      <c r="B1021" t="s">
        <v>9808</v>
      </c>
      <c r="C1021" t="s">
        <v>5043</v>
      </c>
      <c r="D1021" t="s">
        <v>8401</v>
      </c>
    </row>
    <row r="1022" spans="1:4" ht="14.45" x14ac:dyDescent="0.3">
      <c r="A1022">
        <v>7771</v>
      </c>
      <c r="B1022" t="s">
        <v>9808</v>
      </c>
      <c r="C1022" t="s">
        <v>5043</v>
      </c>
      <c r="D1022" t="s">
        <v>8401</v>
      </c>
    </row>
    <row r="1023" spans="1:4" ht="14.45" x14ac:dyDescent="0.3">
      <c r="A1023">
        <v>9164</v>
      </c>
      <c r="B1023" t="s">
        <v>9808</v>
      </c>
      <c r="C1023" t="s">
        <v>5043</v>
      </c>
      <c r="D1023" t="s">
        <v>8401</v>
      </c>
    </row>
    <row r="1024" spans="1:4" ht="14.45" x14ac:dyDescent="0.3">
      <c r="A1024">
        <v>9500</v>
      </c>
      <c r="B1024" t="s">
        <v>9808</v>
      </c>
      <c r="C1024" t="s">
        <v>5043</v>
      </c>
      <c r="D1024" t="s">
        <v>8401</v>
      </c>
    </row>
    <row r="1025" spans="1:4" ht="14.45" x14ac:dyDescent="0.3">
      <c r="A1025">
        <v>9580</v>
      </c>
      <c r="B1025" t="s">
        <v>9809</v>
      </c>
      <c r="C1025" t="s">
        <v>5043</v>
      </c>
      <c r="D1025" t="s">
        <v>8401</v>
      </c>
    </row>
    <row r="1026" spans="1:4" ht="14.45" x14ac:dyDescent="0.3">
      <c r="A1026">
        <v>5868</v>
      </c>
      <c r="B1026" t="s">
        <v>9810</v>
      </c>
      <c r="C1026" t="s">
        <v>5043</v>
      </c>
      <c r="D1026" t="s">
        <v>8401</v>
      </c>
    </row>
    <row r="1027" spans="1:4" ht="14.45" x14ac:dyDescent="0.3">
      <c r="A1027">
        <v>7552</v>
      </c>
      <c r="B1027" t="s">
        <v>9811</v>
      </c>
      <c r="C1027" t="s">
        <v>5043</v>
      </c>
      <c r="D1027" t="s">
        <v>8401</v>
      </c>
    </row>
    <row r="1028" spans="1:4" ht="14.45" x14ac:dyDescent="0.3">
      <c r="A1028">
        <v>5128</v>
      </c>
      <c r="B1028" t="s">
        <v>9812</v>
      </c>
      <c r="C1028" t="s">
        <v>5043</v>
      </c>
      <c r="D1028" t="s">
        <v>8401</v>
      </c>
    </row>
    <row r="1029" spans="1:4" ht="14.45" x14ac:dyDescent="0.3">
      <c r="A1029">
        <v>5552</v>
      </c>
      <c r="B1029" t="s">
        <v>9812</v>
      </c>
      <c r="C1029" t="s">
        <v>5043</v>
      </c>
      <c r="D1029" t="s">
        <v>8401</v>
      </c>
    </row>
    <row r="1030" spans="1:4" ht="14.45" x14ac:dyDescent="0.3">
      <c r="A1030">
        <v>5713</v>
      </c>
      <c r="B1030" t="s">
        <v>9812</v>
      </c>
      <c r="C1030" t="s">
        <v>5043</v>
      </c>
      <c r="D1030" t="s">
        <v>8401</v>
      </c>
    </row>
    <row r="1031" spans="1:4" ht="14.45" x14ac:dyDescent="0.3">
      <c r="A1031">
        <v>5741</v>
      </c>
      <c r="B1031" t="s">
        <v>9812</v>
      </c>
      <c r="C1031" t="s">
        <v>5043</v>
      </c>
      <c r="D1031" t="s">
        <v>8401</v>
      </c>
    </row>
    <row r="1032" spans="1:4" ht="14.45" x14ac:dyDescent="0.3">
      <c r="A1032">
        <v>6112</v>
      </c>
      <c r="B1032" t="s">
        <v>9812</v>
      </c>
      <c r="C1032" t="s">
        <v>5043</v>
      </c>
      <c r="D1032" t="s">
        <v>8401</v>
      </c>
    </row>
    <row r="1033" spans="1:4" ht="14.45" x14ac:dyDescent="0.3">
      <c r="A1033">
        <v>6483</v>
      </c>
      <c r="B1033" t="s">
        <v>9812</v>
      </c>
      <c r="C1033" t="s">
        <v>5043</v>
      </c>
      <c r="D1033" t="s">
        <v>8401</v>
      </c>
    </row>
    <row r="1034" spans="1:4" ht="14.45" x14ac:dyDescent="0.3">
      <c r="A1034">
        <v>7019</v>
      </c>
      <c r="B1034" t="s">
        <v>9812</v>
      </c>
      <c r="C1034" t="s">
        <v>5043</v>
      </c>
      <c r="D1034" t="s">
        <v>8401</v>
      </c>
    </row>
    <row r="1035" spans="1:4" ht="14.45" x14ac:dyDescent="0.3">
      <c r="A1035">
        <v>7507</v>
      </c>
      <c r="B1035" t="s">
        <v>9812</v>
      </c>
      <c r="C1035" t="s">
        <v>5043</v>
      </c>
      <c r="D1035" t="s">
        <v>8401</v>
      </c>
    </row>
    <row r="1036" spans="1:4" ht="14.45" x14ac:dyDescent="0.3">
      <c r="A1036">
        <v>7933</v>
      </c>
      <c r="B1036" t="s">
        <v>9812</v>
      </c>
      <c r="C1036" t="s">
        <v>5043</v>
      </c>
      <c r="D1036" t="s">
        <v>8401</v>
      </c>
    </row>
    <row r="1037" spans="1:4" ht="14.45" x14ac:dyDescent="0.3">
      <c r="A1037">
        <v>8408</v>
      </c>
      <c r="B1037" t="s">
        <v>9812</v>
      </c>
      <c r="C1037" t="s">
        <v>5043</v>
      </c>
      <c r="D1037" t="s">
        <v>8401</v>
      </c>
    </row>
    <row r="1038" spans="1:4" ht="14.45" x14ac:dyDescent="0.3">
      <c r="A1038">
        <v>9163</v>
      </c>
      <c r="B1038" t="s">
        <v>9812</v>
      </c>
      <c r="C1038" t="s">
        <v>5043</v>
      </c>
      <c r="D1038" t="s">
        <v>8401</v>
      </c>
    </row>
    <row r="1039" spans="1:4" ht="14.45" x14ac:dyDescent="0.3">
      <c r="A1039">
        <v>9443</v>
      </c>
      <c r="B1039" t="s">
        <v>9812</v>
      </c>
      <c r="C1039" t="s">
        <v>5043</v>
      </c>
      <c r="D1039" t="s">
        <v>8401</v>
      </c>
    </row>
    <row r="1040" spans="1:4" ht="14.45" x14ac:dyDescent="0.3">
      <c r="A1040">
        <v>9530</v>
      </c>
      <c r="B1040" t="s">
        <v>9812</v>
      </c>
      <c r="C1040" t="s">
        <v>5043</v>
      </c>
      <c r="D1040" t="s">
        <v>8401</v>
      </c>
    </row>
    <row r="1041" spans="1:4" ht="14.45" x14ac:dyDescent="0.3">
      <c r="A1041">
        <v>7460</v>
      </c>
      <c r="B1041" t="s">
        <v>9813</v>
      </c>
      <c r="C1041" t="s">
        <v>5043</v>
      </c>
      <c r="D1041" t="s">
        <v>8401</v>
      </c>
    </row>
    <row r="1042" spans="1:4" ht="14.45" x14ac:dyDescent="0.3">
      <c r="A1042">
        <v>5385</v>
      </c>
      <c r="B1042" t="s">
        <v>9814</v>
      </c>
      <c r="C1042" t="s">
        <v>5043</v>
      </c>
      <c r="D1042" t="s">
        <v>8401</v>
      </c>
    </row>
    <row r="1043" spans="1:4" ht="14.45" x14ac:dyDescent="0.3">
      <c r="A1043">
        <v>5420</v>
      </c>
      <c r="B1043" t="s">
        <v>9814</v>
      </c>
      <c r="C1043" t="s">
        <v>5043</v>
      </c>
      <c r="D1043" t="s">
        <v>8401</v>
      </c>
    </row>
    <row r="1044" spans="1:4" ht="14.45" x14ac:dyDescent="0.3">
      <c r="A1044">
        <v>6023</v>
      </c>
      <c r="B1044" t="s">
        <v>9814</v>
      </c>
      <c r="C1044" t="s">
        <v>5043</v>
      </c>
      <c r="D1044" t="s">
        <v>8401</v>
      </c>
    </row>
    <row r="1045" spans="1:4" ht="14.45" x14ac:dyDescent="0.3">
      <c r="A1045">
        <v>6087</v>
      </c>
      <c r="B1045" t="s">
        <v>9814</v>
      </c>
      <c r="C1045" t="s">
        <v>5043</v>
      </c>
      <c r="D1045" t="s">
        <v>8401</v>
      </c>
    </row>
    <row r="1046" spans="1:4" ht="14.45" x14ac:dyDescent="0.3">
      <c r="A1046">
        <v>6299</v>
      </c>
      <c r="B1046" t="s">
        <v>9814</v>
      </c>
      <c r="C1046" t="s">
        <v>5043</v>
      </c>
      <c r="D1046" t="s">
        <v>8401</v>
      </c>
    </row>
    <row r="1047" spans="1:4" ht="14.45" x14ac:dyDescent="0.3">
      <c r="A1047">
        <v>6488</v>
      </c>
      <c r="B1047" t="s">
        <v>9814</v>
      </c>
      <c r="C1047" t="s">
        <v>5043</v>
      </c>
      <c r="D1047" t="s">
        <v>8401</v>
      </c>
    </row>
    <row r="1048" spans="1:4" ht="14.45" x14ac:dyDescent="0.3">
      <c r="A1048">
        <v>6707</v>
      </c>
      <c r="B1048" t="s">
        <v>9814</v>
      </c>
      <c r="C1048" t="s">
        <v>5043</v>
      </c>
      <c r="D1048" t="s">
        <v>8401</v>
      </c>
    </row>
    <row r="1049" spans="1:4" ht="14.45" x14ac:dyDescent="0.3">
      <c r="A1049">
        <v>6821</v>
      </c>
      <c r="B1049" t="s">
        <v>9814</v>
      </c>
      <c r="C1049" t="s">
        <v>5043</v>
      </c>
      <c r="D1049" t="s">
        <v>8401</v>
      </c>
    </row>
    <row r="1050" spans="1:4" ht="14.45" x14ac:dyDescent="0.3">
      <c r="A1050">
        <v>8254</v>
      </c>
      <c r="B1050" t="s">
        <v>9814</v>
      </c>
      <c r="C1050" t="s">
        <v>5043</v>
      </c>
      <c r="D1050" t="s">
        <v>8401</v>
      </c>
    </row>
    <row r="1051" spans="1:4" ht="14.45" x14ac:dyDescent="0.3">
      <c r="A1051">
        <v>8473</v>
      </c>
      <c r="B1051" t="s">
        <v>9814</v>
      </c>
      <c r="C1051" t="s">
        <v>5043</v>
      </c>
      <c r="D1051" t="s">
        <v>8401</v>
      </c>
    </row>
    <row r="1052" spans="1:4" ht="14.45" x14ac:dyDescent="0.3">
      <c r="A1052">
        <v>9184</v>
      </c>
      <c r="B1052" t="s">
        <v>9814</v>
      </c>
      <c r="C1052" t="s">
        <v>5043</v>
      </c>
      <c r="D1052" t="s">
        <v>8401</v>
      </c>
    </row>
    <row r="1053" spans="1:4" ht="14.45" x14ac:dyDescent="0.3">
      <c r="A1053">
        <v>9506</v>
      </c>
      <c r="B1053" t="s">
        <v>9814</v>
      </c>
      <c r="C1053" t="s">
        <v>5043</v>
      </c>
      <c r="D1053" t="s">
        <v>8401</v>
      </c>
    </row>
    <row r="1054" spans="1:4" ht="14.45" x14ac:dyDescent="0.3">
      <c r="A1054">
        <v>9662</v>
      </c>
      <c r="B1054" t="s">
        <v>9814</v>
      </c>
      <c r="C1054" t="s">
        <v>5043</v>
      </c>
      <c r="D1054" t="s">
        <v>8401</v>
      </c>
    </row>
    <row r="1055" spans="1:4" ht="14.45" x14ac:dyDescent="0.3">
      <c r="A1055">
        <v>5377</v>
      </c>
      <c r="B1055" t="s">
        <v>9815</v>
      </c>
      <c r="C1055" t="s">
        <v>5043</v>
      </c>
      <c r="D1055" t="s">
        <v>8401</v>
      </c>
    </row>
    <row r="1056" spans="1:4" ht="14.45" x14ac:dyDescent="0.3">
      <c r="A1056">
        <v>5609</v>
      </c>
      <c r="B1056" t="s">
        <v>9815</v>
      </c>
      <c r="C1056" t="s">
        <v>5043</v>
      </c>
      <c r="D1056" t="s">
        <v>8401</v>
      </c>
    </row>
    <row r="1057" spans="1:4" ht="14.45" x14ac:dyDescent="0.3">
      <c r="A1057">
        <v>5739</v>
      </c>
      <c r="B1057" t="s">
        <v>9815</v>
      </c>
      <c r="C1057" t="s">
        <v>5043</v>
      </c>
      <c r="D1057" t="s">
        <v>8401</v>
      </c>
    </row>
    <row r="1058" spans="1:4" ht="14.45" x14ac:dyDescent="0.3">
      <c r="A1058">
        <v>5763</v>
      </c>
      <c r="B1058" t="s">
        <v>9815</v>
      </c>
      <c r="C1058" t="s">
        <v>5043</v>
      </c>
      <c r="D1058" t="s">
        <v>8401</v>
      </c>
    </row>
    <row r="1059" spans="1:4" ht="14.45" x14ac:dyDescent="0.3">
      <c r="A1059">
        <v>7643</v>
      </c>
      <c r="B1059" t="s">
        <v>9815</v>
      </c>
      <c r="C1059" t="s">
        <v>5043</v>
      </c>
      <c r="D1059" t="s">
        <v>8401</v>
      </c>
    </row>
    <row r="1060" spans="1:4" ht="14.45" x14ac:dyDescent="0.3">
      <c r="A1060">
        <v>7795</v>
      </c>
      <c r="B1060" t="s">
        <v>9815</v>
      </c>
      <c r="C1060" t="s">
        <v>5043</v>
      </c>
      <c r="D1060" t="s">
        <v>8401</v>
      </c>
    </row>
    <row r="1061" spans="1:4" ht="14.45" x14ac:dyDescent="0.3">
      <c r="A1061">
        <v>8243</v>
      </c>
      <c r="B1061" t="s">
        <v>9815</v>
      </c>
      <c r="C1061" t="s">
        <v>5043</v>
      </c>
      <c r="D1061" t="s">
        <v>8401</v>
      </c>
    </row>
    <row r="1062" spans="1:4" ht="14.45" x14ac:dyDescent="0.3">
      <c r="A1062">
        <v>8284</v>
      </c>
      <c r="B1062" t="s">
        <v>9815</v>
      </c>
      <c r="C1062" t="s">
        <v>5043</v>
      </c>
      <c r="D1062" t="s">
        <v>8401</v>
      </c>
    </row>
    <row r="1063" spans="1:4" ht="14.45" x14ac:dyDescent="0.3">
      <c r="A1063">
        <v>8814</v>
      </c>
      <c r="B1063" t="s">
        <v>9815</v>
      </c>
      <c r="C1063" t="s">
        <v>5043</v>
      </c>
      <c r="D1063" t="s">
        <v>8401</v>
      </c>
    </row>
    <row r="1064" spans="1:4" ht="14.45" x14ac:dyDescent="0.3">
      <c r="A1064">
        <v>9281</v>
      </c>
      <c r="B1064" t="s">
        <v>9815</v>
      </c>
      <c r="C1064" t="s">
        <v>5043</v>
      </c>
      <c r="D1064" t="s">
        <v>8401</v>
      </c>
    </row>
    <row r="1065" spans="1:4" ht="14.45" x14ac:dyDescent="0.3">
      <c r="A1065">
        <v>9343</v>
      </c>
      <c r="B1065" t="s">
        <v>9815</v>
      </c>
      <c r="C1065" t="s">
        <v>5043</v>
      </c>
      <c r="D1065" t="s">
        <v>8401</v>
      </c>
    </row>
    <row r="1066" spans="1:4" ht="14.45" x14ac:dyDescent="0.3">
      <c r="A1066">
        <v>9435</v>
      </c>
      <c r="B1066" t="s">
        <v>9815</v>
      </c>
      <c r="C1066" t="s">
        <v>5043</v>
      </c>
      <c r="D1066" t="s">
        <v>8401</v>
      </c>
    </row>
    <row r="1067" spans="1:4" ht="14.45" x14ac:dyDescent="0.3">
      <c r="A1067">
        <v>9726</v>
      </c>
      <c r="B1067" t="s">
        <v>9815</v>
      </c>
      <c r="C1067" t="s">
        <v>5043</v>
      </c>
      <c r="D1067" t="s">
        <v>8401</v>
      </c>
    </row>
    <row r="1068" spans="1:4" ht="14.45" x14ac:dyDescent="0.3">
      <c r="A1068">
        <v>7147</v>
      </c>
      <c r="B1068" t="s">
        <v>9816</v>
      </c>
      <c r="C1068" t="s">
        <v>5043</v>
      </c>
      <c r="D1068" t="s">
        <v>8401</v>
      </c>
    </row>
    <row r="1069" spans="1:4" ht="14.45" x14ac:dyDescent="0.3">
      <c r="A1069">
        <v>8201</v>
      </c>
      <c r="B1069" t="s">
        <v>9816</v>
      </c>
      <c r="C1069" t="s">
        <v>5043</v>
      </c>
      <c r="D1069" t="s">
        <v>8401</v>
      </c>
    </row>
    <row r="1070" spans="1:4" ht="14.45" x14ac:dyDescent="0.3">
      <c r="A1070">
        <v>7591</v>
      </c>
      <c r="B1070" t="s">
        <v>9817</v>
      </c>
      <c r="C1070" t="s">
        <v>5043</v>
      </c>
      <c r="D1070" t="s">
        <v>8401</v>
      </c>
    </row>
    <row r="1071" spans="1:4" ht="14.45" x14ac:dyDescent="0.3">
      <c r="A1071">
        <v>7703</v>
      </c>
      <c r="B1071" t="s">
        <v>8605</v>
      </c>
      <c r="C1071" t="s">
        <v>5043</v>
      </c>
      <c r="D1071" t="s">
        <v>8401</v>
      </c>
    </row>
    <row r="1072" spans="1:4" ht="14.45" x14ac:dyDescent="0.3">
      <c r="A1072">
        <v>8466</v>
      </c>
      <c r="B1072" t="s">
        <v>9818</v>
      </c>
      <c r="C1072" t="s">
        <v>5043</v>
      </c>
      <c r="D1072" t="s">
        <v>8401</v>
      </c>
    </row>
    <row r="1073" spans="1:4" ht="14.45" x14ac:dyDescent="0.3">
      <c r="A1073">
        <v>7406</v>
      </c>
      <c r="B1073" t="s">
        <v>9819</v>
      </c>
      <c r="C1073" t="s">
        <v>5043</v>
      </c>
      <c r="D1073" t="s">
        <v>8401</v>
      </c>
    </row>
    <row r="1074" spans="1:4" ht="14.45" x14ac:dyDescent="0.3">
      <c r="A1074">
        <v>8936</v>
      </c>
      <c r="B1074" t="s">
        <v>9819</v>
      </c>
      <c r="C1074" t="s">
        <v>5043</v>
      </c>
      <c r="D1074" t="s">
        <v>8401</v>
      </c>
    </row>
    <row r="1075" spans="1:4" ht="14.45" x14ac:dyDescent="0.3">
      <c r="A1075">
        <v>9649</v>
      </c>
      <c r="B1075" t="s">
        <v>9819</v>
      </c>
      <c r="C1075" t="s">
        <v>5043</v>
      </c>
      <c r="D1075" t="s">
        <v>8401</v>
      </c>
    </row>
    <row r="1076" spans="1:4" ht="14.45" x14ac:dyDescent="0.3">
      <c r="A1076">
        <v>5680</v>
      </c>
      <c r="B1076" t="s">
        <v>9820</v>
      </c>
      <c r="C1076" t="s">
        <v>5043</v>
      </c>
      <c r="D1076" t="s">
        <v>8401</v>
      </c>
    </row>
    <row r="1077" spans="1:4" ht="14.45" x14ac:dyDescent="0.3">
      <c r="A1077">
        <v>9786</v>
      </c>
      <c r="B1077" t="s">
        <v>8606</v>
      </c>
      <c r="C1077" t="s">
        <v>5043</v>
      </c>
      <c r="D1077" t="s">
        <v>8401</v>
      </c>
    </row>
    <row r="1078" spans="1:4" ht="14.45" x14ac:dyDescent="0.3">
      <c r="A1078">
        <v>7046</v>
      </c>
      <c r="B1078" t="s">
        <v>9821</v>
      </c>
      <c r="C1078" t="s">
        <v>5043</v>
      </c>
      <c r="D1078" t="s">
        <v>8401</v>
      </c>
    </row>
    <row r="1079" spans="1:4" ht="14.45" x14ac:dyDescent="0.3">
      <c r="A1079">
        <v>6084</v>
      </c>
      <c r="B1079" t="s">
        <v>9822</v>
      </c>
      <c r="C1079" t="s">
        <v>5043</v>
      </c>
      <c r="D1079" t="s">
        <v>8401</v>
      </c>
    </row>
    <row r="1080" spans="1:4" ht="14.45" x14ac:dyDescent="0.3">
      <c r="A1080">
        <v>6334</v>
      </c>
      <c r="B1080" t="s">
        <v>9822</v>
      </c>
      <c r="C1080" t="s">
        <v>5043</v>
      </c>
      <c r="D1080" t="s">
        <v>8401</v>
      </c>
    </row>
    <row r="1081" spans="1:4" ht="14.45" x14ac:dyDescent="0.3">
      <c r="A1081">
        <v>5805</v>
      </c>
      <c r="B1081" t="s">
        <v>9823</v>
      </c>
      <c r="C1081" t="s">
        <v>5043</v>
      </c>
      <c r="D1081" t="s">
        <v>8401</v>
      </c>
    </row>
    <row r="1082" spans="1:4" ht="14.45" x14ac:dyDescent="0.3">
      <c r="A1082">
        <v>6351</v>
      </c>
      <c r="B1082" t="s">
        <v>9824</v>
      </c>
      <c r="C1082" t="s">
        <v>5043</v>
      </c>
      <c r="D1082" t="s">
        <v>8401</v>
      </c>
    </row>
    <row r="1083" spans="1:4" ht="14.45" x14ac:dyDescent="0.3">
      <c r="A1083">
        <v>8116</v>
      </c>
      <c r="B1083" t="s">
        <v>9824</v>
      </c>
      <c r="C1083" t="s">
        <v>5043</v>
      </c>
      <c r="D1083" t="s">
        <v>8401</v>
      </c>
    </row>
    <row r="1084" spans="1:4" ht="14.45" x14ac:dyDescent="0.3">
      <c r="A1084">
        <v>5960</v>
      </c>
      <c r="B1084" t="s">
        <v>9825</v>
      </c>
      <c r="C1084" t="s">
        <v>5043</v>
      </c>
      <c r="D1084" t="s">
        <v>8401</v>
      </c>
    </row>
    <row r="1085" spans="1:4" ht="14.45" x14ac:dyDescent="0.3">
      <c r="A1085">
        <v>6680</v>
      </c>
      <c r="B1085" t="s">
        <v>9826</v>
      </c>
      <c r="C1085" t="s">
        <v>5043</v>
      </c>
      <c r="D1085" t="s">
        <v>8401</v>
      </c>
    </row>
    <row r="1086" spans="1:4" ht="14.45" x14ac:dyDescent="0.3">
      <c r="A1086">
        <v>7594</v>
      </c>
      <c r="B1086" t="s">
        <v>9826</v>
      </c>
      <c r="C1086" t="s">
        <v>5043</v>
      </c>
      <c r="D1086" t="s">
        <v>8401</v>
      </c>
    </row>
    <row r="1087" spans="1:4" ht="14.45" x14ac:dyDescent="0.3">
      <c r="A1087">
        <v>8043</v>
      </c>
      <c r="B1087" t="s">
        <v>9826</v>
      </c>
      <c r="C1087" t="s">
        <v>5043</v>
      </c>
      <c r="D1087" t="s">
        <v>8401</v>
      </c>
    </row>
    <row r="1088" spans="1:4" ht="14.45" x14ac:dyDescent="0.3">
      <c r="A1088">
        <v>5020</v>
      </c>
      <c r="B1088" t="s">
        <v>9827</v>
      </c>
      <c r="C1088" t="s">
        <v>5043</v>
      </c>
      <c r="D1088" t="s">
        <v>8401</v>
      </c>
    </row>
    <row r="1089" spans="1:4" ht="14.45" x14ac:dyDescent="0.3">
      <c r="A1089">
        <v>5076</v>
      </c>
      <c r="B1089" t="s">
        <v>9827</v>
      </c>
      <c r="C1089" t="s">
        <v>5043</v>
      </c>
      <c r="D1089" t="s">
        <v>8401</v>
      </c>
    </row>
    <row r="1090" spans="1:4" ht="14.45" x14ac:dyDescent="0.3">
      <c r="A1090">
        <v>6291</v>
      </c>
      <c r="B1090" t="s">
        <v>9827</v>
      </c>
      <c r="C1090" t="s">
        <v>5043</v>
      </c>
      <c r="D1090" t="s">
        <v>8401</v>
      </c>
    </row>
    <row r="1091" spans="1:4" ht="14.45" x14ac:dyDescent="0.3">
      <c r="A1091">
        <v>7678</v>
      </c>
      <c r="B1091" t="s">
        <v>9827</v>
      </c>
      <c r="C1091" t="s">
        <v>5043</v>
      </c>
      <c r="D1091" t="s">
        <v>8401</v>
      </c>
    </row>
    <row r="1092" spans="1:4" ht="14.45" x14ac:dyDescent="0.3">
      <c r="A1092">
        <v>8213</v>
      </c>
      <c r="B1092" t="s">
        <v>9827</v>
      </c>
      <c r="C1092" t="s">
        <v>5043</v>
      </c>
      <c r="D1092" t="s">
        <v>8401</v>
      </c>
    </row>
    <row r="1093" spans="1:4" ht="14.45" x14ac:dyDescent="0.3">
      <c r="A1093">
        <v>9005</v>
      </c>
      <c r="B1093" t="s">
        <v>9827</v>
      </c>
      <c r="C1093" t="s">
        <v>5043</v>
      </c>
      <c r="D1093" t="s">
        <v>8401</v>
      </c>
    </row>
    <row r="1094" spans="1:4" ht="14.45" x14ac:dyDescent="0.3">
      <c r="A1094">
        <v>9150</v>
      </c>
      <c r="B1094" t="s">
        <v>9827</v>
      </c>
      <c r="C1094" t="s">
        <v>5043</v>
      </c>
      <c r="D1094" t="s">
        <v>8401</v>
      </c>
    </row>
    <row r="1095" spans="1:4" ht="14.45" x14ac:dyDescent="0.3">
      <c r="A1095">
        <v>7150</v>
      </c>
      <c r="B1095" t="s">
        <v>9828</v>
      </c>
      <c r="C1095" t="s">
        <v>5043</v>
      </c>
      <c r="D1095" t="s">
        <v>8401</v>
      </c>
    </row>
    <row r="1096" spans="1:4" ht="14.45" x14ac:dyDescent="0.3">
      <c r="A1096">
        <v>8729</v>
      </c>
      <c r="B1096" t="s">
        <v>9828</v>
      </c>
      <c r="C1096" t="s">
        <v>5043</v>
      </c>
      <c r="D1096" t="s">
        <v>8401</v>
      </c>
    </row>
    <row r="1097" spans="1:4" ht="14.45" x14ac:dyDescent="0.3">
      <c r="A1097">
        <v>5389</v>
      </c>
      <c r="B1097" t="s">
        <v>9829</v>
      </c>
      <c r="C1097" t="s">
        <v>5043</v>
      </c>
      <c r="D1097" t="s">
        <v>8401</v>
      </c>
    </row>
    <row r="1098" spans="1:4" ht="14.45" x14ac:dyDescent="0.3">
      <c r="A1098">
        <v>6079</v>
      </c>
      <c r="B1098" t="s">
        <v>9830</v>
      </c>
      <c r="C1098" t="s">
        <v>5043</v>
      </c>
      <c r="D1098" t="s">
        <v>8401</v>
      </c>
    </row>
    <row r="1099" spans="1:4" ht="14.45" x14ac:dyDescent="0.3">
      <c r="A1099">
        <v>7187</v>
      </c>
      <c r="B1099" t="s">
        <v>9830</v>
      </c>
      <c r="C1099" t="s">
        <v>5043</v>
      </c>
      <c r="D1099" t="s">
        <v>8401</v>
      </c>
    </row>
    <row r="1100" spans="1:4" ht="14.45" x14ac:dyDescent="0.3">
      <c r="A1100">
        <v>7567</v>
      </c>
      <c r="B1100" t="s">
        <v>9830</v>
      </c>
      <c r="C1100" t="s">
        <v>5043</v>
      </c>
      <c r="D1100" t="s">
        <v>8401</v>
      </c>
    </row>
    <row r="1101" spans="1:4" ht="14.45" x14ac:dyDescent="0.3">
      <c r="A1101">
        <v>5250</v>
      </c>
      <c r="B1101" t="s">
        <v>9831</v>
      </c>
      <c r="C1101" t="s">
        <v>5043</v>
      </c>
      <c r="D1101" t="s">
        <v>8401</v>
      </c>
    </row>
    <row r="1102" spans="1:4" ht="14.45" x14ac:dyDescent="0.3">
      <c r="A1102">
        <v>5497</v>
      </c>
      <c r="B1102" t="s">
        <v>9831</v>
      </c>
      <c r="C1102" t="s">
        <v>5043</v>
      </c>
      <c r="D1102" t="s">
        <v>8401</v>
      </c>
    </row>
    <row r="1103" spans="1:4" ht="14.45" x14ac:dyDescent="0.3">
      <c r="A1103">
        <v>5937</v>
      </c>
      <c r="B1103" t="s">
        <v>9831</v>
      </c>
      <c r="C1103" t="s">
        <v>5043</v>
      </c>
      <c r="D1103" t="s">
        <v>8401</v>
      </c>
    </row>
    <row r="1104" spans="1:4" ht="14.45" x14ac:dyDescent="0.3">
      <c r="A1104">
        <v>6163</v>
      </c>
      <c r="B1104" t="s">
        <v>9831</v>
      </c>
      <c r="C1104" t="s">
        <v>5043</v>
      </c>
      <c r="D1104" t="s">
        <v>8401</v>
      </c>
    </row>
    <row r="1105" spans="1:4" ht="14.45" x14ac:dyDescent="0.3">
      <c r="A1105">
        <v>6343</v>
      </c>
      <c r="B1105" t="s">
        <v>9831</v>
      </c>
      <c r="C1105" t="s">
        <v>5043</v>
      </c>
      <c r="D1105" t="s">
        <v>8401</v>
      </c>
    </row>
    <row r="1106" spans="1:4" ht="14.45" x14ac:dyDescent="0.3">
      <c r="A1106">
        <v>7950</v>
      </c>
      <c r="B1106" t="s">
        <v>9831</v>
      </c>
      <c r="C1106" t="s">
        <v>5043</v>
      </c>
      <c r="D1106" t="s">
        <v>8401</v>
      </c>
    </row>
    <row r="1107" spans="1:4" ht="14.45" x14ac:dyDescent="0.3">
      <c r="A1107">
        <v>8725</v>
      </c>
      <c r="B1107" t="s">
        <v>9831</v>
      </c>
      <c r="C1107" t="s">
        <v>5043</v>
      </c>
      <c r="D1107" t="s">
        <v>8401</v>
      </c>
    </row>
    <row r="1108" spans="1:4" ht="14.45" x14ac:dyDescent="0.3">
      <c r="A1108">
        <v>9305</v>
      </c>
      <c r="B1108" t="s">
        <v>9831</v>
      </c>
      <c r="C1108" t="s">
        <v>5043</v>
      </c>
      <c r="D1108" t="s">
        <v>8401</v>
      </c>
    </row>
    <row r="1109" spans="1:4" ht="14.45" x14ac:dyDescent="0.3">
      <c r="A1109">
        <v>5766</v>
      </c>
      <c r="B1109" t="s">
        <v>9832</v>
      </c>
      <c r="C1109" t="s">
        <v>5043</v>
      </c>
      <c r="D1109" t="s">
        <v>8401</v>
      </c>
    </row>
    <row r="1110" spans="1:4" ht="14.45" x14ac:dyDescent="0.3">
      <c r="A1110">
        <v>10810</v>
      </c>
      <c r="B1110" t="s">
        <v>11553</v>
      </c>
      <c r="C1110" t="s">
        <v>5043</v>
      </c>
      <c r="D1110" t="s">
        <v>8401</v>
      </c>
    </row>
    <row r="1111" spans="1:4" ht="14.45" x14ac:dyDescent="0.3">
      <c r="A1111">
        <v>10823</v>
      </c>
      <c r="B1111" t="s">
        <v>11553</v>
      </c>
      <c r="C1111" t="s">
        <v>5043</v>
      </c>
      <c r="D1111" t="s">
        <v>8401</v>
      </c>
    </row>
    <row r="1112" spans="1:4" ht="14.45" x14ac:dyDescent="0.3">
      <c r="A1112">
        <v>7959</v>
      </c>
      <c r="B1112" t="s">
        <v>9833</v>
      </c>
      <c r="C1112" t="s">
        <v>5043</v>
      </c>
      <c r="D1112" t="s">
        <v>8401</v>
      </c>
    </row>
    <row r="1113" spans="1:4" ht="14.45" x14ac:dyDescent="0.3">
      <c r="A1113">
        <v>5876</v>
      </c>
      <c r="B1113" t="s">
        <v>9834</v>
      </c>
      <c r="C1113" t="s">
        <v>5043</v>
      </c>
      <c r="D1113" t="s">
        <v>8401</v>
      </c>
    </row>
    <row r="1114" spans="1:4" ht="14.45" x14ac:dyDescent="0.3">
      <c r="A1114">
        <v>5926</v>
      </c>
      <c r="B1114" t="s">
        <v>9835</v>
      </c>
      <c r="C1114" t="s">
        <v>5043</v>
      </c>
      <c r="D1114" t="s">
        <v>8401</v>
      </c>
    </row>
    <row r="1115" spans="1:4" ht="14.45" x14ac:dyDescent="0.3">
      <c r="A1115">
        <v>7947</v>
      </c>
      <c r="B1115" t="s">
        <v>9835</v>
      </c>
      <c r="C1115" t="s">
        <v>5043</v>
      </c>
      <c r="D1115" t="s">
        <v>8401</v>
      </c>
    </row>
    <row r="1116" spans="1:4" ht="14.45" x14ac:dyDescent="0.3">
      <c r="A1116">
        <v>9549</v>
      </c>
      <c r="B1116" t="s">
        <v>9835</v>
      </c>
      <c r="C1116" t="s">
        <v>5043</v>
      </c>
      <c r="D1116" t="s">
        <v>8401</v>
      </c>
    </row>
    <row r="1117" spans="1:4" ht="14.45" x14ac:dyDescent="0.3">
      <c r="A1117">
        <v>6941</v>
      </c>
      <c r="B1117" t="s">
        <v>9836</v>
      </c>
      <c r="C1117" t="s">
        <v>5043</v>
      </c>
      <c r="D1117" t="s">
        <v>8401</v>
      </c>
    </row>
    <row r="1118" spans="1:4" ht="14.45" x14ac:dyDescent="0.3">
      <c r="A1118">
        <v>8959</v>
      </c>
      <c r="B1118" t="s">
        <v>9836</v>
      </c>
      <c r="C1118" t="s">
        <v>5043</v>
      </c>
      <c r="D1118" t="s">
        <v>8401</v>
      </c>
    </row>
    <row r="1119" spans="1:4" ht="14.45" x14ac:dyDescent="0.3">
      <c r="A1119">
        <v>5026</v>
      </c>
      <c r="B1119" t="s">
        <v>9837</v>
      </c>
      <c r="C1119" t="s">
        <v>5043</v>
      </c>
      <c r="D1119" t="s">
        <v>8401</v>
      </c>
    </row>
    <row r="1120" spans="1:4" ht="14.45" x14ac:dyDescent="0.3">
      <c r="A1120">
        <v>6770</v>
      </c>
      <c r="B1120" t="s">
        <v>8607</v>
      </c>
      <c r="C1120" t="s">
        <v>5043</v>
      </c>
      <c r="D1120" t="s">
        <v>8401</v>
      </c>
    </row>
    <row r="1121" spans="1:4" ht="14.45" x14ac:dyDescent="0.3">
      <c r="A1121">
        <v>7189</v>
      </c>
      <c r="B1121" t="s">
        <v>9838</v>
      </c>
      <c r="C1121" t="s">
        <v>5043</v>
      </c>
      <c r="D1121" t="s">
        <v>8401</v>
      </c>
    </row>
    <row r="1122" spans="1:4" ht="14.45" x14ac:dyDescent="0.3">
      <c r="A1122">
        <v>6906</v>
      </c>
      <c r="B1122" t="s">
        <v>8608</v>
      </c>
      <c r="C1122" t="s">
        <v>5043</v>
      </c>
      <c r="D1122" t="s">
        <v>8401</v>
      </c>
    </row>
    <row r="1123" spans="1:4" ht="14.45" x14ac:dyDescent="0.3">
      <c r="A1123">
        <v>8651</v>
      </c>
      <c r="B1123" t="s">
        <v>8608</v>
      </c>
      <c r="C1123" t="s">
        <v>5043</v>
      </c>
      <c r="D1123" t="s">
        <v>8401</v>
      </c>
    </row>
    <row r="1124" spans="1:4" ht="14.45" x14ac:dyDescent="0.3">
      <c r="A1124">
        <v>9171</v>
      </c>
      <c r="B1124" t="s">
        <v>8608</v>
      </c>
      <c r="C1124" t="s">
        <v>5043</v>
      </c>
      <c r="D1124" t="s">
        <v>8401</v>
      </c>
    </row>
    <row r="1125" spans="1:4" ht="14.45" x14ac:dyDescent="0.3">
      <c r="A1125">
        <v>10707</v>
      </c>
      <c r="B1125" t="s">
        <v>11554</v>
      </c>
      <c r="C1125" t="s">
        <v>5043</v>
      </c>
      <c r="D1125" t="s">
        <v>8401</v>
      </c>
    </row>
    <row r="1126" spans="1:4" ht="14.45" x14ac:dyDescent="0.3">
      <c r="A1126">
        <v>9703</v>
      </c>
      <c r="B1126" t="s">
        <v>9839</v>
      </c>
      <c r="C1126" t="s">
        <v>5043</v>
      </c>
      <c r="D1126" t="s">
        <v>8401</v>
      </c>
    </row>
    <row r="1127" spans="1:4" ht="14.45" x14ac:dyDescent="0.3">
      <c r="A1127">
        <v>8707</v>
      </c>
      <c r="B1127" t="s">
        <v>9840</v>
      </c>
      <c r="C1127" t="s">
        <v>5043</v>
      </c>
      <c r="D1127" t="s">
        <v>8401</v>
      </c>
    </row>
    <row r="1128" spans="1:4" ht="14.45" x14ac:dyDescent="0.3">
      <c r="A1128">
        <v>8601</v>
      </c>
      <c r="B1128" t="s">
        <v>9841</v>
      </c>
      <c r="C1128" t="s">
        <v>5043</v>
      </c>
      <c r="D1128" t="s">
        <v>8401</v>
      </c>
    </row>
    <row r="1129" spans="1:4" ht="14.45" x14ac:dyDescent="0.3">
      <c r="A1129">
        <v>7991</v>
      </c>
      <c r="B1129" t="s">
        <v>9842</v>
      </c>
      <c r="C1129" t="s">
        <v>5043</v>
      </c>
      <c r="D1129" t="s">
        <v>8401</v>
      </c>
    </row>
    <row r="1130" spans="1:4" ht="14.45" x14ac:dyDescent="0.3">
      <c r="A1130">
        <v>6034</v>
      </c>
      <c r="B1130" t="s">
        <v>9843</v>
      </c>
      <c r="C1130" t="s">
        <v>5043</v>
      </c>
      <c r="D1130" t="s">
        <v>8401</v>
      </c>
    </row>
    <row r="1131" spans="1:4" ht="14.45" x14ac:dyDescent="0.3">
      <c r="A1131">
        <v>5153</v>
      </c>
      <c r="B1131" t="s">
        <v>9844</v>
      </c>
      <c r="C1131" t="s">
        <v>5043</v>
      </c>
      <c r="D1131" t="s">
        <v>8401</v>
      </c>
    </row>
    <row r="1132" spans="1:4" ht="14.45" x14ac:dyDescent="0.3">
      <c r="A1132">
        <v>6947</v>
      </c>
      <c r="B1132" t="s">
        <v>9844</v>
      </c>
      <c r="C1132" t="s">
        <v>5043</v>
      </c>
      <c r="D1132" t="s">
        <v>8401</v>
      </c>
    </row>
    <row r="1133" spans="1:4" ht="14.45" x14ac:dyDescent="0.3">
      <c r="A1133">
        <v>7210</v>
      </c>
      <c r="B1133" t="s">
        <v>9844</v>
      </c>
      <c r="C1133" t="s">
        <v>5043</v>
      </c>
      <c r="D1133" t="s">
        <v>8401</v>
      </c>
    </row>
    <row r="1134" spans="1:4" ht="14.45" x14ac:dyDescent="0.3">
      <c r="A1134">
        <v>7286</v>
      </c>
      <c r="B1134" t="s">
        <v>9844</v>
      </c>
      <c r="C1134" t="s">
        <v>5043</v>
      </c>
      <c r="D1134" t="s">
        <v>8401</v>
      </c>
    </row>
    <row r="1135" spans="1:4" ht="14.45" x14ac:dyDescent="0.3">
      <c r="A1135">
        <v>7309</v>
      </c>
      <c r="B1135" t="s">
        <v>9844</v>
      </c>
      <c r="C1135" t="s">
        <v>5043</v>
      </c>
      <c r="D1135" t="s">
        <v>8401</v>
      </c>
    </row>
    <row r="1136" spans="1:4" ht="14.45" x14ac:dyDescent="0.3">
      <c r="A1136">
        <v>7831</v>
      </c>
      <c r="B1136" t="s">
        <v>9844</v>
      </c>
      <c r="C1136" t="s">
        <v>5043</v>
      </c>
      <c r="D1136" t="s">
        <v>8401</v>
      </c>
    </row>
    <row r="1137" spans="1:4" ht="14.45" x14ac:dyDescent="0.3">
      <c r="A1137">
        <v>9434</v>
      </c>
      <c r="B1137" t="s">
        <v>9844</v>
      </c>
      <c r="C1137" t="s">
        <v>5043</v>
      </c>
      <c r="D1137" t="s">
        <v>8401</v>
      </c>
    </row>
    <row r="1138" spans="1:4" ht="14.45" x14ac:dyDescent="0.3">
      <c r="A1138">
        <v>9792</v>
      </c>
      <c r="B1138" t="s">
        <v>9844</v>
      </c>
      <c r="C1138" t="s">
        <v>5043</v>
      </c>
      <c r="D1138" t="s">
        <v>8401</v>
      </c>
    </row>
    <row r="1139" spans="1:4" ht="14.45" x14ac:dyDescent="0.3">
      <c r="A1139">
        <v>6599</v>
      </c>
      <c r="B1139" t="s">
        <v>9845</v>
      </c>
      <c r="C1139" t="s">
        <v>5043</v>
      </c>
      <c r="D1139" t="s">
        <v>8401</v>
      </c>
    </row>
    <row r="1140" spans="1:4" ht="14.45" x14ac:dyDescent="0.3">
      <c r="A1140">
        <v>7526</v>
      </c>
      <c r="B1140" t="s">
        <v>9845</v>
      </c>
      <c r="C1140" t="s">
        <v>5043</v>
      </c>
      <c r="D1140" t="s">
        <v>8401</v>
      </c>
    </row>
    <row r="1141" spans="1:4" ht="14.45" x14ac:dyDescent="0.3">
      <c r="A1141">
        <v>8952</v>
      </c>
      <c r="B1141" t="s">
        <v>9845</v>
      </c>
      <c r="C1141" t="s">
        <v>5043</v>
      </c>
      <c r="D1141" t="s">
        <v>8401</v>
      </c>
    </row>
    <row r="1142" spans="1:4" ht="14.45" x14ac:dyDescent="0.3">
      <c r="A1142">
        <v>5346</v>
      </c>
      <c r="B1142" t="s">
        <v>9846</v>
      </c>
      <c r="C1142" t="s">
        <v>5043</v>
      </c>
      <c r="D1142" t="s">
        <v>8401</v>
      </c>
    </row>
    <row r="1143" spans="1:4" ht="14.45" x14ac:dyDescent="0.3">
      <c r="A1143">
        <v>5478</v>
      </c>
      <c r="B1143" t="s">
        <v>9846</v>
      </c>
      <c r="C1143" t="s">
        <v>5043</v>
      </c>
      <c r="D1143" t="s">
        <v>8401</v>
      </c>
    </row>
    <row r="1144" spans="1:4" ht="14.45" x14ac:dyDescent="0.3">
      <c r="A1144">
        <v>9584</v>
      </c>
      <c r="B1144" t="s">
        <v>9847</v>
      </c>
      <c r="C1144" t="s">
        <v>5043</v>
      </c>
      <c r="D1144" t="s">
        <v>8401</v>
      </c>
    </row>
    <row r="1145" spans="1:4" ht="14.45" x14ac:dyDescent="0.3">
      <c r="A1145">
        <v>8988</v>
      </c>
      <c r="B1145" t="s">
        <v>9848</v>
      </c>
      <c r="C1145" t="s">
        <v>5043</v>
      </c>
      <c r="D1145" t="s">
        <v>8401</v>
      </c>
    </row>
    <row r="1146" spans="1:4" ht="14.45" x14ac:dyDescent="0.3">
      <c r="A1146">
        <v>6679</v>
      </c>
      <c r="B1146" t="s">
        <v>9849</v>
      </c>
      <c r="C1146" t="s">
        <v>5043</v>
      </c>
      <c r="D1146" t="s">
        <v>8401</v>
      </c>
    </row>
    <row r="1147" spans="1:4" ht="14.45" x14ac:dyDescent="0.3">
      <c r="A1147">
        <v>7354</v>
      </c>
      <c r="B1147" t="s">
        <v>9849</v>
      </c>
      <c r="C1147" t="s">
        <v>5043</v>
      </c>
      <c r="D1147" t="s">
        <v>8401</v>
      </c>
    </row>
    <row r="1148" spans="1:4" ht="14.45" x14ac:dyDescent="0.3">
      <c r="A1148">
        <v>8876</v>
      </c>
      <c r="B1148" t="s">
        <v>9849</v>
      </c>
      <c r="C1148" t="s">
        <v>5043</v>
      </c>
      <c r="D1148" t="s">
        <v>8401</v>
      </c>
    </row>
    <row r="1149" spans="1:4" ht="14.45" x14ac:dyDescent="0.3">
      <c r="A1149">
        <v>7838</v>
      </c>
      <c r="B1149" t="s">
        <v>9850</v>
      </c>
      <c r="C1149" t="s">
        <v>5043</v>
      </c>
      <c r="D1149" t="s">
        <v>8401</v>
      </c>
    </row>
    <row r="1150" spans="1:4" ht="14.45" x14ac:dyDescent="0.3">
      <c r="A1150">
        <v>6060</v>
      </c>
      <c r="B1150" t="s">
        <v>8609</v>
      </c>
      <c r="C1150" t="s">
        <v>5043</v>
      </c>
      <c r="D1150" t="s">
        <v>8401</v>
      </c>
    </row>
    <row r="1151" spans="1:4" ht="14.45" x14ac:dyDescent="0.3">
      <c r="A1151">
        <v>6117</v>
      </c>
      <c r="B1151" t="s">
        <v>8609</v>
      </c>
      <c r="C1151" t="s">
        <v>5043</v>
      </c>
      <c r="D1151" t="s">
        <v>8401</v>
      </c>
    </row>
    <row r="1152" spans="1:4" ht="14.45" x14ac:dyDescent="0.3">
      <c r="A1152">
        <v>6895</v>
      </c>
      <c r="B1152" t="s">
        <v>8609</v>
      </c>
      <c r="C1152" t="s">
        <v>5043</v>
      </c>
      <c r="D1152" t="s">
        <v>8401</v>
      </c>
    </row>
    <row r="1153" spans="1:4" ht="14.45" x14ac:dyDescent="0.3">
      <c r="A1153">
        <v>6972</v>
      </c>
      <c r="B1153" t="s">
        <v>8609</v>
      </c>
      <c r="C1153" t="s">
        <v>5043</v>
      </c>
      <c r="D1153" t="s">
        <v>8401</v>
      </c>
    </row>
    <row r="1154" spans="1:4" ht="14.45" x14ac:dyDescent="0.3">
      <c r="A1154">
        <v>7055</v>
      </c>
      <c r="B1154" t="s">
        <v>8609</v>
      </c>
      <c r="C1154" t="s">
        <v>5043</v>
      </c>
      <c r="D1154" t="s">
        <v>8401</v>
      </c>
    </row>
    <row r="1155" spans="1:4" ht="14.45" x14ac:dyDescent="0.3">
      <c r="A1155">
        <v>8765</v>
      </c>
      <c r="B1155" t="s">
        <v>8609</v>
      </c>
      <c r="C1155" t="s">
        <v>5043</v>
      </c>
      <c r="D1155" t="s">
        <v>8401</v>
      </c>
    </row>
    <row r="1156" spans="1:4" ht="14.45" x14ac:dyDescent="0.3">
      <c r="A1156">
        <v>9087</v>
      </c>
      <c r="B1156" t="s">
        <v>8609</v>
      </c>
      <c r="C1156" t="s">
        <v>5043</v>
      </c>
      <c r="D1156" t="s">
        <v>8401</v>
      </c>
    </row>
    <row r="1157" spans="1:4" ht="14.45" x14ac:dyDescent="0.3">
      <c r="A1157">
        <v>9771</v>
      </c>
      <c r="B1157" t="s">
        <v>8609</v>
      </c>
      <c r="C1157" t="s">
        <v>5043</v>
      </c>
      <c r="D1157" t="s">
        <v>8401</v>
      </c>
    </row>
    <row r="1158" spans="1:4" ht="14.45" x14ac:dyDescent="0.3">
      <c r="A1158">
        <v>9725</v>
      </c>
      <c r="B1158" t="s">
        <v>9851</v>
      </c>
      <c r="C1158" t="s">
        <v>5043</v>
      </c>
      <c r="D1158" t="s">
        <v>8401</v>
      </c>
    </row>
    <row r="1159" spans="1:4" ht="14.45" x14ac:dyDescent="0.3">
      <c r="A1159">
        <v>5886</v>
      </c>
      <c r="B1159" t="s">
        <v>8610</v>
      </c>
      <c r="C1159" t="s">
        <v>5043</v>
      </c>
      <c r="D1159" t="s">
        <v>8401</v>
      </c>
    </row>
    <row r="1160" spans="1:4" ht="14.45" x14ac:dyDescent="0.3">
      <c r="A1160">
        <v>5818</v>
      </c>
      <c r="B1160" t="s">
        <v>9852</v>
      </c>
      <c r="C1160" t="s">
        <v>5043</v>
      </c>
      <c r="D1160" t="s">
        <v>8401</v>
      </c>
    </row>
    <row r="1161" spans="1:4" ht="14.45" x14ac:dyDescent="0.3">
      <c r="A1161">
        <v>7805</v>
      </c>
      <c r="B1161" t="s">
        <v>9852</v>
      </c>
      <c r="C1161" t="s">
        <v>5043</v>
      </c>
      <c r="D1161" t="s">
        <v>8401</v>
      </c>
    </row>
    <row r="1162" spans="1:4" ht="14.45" x14ac:dyDescent="0.3">
      <c r="A1162">
        <v>7443</v>
      </c>
      <c r="B1162" t="s">
        <v>9853</v>
      </c>
      <c r="C1162" t="s">
        <v>5043</v>
      </c>
      <c r="D1162" t="s">
        <v>8401</v>
      </c>
    </row>
    <row r="1163" spans="1:4" ht="14.45" x14ac:dyDescent="0.3">
      <c r="A1163">
        <v>6712</v>
      </c>
      <c r="B1163" t="s">
        <v>9854</v>
      </c>
      <c r="C1163" t="s">
        <v>5043</v>
      </c>
      <c r="D1163" t="s">
        <v>8401</v>
      </c>
    </row>
    <row r="1164" spans="1:4" ht="14.45" x14ac:dyDescent="0.3">
      <c r="A1164">
        <v>6908</v>
      </c>
      <c r="B1164" t="s">
        <v>9855</v>
      </c>
      <c r="C1164" t="s">
        <v>5043</v>
      </c>
      <c r="D1164" t="s">
        <v>8401</v>
      </c>
    </row>
    <row r="1165" spans="1:4" ht="14.45" x14ac:dyDescent="0.3">
      <c r="A1165">
        <v>6995</v>
      </c>
      <c r="B1165" t="s">
        <v>9856</v>
      </c>
      <c r="C1165" t="s">
        <v>5043</v>
      </c>
      <c r="D1165" t="s">
        <v>8401</v>
      </c>
    </row>
    <row r="1166" spans="1:4" ht="14.45" x14ac:dyDescent="0.3">
      <c r="A1166">
        <v>6885</v>
      </c>
      <c r="B1166" t="s">
        <v>9857</v>
      </c>
      <c r="C1166" t="s">
        <v>5043</v>
      </c>
      <c r="D1166" t="s">
        <v>8401</v>
      </c>
    </row>
    <row r="1167" spans="1:4" ht="14.45" x14ac:dyDescent="0.3">
      <c r="A1167">
        <v>8003</v>
      </c>
      <c r="B1167" t="s">
        <v>8611</v>
      </c>
      <c r="C1167" t="s">
        <v>5043</v>
      </c>
      <c r="D1167" t="s">
        <v>8401</v>
      </c>
    </row>
    <row r="1168" spans="1:4" ht="14.45" x14ac:dyDescent="0.3">
      <c r="A1168">
        <v>6081</v>
      </c>
      <c r="B1168" t="s">
        <v>8612</v>
      </c>
      <c r="C1168" t="s">
        <v>5043</v>
      </c>
      <c r="D1168" t="s">
        <v>8401</v>
      </c>
    </row>
    <row r="1169" spans="1:4" ht="14.45" x14ac:dyDescent="0.3">
      <c r="A1169">
        <v>6511</v>
      </c>
      <c r="B1169" t="s">
        <v>8612</v>
      </c>
      <c r="C1169" t="s">
        <v>5043</v>
      </c>
      <c r="D1169" t="s">
        <v>8401</v>
      </c>
    </row>
    <row r="1170" spans="1:4" ht="14.45" x14ac:dyDescent="0.3">
      <c r="A1170">
        <v>6736</v>
      </c>
      <c r="B1170" t="s">
        <v>8612</v>
      </c>
      <c r="C1170" t="s">
        <v>5043</v>
      </c>
      <c r="D1170" t="s">
        <v>8401</v>
      </c>
    </row>
    <row r="1171" spans="1:4" ht="14.45" x14ac:dyDescent="0.3">
      <c r="A1171">
        <v>6743</v>
      </c>
      <c r="B1171" t="s">
        <v>8612</v>
      </c>
      <c r="C1171" t="s">
        <v>5043</v>
      </c>
      <c r="D1171" t="s">
        <v>8401</v>
      </c>
    </row>
    <row r="1172" spans="1:4" ht="14.45" x14ac:dyDescent="0.3">
      <c r="A1172">
        <v>6863</v>
      </c>
      <c r="B1172" t="s">
        <v>8612</v>
      </c>
      <c r="C1172" t="s">
        <v>5043</v>
      </c>
      <c r="D1172" t="s">
        <v>8401</v>
      </c>
    </row>
    <row r="1173" spans="1:4" ht="14.45" x14ac:dyDescent="0.3">
      <c r="A1173">
        <v>6944</v>
      </c>
      <c r="B1173" t="s">
        <v>8612</v>
      </c>
      <c r="C1173" t="s">
        <v>5043</v>
      </c>
      <c r="D1173" t="s">
        <v>8401</v>
      </c>
    </row>
    <row r="1174" spans="1:4" ht="14.45" x14ac:dyDescent="0.3">
      <c r="A1174">
        <v>7728</v>
      </c>
      <c r="B1174" t="s">
        <v>8612</v>
      </c>
      <c r="C1174" t="s">
        <v>5043</v>
      </c>
      <c r="D1174" t="s">
        <v>8401</v>
      </c>
    </row>
    <row r="1175" spans="1:4" ht="14.45" x14ac:dyDescent="0.3">
      <c r="A1175">
        <v>8480</v>
      </c>
      <c r="B1175" t="s">
        <v>8612</v>
      </c>
      <c r="C1175" t="s">
        <v>5043</v>
      </c>
      <c r="D1175" t="s">
        <v>8401</v>
      </c>
    </row>
    <row r="1176" spans="1:4" ht="14.45" x14ac:dyDescent="0.3">
      <c r="A1176">
        <v>8711</v>
      </c>
      <c r="B1176" t="s">
        <v>8612</v>
      </c>
      <c r="C1176" t="s">
        <v>5043</v>
      </c>
      <c r="D1176" t="s">
        <v>8401</v>
      </c>
    </row>
    <row r="1177" spans="1:4" ht="14.45" x14ac:dyDescent="0.3">
      <c r="A1177">
        <v>8913</v>
      </c>
      <c r="B1177" t="s">
        <v>8612</v>
      </c>
      <c r="C1177" t="s">
        <v>5043</v>
      </c>
      <c r="D1177" t="s">
        <v>8401</v>
      </c>
    </row>
    <row r="1178" spans="1:4" ht="14.45" x14ac:dyDescent="0.3">
      <c r="A1178">
        <v>8995</v>
      </c>
      <c r="B1178" t="s">
        <v>8612</v>
      </c>
      <c r="C1178" t="s">
        <v>5043</v>
      </c>
      <c r="D1178" t="s">
        <v>8401</v>
      </c>
    </row>
    <row r="1179" spans="1:4" ht="14.45" x14ac:dyDescent="0.3">
      <c r="A1179">
        <v>9109</v>
      </c>
      <c r="B1179" t="s">
        <v>8612</v>
      </c>
      <c r="C1179" t="s">
        <v>5043</v>
      </c>
      <c r="D1179" t="s">
        <v>8401</v>
      </c>
    </row>
    <row r="1180" spans="1:4" ht="14.45" x14ac:dyDescent="0.3">
      <c r="A1180">
        <v>9122</v>
      </c>
      <c r="B1180" t="s">
        <v>8612</v>
      </c>
      <c r="C1180" t="s">
        <v>5043</v>
      </c>
      <c r="D1180" t="s">
        <v>8401</v>
      </c>
    </row>
    <row r="1181" spans="1:4" ht="14.45" x14ac:dyDescent="0.3">
      <c r="A1181">
        <v>9637</v>
      </c>
      <c r="B1181" t="s">
        <v>8612</v>
      </c>
      <c r="C1181" t="s">
        <v>5043</v>
      </c>
      <c r="D1181" t="s">
        <v>8401</v>
      </c>
    </row>
    <row r="1182" spans="1:4" ht="14.45" x14ac:dyDescent="0.3">
      <c r="A1182">
        <v>5979</v>
      </c>
      <c r="B1182" t="s">
        <v>9858</v>
      </c>
      <c r="C1182" t="s">
        <v>5043</v>
      </c>
      <c r="D1182" t="s">
        <v>8401</v>
      </c>
    </row>
    <row r="1183" spans="1:4" ht="14.45" x14ac:dyDescent="0.3">
      <c r="A1183">
        <v>5262</v>
      </c>
      <c r="B1183" t="s">
        <v>8613</v>
      </c>
      <c r="C1183" t="s">
        <v>5043</v>
      </c>
      <c r="D1183" t="s">
        <v>8401</v>
      </c>
    </row>
    <row r="1184" spans="1:4" ht="14.45" x14ac:dyDescent="0.3">
      <c r="A1184">
        <v>8491</v>
      </c>
      <c r="B1184" t="s">
        <v>8614</v>
      </c>
      <c r="C1184" t="s">
        <v>5043</v>
      </c>
      <c r="D1184" t="s">
        <v>8401</v>
      </c>
    </row>
    <row r="1185" spans="1:4" ht="14.45" x14ac:dyDescent="0.3">
      <c r="A1185">
        <v>9702</v>
      </c>
      <c r="B1185" t="s">
        <v>8614</v>
      </c>
      <c r="C1185" t="s">
        <v>5043</v>
      </c>
      <c r="D1185" t="s">
        <v>8401</v>
      </c>
    </row>
    <row r="1186" spans="1:4" ht="14.45" x14ac:dyDescent="0.3">
      <c r="A1186">
        <v>6931</v>
      </c>
      <c r="B1186" t="s">
        <v>9859</v>
      </c>
      <c r="C1186" t="s">
        <v>5043</v>
      </c>
      <c r="D1186" t="s">
        <v>8401</v>
      </c>
    </row>
    <row r="1187" spans="1:4" ht="14.45" x14ac:dyDescent="0.3">
      <c r="A1187">
        <v>8656</v>
      </c>
      <c r="B1187" t="s">
        <v>9859</v>
      </c>
      <c r="C1187" t="s">
        <v>5043</v>
      </c>
      <c r="D1187" t="s">
        <v>8401</v>
      </c>
    </row>
    <row r="1188" spans="1:4" ht="14.45" x14ac:dyDescent="0.3">
      <c r="A1188">
        <v>6007</v>
      </c>
      <c r="B1188" t="s">
        <v>9860</v>
      </c>
      <c r="C1188" t="s">
        <v>5043</v>
      </c>
      <c r="D1188" t="s">
        <v>8401</v>
      </c>
    </row>
    <row r="1189" spans="1:4" ht="14.45" x14ac:dyDescent="0.3">
      <c r="A1189">
        <v>9704</v>
      </c>
      <c r="B1189" t="s">
        <v>9860</v>
      </c>
      <c r="C1189" t="s">
        <v>5043</v>
      </c>
      <c r="D1189" t="s">
        <v>8401</v>
      </c>
    </row>
    <row r="1190" spans="1:4" ht="14.45" x14ac:dyDescent="0.3">
      <c r="A1190">
        <v>5654</v>
      </c>
      <c r="B1190" t="s">
        <v>9861</v>
      </c>
      <c r="C1190" t="s">
        <v>5043</v>
      </c>
      <c r="D1190" t="s">
        <v>8401</v>
      </c>
    </row>
    <row r="1191" spans="1:4" ht="14.45" x14ac:dyDescent="0.3">
      <c r="A1191">
        <v>8606</v>
      </c>
      <c r="B1191" t="s">
        <v>9861</v>
      </c>
      <c r="C1191" t="s">
        <v>5043</v>
      </c>
      <c r="D1191" t="s">
        <v>8401</v>
      </c>
    </row>
    <row r="1192" spans="1:4" ht="14.45" x14ac:dyDescent="0.3">
      <c r="A1192">
        <v>8000</v>
      </c>
      <c r="B1192" t="s">
        <v>8615</v>
      </c>
      <c r="C1192" t="s">
        <v>5043</v>
      </c>
      <c r="D1192" t="s">
        <v>8401</v>
      </c>
    </row>
    <row r="1193" spans="1:4" ht="14.45" x14ac:dyDescent="0.3">
      <c r="A1193">
        <v>5426</v>
      </c>
      <c r="B1193" t="s">
        <v>8616</v>
      </c>
      <c r="C1193" t="s">
        <v>5043</v>
      </c>
      <c r="D1193" t="s">
        <v>8401</v>
      </c>
    </row>
    <row r="1194" spans="1:4" ht="14.45" x14ac:dyDescent="0.3">
      <c r="A1194">
        <v>9359</v>
      </c>
      <c r="B1194" t="s">
        <v>8616</v>
      </c>
      <c r="C1194" t="s">
        <v>5043</v>
      </c>
      <c r="D1194" t="s">
        <v>8401</v>
      </c>
    </row>
    <row r="1195" spans="1:4" ht="14.45" x14ac:dyDescent="0.3">
      <c r="A1195">
        <v>6356</v>
      </c>
      <c r="B1195" t="s">
        <v>9862</v>
      </c>
      <c r="C1195" t="s">
        <v>5043</v>
      </c>
      <c r="D1195" t="s">
        <v>8401</v>
      </c>
    </row>
    <row r="1196" spans="1:4" ht="14.45" x14ac:dyDescent="0.3">
      <c r="A1196">
        <v>8187</v>
      </c>
      <c r="B1196" t="s">
        <v>9862</v>
      </c>
      <c r="C1196" t="s">
        <v>5043</v>
      </c>
      <c r="D1196" t="s">
        <v>8401</v>
      </c>
    </row>
    <row r="1197" spans="1:4" ht="14.45" x14ac:dyDescent="0.3">
      <c r="A1197">
        <v>5144</v>
      </c>
      <c r="B1197" t="s">
        <v>9863</v>
      </c>
      <c r="C1197" t="s">
        <v>5043</v>
      </c>
      <c r="D1197" t="s">
        <v>8401</v>
      </c>
    </row>
    <row r="1198" spans="1:4" ht="14.45" x14ac:dyDescent="0.3">
      <c r="A1198">
        <v>7560</v>
      </c>
      <c r="B1198" t="s">
        <v>9863</v>
      </c>
      <c r="C1198" t="s">
        <v>5043</v>
      </c>
      <c r="D1198" t="s">
        <v>8401</v>
      </c>
    </row>
    <row r="1199" spans="1:4" ht="14.45" x14ac:dyDescent="0.3">
      <c r="A1199">
        <v>8369</v>
      </c>
      <c r="B1199" t="s">
        <v>9863</v>
      </c>
      <c r="C1199" t="s">
        <v>5043</v>
      </c>
      <c r="D1199" t="s">
        <v>8401</v>
      </c>
    </row>
    <row r="1200" spans="1:4" ht="14.45" x14ac:dyDescent="0.3">
      <c r="A1200">
        <v>5488</v>
      </c>
      <c r="B1200" t="s">
        <v>8617</v>
      </c>
      <c r="C1200" t="s">
        <v>5043</v>
      </c>
      <c r="D1200" t="s">
        <v>8401</v>
      </c>
    </row>
    <row r="1201" spans="1:4" ht="14.45" x14ac:dyDescent="0.3">
      <c r="A1201">
        <v>6492</v>
      </c>
      <c r="B1201" t="s">
        <v>8617</v>
      </c>
      <c r="C1201" t="s">
        <v>5043</v>
      </c>
      <c r="D1201" t="s">
        <v>8401</v>
      </c>
    </row>
    <row r="1202" spans="1:4" ht="14.45" x14ac:dyDescent="0.3">
      <c r="A1202">
        <v>6936</v>
      </c>
      <c r="B1202" t="s">
        <v>8617</v>
      </c>
      <c r="C1202" t="s">
        <v>5043</v>
      </c>
      <c r="D1202" t="s">
        <v>8401</v>
      </c>
    </row>
    <row r="1203" spans="1:4" ht="14.45" x14ac:dyDescent="0.3">
      <c r="A1203">
        <v>5189</v>
      </c>
      <c r="B1203" t="s">
        <v>9864</v>
      </c>
      <c r="C1203" t="s">
        <v>5043</v>
      </c>
      <c r="D1203" t="s">
        <v>8401</v>
      </c>
    </row>
    <row r="1204" spans="1:4" ht="14.45" x14ac:dyDescent="0.3">
      <c r="A1204">
        <v>5720</v>
      </c>
      <c r="B1204" t="s">
        <v>9864</v>
      </c>
      <c r="C1204" t="s">
        <v>5043</v>
      </c>
      <c r="D1204" t="s">
        <v>8401</v>
      </c>
    </row>
    <row r="1205" spans="1:4" ht="14.45" x14ac:dyDescent="0.3">
      <c r="A1205">
        <v>6167</v>
      </c>
      <c r="B1205" t="s">
        <v>9864</v>
      </c>
      <c r="C1205" t="s">
        <v>5043</v>
      </c>
      <c r="D1205" t="s">
        <v>8401</v>
      </c>
    </row>
    <row r="1206" spans="1:4" ht="14.45" x14ac:dyDescent="0.3">
      <c r="A1206">
        <v>6289</v>
      </c>
      <c r="B1206" t="s">
        <v>9864</v>
      </c>
      <c r="C1206" t="s">
        <v>5043</v>
      </c>
      <c r="D1206" t="s">
        <v>8401</v>
      </c>
    </row>
    <row r="1207" spans="1:4" ht="14.45" x14ac:dyDescent="0.3">
      <c r="A1207">
        <v>6418</v>
      </c>
      <c r="B1207" t="s">
        <v>9864</v>
      </c>
      <c r="C1207" t="s">
        <v>5043</v>
      </c>
      <c r="D1207" t="s">
        <v>8401</v>
      </c>
    </row>
    <row r="1208" spans="1:4" ht="14.45" x14ac:dyDescent="0.3">
      <c r="A1208">
        <v>7014</v>
      </c>
      <c r="B1208" t="s">
        <v>9864</v>
      </c>
      <c r="C1208" t="s">
        <v>5043</v>
      </c>
      <c r="D1208" t="s">
        <v>8401</v>
      </c>
    </row>
    <row r="1209" spans="1:4" ht="14.45" x14ac:dyDescent="0.3">
      <c r="A1209">
        <v>7519</v>
      </c>
      <c r="B1209" t="s">
        <v>9864</v>
      </c>
      <c r="C1209" t="s">
        <v>5043</v>
      </c>
      <c r="D1209" t="s">
        <v>8401</v>
      </c>
    </row>
    <row r="1210" spans="1:4" ht="14.45" x14ac:dyDescent="0.3">
      <c r="A1210">
        <v>7659</v>
      </c>
      <c r="B1210" t="s">
        <v>9864</v>
      </c>
      <c r="C1210" t="s">
        <v>5043</v>
      </c>
      <c r="D1210" t="s">
        <v>8401</v>
      </c>
    </row>
    <row r="1211" spans="1:4" ht="14.45" x14ac:dyDescent="0.3">
      <c r="A1211">
        <v>7998</v>
      </c>
      <c r="B1211" t="s">
        <v>9864</v>
      </c>
      <c r="C1211" t="s">
        <v>5043</v>
      </c>
      <c r="D1211" t="s">
        <v>8401</v>
      </c>
    </row>
    <row r="1212" spans="1:4" ht="14.45" x14ac:dyDescent="0.3">
      <c r="A1212">
        <v>8672</v>
      </c>
      <c r="B1212" t="s">
        <v>9864</v>
      </c>
      <c r="C1212" t="s">
        <v>5043</v>
      </c>
      <c r="D1212" t="s">
        <v>8401</v>
      </c>
    </row>
    <row r="1213" spans="1:4" ht="14.45" x14ac:dyDescent="0.3">
      <c r="A1213">
        <v>8702</v>
      </c>
      <c r="B1213" t="s">
        <v>9864</v>
      </c>
      <c r="C1213" t="s">
        <v>5043</v>
      </c>
      <c r="D1213" t="s">
        <v>8401</v>
      </c>
    </row>
    <row r="1214" spans="1:4" ht="14.45" x14ac:dyDescent="0.3">
      <c r="A1214">
        <v>8818</v>
      </c>
      <c r="B1214" t="s">
        <v>9864</v>
      </c>
      <c r="C1214" t="s">
        <v>5043</v>
      </c>
      <c r="D1214" t="s">
        <v>8401</v>
      </c>
    </row>
    <row r="1215" spans="1:4" ht="14.45" x14ac:dyDescent="0.3">
      <c r="A1215">
        <v>8834</v>
      </c>
      <c r="B1215" t="s">
        <v>9864</v>
      </c>
      <c r="C1215" t="s">
        <v>5043</v>
      </c>
      <c r="D1215" t="s">
        <v>8401</v>
      </c>
    </row>
    <row r="1216" spans="1:4" ht="14.45" x14ac:dyDescent="0.3">
      <c r="A1216">
        <v>8928</v>
      </c>
      <c r="B1216" t="s">
        <v>9864</v>
      </c>
      <c r="C1216" t="s">
        <v>5043</v>
      </c>
      <c r="D1216" t="s">
        <v>8401</v>
      </c>
    </row>
    <row r="1217" spans="1:4" ht="14.45" x14ac:dyDescent="0.3">
      <c r="A1217">
        <v>8983</v>
      </c>
      <c r="B1217" t="s">
        <v>9864</v>
      </c>
      <c r="C1217" t="s">
        <v>5043</v>
      </c>
      <c r="D1217" t="s">
        <v>8401</v>
      </c>
    </row>
    <row r="1218" spans="1:4" ht="14.45" x14ac:dyDescent="0.3">
      <c r="A1218">
        <v>9198</v>
      </c>
      <c r="B1218" t="s">
        <v>9864</v>
      </c>
      <c r="C1218" t="s">
        <v>5043</v>
      </c>
      <c r="D1218" t="s">
        <v>8401</v>
      </c>
    </row>
    <row r="1219" spans="1:4" ht="14.45" x14ac:dyDescent="0.3">
      <c r="A1219">
        <v>5081</v>
      </c>
      <c r="B1219" t="s">
        <v>9865</v>
      </c>
      <c r="C1219" t="s">
        <v>5043</v>
      </c>
      <c r="D1219" t="s">
        <v>8401</v>
      </c>
    </row>
    <row r="1220" spans="1:4" ht="14.45" x14ac:dyDescent="0.3">
      <c r="A1220">
        <v>5089</v>
      </c>
      <c r="B1220" t="s">
        <v>9865</v>
      </c>
      <c r="C1220" t="s">
        <v>5043</v>
      </c>
      <c r="D1220" t="s">
        <v>8401</v>
      </c>
    </row>
    <row r="1221" spans="1:4" ht="14.45" x14ac:dyDescent="0.3">
      <c r="A1221">
        <v>6156</v>
      </c>
      <c r="B1221" t="s">
        <v>9865</v>
      </c>
      <c r="C1221" t="s">
        <v>5043</v>
      </c>
      <c r="D1221" t="s">
        <v>8401</v>
      </c>
    </row>
    <row r="1222" spans="1:4" ht="14.45" x14ac:dyDescent="0.3">
      <c r="A1222">
        <v>6791</v>
      </c>
      <c r="B1222" t="s">
        <v>9865</v>
      </c>
      <c r="C1222" t="s">
        <v>5043</v>
      </c>
      <c r="D1222" t="s">
        <v>8401</v>
      </c>
    </row>
    <row r="1223" spans="1:4" ht="14.45" x14ac:dyDescent="0.3">
      <c r="A1223">
        <v>6826</v>
      </c>
      <c r="B1223" t="s">
        <v>9865</v>
      </c>
      <c r="C1223" t="s">
        <v>5043</v>
      </c>
      <c r="D1223" t="s">
        <v>8401</v>
      </c>
    </row>
    <row r="1224" spans="1:4" ht="14.45" x14ac:dyDescent="0.3">
      <c r="A1224">
        <v>7083</v>
      </c>
      <c r="B1224" t="s">
        <v>9865</v>
      </c>
      <c r="C1224" t="s">
        <v>5043</v>
      </c>
      <c r="D1224" t="s">
        <v>8401</v>
      </c>
    </row>
    <row r="1225" spans="1:4" ht="14.45" x14ac:dyDescent="0.3">
      <c r="A1225">
        <v>7400</v>
      </c>
      <c r="B1225" t="s">
        <v>9865</v>
      </c>
      <c r="C1225" t="s">
        <v>5043</v>
      </c>
      <c r="D1225" t="s">
        <v>8401</v>
      </c>
    </row>
    <row r="1226" spans="1:4" ht="14.45" x14ac:dyDescent="0.3">
      <c r="A1226">
        <v>7741</v>
      </c>
      <c r="B1226" t="s">
        <v>9865</v>
      </c>
      <c r="C1226" t="s">
        <v>5043</v>
      </c>
      <c r="D1226" t="s">
        <v>8401</v>
      </c>
    </row>
    <row r="1227" spans="1:4" ht="14.45" x14ac:dyDescent="0.3">
      <c r="A1227">
        <v>7852</v>
      </c>
      <c r="B1227" t="s">
        <v>9865</v>
      </c>
      <c r="C1227" t="s">
        <v>5043</v>
      </c>
      <c r="D1227" t="s">
        <v>8401</v>
      </c>
    </row>
    <row r="1228" spans="1:4" ht="14.45" x14ac:dyDescent="0.3">
      <c r="A1228">
        <v>7929</v>
      </c>
      <c r="B1228" t="s">
        <v>9865</v>
      </c>
      <c r="C1228" t="s">
        <v>5043</v>
      </c>
      <c r="D1228" t="s">
        <v>8401</v>
      </c>
    </row>
    <row r="1229" spans="1:4" ht="14.45" x14ac:dyDescent="0.3">
      <c r="A1229">
        <v>9411</v>
      </c>
      <c r="B1229" t="s">
        <v>9865</v>
      </c>
      <c r="C1229" t="s">
        <v>5043</v>
      </c>
      <c r="D1229" t="s">
        <v>8401</v>
      </c>
    </row>
    <row r="1230" spans="1:4" ht="14.45" x14ac:dyDescent="0.3">
      <c r="A1230">
        <v>9562</v>
      </c>
      <c r="B1230" t="s">
        <v>9865</v>
      </c>
      <c r="C1230" t="s">
        <v>5043</v>
      </c>
      <c r="D1230" t="s">
        <v>8401</v>
      </c>
    </row>
    <row r="1231" spans="1:4" ht="14.45" x14ac:dyDescent="0.3">
      <c r="A1231">
        <v>9600</v>
      </c>
      <c r="B1231" t="s">
        <v>9865</v>
      </c>
      <c r="C1231" t="s">
        <v>5043</v>
      </c>
      <c r="D1231" t="s">
        <v>8401</v>
      </c>
    </row>
    <row r="1232" spans="1:4" ht="14.45" x14ac:dyDescent="0.3">
      <c r="A1232">
        <v>9612</v>
      </c>
      <c r="B1232" t="s">
        <v>9865</v>
      </c>
      <c r="C1232" t="s">
        <v>5043</v>
      </c>
      <c r="D1232" t="s">
        <v>8401</v>
      </c>
    </row>
    <row r="1233" spans="1:4" ht="14.45" x14ac:dyDescent="0.3">
      <c r="A1233">
        <v>9732</v>
      </c>
      <c r="B1233" t="s">
        <v>9865</v>
      </c>
      <c r="C1233" t="s">
        <v>5043</v>
      </c>
      <c r="D1233" t="s">
        <v>8401</v>
      </c>
    </row>
    <row r="1234" spans="1:4" ht="14.45" x14ac:dyDescent="0.3">
      <c r="A1234">
        <v>5222</v>
      </c>
      <c r="B1234" t="s">
        <v>9866</v>
      </c>
      <c r="C1234" t="s">
        <v>5043</v>
      </c>
      <c r="D1234" t="s">
        <v>8401</v>
      </c>
    </row>
    <row r="1235" spans="1:4" ht="14.45" x14ac:dyDescent="0.3">
      <c r="A1235">
        <v>5900</v>
      </c>
      <c r="B1235" t="s">
        <v>9866</v>
      </c>
      <c r="C1235" t="s">
        <v>5043</v>
      </c>
      <c r="D1235" t="s">
        <v>8401</v>
      </c>
    </row>
    <row r="1236" spans="1:4" ht="14.45" x14ac:dyDescent="0.3">
      <c r="A1236">
        <v>6139</v>
      </c>
      <c r="B1236" t="s">
        <v>9866</v>
      </c>
      <c r="C1236" t="s">
        <v>5043</v>
      </c>
      <c r="D1236" t="s">
        <v>8401</v>
      </c>
    </row>
    <row r="1237" spans="1:4" ht="14.45" x14ac:dyDescent="0.3">
      <c r="A1237">
        <v>6147</v>
      </c>
      <c r="B1237" t="s">
        <v>9866</v>
      </c>
      <c r="C1237" t="s">
        <v>5043</v>
      </c>
      <c r="D1237" t="s">
        <v>8401</v>
      </c>
    </row>
    <row r="1238" spans="1:4" ht="14.45" x14ac:dyDescent="0.3">
      <c r="A1238">
        <v>6202</v>
      </c>
      <c r="B1238" t="s">
        <v>9866</v>
      </c>
      <c r="C1238" t="s">
        <v>5043</v>
      </c>
      <c r="D1238" t="s">
        <v>8401</v>
      </c>
    </row>
    <row r="1239" spans="1:4" ht="14.45" x14ac:dyDescent="0.3">
      <c r="A1239">
        <v>6235</v>
      </c>
      <c r="B1239" t="s">
        <v>9866</v>
      </c>
      <c r="C1239" t="s">
        <v>5043</v>
      </c>
      <c r="D1239" t="s">
        <v>8401</v>
      </c>
    </row>
    <row r="1240" spans="1:4" ht="14.45" x14ac:dyDescent="0.3">
      <c r="A1240">
        <v>6766</v>
      </c>
      <c r="B1240" t="s">
        <v>9866</v>
      </c>
      <c r="C1240" t="s">
        <v>5043</v>
      </c>
      <c r="D1240" t="s">
        <v>8401</v>
      </c>
    </row>
    <row r="1241" spans="1:4" ht="14.45" x14ac:dyDescent="0.3">
      <c r="A1241">
        <v>6992</v>
      </c>
      <c r="B1241" t="s">
        <v>9866</v>
      </c>
      <c r="C1241" t="s">
        <v>5043</v>
      </c>
      <c r="D1241" t="s">
        <v>8401</v>
      </c>
    </row>
    <row r="1242" spans="1:4" ht="14.45" x14ac:dyDescent="0.3">
      <c r="A1242">
        <v>7027</v>
      </c>
      <c r="B1242" t="s">
        <v>9866</v>
      </c>
      <c r="C1242" t="s">
        <v>5043</v>
      </c>
      <c r="D1242" t="s">
        <v>8401</v>
      </c>
    </row>
    <row r="1243" spans="1:4" ht="14.45" x14ac:dyDescent="0.3">
      <c r="A1243">
        <v>7085</v>
      </c>
      <c r="B1243" t="s">
        <v>9866</v>
      </c>
      <c r="C1243" t="s">
        <v>5043</v>
      </c>
      <c r="D1243" t="s">
        <v>8401</v>
      </c>
    </row>
    <row r="1244" spans="1:4" ht="14.45" x14ac:dyDescent="0.3">
      <c r="A1244">
        <v>7365</v>
      </c>
      <c r="B1244" t="s">
        <v>9866</v>
      </c>
      <c r="C1244" t="s">
        <v>5043</v>
      </c>
      <c r="D1244" t="s">
        <v>8401</v>
      </c>
    </row>
    <row r="1245" spans="1:4" ht="14.45" x14ac:dyDescent="0.3">
      <c r="A1245">
        <v>7424</v>
      </c>
      <c r="B1245" t="s">
        <v>9866</v>
      </c>
      <c r="C1245" t="s">
        <v>5043</v>
      </c>
      <c r="D1245" t="s">
        <v>8401</v>
      </c>
    </row>
    <row r="1246" spans="1:4" ht="14.45" x14ac:dyDescent="0.3">
      <c r="A1246">
        <v>7523</v>
      </c>
      <c r="B1246" t="s">
        <v>9866</v>
      </c>
      <c r="C1246" t="s">
        <v>5043</v>
      </c>
      <c r="D1246" t="s">
        <v>8401</v>
      </c>
    </row>
    <row r="1247" spans="1:4" ht="14.45" x14ac:dyDescent="0.3">
      <c r="A1247">
        <v>7632</v>
      </c>
      <c r="B1247" t="s">
        <v>9866</v>
      </c>
      <c r="C1247" t="s">
        <v>5043</v>
      </c>
      <c r="D1247" t="s">
        <v>8401</v>
      </c>
    </row>
    <row r="1248" spans="1:4" ht="14.45" x14ac:dyDescent="0.3">
      <c r="A1248">
        <v>7997</v>
      </c>
      <c r="B1248" t="s">
        <v>9866</v>
      </c>
      <c r="C1248" t="s">
        <v>5043</v>
      </c>
      <c r="D1248" t="s">
        <v>8401</v>
      </c>
    </row>
    <row r="1249" spans="1:4" ht="14.45" x14ac:dyDescent="0.3">
      <c r="A1249">
        <v>8009</v>
      </c>
      <c r="B1249" t="s">
        <v>9866</v>
      </c>
      <c r="C1249" t="s">
        <v>5043</v>
      </c>
      <c r="D1249" t="s">
        <v>8401</v>
      </c>
    </row>
    <row r="1250" spans="1:4" ht="14.45" x14ac:dyDescent="0.3">
      <c r="A1250">
        <v>8386</v>
      </c>
      <c r="B1250" t="s">
        <v>9866</v>
      </c>
      <c r="C1250" t="s">
        <v>5043</v>
      </c>
      <c r="D1250" t="s">
        <v>8401</v>
      </c>
    </row>
    <row r="1251" spans="1:4" ht="14.45" x14ac:dyDescent="0.3">
      <c r="A1251">
        <v>8513</v>
      </c>
      <c r="B1251" t="s">
        <v>9866</v>
      </c>
      <c r="C1251" t="s">
        <v>5043</v>
      </c>
      <c r="D1251" t="s">
        <v>8401</v>
      </c>
    </row>
    <row r="1252" spans="1:4" ht="14.45" x14ac:dyDescent="0.3">
      <c r="A1252">
        <v>8583</v>
      </c>
      <c r="B1252" t="s">
        <v>9866</v>
      </c>
      <c r="C1252" t="s">
        <v>5043</v>
      </c>
      <c r="D1252" t="s">
        <v>8401</v>
      </c>
    </row>
    <row r="1253" spans="1:4" ht="14.45" x14ac:dyDescent="0.3">
      <c r="A1253">
        <v>8775</v>
      </c>
      <c r="B1253" t="s">
        <v>9866</v>
      </c>
      <c r="C1253" t="s">
        <v>5043</v>
      </c>
      <c r="D1253" t="s">
        <v>8401</v>
      </c>
    </row>
    <row r="1254" spans="1:4" ht="14.45" x14ac:dyDescent="0.3">
      <c r="A1254">
        <v>8806</v>
      </c>
      <c r="B1254" t="s">
        <v>9866</v>
      </c>
      <c r="C1254" t="s">
        <v>5043</v>
      </c>
      <c r="D1254" t="s">
        <v>8401</v>
      </c>
    </row>
    <row r="1255" spans="1:4" ht="14.45" x14ac:dyDescent="0.3">
      <c r="A1255">
        <v>8912</v>
      </c>
      <c r="B1255" t="s">
        <v>9866</v>
      </c>
      <c r="C1255" t="s">
        <v>5043</v>
      </c>
      <c r="D1255" t="s">
        <v>8401</v>
      </c>
    </row>
    <row r="1256" spans="1:4" ht="14.45" x14ac:dyDescent="0.3">
      <c r="A1256">
        <v>9482</v>
      </c>
      <c r="B1256" t="s">
        <v>9866</v>
      </c>
      <c r="C1256" t="s">
        <v>5043</v>
      </c>
      <c r="D1256" t="s">
        <v>8401</v>
      </c>
    </row>
    <row r="1257" spans="1:4" ht="14.45" x14ac:dyDescent="0.3">
      <c r="A1257">
        <v>9635</v>
      </c>
      <c r="B1257" t="s">
        <v>9866</v>
      </c>
      <c r="C1257" t="s">
        <v>5043</v>
      </c>
      <c r="D1257" t="s">
        <v>8401</v>
      </c>
    </row>
    <row r="1258" spans="1:4" ht="14.45" x14ac:dyDescent="0.3">
      <c r="A1258">
        <v>9811</v>
      </c>
      <c r="B1258" t="s">
        <v>9866</v>
      </c>
      <c r="C1258" t="s">
        <v>5043</v>
      </c>
      <c r="D1258" t="s">
        <v>8401</v>
      </c>
    </row>
    <row r="1259" spans="1:4" ht="14.45" x14ac:dyDescent="0.3">
      <c r="A1259">
        <v>5125</v>
      </c>
      <c r="B1259" t="s">
        <v>9867</v>
      </c>
      <c r="C1259" t="s">
        <v>5043</v>
      </c>
      <c r="D1259" t="s">
        <v>8401</v>
      </c>
    </row>
    <row r="1260" spans="1:4" ht="14.45" x14ac:dyDescent="0.3">
      <c r="A1260">
        <v>5279</v>
      </c>
      <c r="B1260" t="s">
        <v>9867</v>
      </c>
      <c r="C1260" t="s">
        <v>5043</v>
      </c>
      <c r="D1260" t="s">
        <v>8401</v>
      </c>
    </row>
    <row r="1261" spans="1:4" ht="14.45" x14ac:dyDescent="0.3">
      <c r="A1261">
        <v>5336</v>
      </c>
      <c r="B1261" t="s">
        <v>9867</v>
      </c>
      <c r="C1261" t="s">
        <v>5043</v>
      </c>
      <c r="D1261" t="s">
        <v>8401</v>
      </c>
    </row>
    <row r="1262" spans="1:4" ht="14.45" x14ac:dyDescent="0.3">
      <c r="A1262">
        <v>5642</v>
      </c>
      <c r="B1262" t="s">
        <v>9867</v>
      </c>
      <c r="C1262" t="s">
        <v>5043</v>
      </c>
      <c r="D1262" t="s">
        <v>8401</v>
      </c>
    </row>
    <row r="1263" spans="1:4" ht="14.45" x14ac:dyDescent="0.3">
      <c r="A1263">
        <v>5781</v>
      </c>
      <c r="B1263" t="s">
        <v>9867</v>
      </c>
      <c r="C1263" t="s">
        <v>5043</v>
      </c>
      <c r="D1263" t="s">
        <v>8401</v>
      </c>
    </row>
    <row r="1264" spans="1:4" ht="14.45" x14ac:dyDescent="0.3">
      <c r="A1264">
        <v>5784</v>
      </c>
      <c r="B1264" t="s">
        <v>9867</v>
      </c>
      <c r="C1264" t="s">
        <v>5043</v>
      </c>
      <c r="D1264" t="s">
        <v>8401</v>
      </c>
    </row>
    <row r="1265" spans="1:4" ht="14.45" x14ac:dyDescent="0.3">
      <c r="A1265">
        <v>5982</v>
      </c>
      <c r="B1265" t="s">
        <v>9867</v>
      </c>
      <c r="C1265" t="s">
        <v>5043</v>
      </c>
      <c r="D1265" t="s">
        <v>8401</v>
      </c>
    </row>
    <row r="1266" spans="1:4" ht="14.45" x14ac:dyDescent="0.3">
      <c r="A1266">
        <v>5999</v>
      </c>
      <c r="B1266" t="s">
        <v>9867</v>
      </c>
      <c r="C1266" t="s">
        <v>5043</v>
      </c>
      <c r="D1266" t="s">
        <v>8401</v>
      </c>
    </row>
    <row r="1267" spans="1:4" ht="14.45" x14ac:dyDescent="0.3">
      <c r="A1267">
        <v>6089</v>
      </c>
      <c r="B1267" t="s">
        <v>9867</v>
      </c>
      <c r="C1267" t="s">
        <v>5043</v>
      </c>
      <c r="D1267" t="s">
        <v>8401</v>
      </c>
    </row>
    <row r="1268" spans="1:4" ht="14.45" x14ac:dyDescent="0.3">
      <c r="A1268">
        <v>6252</v>
      </c>
      <c r="B1268" t="s">
        <v>9867</v>
      </c>
      <c r="C1268" t="s">
        <v>5043</v>
      </c>
      <c r="D1268" t="s">
        <v>8401</v>
      </c>
    </row>
    <row r="1269" spans="1:4" ht="14.45" x14ac:dyDescent="0.3">
      <c r="A1269">
        <v>6410</v>
      </c>
      <c r="B1269" t="s">
        <v>9867</v>
      </c>
      <c r="C1269" t="s">
        <v>5043</v>
      </c>
      <c r="D1269" t="s">
        <v>8401</v>
      </c>
    </row>
    <row r="1270" spans="1:4" ht="14.45" x14ac:dyDescent="0.3">
      <c r="A1270">
        <v>6496</v>
      </c>
      <c r="B1270" t="s">
        <v>9867</v>
      </c>
      <c r="C1270" t="s">
        <v>5043</v>
      </c>
      <c r="D1270" t="s">
        <v>8401</v>
      </c>
    </row>
    <row r="1271" spans="1:4" ht="14.45" x14ac:dyDescent="0.3">
      <c r="A1271">
        <v>6607</v>
      </c>
      <c r="B1271" t="s">
        <v>9867</v>
      </c>
      <c r="C1271" t="s">
        <v>5043</v>
      </c>
      <c r="D1271" t="s">
        <v>8401</v>
      </c>
    </row>
    <row r="1272" spans="1:4" ht="14.45" x14ac:dyDescent="0.3">
      <c r="A1272">
        <v>6672</v>
      </c>
      <c r="B1272" t="s">
        <v>9867</v>
      </c>
      <c r="C1272" t="s">
        <v>5043</v>
      </c>
      <c r="D1272" t="s">
        <v>8401</v>
      </c>
    </row>
    <row r="1273" spans="1:4" ht="14.45" x14ac:dyDescent="0.3">
      <c r="A1273">
        <v>6855</v>
      </c>
      <c r="B1273" t="s">
        <v>9867</v>
      </c>
      <c r="C1273" t="s">
        <v>5043</v>
      </c>
      <c r="D1273" t="s">
        <v>8401</v>
      </c>
    </row>
    <row r="1274" spans="1:4" ht="14.45" x14ac:dyDescent="0.3">
      <c r="A1274">
        <v>7512</v>
      </c>
      <c r="B1274" t="s">
        <v>9867</v>
      </c>
      <c r="C1274" t="s">
        <v>5043</v>
      </c>
      <c r="D1274" t="s">
        <v>8401</v>
      </c>
    </row>
    <row r="1275" spans="1:4" ht="14.45" x14ac:dyDescent="0.3">
      <c r="A1275">
        <v>7785</v>
      </c>
      <c r="B1275" t="s">
        <v>9867</v>
      </c>
      <c r="C1275" t="s">
        <v>5043</v>
      </c>
      <c r="D1275" t="s">
        <v>8401</v>
      </c>
    </row>
    <row r="1276" spans="1:4" ht="14.45" x14ac:dyDescent="0.3">
      <c r="A1276">
        <v>8366</v>
      </c>
      <c r="B1276" t="s">
        <v>9867</v>
      </c>
      <c r="C1276" t="s">
        <v>5043</v>
      </c>
      <c r="D1276" t="s">
        <v>8401</v>
      </c>
    </row>
    <row r="1277" spans="1:4" ht="14.45" x14ac:dyDescent="0.3">
      <c r="A1277">
        <v>8456</v>
      </c>
      <c r="B1277" t="s">
        <v>9867</v>
      </c>
      <c r="C1277" t="s">
        <v>5043</v>
      </c>
      <c r="D1277" t="s">
        <v>8401</v>
      </c>
    </row>
    <row r="1278" spans="1:4" ht="14.45" x14ac:dyDescent="0.3">
      <c r="A1278">
        <v>8459</v>
      </c>
      <c r="B1278" t="s">
        <v>9867</v>
      </c>
      <c r="C1278" t="s">
        <v>5043</v>
      </c>
      <c r="D1278" t="s">
        <v>8401</v>
      </c>
    </row>
    <row r="1279" spans="1:4" ht="14.45" x14ac:dyDescent="0.3">
      <c r="A1279">
        <v>8538</v>
      </c>
      <c r="B1279" t="s">
        <v>9867</v>
      </c>
      <c r="C1279" t="s">
        <v>5043</v>
      </c>
      <c r="D1279" t="s">
        <v>8401</v>
      </c>
    </row>
    <row r="1280" spans="1:4" ht="14.45" x14ac:dyDescent="0.3">
      <c r="A1280">
        <v>8861</v>
      </c>
      <c r="B1280" t="s">
        <v>9867</v>
      </c>
      <c r="C1280" t="s">
        <v>5043</v>
      </c>
      <c r="D1280" t="s">
        <v>8401</v>
      </c>
    </row>
    <row r="1281" spans="1:4" ht="14.45" x14ac:dyDescent="0.3">
      <c r="A1281">
        <v>8864</v>
      </c>
      <c r="B1281" t="s">
        <v>9867</v>
      </c>
      <c r="C1281" t="s">
        <v>5043</v>
      </c>
      <c r="D1281" t="s">
        <v>8401</v>
      </c>
    </row>
    <row r="1282" spans="1:4" ht="14.45" x14ac:dyDescent="0.3">
      <c r="A1282">
        <v>9371</v>
      </c>
      <c r="B1282" t="s">
        <v>9867</v>
      </c>
      <c r="C1282" t="s">
        <v>5043</v>
      </c>
      <c r="D1282" t="s">
        <v>8401</v>
      </c>
    </row>
    <row r="1283" spans="1:4" ht="14.45" x14ac:dyDescent="0.3">
      <c r="A1283">
        <v>9573</v>
      </c>
      <c r="B1283" t="s">
        <v>9867</v>
      </c>
      <c r="C1283" t="s">
        <v>5043</v>
      </c>
      <c r="D1283" t="s">
        <v>8401</v>
      </c>
    </row>
    <row r="1284" spans="1:4" ht="14.45" x14ac:dyDescent="0.3">
      <c r="A1284">
        <v>5058</v>
      </c>
      <c r="B1284" t="s">
        <v>9868</v>
      </c>
      <c r="C1284" t="s">
        <v>5043</v>
      </c>
      <c r="D1284" t="s">
        <v>8401</v>
      </c>
    </row>
    <row r="1285" spans="1:4" ht="14.45" x14ac:dyDescent="0.3">
      <c r="A1285">
        <v>5087</v>
      </c>
      <c r="B1285" t="s">
        <v>9868</v>
      </c>
      <c r="C1285" t="s">
        <v>5043</v>
      </c>
      <c r="D1285" t="s">
        <v>8401</v>
      </c>
    </row>
    <row r="1286" spans="1:4" ht="14.45" x14ac:dyDescent="0.3">
      <c r="A1286">
        <v>5101</v>
      </c>
      <c r="B1286" t="s">
        <v>9868</v>
      </c>
      <c r="C1286" t="s">
        <v>5043</v>
      </c>
      <c r="D1286" t="s">
        <v>8401</v>
      </c>
    </row>
    <row r="1287" spans="1:4" ht="14.45" x14ac:dyDescent="0.3">
      <c r="A1287">
        <v>5146</v>
      </c>
      <c r="B1287" t="s">
        <v>9868</v>
      </c>
      <c r="C1287" t="s">
        <v>5043</v>
      </c>
      <c r="D1287" t="s">
        <v>8401</v>
      </c>
    </row>
    <row r="1288" spans="1:4" ht="14.45" x14ac:dyDescent="0.3">
      <c r="A1288">
        <v>5581</v>
      </c>
      <c r="B1288" t="s">
        <v>9868</v>
      </c>
      <c r="C1288" t="s">
        <v>5043</v>
      </c>
      <c r="D1288" t="s">
        <v>8401</v>
      </c>
    </row>
    <row r="1289" spans="1:4" ht="14.45" x14ac:dyDescent="0.3">
      <c r="A1289">
        <v>5651</v>
      </c>
      <c r="B1289" t="s">
        <v>9868</v>
      </c>
      <c r="C1289" t="s">
        <v>5043</v>
      </c>
      <c r="D1289" t="s">
        <v>8401</v>
      </c>
    </row>
    <row r="1290" spans="1:4" ht="14.45" x14ac:dyDescent="0.3">
      <c r="A1290">
        <v>5834</v>
      </c>
      <c r="B1290" t="s">
        <v>9868</v>
      </c>
      <c r="C1290" t="s">
        <v>5043</v>
      </c>
      <c r="D1290" t="s">
        <v>8401</v>
      </c>
    </row>
    <row r="1291" spans="1:4" ht="14.45" x14ac:dyDescent="0.3">
      <c r="A1291">
        <v>5871</v>
      </c>
      <c r="B1291" t="s">
        <v>9868</v>
      </c>
      <c r="C1291" t="s">
        <v>5043</v>
      </c>
      <c r="D1291" t="s">
        <v>8401</v>
      </c>
    </row>
    <row r="1292" spans="1:4" ht="14.45" x14ac:dyDescent="0.3">
      <c r="A1292">
        <v>5872</v>
      </c>
      <c r="B1292" t="s">
        <v>9868</v>
      </c>
      <c r="C1292" t="s">
        <v>5043</v>
      </c>
      <c r="D1292" t="s">
        <v>8401</v>
      </c>
    </row>
    <row r="1293" spans="1:4" ht="14.45" x14ac:dyDescent="0.3">
      <c r="A1293">
        <v>5980</v>
      </c>
      <c r="B1293" t="s">
        <v>9868</v>
      </c>
      <c r="C1293" t="s">
        <v>5043</v>
      </c>
      <c r="D1293" t="s">
        <v>8401</v>
      </c>
    </row>
    <row r="1294" spans="1:4" ht="14.45" x14ac:dyDescent="0.3">
      <c r="A1294">
        <v>5993</v>
      </c>
      <c r="B1294" t="s">
        <v>9868</v>
      </c>
      <c r="C1294" t="s">
        <v>5043</v>
      </c>
      <c r="D1294" t="s">
        <v>8401</v>
      </c>
    </row>
    <row r="1295" spans="1:4" ht="14.45" x14ac:dyDescent="0.3">
      <c r="A1295">
        <v>6194</v>
      </c>
      <c r="B1295" t="s">
        <v>9868</v>
      </c>
      <c r="C1295" t="s">
        <v>5043</v>
      </c>
      <c r="D1295" t="s">
        <v>8401</v>
      </c>
    </row>
    <row r="1296" spans="1:4" ht="14.45" x14ac:dyDescent="0.3">
      <c r="A1296">
        <v>6263</v>
      </c>
      <c r="B1296" t="s">
        <v>9868</v>
      </c>
      <c r="C1296" t="s">
        <v>5043</v>
      </c>
      <c r="D1296" t="s">
        <v>8401</v>
      </c>
    </row>
    <row r="1297" spans="1:4" ht="14.45" x14ac:dyDescent="0.3">
      <c r="A1297">
        <v>6362</v>
      </c>
      <c r="B1297" t="s">
        <v>9868</v>
      </c>
      <c r="C1297" t="s">
        <v>5043</v>
      </c>
      <c r="D1297" t="s">
        <v>8401</v>
      </c>
    </row>
    <row r="1298" spans="1:4" ht="14.45" x14ac:dyDescent="0.3">
      <c r="A1298">
        <v>6396</v>
      </c>
      <c r="B1298" t="s">
        <v>9868</v>
      </c>
      <c r="C1298" t="s">
        <v>5043</v>
      </c>
      <c r="D1298" t="s">
        <v>8401</v>
      </c>
    </row>
    <row r="1299" spans="1:4" ht="14.45" x14ac:dyDescent="0.3">
      <c r="A1299">
        <v>6474</v>
      </c>
      <c r="B1299" t="s">
        <v>9868</v>
      </c>
      <c r="C1299" t="s">
        <v>5043</v>
      </c>
      <c r="D1299" t="s">
        <v>8401</v>
      </c>
    </row>
    <row r="1300" spans="1:4" ht="14.45" x14ac:dyDescent="0.3">
      <c r="A1300">
        <v>6497</v>
      </c>
      <c r="B1300" t="s">
        <v>9868</v>
      </c>
      <c r="C1300" t="s">
        <v>5043</v>
      </c>
      <c r="D1300" t="s">
        <v>8401</v>
      </c>
    </row>
    <row r="1301" spans="1:4" ht="14.45" x14ac:dyDescent="0.3">
      <c r="A1301">
        <v>6555</v>
      </c>
      <c r="B1301" t="s">
        <v>9868</v>
      </c>
      <c r="C1301" t="s">
        <v>5043</v>
      </c>
      <c r="D1301" t="s">
        <v>8401</v>
      </c>
    </row>
    <row r="1302" spans="1:4" ht="14.45" x14ac:dyDescent="0.3">
      <c r="A1302">
        <v>6668</v>
      </c>
      <c r="B1302" t="s">
        <v>9868</v>
      </c>
      <c r="C1302" t="s">
        <v>5043</v>
      </c>
      <c r="D1302" t="s">
        <v>8401</v>
      </c>
    </row>
    <row r="1303" spans="1:4" ht="14.45" x14ac:dyDescent="0.3">
      <c r="A1303">
        <v>6755</v>
      </c>
      <c r="B1303" t="s">
        <v>9868</v>
      </c>
      <c r="C1303" t="s">
        <v>5043</v>
      </c>
      <c r="D1303" t="s">
        <v>8401</v>
      </c>
    </row>
    <row r="1304" spans="1:4" ht="14.45" x14ac:dyDescent="0.3">
      <c r="A1304">
        <v>6975</v>
      </c>
      <c r="B1304" t="s">
        <v>9868</v>
      </c>
      <c r="C1304" t="s">
        <v>5043</v>
      </c>
      <c r="D1304" t="s">
        <v>8401</v>
      </c>
    </row>
    <row r="1305" spans="1:4" ht="14.45" x14ac:dyDescent="0.3">
      <c r="A1305">
        <v>7005</v>
      </c>
      <c r="B1305" t="s">
        <v>9868</v>
      </c>
      <c r="C1305" t="s">
        <v>5043</v>
      </c>
      <c r="D1305" t="s">
        <v>8401</v>
      </c>
    </row>
    <row r="1306" spans="1:4" ht="14.45" x14ac:dyDescent="0.3">
      <c r="A1306">
        <v>7238</v>
      </c>
      <c r="B1306" t="s">
        <v>9868</v>
      </c>
      <c r="C1306" t="s">
        <v>5043</v>
      </c>
      <c r="D1306" t="s">
        <v>8401</v>
      </c>
    </row>
    <row r="1307" spans="1:4" ht="14.45" x14ac:dyDescent="0.3">
      <c r="A1307">
        <v>7348</v>
      </c>
      <c r="B1307" t="s">
        <v>9868</v>
      </c>
      <c r="C1307" t="s">
        <v>5043</v>
      </c>
      <c r="D1307" t="s">
        <v>8401</v>
      </c>
    </row>
    <row r="1308" spans="1:4" ht="14.45" x14ac:dyDescent="0.3">
      <c r="A1308">
        <v>7377</v>
      </c>
      <c r="B1308" t="s">
        <v>9868</v>
      </c>
      <c r="C1308" t="s">
        <v>5043</v>
      </c>
      <c r="D1308" t="s">
        <v>8401</v>
      </c>
    </row>
    <row r="1309" spans="1:4" ht="14.45" x14ac:dyDescent="0.3">
      <c r="A1309">
        <v>7763</v>
      </c>
      <c r="B1309" t="s">
        <v>9868</v>
      </c>
      <c r="C1309" t="s">
        <v>5043</v>
      </c>
      <c r="D1309" t="s">
        <v>8401</v>
      </c>
    </row>
    <row r="1310" spans="1:4" ht="14.45" x14ac:dyDescent="0.3">
      <c r="A1310">
        <v>7804</v>
      </c>
      <c r="B1310" t="s">
        <v>9868</v>
      </c>
      <c r="C1310" t="s">
        <v>5043</v>
      </c>
      <c r="D1310" t="s">
        <v>8401</v>
      </c>
    </row>
    <row r="1311" spans="1:4" ht="14.45" x14ac:dyDescent="0.3">
      <c r="A1311">
        <v>7896</v>
      </c>
      <c r="B1311" t="s">
        <v>9868</v>
      </c>
      <c r="C1311" t="s">
        <v>5043</v>
      </c>
      <c r="D1311" t="s">
        <v>8401</v>
      </c>
    </row>
    <row r="1312" spans="1:4" ht="14.45" x14ac:dyDescent="0.3">
      <c r="A1312">
        <v>7958</v>
      </c>
      <c r="B1312" t="s">
        <v>9868</v>
      </c>
      <c r="C1312" t="s">
        <v>5043</v>
      </c>
      <c r="D1312" t="s">
        <v>8401</v>
      </c>
    </row>
    <row r="1313" spans="1:4" ht="14.45" x14ac:dyDescent="0.3">
      <c r="A1313">
        <v>8044</v>
      </c>
      <c r="B1313" t="s">
        <v>9868</v>
      </c>
      <c r="C1313" t="s">
        <v>5043</v>
      </c>
      <c r="D1313" t="s">
        <v>8401</v>
      </c>
    </row>
    <row r="1314" spans="1:4" ht="14.45" x14ac:dyDescent="0.3">
      <c r="A1314">
        <v>8152</v>
      </c>
      <c r="B1314" t="s">
        <v>9868</v>
      </c>
      <c r="C1314" t="s">
        <v>5043</v>
      </c>
      <c r="D1314" t="s">
        <v>8401</v>
      </c>
    </row>
    <row r="1315" spans="1:4" ht="14.45" x14ac:dyDescent="0.3">
      <c r="A1315">
        <v>8190</v>
      </c>
      <c r="B1315" t="s">
        <v>9868</v>
      </c>
      <c r="C1315" t="s">
        <v>5043</v>
      </c>
      <c r="D1315" t="s">
        <v>8401</v>
      </c>
    </row>
    <row r="1316" spans="1:4" ht="14.45" x14ac:dyDescent="0.3">
      <c r="A1316">
        <v>8334</v>
      </c>
      <c r="B1316" t="s">
        <v>9868</v>
      </c>
      <c r="C1316" t="s">
        <v>5043</v>
      </c>
      <c r="D1316" t="s">
        <v>8401</v>
      </c>
    </row>
    <row r="1317" spans="1:4" ht="14.45" x14ac:dyDescent="0.3">
      <c r="A1317">
        <v>8339</v>
      </c>
      <c r="B1317" t="s">
        <v>9868</v>
      </c>
      <c r="C1317" t="s">
        <v>5043</v>
      </c>
      <c r="D1317" t="s">
        <v>8401</v>
      </c>
    </row>
    <row r="1318" spans="1:4" ht="14.45" x14ac:dyDescent="0.3">
      <c r="A1318">
        <v>8356</v>
      </c>
      <c r="B1318" t="s">
        <v>9868</v>
      </c>
      <c r="C1318" t="s">
        <v>5043</v>
      </c>
      <c r="D1318" t="s">
        <v>8401</v>
      </c>
    </row>
    <row r="1319" spans="1:4" ht="14.45" x14ac:dyDescent="0.3">
      <c r="A1319">
        <v>8372</v>
      </c>
      <c r="B1319" t="s">
        <v>9868</v>
      </c>
      <c r="C1319" t="s">
        <v>5043</v>
      </c>
      <c r="D1319" t="s">
        <v>8401</v>
      </c>
    </row>
    <row r="1320" spans="1:4" ht="14.45" x14ac:dyDescent="0.3">
      <c r="A1320">
        <v>8449</v>
      </c>
      <c r="B1320" t="s">
        <v>9868</v>
      </c>
      <c r="C1320" t="s">
        <v>5043</v>
      </c>
      <c r="D1320" t="s">
        <v>8401</v>
      </c>
    </row>
    <row r="1321" spans="1:4" ht="14.45" x14ac:dyDescent="0.3">
      <c r="A1321">
        <v>8665</v>
      </c>
      <c r="B1321" t="s">
        <v>9868</v>
      </c>
      <c r="C1321" t="s">
        <v>5043</v>
      </c>
      <c r="D1321" t="s">
        <v>8401</v>
      </c>
    </row>
    <row r="1322" spans="1:4" ht="14.45" x14ac:dyDescent="0.3">
      <c r="A1322">
        <v>8727</v>
      </c>
      <c r="B1322" t="s">
        <v>9868</v>
      </c>
      <c r="C1322" t="s">
        <v>5043</v>
      </c>
      <c r="D1322" t="s">
        <v>8401</v>
      </c>
    </row>
    <row r="1323" spans="1:4" ht="14.45" x14ac:dyDescent="0.3">
      <c r="A1323">
        <v>8992</v>
      </c>
      <c r="B1323" t="s">
        <v>9868</v>
      </c>
      <c r="C1323" t="s">
        <v>5043</v>
      </c>
      <c r="D1323" t="s">
        <v>8401</v>
      </c>
    </row>
    <row r="1324" spans="1:4" ht="14.45" x14ac:dyDescent="0.3">
      <c r="A1324">
        <v>9126</v>
      </c>
      <c r="B1324" t="s">
        <v>9868</v>
      </c>
      <c r="C1324" t="s">
        <v>5043</v>
      </c>
      <c r="D1324" t="s">
        <v>8401</v>
      </c>
    </row>
    <row r="1325" spans="1:4" ht="14.45" x14ac:dyDescent="0.3">
      <c r="A1325">
        <v>9243</v>
      </c>
      <c r="B1325" t="s">
        <v>9868</v>
      </c>
      <c r="C1325" t="s">
        <v>5043</v>
      </c>
      <c r="D1325" t="s">
        <v>8401</v>
      </c>
    </row>
    <row r="1326" spans="1:4" ht="14.45" x14ac:dyDescent="0.3">
      <c r="A1326">
        <v>9344</v>
      </c>
      <c r="B1326" t="s">
        <v>9868</v>
      </c>
      <c r="C1326" t="s">
        <v>5043</v>
      </c>
      <c r="D1326" t="s">
        <v>8401</v>
      </c>
    </row>
    <row r="1327" spans="1:4" ht="14.45" x14ac:dyDescent="0.3">
      <c r="A1327">
        <v>9367</v>
      </c>
      <c r="B1327" t="s">
        <v>9868</v>
      </c>
      <c r="C1327" t="s">
        <v>5043</v>
      </c>
      <c r="D1327" t="s">
        <v>8401</v>
      </c>
    </row>
    <row r="1328" spans="1:4" ht="14.45" x14ac:dyDescent="0.3">
      <c r="A1328">
        <v>9535</v>
      </c>
      <c r="B1328" t="s">
        <v>9868</v>
      </c>
      <c r="C1328" t="s">
        <v>5043</v>
      </c>
      <c r="D1328" t="s">
        <v>8401</v>
      </c>
    </row>
    <row r="1329" spans="1:4" ht="14.45" x14ac:dyDescent="0.3">
      <c r="A1329">
        <v>9568</v>
      </c>
      <c r="B1329" t="s">
        <v>9868</v>
      </c>
      <c r="C1329" t="s">
        <v>5043</v>
      </c>
      <c r="D1329" t="s">
        <v>8401</v>
      </c>
    </row>
    <row r="1330" spans="1:4" ht="14.45" x14ac:dyDescent="0.3">
      <c r="A1330">
        <v>9638</v>
      </c>
      <c r="B1330" t="s">
        <v>9868</v>
      </c>
      <c r="C1330" t="s">
        <v>5043</v>
      </c>
      <c r="D1330" t="s">
        <v>8401</v>
      </c>
    </row>
    <row r="1331" spans="1:4" ht="14.45" x14ac:dyDescent="0.3">
      <c r="A1331">
        <v>9736</v>
      </c>
      <c r="B1331" t="s">
        <v>9868</v>
      </c>
      <c r="C1331" t="s">
        <v>5043</v>
      </c>
      <c r="D1331" t="s">
        <v>8401</v>
      </c>
    </row>
    <row r="1332" spans="1:4" ht="14.45" x14ac:dyDescent="0.3">
      <c r="A1332">
        <v>9754</v>
      </c>
      <c r="B1332" t="s">
        <v>9868</v>
      </c>
      <c r="C1332" t="s">
        <v>5043</v>
      </c>
      <c r="D1332" t="s">
        <v>8401</v>
      </c>
    </row>
    <row r="1333" spans="1:4" ht="14.45" x14ac:dyDescent="0.3">
      <c r="A1333">
        <v>5174</v>
      </c>
      <c r="B1333" t="s">
        <v>9869</v>
      </c>
      <c r="C1333" t="s">
        <v>5043</v>
      </c>
      <c r="D1333" t="s">
        <v>8401</v>
      </c>
    </row>
    <row r="1334" spans="1:4" ht="14.45" x14ac:dyDescent="0.3">
      <c r="A1334">
        <v>5195</v>
      </c>
      <c r="B1334" t="s">
        <v>9869</v>
      </c>
      <c r="C1334" t="s">
        <v>5043</v>
      </c>
      <c r="D1334" t="s">
        <v>8401</v>
      </c>
    </row>
    <row r="1335" spans="1:4" ht="14.45" x14ac:dyDescent="0.3">
      <c r="A1335">
        <v>5496</v>
      </c>
      <c r="B1335" t="s">
        <v>9869</v>
      </c>
      <c r="C1335" t="s">
        <v>5043</v>
      </c>
      <c r="D1335" t="s">
        <v>8401</v>
      </c>
    </row>
    <row r="1336" spans="1:4" ht="14.45" x14ac:dyDescent="0.3">
      <c r="A1336">
        <v>5568</v>
      </c>
      <c r="B1336" t="s">
        <v>9869</v>
      </c>
      <c r="C1336" t="s">
        <v>5043</v>
      </c>
      <c r="D1336" t="s">
        <v>8401</v>
      </c>
    </row>
    <row r="1337" spans="1:4" ht="14.45" x14ac:dyDescent="0.3">
      <c r="A1337">
        <v>5678</v>
      </c>
      <c r="B1337" t="s">
        <v>9869</v>
      </c>
      <c r="C1337" t="s">
        <v>5043</v>
      </c>
      <c r="D1337" t="s">
        <v>8401</v>
      </c>
    </row>
    <row r="1338" spans="1:4" ht="14.45" x14ac:dyDescent="0.3">
      <c r="A1338">
        <v>6166</v>
      </c>
      <c r="B1338" t="s">
        <v>9869</v>
      </c>
      <c r="C1338" t="s">
        <v>5043</v>
      </c>
      <c r="D1338" t="s">
        <v>8401</v>
      </c>
    </row>
    <row r="1339" spans="1:4" ht="14.45" x14ac:dyDescent="0.3">
      <c r="A1339">
        <v>7246</v>
      </c>
      <c r="B1339" t="s">
        <v>9869</v>
      </c>
      <c r="C1339" t="s">
        <v>5043</v>
      </c>
      <c r="D1339" t="s">
        <v>8401</v>
      </c>
    </row>
    <row r="1340" spans="1:4" ht="14.45" x14ac:dyDescent="0.3">
      <c r="A1340">
        <v>7801</v>
      </c>
      <c r="B1340" t="s">
        <v>9869</v>
      </c>
      <c r="C1340" t="s">
        <v>5043</v>
      </c>
      <c r="D1340" t="s">
        <v>8401</v>
      </c>
    </row>
    <row r="1341" spans="1:4" ht="14.45" x14ac:dyDescent="0.3">
      <c r="A1341">
        <v>7815</v>
      </c>
      <c r="B1341" t="s">
        <v>9869</v>
      </c>
      <c r="C1341" t="s">
        <v>5043</v>
      </c>
      <c r="D1341" t="s">
        <v>8401</v>
      </c>
    </row>
    <row r="1342" spans="1:4" ht="14.45" x14ac:dyDescent="0.3">
      <c r="A1342">
        <v>8099</v>
      </c>
      <c r="B1342" t="s">
        <v>9869</v>
      </c>
      <c r="C1342" t="s">
        <v>5043</v>
      </c>
      <c r="D1342" t="s">
        <v>8401</v>
      </c>
    </row>
    <row r="1343" spans="1:4" ht="14.45" x14ac:dyDescent="0.3">
      <c r="A1343">
        <v>8396</v>
      </c>
      <c r="B1343" t="s">
        <v>9869</v>
      </c>
      <c r="C1343" t="s">
        <v>5043</v>
      </c>
      <c r="D1343" t="s">
        <v>8401</v>
      </c>
    </row>
    <row r="1344" spans="1:4" ht="14.45" x14ac:dyDescent="0.3">
      <c r="A1344">
        <v>8452</v>
      </c>
      <c r="B1344" t="s">
        <v>9869</v>
      </c>
      <c r="C1344" t="s">
        <v>5043</v>
      </c>
      <c r="D1344" t="s">
        <v>8401</v>
      </c>
    </row>
    <row r="1345" spans="1:4" ht="14.45" x14ac:dyDescent="0.3">
      <c r="A1345">
        <v>8714</v>
      </c>
      <c r="B1345" t="s">
        <v>9869</v>
      </c>
      <c r="C1345" t="s">
        <v>5043</v>
      </c>
      <c r="D1345" t="s">
        <v>8401</v>
      </c>
    </row>
    <row r="1346" spans="1:4" ht="14.45" x14ac:dyDescent="0.3">
      <c r="A1346">
        <v>9081</v>
      </c>
      <c r="B1346" t="s">
        <v>9869</v>
      </c>
      <c r="C1346" t="s">
        <v>5043</v>
      </c>
      <c r="D1346" t="s">
        <v>8401</v>
      </c>
    </row>
    <row r="1347" spans="1:4" ht="14.45" x14ac:dyDescent="0.3">
      <c r="A1347">
        <v>9272</v>
      </c>
      <c r="B1347" t="s">
        <v>9869</v>
      </c>
      <c r="C1347" t="s">
        <v>5043</v>
      </c>
      <c r="D1347" t="s">
        <v>8401</v>
      </c>
    </row>
    <row r="1348" spans="1:4" ht="14.45" x14ac:dyDescent="0.3">
      <c r="A1348">
        <v>9360</v>
      </c>
      <c r="B1348" t="s">
        <v>9869</v>
      </c>
      <c r="C1348" t="s">
        <v>5043</v>
      </c>
      <c r="D1348" t="s">
        <v>8401</v>
      </c>
    </row>
    <row r="1349" spans="1:4" ht="14.45" x14ac:dyDescent="0.3">
      <c r="A1349">
        <v>9382</v>
      </c>
      <c r="B1349" t="s">
        <v>9869</v>
      </c>
      <c r="C1349" t="s">
        <v>5043</v>
      </c>
      <c r="D1349" t="s">
        <v>8401</v>
      </c>
    </row>
    <row r="1350" spans="1:4" ht="14.45" x14ac:dyDescent="0.3">
      <c r="A1350">
        <v>5450</v>
      </c>
      <c r="B1350" t="s">
        <v>9870</v>
      </c>
      <c r="C1350" t="s">
        <v>5043</v>
      </c>
      <c r="D1350" t="s">
        <v>8401</v>
      </c>
    </row>
  </sheetData>
  <sortState ref="A4:B19">
    <sortCondition descending="1" ref="A4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1473"/>
  <sheetViews>
    <sheetView workbookViewId="0">
      <pane ySplit="4350" topLeftCell="A802" activePane="bottomLeft"/>
      <selection activeCell="A21" sqref="A21:C876"/>
      <selection pane="bottomLeft" activeCell="A817" sqref="A817:XFD853"/>
    </sheetView>
  </sheetViews>
  <sheetFormatPr defaultColWidth="9.140625" defaultRowHeight="11.25" x14ac:dyDescent="0.2"/>
  <cols>
    <col min="1" max="1" width="9.42578125" style="2" customWidth="1"/>
    <col min="2" max="2" width="106.140625" style="2" customWidth="1"/>
    <col min="3" max="3" width="12" style="2" customWidth="1"/>
    <col min="4" max="16384" width="9.140625" style="2"/>
  </cols>
  <sheetData>
    <row r="1" spans="1:3" customFormat="1" ht="21.75" x14ac:dyDescent="0.25">
      <c r="A1" s="9" t="s">
        <v>4599</v>
      </c>
      <c r="B1" s="2"/>
      <c r="C1" s="2"/>
    </row>
    <row r="2" spans="1:3" customFormat="1" ht="15" x14ac:dyDescent="0.25">
      <c r="A2" s="24" t="s">
        <v>9570</v>
      </c>
      <c r="C2" s="2"/>
    </row>
    <row r="3" spans="1:3" customFormat="1" ht="5.25" customHeight="1" x14ac:dyDescent="0.25">
      <c r="A3" s="50"/>
      <c r="B3" s="51"/>
      <c r="C3" s="2"/>
    </row>
    <row r="4" spans="1:3" customFormat="1" ht="15" x14ac:dyDescent="0.25">
      <c r="A4" s="18">
        <f>COUNTIF($B$21:$B$9359,"*framework\ui\*")</f>
        <v>314</v>
      </c>
      <c r="B4" s="19" t="s">
        <v>616</v>
      </c>
      <c r="C4" s="30"/>
    </row>
    <row r="5" spans="1:3" customFormat="1" ht="15" x14ac:dyDescent="0.25">
      <c r="A5" s="18">
        <f>COUNTIF($B$21:$B$9359,"*content\routing\*")</f>
        <v>290</v>
      </c>
      <c r="B5" s="19" t="s">
        <v>9</v>
      </c>
      <c r="C5" s="30"/>
    </row>
    <row r="6" spans="1:3" customFormat="1" ht="15" x14ac:dyDescent="0.25">
      <c r="A6" s="18">
        <f>COUNTIF($B$21:$B$9359,"*content\traffic\*")</f>
        <v>53</v>
      </c>
      <c r="B6" s="19" t="s">
        <v>11</v>
      </c>
      <c r="C6" s="30"/>
    </row>
    <row r="7" spans="1:3" customFormat="1" ht="15" x14ac:dyDescent="0.25">
      <c r="A7" s="18">
        <f>COUNTIF($B$21:$B$9359,"*content\admin\*")</f>
        <v>8</v>
      </c>
      <c r="B7" s="19" t="s">
        <v>615</v>
      </c>
      <c r="C7" s="30"/>
    </row>
    <row r="8" spans="1:3" customFormat="1" ht="15" x14ac:dyDescent="0.25">
      <c r="A8" s="18">
        <f>COUNTIF($B$21:$B$9359,"*content\access\*")</f>
        <v>31</v>
      </c>
      <c r="B8" s="19" t="s">
        <v>13</v>
      </c>
      <c r="C8" s="30"/>
    </row>
    <row r="9" spans="1:3" customFormat="1" ht="15" x14ac:dyDescent="0.25">
      <c r="A9" s="18">
        <f>COUNTIF($B$21:$B$9359,"*content\device\configurator\*")</f>
        <v>12</v>
      </c>
      <c r="B9" s="19" t="s">
        <v>2683</v>
      </c>
      <c r="C9" s="30"/>
    </row>
    <row r="10" spans="1:3" customFormat="1" ht="15" x14ac:dyDescent="0.25">
      <c r="A10" s="18">
        <f>COUNTIF($B$21:$B$9359,"*content\sample\*")</f>
        <v>10</v>
      </c>
      <c r="B10" s="19" t="s">
        <v>617</v>
      </c>
      <c r="C10" s="30"/>
    </row>
    <row r="11" spans="1:3" customFormat="1" ht="15" hidden="1" x14ac:dyDescent="0.25">
      <c r="A11" s="18">
        <f>COUNTIF($B$21:$B$9359,"*content\mcast\*")</f>
        <v>2</v>
      </c>
      <c r="B11" s="19" t="s">
        <v>163</v>
      </c>
      <c r="C11" s="30"/>
    </row>
    <row r="12" spans="1:3" customFormat="1" ht="15" hidden="1" x14ac:dyDescent="0.25">
      <c r="A12" s="18">
        <f>COUNTIF($B$21:$B$9359,"*content\tripleplay\*")</f>
        <v>13</v>
      </c>
      <c r="B12" s="19" t="s">
        <v>2682</v>
      </c>
      <c r="C12" s="30"/>
    </row>
    <row r="13" spans="1:3" customFormat="1" ht="15" hidden="1" x14ac:dyDescent="0.25">
      <c r="A13" s="18">
        <f>COUNTIF($B$21:$B$9359,"*content\traffictests\*")</f>
        <v>37</v>
      </c>
      <c r="B13" s="19" t="s">
        <v>12</v>
      </c>
      <c r="C13" s="30"/>
    </row>
    <row r="14" spans="1:3" customFormat="1" ht="15" hidden="1" x14ac:dyDescent="0.25">
      <c r="A14" s="18">
        <f>COUNTIF($B$21:$B$9359,"*content\learning\*")</f>
        <v>0</v>
      </c>
      <c r="B14" s="19" t="s">
        <v>164</v>
      </c>
      <c r="C14" s="30"/>
    </row>
    <row r="15" spans="1:3" customFormat="1" ht="15" hidden="1" x14ac:dyDescent="0.25">
      <c r="A15" s="18">
        <f>COUNTIF($B$21:$B$9359,"*content\storage\*")</f>
        <v>5</v>
      </c>
      <c r="B15" s="19" t="s">
        <v>162</v>
      </c>
      <c r="C15" s="30"/>
    </row>
    <row r="16" spans="1:3" customFormat="1" ht="15" hidden="1" x14ac:dyDescent="0.25">
      <c r="A16" s="18">
        <f>COUNTIF($B$21:$B$9359,"*content\datacenter\*")</f>
        <v>19</v>
      </c>
      <c r="B16" s="19" t="s">
        <v>10</v>
      </c>
      <c r="C16" s="30"/>
    </row>
    <row r="17" spans="1:3" customFormat="1" ht="4.5" customHeight="1" x14ac:dyDescent="0.25">
      <c r="A17" s="50"/>
      <c r="B17" s="51"/>
      <c r="C17" s="2"/>
    </row>
    <row r="18" spans="1:3" customFormat="1" ht="15" x14ac:dyDescent="0.25">
      <c r="A18" s="20">
        <f>SUM(A3:A17)</f>
        <v>794</v>
      </c>
      <c r="B18" s="1" t="s">
        <v>2572</v>
      </c>
      <c r="C18" s="31"/>
    </row>
    <row r="19" spans="1:3" customFormat="1" ht="15" x14ac:dyDescent="0.25">
      <c r="A19" s="20"/>
      <c r="B19" s="1"/>
      <c r="C19" s="31"/>
    </row>
    <row r="20" spans="1:3" customFormat="1" ht="15" x14ac:dyDescent="0.25">
      <c r="A20" s="20" t="s">
        <v>110</v>
      </c>
      <c r="B20" s="44" t="s">
        <v>111</v>
      </c>
      <c r="C20" s="2">
        <f>COUNTA(A20:A9356)-1</f>
        <v>796</v>
      </c>
    </row>
    <row r="21" spans="1:3" ht="15" x14ac:dyDescent="0.25">
      <c r="A21">
        <v>10294</v>
      </c>
      <c r="B21" t="s">
        <v>9871</v>
      </c>
      <c r="C21" t="s">
        <v>5043</v>
      </c>
    </row>
    <row r="22" spans="1:3" ht="14.45" x14ac:dyDescent="0.3">
      <c r="A22">
        <v>10772</v>
      </c>
      <c r="B22" t="s">
        <v>9871</v>
      </c>
      <c r="C22" t="s">
        <v>5043</v>
      </c>
    </row>
    <row r="23" spans="1:3" ht="14.45" x14ac:dyDescent="0.3">
      <c r="A23">
        <v>7766</v>
      </c>
      <c r="B23" t="s">
        <v>9871</v>
      </c>
      <c r="C23" t="s">
        <v>5043</v>
      </c>
    </row>
    <row r="24" spans="1:3" ht="14.45" x14ac:dyDescent="0.3">
      <c r="A24">
        <v>9291</v>
      </c>
      <c r="B24" t="s">
        <v>9871</v>
      </c>
      <c r="C24" t="s">
        <v>5043</v>
      </c>
    </row>
    <row r="25" spans="1:3" ht="14.45" x14ac:dyDescent="0.3">
      <c r="A25">
        <v>9702</v>
      </c>
      <c r="B25" t="s">
        <v>9871</v>
      </c>
      <c r="C25" t="s">
        <v>5043</v>
      </c>
    </row>
    <row r="26" spans="1:3" ht="14.45" x14ac:dyDescent="0.3">
      <c r="A26">
        <v>7547</v>
      </c>
      <c r="B26" t="s">
        <v>8619</v>
      </c>
      <c r="C26" t="s">
        <v>5043</v>
      </c>
    </row>
    <row r="27" spans="1:3" ht="14.45" x14ac:dyDescent="0.3">
      <c r="A27">
        <v>11225</v>
      </c>
      <c r="B27" t="s">
        <v>9882</v>
      </c>
      <c r="C27" t="s">
        <v>5043</v>
      </c>
    </row>
    <row r="28" spans="1:3" ht="14.45" x14ac:dyDescent="0.3">
      <c r="A28">
        <v>8708</v>
      </c>
      <c r="B28" t="s">
        <v>9882</v>
      </c>
      <c r="C28" t="s">
        <v>5043</v>
      </c>
    </row>
    <row r="29" spans="1:3" ht="14.45" x14ac:dyDescent="0.3">
      <c r="A29">
        <v>9500</v>
      </c>
      <c r="B29" t="s">
        <v>8621</v>
      </c>
      <c r="C29" t="s">
        <v>5043</v>
      </c>
    </row>
    <row r="30" spans="1:3" ht="14.45" x14ac:dyDescent="0.3">
      <c r="A30">
        <v>10134</v>
      </c>
      <c r="B30" t="s">
        <v>8626</v>
      </c>
      <c r="C30" t="s">
        <v>5043</v>
      </c>
    </row>
    <row r="31" spans="1:3" ht="14.45" x14ac:dyDescent="0.3">
      <c r="A31">
        <v>10203</v>
      </c>
      <c r="B31" t="s">
        <v>8626</v>
      </c>
      <c r="C31" t="s">
        <v>5043</v>
      </c>
    </row>
    <row r="32" spans="1:3" ht="14.45" x14ac:dyDescent="0.3">
      <c r="A32">
        <v>10295</v>
      </c>
      <c r="B32" t="s">
        <v>8626</v>
      </c>
      <c r="C32" t="s">
        <v>5043</v>
      </c>
    </row>
    <row r="33" spans="1:3" ht="14.45" x14ac:dyDescent="0.3">
      <c r="A33">
        <v>7953</v>
      </c>
      <c r="B33" t="s">
        <v>8626</v>
      </c>
      <c r="C33" t="s">
        <v>5043</v>
      </c>
    </row>
    <row r="34" spans="1:3" ht="14.45" x14ac:dyDescent="0.3">
      <c r="A34">
        <v>7983</v>
      </c>
      <c r="B34" t="s">
        <v>8626</v>
      </c>
      <c r="C34" t="s">
        <v>5043</v>
      </c>
    </row>
    <row r="35" spans="1:3" ht="14.45" x14ac:dyDescent="0.3">
      <c r="A35">
        <v>8091</v>
      </c>
      <c r="B35" t="s">
        <v>8626</v>
      </c>
      <c r="C35" t="s">
        <v>5043</v>
      </c>
    </row>
    <row r="36" spans="1:3" ht="14.45" x14ac:dyDescent="0.3">
      <c r="A36">
        <v>8196</v>
      </c>
      <c r="B36" t="s">
        <v>8626</v>
      </c>
      <c r="C36" t="s">
        <v>5043</v>
      </c>
    </row>
    <row r="37" spans="1:3" ht="14.45" x14ac:dyDescent="0.3">
      <c r="A37">
        <v>8393</v>
      </c>
      <c r="B37" t="s">
        <v>8626</v>
      </c>
      <c r="C37" t="s">
        <v>5043</v>
      </c>
    </row>
    <row r="38" spans="1:3" ht="14.45" x14ac:dyDescent="0.3">
      <c r="A38">
        <v>6495</v>
      </c>
      <c r="B38" t="s">
        <v>8627</v>
      </c>
      <c r="C38" t="s">
        <v>5043</v>
      </c>
    </row>
    <row r="39" spans="1:3" ht="14.45" x14ac:dyDescent="0.3">
      <c r="A39">
        <v>9170</v>
      </c>
      <c r="B39" t="s">
        <v>8629</v>
      </c>
      <c r="C39" t="s">
        <v>5043</v>
      </c>
    </row>
    <row r="40" spans="1:3" ht="14.45" x14ac:dyDescent="0.3">
      <c r="A40">
        <v>7167</v>
      </c>
      <c r="B40" t="s">
        <v>8630</v>
      </c>
      <c r="C40" t="s">
        <v>5043</v>
      </c>
    </row>
    <row r="41" spans="1:3" ht="14.45" x14ac:dyDescent="0.3">
      <c r="A41">
        <v>10389</v>
      </c>
      <c r="B41" t="s">
        <v>8631</v>
      </c>
      <c r="C41" t="s">
        <v>5043</v>
      </c>
    </row>
    <row r="42" spans="1:3" ht="14.45" x14ac:dyDescent="0.3">
      <c r="A42">
        <v>9257</v>
      </c>
      <c r="B42" t="s">
        <v>9900</v>
      </c>
      <c r="C42" t="s">
        <v>5043</v>
      </c>
    </row>
    <row r="43" spans="1:3" ht="14.45" x14ac:dyDescent="0.3">
      <c r="A43">
        <v>9312</v>
      </c>
      <c r="B43" t="s">
        <v>9901</v>
      </c>
      <c r="C43" t="s">
        <v>5043</v>
      </c>
    </row>
    <row r="44" spans="1:3" ht="14.45" x14ac:dyDescent="0.3">
      <c r="A44">
        <v>11726</v>
      </c>
      <c r="B44" t="s">
        <v>9902</v>
      </c>
      <c r="C44" t="s">
        <v>5043</v>
      </c>
    </row>
    <row r="45" spans="1:3" ht="14.45" x14ac:dyDescent="0.3">
      <c r="A45">
        <v>6746</v>
      </c>
      <c r="B45" t="s">
        <v>8632</v>
      </c>
      <c r="C45" t="s">
        <v>5043</v>
      </c>
    </row>
    <row r="46" spans="1:3" ht="15" x14ac:dyDescent="0.25">
      <c r="A46">
        <v>10490</v>
      </c>
      <c r="B46" t="s">
        <v>9903</v>
      </c>
      <c r="C46" t="s">
        <v>5043</v>
      </c>
    </row>
    <row r="47" spans="1:3" ht="15" x14ac:dyDescent="0.25">
      <c r="A47">
        <v>10688</v>
      </c>
      <c r="B47" t="s">
        <v>9904</v>
      </c>
      <c r="C47" t="s">
        <v>5043</v>
      </c>
    </row>
    <row r="48" spans="1:3" ht="15" x14ac:dyDescent="0.25">
      <c r="A48">
        <v>9955</v>
      </c>
      <c r="B48" t="s">
        <v>9905</v>
      </c>
      <c r="C48" t="s">
        <v>5043</v>
      </c>
    </row>
    <row r="49" spans="1:3" ht="15" x14ac:dyDescent="0.25">
      <c r="A49">
        <v>11962</v>
      </c>
      <c r="B49" t="s">
        <v>9906</v>
      </c>
      <c r="C49" t="s">
        <v>5043</v>
      </c>
    </row>
    <row r="50" spans="1:3" ht="15" x14ac:dyDescent="0.25">
      <c r="A50">
        <v>9205</v>
      </c>
      <c r="B50" t="s">
        <v>9908</v>
      </c>
      <c r="C50" t="s">
        <v>5043</v>
      </c>
    </row>
    <row r="51" spans="1:3" ht="15" x14ac:dyDescent="0.25">
      <c r="A51">
        <v>9462</v>
      </c>
      <c r="B51" t="s">
        <v>9910</v>
      </c>
      <c r="C51" t="s">
        <v>5043</v>
      </c>
    </row>
    <row r="52" spans="1:3" ht="15" x14ac:dyDescent="0.25">
      <c r="A52">
        <v>8419</v>
      </c>
      <c r="B52" t="s">
        <v>8634</v>
      </c>
      <c r="C52" t="s">
        <v>5043</v>
      </c>
    </row>
    <row r="53" spans="1:3" ht="15" x14ac:dyDescent="0.25">
      <c r="A53">
        <v>7974</v>
      </c>
      <c r="B53" t="s">
        <v>8636</v>
      </c>
      <c r="C53" t="s">
        <v>5043</v>
      </c>
    </row>
    <row r="54" spans="1:3" ht="15" x14ac:dyDescent="0.25">
      <c r="A54">
        <v>6612</v>
      </c>
      <c r="B54" t="s">
        <v>8637</v>
      </c>
      <c r="C54" t="s">
        <v>5043</v>
      </c>
    </row>
    <row r="55" spans="1:3" ht="15" x14ac:dyDescent="0.25">
      <c r="A55">
        <v>9623</v>
      </c>
      <c r="B55" t="s">
        <v>8639</v>
      </c>
      <c r="C55" t="s">
        <v>5043</v>
      </c>
    </row>
    <row r="56" spans="1:3" ht="15" x14ac:dyDescent="0.25">
      <c r="A56">
        <v>9040</v>
      </c>
      <c r="B56" t="s">
        <v>8640</v>
      </c>
      <c r="C56" t="s">
        <v>5043</v>
      </c>
    </row>
    <row r="57" spans="1:3" ht="15" x14ac:dyDescent="0.25">
      <c r="A57">
        <v>7047</v>
      </c>
      <c r="B57" t="s">
        <v>8641</v>
      </c>
      <c r="C57" t="s">
        <v>5043</v>
      </c>
    </row>
    <row r="58" spans="1:3" ht="15" x14ac:dyDescent="0.25">
      <c r="A58">
        <v>9398</v>
      </c>
      <c r="B58" t="s">
        <v>8642</v>
      </c>
      <c r="C58" t="s">
        <v>5043</v>
      </c>
    </row>
    <row r="59" spans="1:3" ht="15" x14ac:dyDescent="0.25">
      <c r="A59">
        <v>11605</v>
      </c>
      <c r="B59" t="s">
        <v>8644</v>
      </c>
      <c r="C59" t="s">
        <v>5043</v>
      </c>
    </row>
    <row r="60" spans="1:3" ht="15" x14ac:dyDescent="0.25">
      <c r="A60">
        <v>6778</v>
      </c>
      <c r="B60" t="s">
        <v>9930</v>
      </c>
      <c r="C60" t="s">
        <v>5043</v>
      </c>
    </row>
    <row r="61" spans="1:3" ht="15" x14ac:dyDescent="0.25">
      <c r="A61">
        <v>11208</v>
      </c>
      <c r="B61" t="s">
        <v>9931</v>
      </c>
      <c r="C61" t="s">
        <v>5043</v>
      </c>
    </row>
    <row r="62" spans="1:3" ht="15" x14ac:dyDescent="0.25">
      <c r="A62">
        <v>12640</v>
      </c>
      <c r="B62" t="s">
        <v>11557</v>
      </c>
      <c r="C62" t="s">
        <v>5043</v>
      </c>
    </row>
    <row r="63" spans="1:3" ht="15" x14ac:dyDescent="0.25">
      <c r="A63">
        <v>11056</v>
      </c>
      <c r="B63" t="s">
        <v>9944</v>
      </c>
      <c r="C63" t="s">
        <v>5043</v>
      </c>
    </row>
    <row r="64" spans="1:3" ht="15" x14ac:dyDescent="0.25">
      <c r="A64">
        <v>10249</v>
      </c>
      <c r="B64" t="s">
        <v>9950</v>
      </c>
      <c r="C64" t="s">
        <v>5043</v>
      </c>
    </row>
    <row r="65" spans="1:3" ht="15" x14ac:dyDescent="0.25">
      <c r="A65">
        <v>6608</v>
      </c>
      <c r="B65" t="s">
        <v>9950</v>
      </c>
      <c r="C65" t="s">
        <v>5043</v>
      </c>
    </row>
    <row r="66" spans="1:3" ht="15" x14ac:dyDescent="0.25">
      <c r="A66">
        <v>8093</v>
      </c>
      <c r="B66" t="s">
        <v>9950</v>
      </c>
      <c r="C66" t="s">
        <v>5043</v>
      </c>
    </row>
    <row r="67" spans="1:3" ht="15" x14ac:dyDescent="0.25">
      <c r="A67">
        <v>10037</v>
      </c>
      <c r="B67" t="s">
        <v>9951</v>
      </c>
      <c r="C67" t="s">
        <v>5043</v>
      </c>
    </row>
    <row r="68" spans="1:3" ht="15" x14ac:dyDescent="0.25">
      <c r="A68">
        <v>8968</v>
      </c>
      <c r="B68" t="s">
        <v>9951</v>
      </c>
      <c r="C68" t="s">
        <v>5043</v>
      </c>
    </row>
    <row r="69" spans="1:3" ht="15" x14ac:dyDescent="0.25">
      <c r="A69">
        <v>7259</v>
      </c>
      <c r="B69" t="s">
        <v>9954</v>
      </c>
      <c r="C69" t="s">
        <v>5043</v>
      </c>
    </row>
    <row r="70" spans="1:3" ht="15" x14ac:dyDescent="0.25">
      <c r="A70">
        <v>9135</v>
      </c>
      <c r="B70" t="s">
        <v>9954</v>
      </c>
      <c r="C70" t="s">
        <v>5043</v>
      </c>
    </row>
    <row r="71" spans="1:3" ht="15" x14ac:dyDescent="0.25">
      <c r="A71">
        <v>6448</v>
      </c>
      <c r="B71" t="s">
        <v>9955</v>
      </c>
      <c r="C71" t="s">
        <v>5043</v>
      </c>
    </row>
    <row r="72" spans="1:3" ht="15" x14ac:dyDescent="0.25">
      <c r="A72">
        <v>9785</v>
      </c>
      <c r="B72" t="s">
        <v>9955</v>
      </c>
      <c r="C72" t="s">
        <v>5043</v>
      </c>
    </row>
    <row r="73" spans="1:3" ht="15" x14ac:dyDescent="0.25">
      <c r="A73">
        <v>8152</v>
      </c>
      <c r="B73" t="s">
        <v>9959</v>
      </c>
      <c r="C73" t="s">
        <v>5043</v>
      </c>
    </row>
    <row r="74" spans="1:3" ht="15" x14ac:dyDescent="0.25">
      <c r="A74">
        <v>8941</v>
      </c>
      <c r="B74" t="s">
        <v>9959</v>
      </c>
      <c r="C74" t="s">
        <v>5043</v>
      </c>
    </row>
    <row r="75" spans="1:3" ht="15" x14ac:dyDescent="0.25">
      <c r="A75">
        <v>12486</v>
      </c>
      <c r="B75" t="s">
        <v>9965</v>
      </c>
      <c r="C75" t="s">
        <v>5043</v>
      </c>
    </row>
    <row r="76" spans="1:3" ht="15" x14ac:dyDescent="0.25">
      <c r="A76">
        <v>12578</v>
      </c>
      <c r="B76" t="s">
        <v>9966</v>
      </c>
      <c r="C76" t="s">
        <v>5043</v>
      </c>
    </row>
    <row r="77" spans="1:3" ht="15" x14ac:dyDescent="0.25">
      <c r="A77">
        <v>9697</v>
      </c>
      <c r="B77" t="s">
        <v>9968</v>
      </c>
      <c r="C77" t="s">
        <v>5043</v>
      </c>
    </row>
    <row r="78" spans="1:3" ht="15" x14ac:dyDescent="0.25">
      <c r="A78">
        <v>10556</v>
      </c>
      <c r="B78" t="s">
        <v>9969</v>
      </c>
      <c r="C78" t="s">
        <v>5043</v>
      </c>
    </row>
    <row r="79" spans="1:3" ht="15" x14ac:dyDescent="0.25">
      <c r="A79">
        <v>10044</v>
      </c>
      <c r="B79" t="s">
        <v>8645</v>
      </c>
      <c r="C79" t="s">
        <v>5043</v>
      </c>
    </row>
    <row r="80" spans="1:3" ht="15" x14ac:dyDescent="0.25">
      <c r="A80">
        <v>11614</v>
      </c>
      <c r="B80" t="s">
        <v>8646</v>
      </c>
      <c r="C80" t="s">
        <v>5043</v>
      </c>
    </row>
    <row r="81" spans="1:3" ht="15" x14ac:dyDescent="0.25">
      <c r="A81">
        <v>9397</v>
      </c>
      <c r="B81" t="s">
        <v>8646</v>
      </c>
      <c r="C81" t="s">
        <v>5043</v>
      </c>
    </row>
    <row r="82" spans="1:3" ht="15" x14ac:dyDescent="0.25">
      <c r="A82">
        <v>9577</v>
      </c>
      <c r="B82" t="s">
        <v>8647</v>
      </c>
      <c r="C82" t="s">
        <v>5043</v>
      </c>
    </row>
    <row r="83" spans="1:3" ht="15" x14ac:dyDescent="0.25">
      <c r="A83">
        <v>6578</v>
      </c>
      <c r="B83" t="s">
        <v>8648</v>
      </c>
      <c r="C83" t="s">
        <v>5043</v>
      </c>
    </row>
    <row r="84" spans="1:3" ht="15" x14ac:dyDescent="0.25">
      <c r="A84">
        <v>10503</v>
      </c>
      <c r="B84" t="s">
        <v>8649</v>
      </c>
      <c r="C84" t="s">
        <v>5043</v>
      </c>
    </row>
    <row r="85" spans="1:3" ht="15" x14ac:dyDescent="0.25">
      <c r="A85">
        <v>6544</v>
      </c>
      <c r="B85" t="s">
        <v>8649</v>
      </c>
      <c r="C85" t="s">
        <v>5043</v>
      </c>
    </row>
    <row r="86" spans="1:3" ht="15" x14ac:dyDescent="0.25">
      <c r="A86">
        <v>7034</v>
      </c>
      <c r="B86" t="s">
        <v>8649</v>
      </c>
      <c r="C86" t="s">
        <v>5043</v>
      </c>
    </row>
    <row r="87" spans="1:3" ht="15" x14ac:dyDescent="0.25">
      <c r="A87">
        <v>8249</v>
      </c>
      <c r="B87" t="s">
        <v>8649</v>
      </c>
      <c r="C87" t="s">
        <v>5043</v>
      </c>
    </row>
    <row r="88" spans="1:3" ht="15" x14ac:dyDescent="0.25">
      <c r="A88">
        <v>7393</v>
      </c>
      <c r="B88" t="s">
        <v>8650</v>
      </c>
      <c r="C88" t="s">
        <v>5043</v>
      </c>
    </row>
    <row r="89" spans="1:3" ht="15" x14ac:dyDescent="0.25">
      <c r="A89">
        <v>11450</v>
      </c>
      <c r="B89" t="s">
        <v>8651</v>
      </c>
      <c r="C89" t="s">
        <v>5043</v>
      </c>
    </row>
    <row r="90" spans="1:3" ht="15" x14ac:dyDescent="0.25">
      <c r="A90">
        <v>8520</v>
      </c>
      <c r="B90" t="s">
        <v>8652</v>
      </c>
      <c r="C90" t="s">
        <v>5043</v>
      </c>
    </row>
    <row r="91" spans="1:3" ht="15" x14ac:dyDescent="0.25">
      <c r="A91">
        <v>8661</v>
      </c>
      <c r="B91" t="s">
        <v>9971</v>
      </c>
      <c r="C91" t="s">
        <v>5043</v>
      </c>
    </row>
    <row r="92" spans="1:3" ht="15" x14ac:dyDescent="0.25">
      <c r="A92">
        <v>9873</v>
      </c>
      <c r="B92" t="s">
        <v>9971</v>
      </c>
      <c r="C92" t="s">
        <v>5043</v>
      </c>
    </row>
    <row r="93" spans="1:3" ht="15" x14ac:dyDescent="0.25">
      <c r="A93">
        <v>7390</v>
      </c>
      <c r="B93" t="s">
        <v>9977</v>
      </c>
      <c r="C93" t="s">
        <v>5043</v>
      </c>
    </row>
    <row r="94" spans="1:3" ht="15" x14ac:dyDescent="0.25">
      <c r="A94">
        <v>8298</v>
      </c>
      <c r="B94" t="s">
        <v>9977</v>
      </c>
      <c r="C94" t="s">
        <v>5043</v>
      </c>
    </row>
    <row r="95" spans="1:3" ht="15" x14ac:dyDescent="0.25">
      <c r="A95">
        <v>10040</v>
      </c>
      <c r="B95" t="s">
        <v>8653</v>
      </c>
      <c r="C95" t="s">
        <v>5043</v>
      </c>
    </row>
    <row r="96" spans="1:3" ht="15" x14ac:dyDescent="0.25">
      <c r="A96">
        <v>10058</v>
      </c>
      <c r="B96" t="s">
        <v>8653</v>
      </c>
      <c r="C96" t="s">
        <v>5043</v>
      </c>
    </row>
    <row r="97" spans="1:3" ht="15" x14ac:dyDescent="0.25">
      <c r="A97">
        <v>10080</v>
      </c>
      <c r="B97" t="s">
        <v>8653</v>
      </c>
      <c r="C97" t="s">
        <v>5043</v>
      </c>
    </row>
    <row r="98" spans="1:3" ht="15" x14ac:dyDescent="0.25">
      <c r="A98">
        <v>10102</v>
      </c>
      <c r="B98" t="s">
        <v>8653</v>
      </c>
      <c r="C98" t="s">
        <v>5043</v>
      </c>
    </row>
    <row r="99" spans="1:3" ht="15" x14ac:dyDescent="0.25">
      <c r="A99">
        <v>10204</v>
      </c>
      <c r="B99" t="s">
        <v>8653</v>
      </c>
      <c r="C99" t="s">
        <v>5043</v>
      </c>
    </row>
    <row r="100" spans="1:3" ht="15" x14ac:dyDescent="0.25">
      <c r="A100">
        <v>10306</v>
      </c>
      <c r="B100" t="s">
        <v>8653</v>
      </c>
      <c r="C100" t="s">
        <v>5043</v>
      </c>
    </row>
    <row r="101" spans="1:3" ht="15" x14ac:dyDescent="0.25">
      <c r="A101">
        <v>10520</v>
      </c>
      <c r="B101" t="s">
        <v>8653</v>
      </c>
      <c r="C101" t="s">
        <v>5043</v>
      </c>
    </row>
    <row r="102" spans="1:3" ht="15" x14ac:dyDescent="0.25">
      <c r="A102">
        <v>10654</v>
      </c>
      <c r="B102" t="s">
        <v>8653</v>
      </c>
      <c r="C102" t="s">
        <v>5043</v>
      </c>
    </row>
    <row r="103" spans="1:3" ht="15" x14ac:dyDescent="0.25">
      <c r="A103">
        <v>10715</v>
      </c>
      <c r="B103" t="s">
        <v>8653</v>
      </c>
      <c r="C103" t="s">
        <v>5043</v>
      </c>
    </row>
    <row r="104" spans="1:3" ht="15" x14ac:dyDescent="0.25">
      <c r="A104">
        <v>10978</v>
      </c>
      <c r="B104" t="s">
        <v>8653</v>
      </c>
      <c r="C104" t="s">
        <v>5043</v>
      </c>
    </row>
    <row r="105" spans="1:3" ht="15" x14ac:dyDescent="0.25">
      <c r="A105">
        <v>10981</v>
      </c>
      <c r="B105" t="s">
        <v>8653</v>
      </c>
      <c r="C105" t="s">
        <v>5043</v>
      </c>
    </row>
    <row r="106" spans="1:3" ht="15" x14ac:dyDescent="0.25">
      <c r="A106">
        <v>11033</v>
      </c>
      <c r="B106" t="s">
        <v>8653</v>
      </c>
      <c r="C106" t="s">
        <v>5043</v>
      </c>
    </row>
    <row r="107" spans="1:3" ht="15" x14ac:dyDescent="0.25">
      <c r="A107">
        <v>11106</v>
      </c>
      <c r="B107" t="s">
        <v>8653</v>
      </c>
      <c r="C107" t="s">
        <v>5043</v>
      </c>
    </row>
    <row r="108" spans="1:3" ht="15" x14ac:dyDescent="0.25">
      <c r="A108">
        <v>11284</v>
      </c>
      <c r="B108" t="s">
        <v>8653</v>
      </c>
      <c r="C108" t="s">
        <v>5043</v>
      </c>
    </row>
    <row r="109" spans="1:3" ht="15" x14ac:dyDescent="0.25">
      <c r="A109">
        <v>11399</v>
      </c>
      <c r="B109" t="s">
        <v>8653</v>
      </c>
      <c r="C109" t="s">
        <v>5043</v>
      </c>
    </row>
    <row r="110" spans="1:3" ht="15" x14ac:dyDescent="0.25">
      <c r="A110">
        <v>11961</v>
      </c>
      <c r="B110" t="s">
        <v>8653</v>
      </c>
      <c r="C110" t="s">
        <v>5043</v>
      </c>
    </row>
    <row r="111" spans="1:3" ht="15" x14ac:dyDescent="0.25">
      <c r="A111">
        <v>11963</v>
      </c>
      <c r="B111" t="s">
        <v>8653</v>
      </c>
      <c r="C111" t="s">
        <v>5043</v>
      </c>
    </row>
    <row r="112" spans="1:3" ht="15" x14ac:dyDescent="0.25">
      <c r="A112">
        <v>11964</v>
      </c>
      <c r="B112" t="s">
        <v>8653</v>
      </c>
      <c r="C112" t="s">
        <v>5043</v>
      </c>
    </row>
    <row r="113" spans="1:3" ht="15" x14ac:dyDescent="0.25">
      <c r="A113">
        <v>6444</v>
      </c>
      <c r="B113" t="s">
        <v>8653</v>
      </c>
      <c r="C113" t="s">
        <v>5043</v>
      </c>
    </row>
    <row r="114" spans="1:3" ht="15" x14ac:dyDescent="0.25">
      <c r="A114">
        <v>6614</v>
      </c>
      <c r="B114" t="s">
        <v>8653</v>
      </c>
      <c r="C114" t="s">
        <v>5043</v>
      </c>
    </row>
    <row r="115" spans="1:3" ht="15" x14ac:dyDescent="0.25">
      <c r="A115">
        <v>6747</v>
      </c>
      <c r="B115" t="s">
        <v>8653</v>
      </c>
      <c r="C115" t="s">
        <v>5043</v>
      </c>
    </row>
    <row r="116" spans="1:3" ht="15" x14ac:dyDescent="0.25">
      <c r="A116">
        <v>6923</v>
      </c>
      <c r="B116" t="s">
        <v>8653</v>
      </c>
      <c r="C116" t="s">
        <v>5043</v>
      </c>
    </row>
    <row r="117" spans="1:3" ht="15" x14ac:dyDescent="0.25">
      <c r="A117">
        <v>7207</v>
      </c>
      <c r="B117" t="s">
        <v>8653</v>
      </c>
      <c r="C117" t="s">
        <v>5043</v>
      </c>
    </row>
    <row r="118" spans="1:3" ht="15" x14ac:dyDescent="0.25">
      <c r="A118">
        <v>7593</v>
      </c>
      <c r="B118" t="s">
        <v>8653</v>
      </c>
      <c r="C118" t="s">
        <v>5043</v>
      </c>
    </row>
    <row r="119" spans="1:3" ht="15" x14ac:dyDescent="0.25">
      <c r="A119">
        <v>7607</v>
      </c>
      <c r="B119" t="s">
        <v>8653</v>
      </c>
      <c r="C119" t="s">
        <v>5043</v>
      </c>
    </row>
    <row r="120" spans="1:3" ht="15" x14ac:dyDescent="0.25">
      <c r="A120">
        <v>8031</v>
      </c>
      <c r="B120" t="s">
        <v>8653</v>
      </c>
      <c r="C120" t="s">
        <v>5043</v>
      </c>
    </row>
    <row r="121" spans="1:3" ht="15" x14ac:dyDescent="0.25">
      <c r="A121">
        <v>8202</v>
      </c>
      <c r="B121" t="s">
        <v>8653</v>
      </c>
      <c r="C121" t="s">
        <v>5043</v>
      </c>
    </row>
    <row r="122" spans="1:3" ht="15" x14ac:dyDescent="0.25">
      <c r="A122">
        <v>8251</v>
      </c>
      <c r="B122" t="s">
        <v>8653</v>
      </c>
      <c r="C122" t="s">
        <v>5043</v>
      </c>
    </row>
    <row r="123" spans="1:3" ht="15" x14ac:dyDescent="0.25">
      <c r="A123">
        <v>8435</v>
      </c>
      <c r="B123" t="s">
        <v>8653</v>
      </c>
      <c r="C123" t="s">
        <v>5043</v>
      </c>
    </row>
    <row r="124" spans="1:3" ht="15" x14ac:dyDescent="0.25">
      <c r="A124">
        <v>8697</v>
      </c>
      <c r="B124" t="s">
        <v>8653</v>
      </c>
      <c r="C124" t="s">
        <v>5043</v>
      </c>
    </row>
    <row r="125" spans="1:3" ht="15" x14ac:dyDescent="0.25">
      <c r="A125">
        <v>8882</v>
      </c>
      <c r="B125" t="s">
        <v>8653</v>
      </c>
      <c r="C125" t="s">
        <v>5043</v>
      </c>
    </row>
    <row r="126" spans="1:3" ht="15" x14ac:dyDescent="0.25">
      <c r="A126">
        <v>9230</v>
      </c>
      <c r="B126" t="s">
        <v>8653</v>
      </c>
      <c r="C126" t="s">
        <v>5043</v>
      </c>
    </row>
    <row r="127" spans="1:3" ht="15" x14ac:dyDescent="0.25">
      <c r="A127">
        <v>9282</v>
      </c>
      <c r="B127" t="s">
        <v>8653</v>
      </c>
      <c r="C127" t="s">
        <v>5043</v>
      </c>
    </row>
    <row r="128" spans="1:3" ht="15" x14ac:dyDescent="0.25">
      <c r="A128">
        <v>9493</v>
      </c>
      <c r="B128" t="s">
        <v>8653</v>
      </c>
      <c r="C128" t="s">
        <v>5043</v>
      </c>
    </row>
    <row r="129" spans="1:3" ht="15" x14ac:dyDescent="0.25">
      <c r="A129">
        <v>9578</v>
      </c>
      <c r="B129" t="s">
        <v>8653</v>
      </c>
      <c r="C129" t="s">
        <v>5043</v>
      </c>
    </row>
    <row r="130" spans="1:3" ht="15" x14ac:dyDescent="0.25">
      <c r="A130">
        <v>9683</v>
      </c>
      <c r="B130" t="s">
        <v>8653</v>
      </c>
      <c r="C130" t="s">
        <v>5043</v>
      </c>
    </row>
    <row r="131" spans="1:3" ht="15" x14ac:dyDescent="0.25">
      <c r="A131">
        <v>9743</v>
      </c>
      <c r="B131" t="s">
        <v>8653</v>
      </c>
      <c r="C131" t="s">
        <v>5043</v>
      </c>
    </row>
    <row r="132" spans="1:3" ht="15" x14ac:dyDescent="0.25">
      <c r="A132">
        <v>9815</v>
      </c>
      <c r="B132" t="s">
        <v>8653</v>
      </c>
      <c r="C132" t="s">
        <v>5043</v>
      </c>
    </row>
    <row r="133" spans="1:3" ht="15" x14ac:dyDescent="0.25">
      <c r="A133">
        <v>10574</v>
      </c>
      <c r="B133" t="s">
        <v>9986</v>
      </c>
      <c r="C133" t="s">
        <v>5043</v>
      </c>
    </row>
    <row r="134" spans="1:3" ht="15" x14ac:dyDescent="0.25">
      <c r="A134">
        <v>12002</v>
      </c>
      <c r="B134" t="s">
        <v>9989</v>
      </c>
      <c r="C134" t="s">
        <v>5043</v>
      </c>
    </row>
    <row r="135" spans="1:3" ht="15" x14ac:dyDescent="0.25">
      <c r="A135">
        <v>7369</v>
      </c>
      <c r="B135" t="s">
        <v>10005</v>
      </c>
      <c r="C135" t="s">
        <v>5043</v>
      </c>
    </row>
    <row r="136" spans="1:3" ht="15" x14ac:dyDescent="0.25">
      <c r="A136">
        <v>9455</v>
      </c>
      <c r="B136" t="s">
        <v>10005</v>
      </c>
      <c r="C136" t="s">
        <v>5043</v>
      </c>
    </row>
    <row r="137" spans="1:3" ht="15" x14ac:dyDescent="0.25">
      <c r="A137">
        <v>10007</v>
      </c>
      <c r="B137" t="s">
        <v>8654</v>
      </c>
      <c r="C137" t="s">
        <v>5043</v>
      </c>
    </row>
    <row r="138" spans="1:3" ht="15" x14ac:dyDescent="0.25">
      <c r="A138">
        <v>11653</v>
      </c>
      <c r="B138" t="s">
        <v>8657</v>
      </c>
      <c r="C138" t="s">
        <v>5043</v>
      </c>
    </row>
    <row r="139" spans="1:3" ht="15" x14ac:dyDescent="0.25">
      <c r="A139">
        <v>6942</v>
      </c>
      <c r="B139" t="s">
        <v>8658</v>
      </c>
      <c r="C139" t="s">
        <v>5043</v>
      </c>
    </row>
    <row r="140" spans="1:3" ht="15" x14ac:dyDescent="0.25">
      <c r="A140">
        <v>6836</v>
      </c>
      <c r="B140" t="s">
        <v>10030</v>
      </c>
      <c r="C140" t="s">
        <v>5043</v>
      </c>
    </row>
    <row r="141" spans="1:3" ht="15" x14ac:dyDescent="0.25">
      <c r="A141">
        <v>11332</v>
      </c>
      <c r="B141" t="s">
        <v>10031</v>
      </c>
      <c r="C141" t="s">
        <v>5043</v>
      </c>
    </row>
    <row r="142" spans="1:3" ht="15" x14ac:dyDescent="0.25">
      <c r="A142">
        <v>10333</v>
      </c>
      <c r="B142" t="s">
        <v>10032</v>
      </c>
      <c r="C142" t="s">
        <v>5043</v>
      </c>
    </row>
    <row r="143" spans="1:3" ht="15" x14ac:dyDescent="0.25">
      <c r="A143">
        <v>10341</v>
      </c>
      <c r="B143" t="s">
        <v>10033</v>
      </c>
      <c r="C143" t="s">
        <v>5043</v>
      </c>
    </row>
    <row r="144" spans="1:3" ht="15" x14ac:dyDescent="0.25">
      <c r="A144">
        <v>10827</v>
      </c>
      <c r="B144" t="s">
        <v>10034</v>
      </c>
      <c r="C144" t="s">
        <v>5043</v>
      </c>
    </row>
    <row r="145" spans="1:3" ht="15" x14ac:dyDescent="0.25">
      <c r="A145">
        <v>10578</v>
      </c>
      <c r="B145" t="s">
        <v>10035</v>
      </c>
      <c r="C145" t="s">
        <v>5043</v>
      </c>
    </row>
    <row r="146" spans="1:3" ht="15" x14ac:dyDescent="0.25">
      <c r="A146">
        <v>7178</v>
      </c>
      <c r="B146" t="s">
        <v>10036</v>
      </c>
      <c r="C146" t="s">
        <v>5043</v>
      </c>
    </row>
    <row r="147" spans="1:3" ht="15" x14ac:dyDescent="0.25">
      <c r="A147">
        <v>9001</v>
      </c>
      <c r="B147" t="s">
        <v>10037</v>
      </c>
      <c r="C147" t="s">
        <v>5043</v>
      </c>
    </row>
    <row r="148" spans="1:3" ht="15" x14ac:dyDescent="0.25">
      <c r="A148">
        <v>8439</v>
      </c>
      <c r="B148" t="s">
        <v>10038</v>
      </c>
      <c r="C148" t="s">
        <v>5043</v>
      </c>
    </row>
    <row r="149" spans="1:3" ht="15" x14ac:dyDescent="0.25">
      <c r="A149">
        <v>8407</v>
      </c>
      <c r="B149" t="s">
        <v>10039</v>
      </c>
      <c r="C149" t="s">
        <v>5043</v>
      </c>
    </row>
    <row r="150" spans="1:3" ht="15" x14ac:dyDescent="0.25">
      <c r="A150">
        <v>6832</v>
      </c>
      <c r="B150" t="s">
        <v>10040</v>
      </c>
      <c r="C150" t="s">
        <v>5043</v>
      </c>
    </row>
    <row r="151" spans="1:3" ht="15" x14ac:dyDescent="0.25">
      <c r="A151">
        <v>11078</v>
      </c>
      <c r="B151" t="s">
        <v>10041</v>
      </c>
      <c r="C151" t="s">
        <v>5043</v>
      </c>
    </row>
    <row r="152" spans="1:3" ht="15" x14ac:dyDescent="0.25">
      <c r="A152">
        <v>7092</v>
      </c>
      <c r="B152" t="s">
        <v>10042</v>
      </c>
      <c r="C152" t="s">
        <v>5043</v>
      </c>
    </row>
    <row r="153" spans="1:3" ht="15" x14ac:dyDescent="0.25">
      <c r="A153">
        <v>10402</v>
      </c>
      <c r="B153" t="s">
        <v>10043</v>
      </c>
      <c r="C153" t="s">
        <v>5043</v>
      </c>
    </row>
    <row r="154" spans="1:3" ht="15" x14ac:dyDescent="0.25">
      <c r="A154">
        <v>7874</v>
      </c>
      <c r="B154" t="s">
        <v>10044</v>
      </c>
      <c r="C154" t="s">
        <v>5043</v>
      </c>
    </row>
    <row r="155" spans="1:3" ht="15" x14ac:dyDescent="0.25">
      <c r="A155">
        <v>8538</v>
      </c>
      <c r="B155" t="s">
        <v>10045</v>
      </c>
      <c r="C155" t="s">
        <v>5043</v>
      </c>
    </row>
    <row r="156" spans="1:3" ht="15" x14ac:dyDescent="0.25">
      <c r="A156">
        <v>6644</v>
      </c>
      <c r="B156" t="s">
        <v>10046</v>
      </c>
      <c r="C156" t="s">
        <v>5043</v>
      </c>
    </row>
    <row r="157" spans="1:3" ht="15" x14ac:dyDescent="0.25">
      <c r="A157">
        <v>8001</v>
      </c>
      <c r="B157" t="s">
        <v>10047</v>
      </c>
      <c r="C157" t="s">
        <v>5043</v>
      </c>
    </row>
    <row r="158" spans="1:3" ht="15" x14ac:dyDescent="0.25">
      <c r="A158">
        <v>10048</v>
      </c>
      <c r="B158" t="s">
        <v>8660</v>
      </c>
      <c r="C158" t="s">
        <v>5043</v>
      </c>
    </row>
    <row r="159" spans="1:3" ht="15" x14ac:dyDescent="0.25">
      <c r="A159">
        <v>11285</v>
      </c>
      <c r="B159" t="s">
        <v>8660</v>
      </c>
      <c r="C159" t="s">
        <v>5043</v>
      </c>
    </row>
    <row r="160" spans="1:3" ht="15" x14ac:dyDescent="0.25">
      <c r="A160">
        <v>11356</v>
      </c>
      <c r="B160" t="s">
        <v>8660</v>
      </c>
      <c r="C160" t="s">
        <v>5043</v>
      </c>
    </row>
    <row r="161" spans="1:3" ht="15" x14ac:dyDescent="0.25">
      <c r="A161">
        <v>7163</v>
      </c>
      <c r="B161" t="s">
        <v>8660</v>
      </c>
      <c r="C161" t="s">
        <v>5043</v>
      </c>
    </row>
    <row r="162" spans="1:3" ht="15" x14ac:dyDescent="0.25">
      <c r="A162">
        <v>7601</v>
      </c>
      <c r="B162" t="s">
        <v>8660</v>
      </c>
      <c r="C162" t="s">
        <v>5043</v>
      </c>
    </row>
    <row r="163" spans="1:3" ht="15" x14ac:dyDescent="0.25">
      <c r="A163">
        <v>7978</v>
      </c>
      <c r="B163" t="s">
        <v>8660</v>
      </c>
      <c r="C163" t="s">
        <v>5043</v>
      </c>
    </row>
    <row r="164" spans="1:3" ht="15" x14ac:dyDescent="0.25">
      <c r="A164">
        <v>8032</v>
      </c>
      <c r="B164" t="s">
        <v>8660</v>
      </c>
      <c r="C164" t="s">
        <v>5043</v>
      </c>
    </row>
    <row r="165" spans="1:3" ht="15" x14ac:dyDescent="0.25">
      <c r="A165">
        <v>8641</v>
      </c>
      <c r="B165" t="s">
        <v>8660</v>
      </c>
      <c r="C165" t="s">
        <v>5043</v>
      </c>
    </row>
    <row r="166" spans="1:3" ht="15" x14ac:dyDescent="0.25">
      <c r="A166">
        <v>9677</v>
      </c>
      <c r="B166" t="s">
        <v>8660</v>
      </c>
      <c r="C166" t="s">
        <v>5043</v>
      </c>
    </row>
    <row r="167" spans="1:3" ht="15" x14ac:dyDescent="0.25">
      <c r="A167">
        <v>9859</v>
      </c>
      <c r="B167" t="s">
        <v>8660</v>
      </c>
      <c r="C167" t="s">
        <v>5043</v>
      </c>
    </row>
    <row r="168" spans="1:3" ht="15" x14ac:dyDescent="0.25">
      <c r="A168">
        <v>9990</v>
      </c>
      <c r="B168" t="s">
        <v>8660</v>
      </c>
      <c r="C168" t="s">
        <v>5043</v>
      </c>
    </row>
    <row r="169" spans="1:3" ht="15" x14ac:dyDescent="0.25">
      <c r="A169">
        <v>10358</v>
      </c>
      <c r="B169" t="s">
        <v>8661</v>
      </c>
      <c r="C169" t="s">
        <v>5043</v>
      </c>
    </row>
    <row r="170" spans="1:3" ht="15" x14ac:dyDescent="0.25">
      <c r="A170">
        <v>8165</v>
      </c>
      <c r="B170" t="s">
        <v>8661</v>
      </c>
      <c r="C170" t="s">
        <v>5043</v>
      </c>
    </row>
    <row r="171" spans="1:3" ht="15" x14ac:dyDescent="0.25">
      <c r="A171">
        <v>8748</v>
      </c>
      <c r="B171" t="s">
        <v>8661</v>
      </c>
      <c r="C171" t="s">
        <v>5043</v>
      </c>
    </row>
    <row r="172" spans="1:3" ht="15" x14ac:dyDescent="0.25">
      <c r="A172">
        <v>11214</v>
      </c>
      <c r="B172" t="s">
        <v>8662</v>
      </c>
      <c r="C172" t="s">
        <v>5043</v>
      </c>
    </row>
    <row r="173" spans="1:3" ht="15" x14ac:dyDescent="0.25">
      <c r="A173">
        <v>8377</v>
      </c>
      <c r="B173" t="s">
        <v>8662</v>
      </c>
      <c r="C173" t="s">
        <v>5043</v>
      </c>
    </row>
    <row r="174" spans="1:3" ht="15" x14ac:dyDescent="0.25">
      <c r="A174">
        <v>8454</v>
      </c>
      <c r="B174" t="s">
        <v>8662</v>
      </c>
      <c r="C174" t="s">
        <v>5043</v>
      </c>
    </row>
    <row r="175" spans="1:3" ht="15" x14ac:dyDescent="0.25">
      <c r="A175">
        <v>11569</v>
      </c>
      <c r="B175" t="s">
        <v>8663</v>
      </c>
      <c r="C175" t="s">
        <v>5043</v>
      </c>
    </row>
    <row r="176" spans="1:3" ht="15" x14ac:dyDescent="0.25">
      <c r="A176">
        <v>9396</v>
      </c>
      <c r="B176" t="s">
        <v>8663</v>
      </c>
      <c r="C176" t="s">
        <v>5043</v>
      </c>
    </row>
    <row r="177" spans="1:3" ht="15" x14ac:dyDescent="0.25">
      <c r="A177">
        <v>9883</v>
      </c>
      <c r="B177" t="s">
        <v>8663</v>
      </c>
      <c r="C177" t="s">
        <v>5043</v>
      </c>
    </row>
    <row r="178" spans="1:3" ht="15" x14ac:dyDescent="0.25">
      <c r="A178">
        <v>6426</v>
      </c>
      <c r="B178" t="s">
        <v>8664</v>
      </c>
      <c r="C178" t="s">
        <v>5043</v>
      </c>
    </row>
    <row r="179" spans="1:3" ht="15" x14ac:dyDescent="0.25">
      <c r="A179">
        <v>8805</v>
      </c>
      <c r="B179" t="s">
        <v>8664</v>
      </c>
      <c r="C179" t="s">
        <v>5043</v>
      </c>
    </row>
    <row r="180" spans="1:3" ht="15" x14ac:dyDescent="0.25">
      <c r="A180">
        <v>8866</v>
      </c>
      <c r="B180" t="s">
        <v>8664</v>
      </c>
      <c r="C180" t="s">
        <v>5043</v>
      </c>
    </row>
    <row r="181" spans="1:3" ht="15" x14ac:dyDescent="0.25">
      <c r="A181">
        <v>10994</v>
      </c>
      <c r="B181" t="s">
        <v>8665</v>
      </c>
      <c r="C181" t="s">
        <v>5043</v>
      </c>
    </row>
    <row r="182" spans="1:3" ht="15" x14ac:dyDescent="0.25">
      <c r="A182">
        <v>11061</v>
      </c>
      <c r="B182" t="s">
        <v>8665</v>
      </c>
      <c r="C182" t="s">
        <v>5043</v>
      </c>
    </row>
    <row r="183" spans="1:3" ht="15" x14ac:dyDescent="0.25">
      <c r="A183">
        <v>6611</v>
      </c>
      <c r="B183" t="s">
        <v>8665</v>
      </c>
      <c r="C183" t="s">
        <v>5043</v>
      </c>
    </row>
    <row r="184" spans="1:3" ht="15" x14ac:dyDescent="0.25">
      <c r="A184">
        <v>11167</v>
      </c>
      <c r="B184" t="s">
        <v>8666</v>
      </c>
      <c r="C184" t="s">
        <v>5043</v>
      </c>
    </row>
    <row r="185" spans="1:3" ht="15" x14ac:dyDescent="0.25">
      <c r="A185">
        <v>7969</v>
      </c>
      <c r="B185" t="s">
        <v>8666</v>
      </c>
      <c r="C185" t="s">
        <v>5043</v>
      </c>
    </row>
    <row r="186" spans="1:3" ht="15" x14ac:dyDescent="0.25">
      <c r="A186">
        <v>8720</v>
      </c>
      <c r="B186" t="s">
        <v>8666</v>
      </c>
      <c r="C186" t="s">
        <v>5043</v>
      </c>
    </row>
    <row r="187" spans="1:3" ht="15" x14ac:dyDescent="0.25">
      <c r="A187">
        <v>11098</v>
      </c>
      <c r="B187" t="s">
        <v>8667</v>
      </c>
      <c r="C187" t="s">
        <v>5043</v>
      </c>
    </row>
    <row r="188" spans="1:3" ht="15" x14ac:dyDescent="0.25">
      <c r="A188">
        <v>11116</v>
      </c>
      <c r="B188" t="s">
        <v>8667</v>
      </c>
      <c r="C188" t="s">
        <v>5043</v>
      </c>
    </row>
    <row r="189" spans="1:3" ht="15" x14ac:dyDescent="0.25">
      <c r="A189">
        <v>9637</v>
      </c>
      <c r="B189" t="s">
        <v>8667</v>
      </c>
      <c r="C189" t="s">
        <v>5043</v>
      </c>
    </row>
    <row r="190" spans="1:3" ht="15" x14ac:dyDescent="0.25">
      <c r="A190">
        <v>6433</v>
      </c>
      <c r="B190" t="s">
        <v>8668</v>
      </c>
      <c r="C190" t="s">
        <v>5043</v>
      </c>
    </row>
    <row r="191" spans="1:3" ht="15" x14ac:dyDescent="0.25">
      <c r="A191">
        <v>6589</v>
      </c>
      <c r="B191" t="s">
        <v>8668</v>
      </c>
      <c r="C191" t="s">
        <v>5043</v>
      </c>
    </row>
    <row r="192" spans="1:3" ht="15" x14ac:dyDescent="0.25">
      <c r="A192">
        <v>8933</v>
      </c>
      <c r="B192" t="s">
        <v>8668</v>
      </c>
      <c r="C192" t="s">
        <v>5043</v>
      </c>
    </row>
    <row r="193" spans="1:3" ht="15" x14ac:dyDescent="0.25">
      <c r="A193">
        <v>10911</v>
      </c>
      <c r="B193" t="s">
        <v>8669</v>
      </c>
      <c r="C193" t="s">
        <v>5043</v>
      </c>
    </row>
    <row r="194" spans="1:3" ht="15" x14ac:dyDescent="0.25">
      <c r="A194">
        <v>7481</v>
      </c>
      <c r="B194" t="s">
        <v>8669</v>
      </c>
      <c r="C194" t="s">
        <v>5043</v>
      </c>
    </row>
    <row r="195" spans="1:3" ht="15" x14ac:dyDescent="0.25">
      <c r="A195">
        <v>8766</v>
      </c>
      <c r="B195" t="s">
        <v>8669</v>
      </c>
      <c r="C195" t="s">
        <v>5043</v>
      </c>
    </row>
    <row r="196" spans="1:3" ht="15" x14ac:dyDescent="0.25">
      <c r="A196">
        <v>7933</v>
      </c>
      <c r="B196" t="s">
        <v>8670</v>
      </c>
      <c r="C196" t="s">
        <v>5043</v>
      </c>
    </row>
    <row r="197" spans="1:3" ht="15" x14ac:dyDescent="0.25">
      <c r="A197">
        <v>10657</v>
      </c>
      <c r="B197" t="s">
        <v>8671</v>
      </c>
      <c r="C197" t="s">
        <v>5043</v>
      </c>
    </row>
    <row r="198" spans="1:3" ht="15" x14ac:dyDescent="0.25">
      <c r="A198">
        <v>8341</v>
      </c>
      <c r="B198" t="s">
        <v>10052</v>
      </c>
      <c r="C198" t="s">
        <v>5043</v>
      </c>
    </row>
    <row r="199" spans="1:3" ht="15" x14ac:dyDescent="0.25">
      <c r="A199">
        <v>9215</v>
      </c>
      <c r="B199" t="s">
        <v>10052</v>
      </c>
      <c r="C199" t="s">
        <v>5043</v>
      </c>
    </row>
    <row r="200" spans="1:3" ht="15" x14ac:dyDescent="0.25">
      <c r="A200">
        <v>6841</v>
      </c>
      <c r="B200" t="s">
        <v>8672</v>
      </c>
      <c r="C200" t="s">
        <v>5043</v>
      </c>
    </row>
    <row r="201" spans="1:3" ht="15" x14ac:dyDescent="0.25">
      <c r="A201">
        <v>7110</v>
      </c>
      <c r="B201" t="s">
        <v>8672</v>
      </c>
      <c r="C201" t="s">
        <v>5043</v>
      </c>
    </row>
    <row r="202" spans="1:3" ht="15" x14ac:dyDescent="0.25">
      <c r="A202">
        <v>9729</v>
      </c>
      <c r="B202" t="s">
        <v>8672</v>
      </c>
      <c r="C202" t="s">
        <v>5043</v>
      </c>
    </row>
    <row r="203" spans="1:3" ht="15" x14ac:dyDescent="0.25">
      <c r="A203">
        <v>7002</v>
      </c>
      <c r="B203" t="s">
        <v>10053</v>
      </c>
      <c r="C203" t="s">
        <v>5043</v>
      </c>
    </row>
    <row r="204" spans="1:3" ht="15" x14ac:dyDescent="0.25">
      <c r="A204">
        <v>8449</v>
      </c>
      <c r="B204" t="s">
        <v>10053</v>
      </c>
      <c r="C204" t="s">
        <v>5043</v>
      </c>
    </row>
    <row r="205" spans="1:3" ht="15" x14ac:dyDescent="0.25">
      <c r="A205">
        <v>11452</v>
      </c>
      <c r="B205" t="s">
        <v>10054</v>
      </c>
      <c r="C205" t="s">
        <v>5043</v>
      </c>
    </row>
    <row r="206" spans="1:3" ht="15" x14ac:dyDescent="0.25">
      <c r="A206">
        <v>6724</v>
      </c>
      <c r="B206" t="s">
        <v>10054</v>
      </c>
      <c r="C206" t="s">
        <v>5043</v>
      </c>
    </row>
    <row r="207" spans="1:3" ht="15" x14ac:dyDescent="0.25">
      <c r="A207">
        <v>10497</v>
      </c>
      <c r="B207" t="s">
        <v>10055</v>
      </c>
      <c r="C207" t="s">
        <v>5043</v>
      </c>
    </row>
    <row r="208" spans="1:3" ht="15" x14ac:dyDescent="0.25">
      <c r="A208">
        <v>6739</v>
      </c>
      <c r="B208" t="s">
        <v>10055</v>
      </c>
      <c r="C208" t="s">
        <v>5043</v>
      </c>
    </row>
    <row r="209" spans="1:3" ht="15" x14ac:dyDescent="0.25">
      <c r="A209">
        <v>6456</v>
      </c>
      <c r="B209" t="s">
        <v>8673</v>
      </c>
      <c r="C209" t="s">
        <v>5043</v>
      </c>
    </row>
    <row r="210" spans="1:3" ht="15" x14ac:dyDescent="0.25">
      <c r="A210">
        <v>6603</v>
      </c>
      <c r="B210" t="s">
        <v>8673</v>
      </c>
      <c r="C210" t="s">
        <v>5043</v>
      </c>
    </row>
    <row r="211" spans="1:3" ht="15" x14ac:dyDescent="0.25">
      <c r="A211">
        <v>7071</v>
      </c>
      <c r="B211" t="s">
        <v>8673</v>
      </c>
      <c r="C211" t="s">
        <v>5043</v>
      </c>
    </row>
    <row r="212" spans="1:3" ht="15" x14ac:dyDescent="0.25">
      <c r="A212">
        <v>11457</v>
      </c>
      <c r="B212" t="s">
        <v>8674</v>
      </c>
      <c r="C212" t="s">
        <v>5043</v>
      </c>
    </row>
    <row r="213" spans="1:3" ht="15" x14ac:dyDescent="0.25">
      <c r="A213">
        <v>7413</v>
      </c>
      <c r="B213" t="s">
        <v>8675</v>
      </c>
      <c r="C213" t="s">
        <v>5043</v>
      </c>
    </row>
    <row r="214" spans="1:3" ht="15" x14ac:dyDescent="0.25">
      <c r="A214">
        <v>9199</v>
      </c>
      <c r="B214" t="s">
        <v>8675</v>
      </c>
      <c r="C214" t="s">
        <v>5043</v>
      </c>
    </row>
    <row r="215" spans="1:3" ht="15" x14ac:dyDescent="0.25">
      <c r="A215">
        <v>10492</v>
      </c>
      <c r="B215" t="s">
        <v>8676</v>
      </c>
      <c r="C215" t="s">
        <v>5043</v>
      </c>
    </row>
    <row r="216" spans="1:3" ht="15" x14ac:dyDescent="0.25">
      <c r="A216">
        <v>11428</v>
      </c>
      <c r="B216" t="s">
        <v>8676</v>
      </c>
      <c r="C216" t="s">
        <v>5043</v>
      </c>
    </row>
    <row r="217" spans="1:3" ht="15" x14ac:dyDescent="0.25">
      <c r="A217">
        <v>11623</v>
      </c>
      <c r="B217" t="s">
        <v>8676</v>
      </c>
      <c r="C217" t="s">
        <v>5043</v>
      </c>
    </row>
    <row r="218" spans="1:3" ht="15" x14ac:dyDescent="0.25">
      <c r="A218">
        <v>7640</v>
      </c>
      <c r="B218" t="s">
        <v>10057</v>
      </c>
      <c r="C218" t="s">
        <v>5043</v>
      </c>
    </row>
    <row r="219" spans="1:3" ht="15" x14ac:dyDescent="0.25">
      <c r="A219">
        <v>8930</v>
      </c>
      <c r="B219" t="s">
        <v>10057</v>
      </c>
      <c r="C219" t="s">
        <v>5043</v>
      </c>
    </row>
    <row r="220" spans="1:3" ht="15" x14ac:dyDescent="0.25">
      <c r="A220">
        <v>7279</v>
      </c>
      <c r="B220" t="s">
        <v>8677</v>
      </c>
      <c r="C220" t="s">
        <v>5043</v>
      </c>
    </row>
    <row r="221" spans="1:3" ht="15" x14ac:dyDescent="0.25">
      <c r="A221">
        <v>8920</v>
      </c>
      <c r="B221" t="s">
        <v>8677</v>
      </c>
      <c r="C221" t="s">
        <v>5043</v>
      </c>
    </row>
    <row r="222" spans="1:3" ht="15" x14ac:dyDescent="0.25">
      <c r="A222">
        <v>9904</v>
      </c>
      <c r="B222" t="s">
        <v>8677</v>
      </c>
      <c r="C222" t="s">
        <v>5043</v>
      </c>
    </row>
    <row r="223" spans="1:3" ht="15" x14ac:dyDescent="0.25">
      <c r="A223">
        <v>12262</v>
      </c>
      <c r="B223" t="s">
        <v>8680</v>
      </c>
      <c r="C223" t="s">
        <v>5043</v>
      </c>
    </row>
    <row r="224" spans="1:3" ht="15" x14ac:dyDescent="0.25">
      <c r="A224">
        <v>12270</v>
      </c>
      <c r="B224" t="s">
        <v>10058</v>
      </c>
      <c r="C224" t="s">
        <v>5043</v>
      </c>
    </row>
    <row r="225" spans="1:3" ht="15" x14ac:dyDescent="0.25">
      <c r="A225">
        <v>9136</v>
      </c>
      <c r="B225" t="s">
        <v>8682</v>
      </c>
      <c r="C225" t="s">
        <v>5043</v>
      </c>
    </row>
    <row r="226" spans="1:3" ht="15" x14ac:dyDescent="0.25">
      <c r="A226">
        <v>11221</v>
      </c>
      <c r="B226" t="s">
        <v>8683</v>
      </c>
      <c r="C226" t="s">
        <v>5043</v>
      </c>
    </row>
    <row r="227" spans="1:3" ht="15" x14ac:dyDescent="0.25">
      <c r="A227">
        <v>12327</v>
      </c>
      <c r="B227" t="s">
        <v>8684</v>
      </c>
      <c r="C227" t="s">
        <v>5043</v>
      </c>
    </row>
    <row r="228" spans="1:3" ht="15" x14ac:dyDescent="0.25">
      <c r="A228">
        <v>8276</v>
      </c>
      <c r="B228" t="s">
        <v>10063</v>
      </c>
      <c r="C228" t="s">
        <v>5043</v>
      </c>
    </row>
    <row r="229" spans="1:3" ht="15" x14ac:dyDescent="0.25">
      <c r="A229">
        <v>12510</v>
      </c>
      <c r="B229" t="s">
        <v>11561</v>
      </c>
      <c r="C229" t="s">
        <v>5043</v>
      </c>
    </row>
    <row r="230" spans="1:3" ht="15" x14ac:dyDescent="0.25">
      <c r="A230">
        <v>10354</v>
      </c>
      <c r="B230" t="s">
        <v>10075</v>
      </c>
      <c r="C230" t="s">
        <v>5043</v>
      </c>
    </row>
    <row r="231" spans="1:3" ht="15" x14ac:dyDescent="0.25">
      <c r="A231">
        <v>10602</v>
      </c>
      <c r="B231" t="s">
        <v>10075</v>
      </c>
      <c r="C231" t="s">
        <v>5043</v>
      </c>
    </row>
    <row r="232" spans="1:3" ht="15" x14ac:dyDescent="0.25">
      <c r="A232">
        <v>10879</v>
      </c>
      <c r="B232" t="s">
        <v>10075</v>
      </c>
      <c r="C232" t="s">
        <v>5043</v>
      </c>
    </row>
    <row r="233" spans="1:3" ht="15" x14ac:dyDescent="0.25">
      <c r="A233">
        <v>11402</v>
      </c>
      <c r="B233" t="s">
        <v>10075</v>
      </c>
      <c r="C233" t="s">
        <v>5043</v>
      </c>
    </row>
    <row r="234" spans="1:3" ht="15" x14ac:dyDescent="0.25">
      <c r="A234">
        <v>11556</v>
      </c>
      <c r="B234" t="s">
        <v>10075</v>
      </c>
      <c r="C234" t="s">
        <v>5043</v>
      </c>
    </row>
    <row r="235" spans="1:3" ht="15" x14ac:dyDescent="0.25">
      <c r="A235">
        <v>12440</v>
      </c>
      <c r="B235" t="s">
        <v>10075</v>
      </c>
      <c r="C235" t="s">
        <v>5043</v>
      </c>
    </row>
    <row r="236" spans="1:3" ht="15" x14ac:dyDescent="0.25">
      <c r="A236">
        <v>7405</v>
      </c>
      <c r="B236" t="s">
        <v>10075</v>
      </c>
      <c r="C236" t="s">
        <v>5043</v>
      </c>
    </row>
    <row r="237" spans="1:3" ht="15" x14ac:dyDescent="0.25">
      <c r="A237">
        <v>7462</v>
      </c>
      <c r="B237" t="s">
        <v>10075</v>
      </c>
      <c r="C237" t="s">
        <v>5043</v>
      </c>
    </row>
    <row r="238" spans="1:3" ht="15" x14ac:dyDescent="0.25">
      <c r="A238">
        <v>8163</v>
      </c>
      <c r="B238" t="s">
        <v>10075</v>
      </c>
      <c r="C238" t="s">
        <v>5043</v>
      </c>
    </row>
    <row r="239" spans="1:3" ht="15" x14ac:dyDescent="0.25">
      <c r="A239">
        <v>8737</v>
      </c>
      <c r="B239" t="s">
        <v>10075</v>
      </c>
      <c r="C239" t="s">
        <v>5043</v>
      </c>
    </row>
    <row r="240" spans="1:3" ht="15" x14ac:dyDescent="0.25">
      <c r="A240">
        <v>9009</v>
      </c>
      <c r="B240" t="s">
        <v>10075</v>
      </c>
      <c r="C240" t="s">
        <v>5043</v>
      </c>
    </row>
    <row r="241" spans="1:3" ht="15" x14ac:dyDescent="0.25">
      <c r="A241">
        <v>9016</v>
      </c>
      <c r="B241" t="s">
        <v>10075</v>
      </c>
      <c r="C241" t="s">
        <v>5043</v>
      </c>
    </row>
    <row r="242" spans="1:3" ht="15" x14ac:dyDescent="0.25">
      <c r="A242">
        <v>9334</v>
      </c>
      <c r="B242" t="s">
        <v>10075</v>
      </c>
      <c r="C242" t="s">
        <v>5043</v>
      </c>
    </row>
    <row r="243" spans="1:3" ht="15" x14ac:dyDescent="0.25">
      <c r="A243">
        <v>9385</v>
      </c>
      <c r="B243" t="s">
        <v>10075</v>
      </c>
      <c r="C243" t="s">
        <v>5043</v>
      </c>
    </row>
    <row r="244" spans="1:3" ht="15" x14ac:dyDescent="0.25">
      <c r="A244">
        <v>9544</v>
      </c>
      <c r="B244" t="s">
        <v>10075</v>
      </c>
      <c r="C244" t="s">
        <v>5043</v>
      </c>
    </row>
    <row r="245" spans="1:3" ht="15" x14ac:dyDescent="0.25">
      <c r="A245">
        <v>9963</v>
      </c>
      <c r="B245" t="s">
        <v>10075</v>
      </c>
      <c r="C245" t="s">
        <v>5043</v>
      </c>
    </row>
    <row r="246" spans="1:3" ht="15" x14ac:dyDescent="0.25">
      <c r="A246">
        <v>7508</v>
      </c>
      <c r="B246" t="s">
        <v>10086</v>
      </c>
      <c r="C246" t="s">
        <v>5043</v>
      </c>
    </row>
    <row r="247" spans="1:3" ht="15" x14ac:dyDescent="0.25">
      <c r="A247">
        <v>10795</v>
      </c>
      <c r="B247" t="s">
        <v>8685</v>
      </c>
      <c r="C247" t="s">
        <v>5043</v>
      </c>
    </row>
    <row r="248" spans="1:3" ht="15" x14ac:dyDescent="0.25">
      <c r="A248">
        <v>11059</v>
      </c>
      <c r="B248" t="s">
        <v>8686</v>
      </c>
      <c r="C248" t="s">
        <v>5043</v>
      </c>
    </row>
    <row r="249" spans="1:3" ht="15" x14ac:dyDescent="0.25">
      <c r="A249">
        <v>11159</v>
      </c>
      <c r="B249" t="s">
        <v>8686</v>
      </c>
      <c r="C249" t="s">
        <v>5043</v>
      </c>
    </row>
    <row r="250" spans="1:3" ht="15" x14ac:dyDescent="0.25">
      <c r="A250">
        <v>6460</v>
      </c>
      <c r="B250" t="s">
        <v>8686</v>
      </c>
      <c r="C250" t="s">
        <v>5043</v>
      </c>
    </row>
    <row r="251" spans="1:3" ht="15" x14ac:dyDescent="0.25">
      <c r="A251">
        <v>6732</v>
      </c>
      <c r="B251" t="s">
        <v>8686</v>
      </c>
      <c r="C251" t="s">
        <v>5043</v>
      </c>
    </row>
    <row r="252" spans="1:3" ht="15" x14ac:dyDescent="0.25">
      <c r="A252">
        <v>7020</v>
      </c>
      <c r="B252" t="s">
        <v>8686</v>
      </c>
      <c r="C252" t="s">
        <v>5043</v>
      </c>
    </row>
    <row r="253" spans="1:3" ht="15" x14ac:dyDescent="0.25">
      <c r="A253">
        <v>7814</v>
      </c>
      <c r="B253" t="s">
        <v>8686</v>
      </c>
      <c r="C253" t="s">
        <v>5043</v>
      </c>
    </row>
    <row r="254" spans="1:3" ht="15" x14ac:dyDescent="0.25">
      <c r="A254">
        <v>8263</v>
      </c>
      <c r="B254" t="s">
        <v>8686</v>
      </c>
      <c r="C254" t="s">
        <v>5043</v>
      </c>
    </row>
    <row r="255" spans="1:3" ht="15" x14ac:dyDescent="0.25">
      <c r="A255">
        <v>9133</v>
      </c>
      <c r="B255" t="s">
        <v>8686</v>
      </c>
      <c r="C255" t="s">
        <v>5043</v>
      </c>
    </row>
    <row r="256" spans="1:3" ht="15" x14ac:dyDescent="0.25">
      <c r="A256">
        <v>9400</v>
      </c>
      <c r="B256" t="s">
        <v>8686</v>
      </c>
      <c r="C256" t="s">
        <v>5043</v>
      </c>
    </row>
    <row r="257" spans="1:3" ht="15" x14ac:dyDescent="0.25">
      <c r="A257">
        <v>9614</v>
      </c>
      <c r="B257" t="s">
        <v>8686</v>
      </c>
      <c r="C257" t="s">
        <v>5043</v>
      </c>
    </row>
    <row r="258" spans="1:3" ht="15" x14ac:dyDescent="0.25">
      <c r="A258">
        <v>9757</v>
      </c>
      <c r="B258" t="s">
        <v>8686</v>
      </c>
      <c r="C258" t="s">
        <v>5043</v>
      </c>
    </row>
    <row r="259" spans="1:3" ht="15" x14ac:dyDescent="0.25">
      <c r="A259">
        <v>9876</v>
      </c>
      <c r="B259" t="s">
        <v>8687</v>
      </c>
      <c r="C259" t="s">
        <v>5043</v>
      </c>
    </row>
    <row r="260" spans="1:3" ht="15" x14ac:dyDescent="0.25">
      <c r="A260">
        <v>9552</v>
      </c>
      <c r="B260" t="s">
        <v>8688</v>
      </c>
      <c r="C260" t="s">
        <v>5043</v>
      </c>
    </row>
    <row r="261" spans="1:3" ht="15" x14ac:dyDescent="0.25">
      <c r="A261">
        <v>6462</v>
      </c>
      <c r="B261" t="s">
        <v>8689</v>
      </c>
      <c r="C261" t="s">
        <v>5043</v>
      </c>
    </row>
    <row r="262" spans="1:3" ht="15" x14ac:dyDescent="0.25">
      <c r="A262">
        <v>9651</v>
      </c>
      <c r="B262" t="s">
        <v>8690</v>
      </c>
      <c r="C262" t="s">
        <v>5043</v>
      </c>
    </row>
    <row r="263" spans="1:3" ht="15" x14ac:dyDescent="0.25">
      <c r="A263">
        <v>7338</v>
      </c>
      <c r="B263" t="s">
        <v>8691</v>
      </c>
      <c r="C263" t="s">
        <v>5043</v>
      </c>
    </row>
    <row r="264" spans="1:3" ht="15" x14ac:dyDescent="0.25">
      <c r="A264">
        <v>8161</v>
      </c>
      <c r="B264" t="s">
        <v>8692</v>
      </c>
      <c r="C264" t="s">
        <v>5043</v>
      </c>
    </row>
    <row r="265" spans="1:3" ht="15" x14ac:dyDescent="0.25">
      <c r="A265">
        <v>8550</v>
      </c>
      <c r="B265" t="s">
        <v>8693</v>
      </c>
      <c r="C265" t="s">
        <v>5043</v>
      </c>
    </row>
    <row r="266" spans="1:3" ht="15" x14ac:dyDescent="0.25">
      <c r="A266">
        <v>10789</v>
      </c>
      <c r="B266" t="s">
        <v>8697</v>
      </c>
      <c r="C266" t="s">
        <v>5043</v>
      </c>
    </row>
    <row r="267" spans="1:3" ht="15" x14ac:dyDescent="0.25">
      <c r="A267">
        <v>11354</v>
      </c>
      <c r="B267" t="s">
        <v>8697</v>
      </c>
      <c r="C267" t="s">
        <v>5043</v>
      </c>
    </row>
    <row r="268" spans="1:3" ht="15" x14ac:dyDescent="0.25">
      <c r="A268">
        <v>11624</v>
      </c>
      <c r="B268" t="s">
        <v>8697</v>
      </c>
      <c r="C268" t="s">
        <v>5043</v>
      </c>
    </row>
    <row r="269" spans="1:3" ht="15" x14ac:dyDescent="0.25">
      <c r="A269">
        <v>7599</v>
      </c>
      <c r="B269" t="s">
        <v>8697</v>
      </c>
      <c r="C269" t="s">
        <v>5043</v>
      </c>
    </row>
    <row r="270" spans="1:3" ht="15" x14ac:dyDescent="0.25">
      <c r="A270">
        <v>10226</v>
      </c>
      <c r="B270" t="s">
        <v>8698</v>
      </c>
      <c r="C270" t="s">
        <v>5043</v>
      </c>
    </row>
    <row r="271" spans="1:3" ht="15" x14ac:dyDescent="0.25">
      <c r="A271">
        <v>7044</v>
      </c>
      <c r="B271" t="s">
        <v>10112</v>
      </c>
      <c r="C271" t="s">
        <v>5043</v>
      </c>
    </row>
    <row r="272" spans="1:3" ht="15" x14ac:dyDescent="0.25">
      <c r="A272">
        <v>10493</v>
      </c>
      <c r="B272" t="s">
        <v>10116</v>
      </c>
      <c r="C272" t="s">
        <v>5043</v>
      </c>
    </row>
    <row r="273" spans="1:3" ht="15" x14ac:dyDescent="0.25">
      <c r="A273">
        <v>9052</v>
      </c>
      <c r="B273" t="s">
        <v>10116</v>
      </c>
      <c r="C273" t="s">
        <v>5043</v>
      </c>
    </row>
    <row r="274" spans="1:3" ht="15" x14ac:dyDescent="0.25">
      <c r="A274">
        <v>8939</v>
      </c>
      <c r="B274" t="s">
        <v>10120</v>
      </c>
      <c r="C274" t="s">
        <v>5043</v>
      </c>
    </row>
    <row r="275" spans="1:3" ht="15" x14ac:dyDescent="0.25">
      <c r="A275">
        <v>10027</v>
      </c>
      <c r="B275" t="s">
        <v>10121</v>
      </c>
      <c r="C275" t="s">
        <v>5043</v>
      </c>
    </row>
    <row r="276" spans="1:3" ht="15" x14ac:dyDescent="0.25">
      <c r="A276">
        <v>8583</v>
      </c>
      <c r="B276" t="s">
        <v>10122</v>
      </c>
      <c r="C276" t="s">
        <v>5043</v>
      </c>
    </row>
    <row r="277" spans="1:3" ht="15" x14ac:dyDescent="0.25">
      <c r="A277">
        <v>8719</v>
      </c>
      <c r="B277" t="s">
        <v>10123</v>
      </c>
      <c r="C277" t="s">
        <v>5043</v>
      </c>
    </row>
    <row r="278" spans="1:3" ht="15" x14ac:dyDescent="0.25">
      <c r="A278">
        <v>8125</v>
      </c>
      <c r="B278" t="s">
        <v>10124</v>
      </c>
      <c r="C278" t="s">
        <v>5043</v>
      </c>
    </row>
    <row r="279" spans="1:3" ht="15" x14ac:dyDescent="0.25">
      <c r="A279">
        <v>10084</v>
      </c>
      <c r="B279" t="s">
        <v>10125</v>
      </c>
      <c r="C279" t="s">
        <v>5043</v>
      </c>
    </row>
    <row r="280" spans="1:3" ht="15" x14ac:dyDescent="0.25">
      <c r="A280">
        <v>9006</v>
      </c>
      <c r="B280" t="s">
        <v>10126</v>
      </c>
      <c r="C280" t="s">
        <v>5043</v>
      </c>
    </row>
    <row r="281" spans="1:3" ht="15" x14ac:dyDescent="0.25">
      <c r="A281">
        <v>9972</v>
      </c>
      <c r="B281" t="s">
        <v>10127</v>
      </c>
      <c r="C281" t="s">
        <v>5043</v>
      </c>
    </row>
    <row r="282" spans="1:3" ht="15" x14ac:dyDescent="0.25">
      <c r="A282">
        <v>7321</v>
      </c>
      <c r="B282" t="s">
        <v>10129</v>
      </c>
      <c r="C282" t="s">
        <v>5043</v>
      </c>
    </row>
    <row r="283" spans="1:3" ht="15" x14ac:dyDescent="0.25">
      <c r="A283">
        <v>9793</v>
      </c>
      <c r="B283" t="s">
        <v>10132</v>
      </c>
      <c r="C283" t="s">
        <v>5043</v>
      </c>
    </row>
    <row r="284" spans="1:3" ht="15" x14ac:dyDescent="0.25">
      <c r="A284">
        <v>8077</v>
      </c>
      <c r="B284" t="s">
        <v>10133</v>
      </c>
      <c r="C284" t="s">
        <v>5043</v>
      </c>
    </row>
    <row r="285" spans="1:3" ht="15" x14ac:dyDescent="0.25">
      <c r="A285">
        <v>9569</v>
      </c>
      <c r="B285" t="s">
        <v>10134</v>
      </c>
      <c r="C285" t="s">
        <v>5043</v>
      </c>
    </row>
    <row r="286" spans="1:3" ht="15" x14ac:dyDescent="0.25">
      <c r="A286">
        <v>7672</v>
      </c>
      <c r="B286" t="s">
        <v>10135</v>
      </c>
      <c r="C286" t="s">
        <v>5043</v>
      </c>
    </row>
    <row r="287" spans="1:3" ht="15" x14ac:dyDescent="0.25">
      <c r="A287">
        <v>8214</v>
      </c>
      <c r="B287" t="s">
        <v>10137</v>
      </c>
      <c r="C287" t="s">
        <v>5043</v>
      </c>
    </row>
    <row r="288" spans="1:3" ht="15" x14ac:dyDescent="0.25">
      <c r="A288">
        <v>10634</v>
      </c>
      <c r="B288" t="s">
        <v>10145</v>
      </c>
      <c r="C288" t="s">
        <v>5043</v>
      </c>
    </row>
    <row r="289" spans="1:3" ht="15" x14ac:dyDescent="0.25">
      <c r="A289">
        <v>11335</v>
      </c>
      <c r="B289" t="s">
        <v>10145</v>
      </c>
      <c r="C289" t="s">
        <v>5043</v>
      </c>
    </row>
    <row r="290" spans="1:3" ht="15" x14ac:dyDescent="0.25">
      <c r="A290">
        <v>7266</v>
      </c>
      <c r="B290" t="s">
        <v>10145</v>
      </c>
      <c r="C290" t="s">
        <v>5043</v>
      </c>
    </row>
    <row r="291" spans="1:3" ht="15" x14ac:dyDescent="0.25">
      <c r="A291">
        <v>7312</v>
      </c>
      <c r="B291" t="s">
        <v>10145</v>
      </c>
      <c r="C291" t="s">
        <v>5043</v>
      </c>
    </row>
    <row r="292" spans="1:3" ht="15" x14ac:dyDescent="0.25">
      <c r="A292">
        <v>7692</v>
      </c>
      <c r="B292" t="s">
        <v>10145</v>
      </c>
      <c r="C292" t="s">
        <v>5043</v>
      </c>
    </row>
    <row r="293" spans="1:3" ht="15" x14ac:dyDescent="0.25">
      <c r="A293">
        <v>8046</v>
      </c>
      <c r="B293" t="s">
        <v>10145</v>
      </c>
      <c r="C293" t="s">
        <v>5043</v>
      </c>
    </row>
    <row r="294" spans="1:3" ht="15" x14ac:dyDescent="0.25">
      <c r="A294">
        <v>8387</v>
      </c>
      <c r="B294" t="s">
        <v>10145</v>
      </c>
      <c r="C294" t="s">
        <v>5043</v>
      </c>
    </row>
    <row r="295" spans="1:3" ht="15" x14ac:dyDescent="0.25">
      <c r="A295">
        <v>8701</v>
      </c>
      <c r="B295" t="s">
        <v>10145</v>
      </c>
      <c r="C295" t="s">
        <v>5043</v>
      </c>
    </row>
    <row r="296" spans="1:3" ht="15" x14ac:dyDescent="0.25">
      <c r="A296">
        <v>8808</v>
      </c>
      <c r="B296" t="s">
        <v>10145</v>
      </c>
      <c r="C296" t="s">
        <v>5043</v>
      </c>
    </row>
    <row r="297" spans="1:3" ht="15" x14ac:dyDescent="0.25">
      <c r="A297">
        <v>8871</v>
      </c>
      <c r="B297" t="s">
        <v>10145</v>
      </c>
      <c r="C297" t="s">
        <v>5043</v>
      </c>
    </row>
    <row r="298" spans="1:3" ht="15" x14ac:dyDescent="0.25">
      <c r="A298">
        <v>9394</v>
      </c>
      <c r="B298" t="s">
        <v>10145</v>
      </c>
      <c r="C298" t="s">
        <v>5043</v>
      </c>
    </row>
    <row r="299" spans="1:3" ht="15" x14ac:dyDescent="0.25">
      <c r="A299">
        <v>9533</v>
      </c>
      <c r="B299" t="s">
        <v>10145</v>
      </c>
      <c r="C299" t="s">
        <v>5043</v>
      </c>
    </row>
    <row r="300" spans="1:3" ht="15" x14ac:dyDescent="0.25">
      <c r="A300">
        <v>9634</v>
      </c>
      <c r="B300" t="s">
        <v>8707</v>
      </c>
      <c r="C300" t="s">
        <v>5043</v>
      </c>
    </row>
    <row r="301" spans="1:3" ht="15" x14ac:dyDescent="0.25">
      <c r="A301">
        <v>10409</v>
      </c>
      <c r="B301" t="s">
        <v>10147</v>
      </c>
      <c r="C301" t="s">
        <v>5043</v>
      </c>
    </row>
    <row r="302" spans="1:3" ht="15" x14ac:dyDescent="0.25">
      <c r="A302">
        <v>10738</v>
      </c>
      <c r="B302" t="s">
        <v>10147</v>
      </c>
      <c r="C302" t="s">
        <v>5043</v>
      </c>
    </row>
    <row r="303" spans="1:3" ht="15" x14ac:dyDescent="0.25">
      <c r="A303">
        <v>11081</v>
      </c>
      <c r="B303" t="s">
        <v>10147</v>
      </c>
      <c r="C303" t="s">
        <v>5043</v>
      </c>
    </row>
    <row r="304" spans="1:3" ht="15" x14ac:dyDescent="0.25">
      <c r="A304">
        <v>6629</v>
      </c>
      <c r="B304" t="s">
        <v>10147</v>
      </c>
      <c r="C304" t="s">
        <v>5043</v>
      </c>
    </row>
    <row r="305" spans="1:3" ht="15" x14ac:dyDescent="0.25">
      <c r="A305">
        <v>6696</v>
      </c>
      <c r="B305" t="s">
        <v>10147</v>
      </c>
      <c r="C305" t="s">
        <v>5043</v>
      </c>
    </row>
    <row r="306" spans="1:3" ht="15" x14ac:dyDescent="0.25">
      <c r="A306">
        <v>7598</v>
      </c>
      <c r="B306" t="s">
        <v>10147</v>
      </c>
      <c r="C306" t="s">
        <v>5043</v>
      </c>
    </row>
    <row r="307" spans="1:3" ht="15" x14ac:dyDescent="0.25">
      <c r="A307">
        <v>7808</v>
      </c>
      <c r="B307" t="s">
        <v>10147</v>
      </c>
      <c r="C307" t="s">
        <v>5043</v>
      </c>
    </row>
    <row r="308" spans="1:3" ht="15" x14ac:dyDescent="0.25">
      <c r="A308">
        <v>7885</v>
      </c>
      <c r="B308" t="s">
        <v>10147</v>
      </c>
      <c r="C308" t="s">
        <v>5043</v>
      </c>
    </row>
    <row r="309" spans="1:3" ht="15" x14ac:dyDescent="0.25">
      <c r="A309">
        <v>9601</v>
      </c>
      <c r="B309" t="s">
        <v>10147</v>
      </c>
      <c r="C309" t="s">
        <v>5043</v>
      </c>
    </row>
    <row r="310" spans="1:3" ht="15" x14ac:dyDescent="0.25">
      <c r="A310">
        <v>9738</v>
      </c>
      <c r="B310" t="s">
        <v>10147</v>
      </c>
      <c r="C310" t="s">
        <v>5043</v>
      </c>
    </row>
    <row r="311" spans="1:3" ht="15" x14ac:dyDescent="0.25">
      <c r="A311">
        <v>10895</v>
      </c>
      <c r="B311" t="s">
        <v>10152</v>
      </c>
      <c r="C311" t="s">
        <v>5043</v>
      </c>
    </row>
    <row r="312" spans="1:3" ht="15" x14ac:dyDescent="0.25">
      <c r="A312">
        <v>10984</v>
      </c>
      <c r="B312" t="s">
        <v>10152</v>
      </c>
      <c r="C312" t="s">
        <v>5043</v>
      </c>
    </row>
    <row r="313" spans="1:3" ht="15" x14ac:dyDescent="0.25">
      <c r="A313">
        <v>6439</v>
      </c>
      <c r="B313" t="s">
        <v>10152</v>
      </c>
      <c r="C313" t="s">
        <v>5043</v>
      </c>
    </row>
    <row r="314" spans="1:3" ht="15" x14ac:dyDescent="0.25">
      <c r="A314">
        <v>8184</v>
      </c>
      <c r="B314" t="s">
        <v>10152</v>
      </c>
      <c r="C314" t="s">
        <v>5043</v>
      </c>
    </row>
    <row r="315" spans="1:3" ht="15" x14ac:dyDescent="0.25">
      <c r="A315">
        <v>9482</v>
      </c>
      <c r="B315" t="s">
        <v>10152</v>
      </c>
      <c r="C315" t="s">
        <v>5043</v>
      </c>
    </row>
    <row r="316" spans="1:3" ht="15" x14ac:dyDescent="0.25">
      <c r="A316">
        <v>9771</v>
      </c>
      <c r="B316" t="s">
        <v>10152</v>
      </c>
      <c r="C316" t="s">
        <v>5043</v>
      </c>
    </row>
    <row r="317" spans="1:3" ht="15" x14ac:dyDescent="0.25">
      <c r="A317">
        <v>6956</v>
      </c>
      <c r="B317" t="s">
        <v>10159</v>
      </c>
      <c r="C317" t="s">
        <v>5043</v>
      </c>
    </row>
    <row r="318" spans="1:3" ht="15" x14ac:dyDescent="0.25">
      <c r="A318">
        <v>9087</v>
      </c>
      <c r="B318" t="s">
        <v>10159</v>
      </c>
      <c r="C318" t="s">
        <v>5043</v>
      </c>
    </row>
    <row r="319" spans="1:3" ht="15" x14ac:dyDescent="0.25">
      <c r="A319">
        <v>7937</v>
      </c>
      <c r="B319" t="s">
        <v>8710</v>
      </c>
      <c r="C319" t="s">
        <v>5043</v>
      </c>
    </row>
    <row r="320" spans="1:3" ht="15" x14ac:dyDescent="0.25">
      <c r="A320">
        <v>6642</v>
      </c>
      <c r="B320" t="s">
        <v>8717</v>
      </c>
      <c r="C320" t="s">
        <v>5043</v>
      </c>
    </row>
    <row r="321" spans="1:3" ht="15" x14ac:dyDescent="0.25">
      <c r="A321">
        <v>6625</v>
      </c>
      <c r="B321" t="s">
        <v>8719</v>
      </c>
      <c r="C321" t="s">
        <v>5043</v>
      </c>
    </row>
    <row r="322" spans="1:3" ht="15" x14ac:dyDescent="0.25">
      <c r="A322">
        <v>10703</v>
      </c>
      <c r="B322" t="s">
        <v>10169</v>
      </c>
      <c r="C322" t="s">
        <v>5043</v>
      </c>
    </row>
    <row r="323" spans="1:3" ht="15" x14ac:dyDescent="0.25">
      <c r="A323">
        <v>10872</v>
      </c>
      <c r="B323" t="s">
        <v>10169</v>
      </c>
      <c r="C323" t="s">
        <v>5043</v>
      </c>
    </row>
    <row r="324" spans="1:3" ht="15" x14ac:dyDescent="0.25">
      <c r="A324">
        <v>12546</v>
      </c>
      <c r="B324" t="s">
        <v>10169</v>
      </c>
      <c r="C324" t="s">
        <v>5043</v>
      </c>
    </row>
    <row r="325" spans="1:3" ht="15" x14ac:dyDescent="0.25">
      <c r="A325">
        <v>6613</v>
      </c>
      <c r="B325" t="s">
        <v>10169</v>
      </c>
      <c r="C325" t="s">
        <v>5043</v>
      </c>
    </row>
    <row r="326" spans="1:3" ht="15" x14ac:dyDescent="0.25">
      <c r="A326">
        <v>7743</v>
      </c>
      <c r="B326" t="s">
        <v>10169</v>
      </c>
      <c r="C326" t="s">
        <v>5043</v>
      </c>
    </row>
    <row r="327" spans="1:3" ht="15" x14ac:dyDescent="0.25">
      <c r="A327">
        <v>7798</v>
      </c>
      <c r="B327" t="s">
        <v>10169</v>
      </c>
      <c r="C327" t="s">
        <v>5043</v>
      </c>
    </row>
    <row r="328" spans="1:3" ht="15" x14ac:dyDescent="0.25">
      <c r="A328">
        <v>8552</v>
      </c>
      <c r="B328" t="s">
        <v>10169</v>
      </c>
      <c r="C328" t="s">
        <v>5043</v>
      </c>
    </row>
    <row r="329" spans="1:3" ht="15" x14ac:dyDescent="0.25">
      <c r="A329">
        <v>9487</v>
      </c>
      <c r="B329" t="s">
        <v>10169</v>
      </c>
      <c r="C329" t="s">
        <v>5043</v>
      </c>
    </row>
    <row r="330" spans="1:3" ht="15" x14ac:dyDescent="0.25">
      <c r="A330">
        <v>9784</v>
      </c>
      <c r="B330" t="s">
        <v>10169</v>
      </c>
      <c r="C330" t="s">
        <v>5043</v>
      </c>
    </row>
    <row r="331" spans="1:3" ht="15" x14ac:dyDescent="0.25">
      <c r="A331">
        <v>10495</v>
      </c>
      <c r="B331" t="s">
        <v>8727</v>
      </c>
      <c r="C331" t="s">
        <v>5043</v>
      </c>
    </row>
    <row r="332" spans="1:3" ht="15" x14ac:dyDescent="0.25">
      <c r="A332">
        <v>11011</v>
      </c>
      <c r="B332" t="s">
        <v>8727</v>
      </c>
      <c r="C332" t="s">
        <v>5043</v>
      </c>
    </row>
    <row r="333" spans="1:3" ht="15" x14ac:dyDescent="0.25">
      <c r="A333">
        <v>6636</v>
      </c>
      <c r="B333" t="s">
        <v>8727</v>
      </c>
      <c r="C333" t="s">
        <v>5043</v>
      </c>
    </row>
    <row r="334" spans="1:3" ht="15" x14ac:dyDescent="0.25">
      <c r="A334">
        <v>6972</v>
      </c>
      <c r="B334" t="s">
        <v>8727</v>
      </c>
      <c r="C334" t="s">
        <v>5043</v>
      </c>
    </row>
    <row r="335" spans="1:3" ht="15" x14ac:dyDescent="0.25">
      <c r="A335">
        <v>7287</v>
      </c>
      <c r="B335" t="s">
        <v>8727</v>
      </c>
      <c r="C335" t="s">
        <v>5043</v>
      </c>
    </row>
    <row r="336" spans="1:3" ht="15" x14ac:dyDescent="0.25">
      <c r="A336">
        <v>7926</v>
      </c>
      <c r="B336" t="s">
        <v>8727</v>
      </c>
      <c r="C336" t="s">
        <v>5043</v>
      </c>
    </row>
    <row r="337" spans="1:3" ht="15" x14ac:dyDescent="0.25">
      <c r="A337">
        <v>8711</v>
      </c>
      <c r="B337" t="s">
        <v>8727</v>
      </c>
      <c r="C337" t="s">
        <v>5043</v>
      </c>
    </row>
    <row r="338" spans="1:3" ht="15" x14ac:dyDescent="0.25">
      <c r="A338">
        <v>9323</v>
      </c>
      <c r="B338" t="s">
        <v>8727</v>
      </c>
      <c r="C338" t="s">
        <v>5043</v>
      </c>
    </row>
    <row r="339" spans="1:3" ht="15" x14ac:dyDescent="0.25">
      <c r="A339">
        <v>10839</v>
      </c>
      <c r="B339" t="s">
        <v>8730</v>
      </c>
      <c r="C339" t="s">
        <v>5043</v>
      </c>
    </row>
    <row r="340" spans="1:3" ht="15" x14ac:dyDescent="0.25">
      <c r="A340">
        <v>10231</v>
      </c>
      <c r="B340" t="s">
        <v>8732</v>
      </c>
      <c r="C340" t="s">
        <v>5043</v>
      </c>
    </row>
    <row r="341" spans="1:3" ht="15" x14ac:dyDescent="0.25">
      <c r="A341">
        <v>10033</v>
      </c>
      <c r="B341" t="s">
        <v>8733</v>
      </c>
      <c r="C341" t="s">
        <v>5043</v>
      </c>
    </row>
    <row r="342" spans="1:3" ht="15" x14ac:dyDescent="0.25">
      <c r="A342">
        <v>7990</v>
      </c>
      <c r="B342" t="s">
        <v>8734</v>
      </c>
      <c r="C342" t="s">
        <v>5043</v>
      </c>
    </row>
    <row r="343" spans="1:3" ht="15" x14ac:dyDescent="0.25">
      <c r="A343">
        <v>11679</v>
      </c>
      <c r="B343" t="s">
        <v>8736</v>
      </c>
      <c r="C343" t="s">
        <v>5043</v>
      </c>
    </row>
    <row r="344" spans="1:3" ht="15" x14ac:dyDescent="0.25">
      <c r="A344">
        <v>10343</v>
      </c>
      <c r="B344" t="s">
        <v>8737</v>
      </c>
      <c r="C344" t="s">
        <v>5043</v>
      </c>
    </row>
    <row r="345" spans="1:3" ht="15" x14ac:dyDescent="0.25">
      <c r="A345">
        <v>6402</v>
      </c>
      <c r="B345" t="s">
        <v>8739</v>
      </c>
      <c r="C345" t="s">
        <v>5043</v>
      </c>
    </row>
    <row r="346" spans="1:3" ht="15" x14ac:dyDescent="0.25">
      <c r="A346">
        <v>10192</v>
      </c>
      <c r="B346" t="s">
        <v>8741</v>
      </c>
      <c r="C346" t="s">
        <v>5043</v>
      </c>
    </row>
    <row r="347" spans="1:3" ht="15" x14ac:dyDescent="0.25">
      <c r="A347">
        <v>6554</v>
      </c>
      <c r="B347" t="s">
        <v>8741</v>
      </c>
      <c r="C347" t="s">
        <v>5043</v>
      </c>
    </row>
    <row r="348" spans="1:3" ht="15" x14ac:dyDescent="0.25">
      <c r="A348">
        <v>10280</v>
      </c>
      <c r="B348" t="s">
        <v>8742</v>
      </c>
      <c r="C348" t="s">
        <v>5043</v>
      </c>
    </row>
    <row r="349" spans="1:3" ht="15" x14ac:dyDescent="0.25">
      <c r="A349">
        <v>11217</v>
      </c>
      <c r="B349" t="s">
        <v>8742</v>
      </c>
      <c r="C349" t="s">
        <v>5043</v>
      </c>
    </row>
    <row r="350" spans="1:3" ht="15" x14ac:dyDescent="0.25">
      <c r="A350">
        <v>8986</v>
      </c>
      <c r="B350" t="s">
        <v>8742</v>
      </c>
      <c r="C350" t="s">
        <v>5043</v>
      </c>
    </row>
    <row r="351" spans="1:3" ht="15" x14ac:dyDescent="0.25">
      <c r="A351">
        <v>9169</v>
      </c>
      <c r="B351" t="s">
        <v>8742</v>
      </c>
      <c r="C351" t="s">
        <v>5043</v>
      </c>
    </row>
    <row r="352" spans="1:3" ht="15" x14ac:dyDescent="0.25">
      <c r="A352">
        <v>9241</v>
      </c>
      <c r="B352" t="s">
        <v>8742</v>
      </c>
      <c r="C352" t="s">
        <v>5043</v>
      </c>
    </row>
    <row r="353" spans="1:3" ht="15" x14ac:dyDescent="0.25">
      <c r="A353">
        <v>7740</v>
      </c>
      <c r="B353" t="s">
        <v>8743</v>
      </c>
      <c r="C353" t="s">
        <v>5043</v>
      </c>
    </row>
    <row r="354" spans="1:3" ht="15" x14ac:dyDescent="0.25">
      <c r="A354">
        <v>8948</v>
      </c>
      <c r="B354" t="s">
        <v>8743</v>
      </c>
      <c r="C354" t="s">
        <v>5043</v>
      </c>
    </row>
    <row r="355" spans="1:3" ht="15" x14ac:dyDescent="0.25">
      <c r="A355">
        <v>7491</v>
      </c>
      <c r="B355" t="s">
        <v>8744</v>
      </c>
      <c r="C355" t="s">
        <v>5043</v>
      </c>
    </row>
    <row r="356" spans="1:3" ht="15" x14ac:dyDescent="0.25">
      <c r="A356">
        <v>8527</v>
      </c>
      <c r="B356" t="s">
        <v>8744</v>
      </c>
      <c r="C356" t="s">
        <v>5043</v>
      </c>
    </row>
    <row r="357" spans="1:3" ht="15" x14ac:dyDescent="0.25">
      <c r="A357">
        <v>7495</v>
      </c>
      <c r="B357" t="s">
        <v>8745</v>
      </c>
      <c r="C357" t="s">
        <v>5043</v>
      </c>
    </row>
    <row r="358" spans="1:3" ht="15" x14ac:dyDescent="0.25">
      <c r="A358">
        <v>6734</v>
      </c>
      <c r="B358" t="s">
        <v>8746</v>
      </c>
      <c r="C358" t="s">
        <v>5043</v>
      </c>
    </row>
    <row r="359" spans="1:3" ht="15" x14ac:dyDescent="0.25">
      <c r="A359">
        <v>8669</v>
      </c>
      <c r="B359" t="s">
        <v>8746</v>
      </c>
      <c r="C359" t="s">
        <v>5043</v>
      </c>
    </row>
    <row r="360" spans="1:3" ht="15" x14ac:dyDescent="0.25">
      <c r="A360">
        <v>8139</v>
      </c>
      <c r="B360" t="s">
        <v>8747</v>
      </c>
      <c r="C360" t="s">
        <v>5043</v>
      </c>
    </row>
    <row r="361" spans="1:3" ht="15" x14ac:dyDescent="0.25">
      <c r="A361">
        <v>12341</v>
      </c>
      <c r="B361" t="s">
        <v>8748</v>
      </c>
      <c r="C361" t="s">
        <v>5043</v>
      </c>
    </row>
    <row r="362" spans="1:3" ht="15" x14ac:dyDescent="0.25">
      <c r="A362">
        <v>7719</v>
      </c>
      <c r="B362" t="s">
        <v>10206</v>
      </c>
      <c r="C362" t="s">
        <v>5043</v>
      </c>
    </row>
    <row r="363" spans="1:3" ht="15" x14ac:dyDescent="0.25">
      <c r="A363">
        <v>8074</v>
      </c>
      <c r="B363" t="s">
        <v>10206</v>
      </c>
      <c r="C363" t="s">
        <v>5043</v>
      </c>
    </row>
    <row r="364" spans="1:3" ht="15" x14ac:dyDescent="0.25">
      <c r="A364">
        <v>6682</v>
      </c>
      <c r="B364" t="s">
        <v>8752</v>
      </c>
      <c r="C364" t="s">
        <v>5043</v>
      </c>
    </row>
    <row r="365" spans="1:3" ht="15" x14ac:dyDescent="0.25">
      <c r="A365">
        <v>10485</v>
      </c>
      <c r="B365" t="s">
        <v>8754</v>
      </c>
      <c r="C365" t="s">
        <v>5043</v>
      </c>
    </row>
    <row r="366" spans="1:3" ht="15" x14ac:dyDescent="0.25">
      <c r="A366">
        <v>11166</v>
      </c>
      <c r="B366" t="s">
        <v>8761</v>
      </c>
      <c r="C366" t="s">
        <v>5043</v>
      </c>
    </row>
    <row r="367" spans="1:3" ht="15" x14ac:dyDescent="0.25">
      <c r="A367">
        <v>10662</v>
      </c>
      <c r="B367" t="s">
        <v>10229</v>
      </c>
      <c r="C367" t="s">
        <v>5043</v>
      </c>
    </row>
    <row r="368" spans="1:3" ht="15" x14ac:dyDescent="0.25">
      <c r="A368">
        <v>7172</v>
      </c>
      <c r="B368" t="s">
        <v>10230</v>
      </c>
      <c r="C368" t="s">
        <v>5043</v>
      </c>
    </row>
    <row r="369" spans="1:3" ht="15" x14ac:dyDescent="0.25">
      <c r="A369">
        <v>10050</v>
      </c>
      <c r="B369" t="s">
        <v>10234</v>
      </c>
      <c r="C369" t="s">
        <v>5043</v>
      </c>
    </row>
    <row r="370" spans="1:3" ht="15" x14ac:dyDescent="0.25">
      <c r="A370">
        <v>10941</v>
      </c>
      <c r="B370" t="s">
        <v>10234</v>
      </c>
      <c r="C370" t="s">
        <v>5043</v>
      </c>
    </row>
    <row r="371" spans="1:3" ht="15" x14ac:dyDescent="0.25">
      <c r="A371">
        <v>11254</v>
      </c>
      <c r="B371" t="s">
        <v>10234</v>
      </c>
      <c r="C371" t="s">
        <v>5043</v>
      </c>
    </row>
    <row r="372" spans="1:3" ht="15" x14ac:dyDescent="0.25">
      <c r="A372">
        <v>6730</v>
      </c>
      <c r="B372" t="s">
        <v>10234</v>
      </c>
      <c r="C372" t="s">
        <v>5043</v>
      </c>
    </row>
    <row r="373" spans="1:3" ht="15" x14ac:dyDescent="0.25">
      <c r="A373">
        <v>7584</v>
      </c>
      <c r="B373" t="s">
        <v>10234</v>
      </c>
      <c r="C373" t="s">
        <v>5043</v>
      </c>
    </row>
    <row r="374" spans="1:3" ht="15" x14ac:dyDescent="0.25">
      <c r="A374">
        <v>7875</v>
      </c>
      <c r="B374" t="s">
        <v>10234</v>
      </c>
      <c r="C374" t="s">
        <v>5043</v>
      </c>
    </row>
    <row r="375" spans="1:3" ht="15" x14ac:dyDescent="0.25">
      <c r="A375">
        <v>8236</v>
      </c>
      <c r="B375" t="s">
        <v>10234</v>
      </c>
      <c r="C375" t="s">
        <v>5043</v>
      </c>
    </row>
    <row r="376" spans="1:3" ht="15" x14ac:dyDescent="0.25">
      <c r="A376">
        <v>10117</v>
      </c>
      <c r="B376" t="s">
        <v>10241</v>
      </c>
      <c r="C376" t="s">
        <v>5043</v>
      </c>
    </row>
    <row r="377" spans="1:3" ht="15" x14ac:dyDescent="0.25">
      <c r="A377">
        <v>7397</v>
      </c>
      <c r="B377" t="s">
        <v>10241</v>
      </c>
      <c r="C377" t="s">
        <v>5043</v>
      </c>
    </row>
    <row r="378" spans="1:3" ht="15" x14ac:dyDescent="0.25">
      <c r="A378">
        <v>6855</v>
      </c>
      <c r="B378" t="s">
        <v>10243</v>
      </c>
      <c r="C378" t="s">
        <v>5043</v>
      </c>
    </row>
    <row r="379" spans="1:3" ht="15" x14ac:dyDescent="0.25">
      <c r="A379">
        <v>8735</v>
      </c>
      <c r="B379" t="s">
        <v>10243</v>
      </c>
      <c r="C379" t="s">
        <v>5043</v>
      </c>
    </row>
    <row r="380" spans="1:3" ht="15" x14ac:dyDescent="0.25">
      <c r="A380">
        <v>10534</v>
      </c>
      <c r="B380" t="s">
        <v>10245</v>
      </c>
      <c r="C380" t="s">
        <v>5043</v>
      </c>
    </row>
    <row r="381" spans="1:3" ht="15" x14ac:dyDescent="0.25">
      <c r="A381">
        <v>7674</v>
      </c>
      <c r="B381" t="s">
        <v>10245</v>
      </c>
      <c r="C381" t="s">
        <v>5043</v>
      </c>
    </row>
    <row r="382" spans="1:3" ht="15" x14ac:dyDescent="0.25">
      <c r="A382">
        <v>9185</v>
      </c>
      <c r="B382" t="s">
        <v>9563</v>
      </c>
      <c r="C382" t="s">
        <v>5043</v>
      </c>
    </row>
    <row r="383" spans="1:3" ht="15" x14ac:dyDescent="0.25">
      <c r="A383">
        <v>11456</v>
      </c>
      <c r="B383" t="s">
        <v>8764</v>
      </c>
      <c r="C383" t="s">
        <v>5043</v>
      </c>
    </row>
    <row r="384" spans="1:3" ht="15" x14ac:dyDescent="0.25">
      <c r="A384">
        <v>7449</v>
      </c>
      <c r="B384" t="s">
        <v>8764</v>
      </c>
      <c r="C384" t="s">
        <v>5043</v>
      </c>
    </row>
    <row r="385" spans="1:3" ht="15" x14ac:dyDescent="0.25">
      <c r="A385">
        <v>7560</v>
      </c>
      <c r="B385" t="s">
        <v>8764</v>
      </c>
      <c r="C385" t="s">
        <v>5043</v>
      </c>
    </row>
    <row r="386" spans="1:3" ht="15" x14ac:dyDescent="0.25">
      <c r="A386">
        <v>7830</v>
      </c>
      <c r="B386" t="s">
        <v>8764</v>
      </c>
      <c r="C386" t="s">
        <v>5043</v>
      </c>
    </row>
    <row r="387" spans="1:3" ht="15" x14ac:dyDescent="0.25">
      <c r="A387">
        <v>8297</v>
      </c>
      <c r="B387" t="s">
        <v>8764</v>
      </c>
      <c r="C387" t="s">
        <v>5043</v>
      </c>
    </row>
    <row r="388" spans="1:3" ht="15" x14ac:dyDescent="0.25">
      <c r="A388">
        <v>8398</v>
      </c>
      <c r="B388" t="s">
        <v>8764</v>
      </c>
      <c r="C388" t="s">
        <v>5043</v>
      </c>
    </row>
    <row r="389" spans="1:3" ht="15" x14ac:dyDescent="0.25">
      <c r="A389">
        <v>8481</v>
      </c>
      <c r="B389" t="s">
        <v>8764</v>
      </c>
      <c r="C389" t="s">
        <v>5043</v>
      </c>
    </row>
    <row r="390" spans="1:3" ht="15" x14ac:dyDescent="0.25">
      <c r="A390">
        <v>8692</v>
      </c>
      <c r="B390" t="s">
        <v>8764</v>
      </c>
      <c r="C390" t="s">
        <v>5043</v>
      </c>
    </row>
    <row r="391" spans="1:3" ht="15" x14ac:dyDescent="0.25">
      <c r="A391">
        <v>9067</v>
      </c>
      <c r="B391" t="s">
        <v>8764</v>
      </c>
      <c r="C391" t="s">
        <v>5043</v>
      </c>
    </row>
    <row r="392" spans="1:3" ht="15" x14ac:dyDescent="0.25">
      <c r="A392">
        <v>8460</v>
      </c>
      <c r="B392" t="s">
        <v>10259</v>
      </c>
      <c r="C392" t="s">
        <v>5043</v>
      </c>
    </row>
    <row r="393" spans="1:3" ht="15" x14ac:dyDescent="0.25">
      <c r="A393">
        <v>8595</v>
      </c>
      <c r="B393" t="s">
        <v>10266</v>
      </c>
      <c r="C393" t="s">
        <v>5043</v>
      </c>
    </row>
    <row r="394" spans="1:3" ht="15" x14ac:dyDescent="0.25">
      <c r="A394">
        <v>8176</v>
      </c>
      <c r="B394" t="s">
        <v>10267</v>
      </c>
      <c r="C394" t="s">
        <v>5043</v>
      </c>
    </row>
    <row r="395" spans="1:3" ht="15" x14ac:dyDescent="0.25">
      <c r="A395">
        <v>6801</v>
      </c>
      <c r="B395" t="s">
        <v>10285</v>
      </c>
      <c r="C395" t="s">
        <v>5043</v>
      </c>
    </row>
    <row r="396" spans="1:3" ht="15" x14ac:dyDescent="0.25">
      <c r="A396">
        <v>9525</v>
      </c>
      <c r="B396" t="s">
        <v>10285</v>
      </c>
      <c r="C396" t="s">
        <v>5043</v>
      </c>
    </row>
    <row r="397" spans="1:3" ht="15" x14ac:dyDescent="0.25">
      <c r="A397">
        <v>10445</v>
      </c>
      <c r="B397" t="s">
        <v>10289</v>
      </c>
      <c r="C397" t="s">
        <v>5043</v>
      </c>
    </row>
    <row r="398" spans="1:3" ht="15" x14ac:dyDescent="0.25">
      <c r="A398">
        <v>11110</v>
      </c>
      <c r="B398" t="s">
        <v>8769</v>
      </c>
      <c r="C398" t="s">
        <v>5043</v>
      </c>
    </row>
    <row r="399" spans="1:3" ht="15" x14ac:dyDescent="0.25">
      <c r="A399">
        <v>8186</v>
      </c>
      <c r="B399" t="s">
        <v>8769</v>
      </c>
      <c r="C399" t="s">
        <v>5043</v>
      </c>
    </row>
    <row r="400" spans="1:3" ht="15" x14ac:dyDescent="0.25">
      <c r="A400">
        <v>10962</v>
      </c>
      <c r="B400" t="s">
        <v>10291</v>
      </c>
      <c r="C400" t="s">
        <v>5043</v>
      </c>
    </row>
    <row r="401" spans="1:3" ht="15" x14ac:dyDescent="0.25">
      <c r="A401">
        <v>12679</v>
      </c>
      <c r="B401" t="s">
        <v>11564</v>
      </c>
      <c r="C401" t="s">
        <v>5043</v>
      </c>
    </row>
    <row r="402" spans="1:3" ht="15" x14ac:dyDescent="0.25">
      <c r="A402">
        <v>6994</v>
      </c>
      <c r="B402" t="s">
        <v>8774</v>
      </c>
      <c r="C402" t="s">
        <v>5043</v>
      </c>
    </row>
    <row r="403" spans="1:3" ht="15" x14ac:dyDescent="0.25">
      <c r="A403">
        <v>11499</v>
      </c>
      <c r="B403" t="s">
        <v>8775</v>
      </c>
      <c r="C403" t="s">
        <v>5043</v>
      </c>
    </row>
    <row r="404" spans="1:3" ht="15" x14ac:dyDescent="0.25">
      <c r="A404">
        <v>7758</v>
      </c>
      <c r="B404" t="s">
        <v>8775</v>
      </c>
      <c r="C404" t="s">
        <v>5043</v>
      </c>
    </row>
    <row r="405" spans="1:3" ht="15" x14ac:dyDescent="0.25">
      <c r="A405">
        <v>8447</v>
      </c>
      <c r="B405" t="s">
        <v>10296</v>
      </c>
      <c r="C405" t="s">
        <v>5043</v>
      </c>
    </row>
    <row r="406" spans="1:3" ht="15" x14ac:dyDescent="0.25">
      <c r="A406">
        <v>6713</v>
      </c>
      <c r="B406" t="s">
        <v>8777</v>
      </c>
      <c r="C406" t="s">
        <v>5043</v>
      </c>
    </row>
    <row r="407" spans="1:3" ht="15" x14ac:dyDescent="0.25">
      <c r="A407">
        <v>6916</v>
      </c>
      <c r="B407" t="s">
        <v>8777</v>
      </c>
      <c r="C407" t="s">
        <v>5043</v>
      </c>
    </row>
    <row r="408" spans="1:3" ht="15" x14ac:dyDescent="0.25">
      <c r="A408">
        <v>7541</v>
      </c>
      <c r="B408" t="s">
        <v>8778</v>
      </c>
      <c r="C408" t="s">
        <v>5043</v>
      </c>
    </row>
    <row r="409" spans="1:3" ht="15" x14ac:dyDescent="0.25">
      <c r="A409">
        <v>7670</v>
      </c>
      <c r="B409" t="s">
        <v>10298</v>
      </c>
      <c r="C409" t="s">
        <v>5043</v>
      </c>
    </row>
    <row r="410" spans="1:3" ht="15" x14ac:dyDescent="0.25">
      <c r="A410">
        <v>8287</v>
      </c>
      <c r="B410" t="s">
        <v>10299</v>
      </c>
      <c r="C410" t="s">
        <v>5043</v>
      </c>
    </row>
    <row r="411" spans="1:3" ht="15" x14ac:dyDescent="0.25">
      <c r="A411">
        <v>10790</v>
      </c>
      <c r="B411" t="s">
        <v>10302</v>
      </c>
      <c r="C411" t="s">
        <v>5043</v>
      </c>
    </row>
    <row r="412" spans="1:3" ht="15" x14ac:dyDescent="0.25">
      <c r="A412">
        <v>10618</v>
      </c>
      <c r="B412" t="s">
        <v>8780</v>
      </c>
      <c r="C412" t="s">
        <v>5043</v>
      </c>
    </row>
    <row r="413" spans="1:3" ht="15" x14ac:dyDescent="0.25">
      <c r="A413">
        <v>7430</v>
      </c>
      <c r="B413" t="s">
        <v>8781</v>
      </c>
      <c r="C413" t="s">
        <v>5043</v>
      </c>
    </row>
    <row r="414" spans="1:3" ht="15" x14ac:dyDescent="0.25">
      <c r="A414">
        <v>7706</v>
      </c>
      <c r="B414" t="s">
        <v>8782</v>
      </c>
      <c r="C414" t="s">
        <v>5043</v>
      </c>
    </row>
    <row r="415" spans="1:3" ht="15" x14ac:dyDescent="0.25">
      <c r="A415">
        <v>8247</v>
      </c>
      <c r="B415" t="s">
        <v>8783</v>
      </c>
      <c r="C415" t="s">
        <v>5043</v>
      </c>
    </row>
    <row r="416" spans="1:3" ht="15" x14ac:dyDescent="0.25">
      <c r="A416">
        <v>11520</v>
      </c>
      <c r="B416" t="s">
        <v>8787</v>
      </c>
      <c r="C416" t="s">
        <v>5043</v>
      </c>
    </row>
    <row r="417" spans="1:3" ht="15" x14ac:dyDescent="0.25">
      <c r="A417">
        <v>6987</v>
      </c>
      <c r="B417" t="s">
        <v>10303</v>
      </c>
      <c r="C417" t="s">
        <v>5043</v>
      </c>
    </row>
    <row r="418" spans="1:3" ht="15" x14ac:dyDescent="0.25">
      <c r="A418">
        <v>10580</v>
      </c>
      <c r="B418" t="s">
        <v>10306</v>
      </c>
      <c r="C418" t="s">
        <v>5043</v>
      </c>
    </row>
    <row r="419" spans="1:3" ht="15" x14ac:dyDescent="0.25">
      <c r="A419">
        <v>8760</v>
      </c>
      <c r="B419" t="s">
        <v>8795</v>
      </c>
      <c r="C419" t="s">
        <v>5043</v>
      </c>
    </row>
    <row r="420" spans="1:3" ht="15" x14ac:dyDescent="0.25">
      <c r="A420">
        <v>10697</v>
      </c>
      <c r="B420" t="s">
        <v>8796</v>
      </c>
      <c r="C420" t="s">
        <v>5043</v>
      </c>
    </row>
    <row r="421" spans="1:3" ht="15" x14ac:dyDescent="0.25">
      <c r="A421">
        <v>12115</v>
      </c>
      <c r="B421" t="s">
        <v>11503</v>
      </c>
      <c r="C421" t="s">
        <v>5043</v>
      </c>
    </row>
    <row r="422" spans="1:3" ht="15" x14ac:dyDescent="0.25">
      <c r="A422">
        <v>12120</v>
      </c>
      <c r="B422" t="s">
        <v>11503</v>
      </c>
      <c r="C422" t="s">
        <v>5043</v>
      </c>
    </row>
    <row r="423" spans="1:3" ht="15" x14ac:dyDescent="0.25">
      <c r="A423">
        <v>12124</v>
      </c>
      <c r="B423" t="s">
        <v>11503</v>
      </c>
      <c r="C423" t="s">
        <v>5043</v>
      </c>
    </row>
    <row r="424" spans="1:3" ht="15" x14ac:dyDescent="0.25">
      <c r="A424">
        <v>12125</v>
      </c>
      <c r="B424" t="s">
        <v>11503</v>
      </c>
      <c r="C424" t="s">
        <v>5043</v>
      </c>
    </row>
    <row r="425" spans="1:3" ht="15" x14ac:dyDescent="0.25">
      <c r="A425">
        <v>10012</v>
      </c>
      <c r="B425" t="s">
        <v>8797</v>
      </c>
      <c r="C425" t="s">
        <v>5043</v>
      </c>
    </row>
    <row r="426" spans="1:3" ht="15" x14ac:dyDescent="0.25">
      <c r="A426">
        <v>7422</v>
      </c>
      <c r="B426" t="s">
        <v>8797</v>
      </c>
      <c r="C426" t="s">
        <v>5043</v>
      </c>
    </row>
    <row r="427" spans="1:3" ht="15" x14ac:dyDescent="0.25">
      <c r="A427">
        <v>10939</v>
      </c>
      <c r="B427" t="s">
        <v>8798</v>
      </c>
      <c r="C427" t="s">
        <v>5043</v>
      </c>
    </row>
    <row r="428" spans="1:3" ht="15" x14ac:dyDescent="0.25">
      <c r="A428">
        <v>11139</v>
      </c>
      <c r="B428" t="s">
        <v>8798</v>
      </c>
      <c r="C428" t="s">
        <v>5043</v>
      </c>
    </row>
    <row r="429" spans="1:3" ht="15" x14ac:dyDescent="0.25">
      <c r="A429">
        <v>8421</v>
      </c>
      <c r="B429" t="s">
        <v>8798</v>
      </c>
      <c r="C429" t="s">
        <v>5043</v>
      </c>
    </row>
    <row r="430" spans="1:3" ht="15" x14ac:dyDescent="0.25">
      <c r="A430">
        <v>8470</v>
      </c>
      <c r="B430" t="s">
        <v>8798</v>
      </c>
      <c r="C430" t="s">
        <v>5043</v>
      </c>
    </row>
    <row r="431" spans="1:3" ht="15" x14ac:dyDescent="0.25">
      <c r="A431">
        <v>8891</v>
      </c>
      <c r="B431" t="s">
        <v>8798</v>
      </c>
      <c r="C431" t="s">
        <v>5043</v>
      </c>
    </row>
    <row r="432" spans="1:3" ht="15" x14ac:dyDescent="0.25">
      <c r="A432">
        <v>9177</v>
      </c>
      <c r="B432" t="s">
        <v>8798</v>
      </c>
      <c r="C432" t="s">
        <v>5043</v>
      </c>
    </row>
    <row r="433" spans="1:3" ht="15" x14ac:dyDescent="0.25">
      <c r="A433">
        <v>9358</v>
      </c>
      <c r="B433" t="s">
        <v>8798</v>
      </c>
      <c r="C433" t="s">
        <v>5043</v>
      </c>
    </row>
    <row r="434" spans="1:3" ht="15" x14ac:dyDescent="0.25">
      <c r="A434">
        <v>10300</v>
      </c>
      <c r="B434" t="s">
        <v>8799</v>
      </c>
      <c r="C434" t="s">
        <v>5043</v>
      </c>
    </row>
    <row r="435" spans="1:3" ht="15" x14ac:dyDescent="0.25">
      <c r="A435">
        <v>10619</v>
      </c>
      <c r="B435" t="s">
        <v>8799</v>
      </c>
      <c r="C435" t="s">
        <v>5043</v>
      </c>
    </row>
    <row r="436" spans="1:3" ht="15" x14ac:dyDescent="0.25">
      <c r="A436">
        <v>10683</v>
      </c>
      <c r="B436" t="s">
        <v>8799</v>
      </c>
      <c r="C436" t="s">
        <v>5043</v>
      </c>
    </row>
    <row r="437" spans="1:3" ht="15" x14ac:dyDescent="0.25">
      <c r="A437">
        <v>11103</v>
      </c>
      <c r="B437" t="s">
        <v>8799</v>
      </c>
      <c r="C437" t="s">
        <v>5043</v>
      </c>
    </row>
    <row r="438" spans="1:3" ht="15" x14ac:dyDescent="0.25">
      <c r="A438">
        <v>11287</v>
      </c>
      <c r="B438" t="s">
        <v>8799</v>
      </c>
      <c r="C438" t="s">
        <v>5043</v>
      </c>
    </row>
    <row r="439" spans="1:3" ht="15" x14ac:dyDescent="0.25">
      <c r="A439">
        <v>11473</v>
      </c>
      <c r="B439" t="s">
        <v>8799</v>
      </c>
      <c r="C439" t="s">
        <v>5043</v>
      </c>
    </row>
    <row r="440" spans="1:3" ht="15" x14ac:dyDescent="0.25">
      <c r="A440">
        <v>6886</v>
      </c>
      <c r="B440" t="s">
        <v>8799</v>
      </c>
      <c r="C440" t="s">
        <v>5043</v>
      </c>
    </row>
    <row r="441" spans="1:3" ht="15" x14ac:dyDescent="0.25">
      <c r="A441">
        <v>7673</v>
      </c>
      <c r="B441" t="s">
        <v>8799</v>
      </c>
      <c r="C441" t="s">
        <v>5043</v>
      </c>
    </row>
    <row r="442" spans="1:3" ht="15" x14ac:dyDescent="0.25">
      <c r="A442">
        <v>9258</v>
      </c>
      <c r="B442" t="s">
        <v>8799</v>
      </c>
      <c r="C442" t="s">
        <v>5043</v>
      </c>
    </row>
    <row r="443" spans="1:3" ht="15" x14ac:dyDescent="0.25">
      <c r="A443">
        <v>9433</v>
      </c>
      <c r="B443" t="s">
        <v>8799</v>
      </c>
      <c r="C443" t="s">
        <v>5043</v>
      </c>
    </row>
    <row r="444" spans="1:3" ht="15" x14ac:dyDescent="0.25">
      <c r="A444">
        <v>9869</v>
      </c>
      <c r="B444" t="s">
        <v>8799</v>
      </c>
      <c r="C444" t="s">
        <v>5043</v>
      </c>
    </row>
    <row r="445" spans="1:3" ht="15" x14ac:dyDescent="0.25">
      <c r="A445">
        <v>11567</v>
      </c>
      <c r="B445" t="s">
        <v>8808</v>
      </c>
      <c r="C445" t="s">
        <v>5043</v>
      </c>
    </row>
    <row r="446" spans="1:3" ht="15" x14ac:dyDescent="0.25">
      <c r="A446">
        <v>7221</v>
      </c>
      <c r="B446" t="s">
        <v>8808</v>
      </c>
      <c r="C446" t="s">
        <v>5043</v>
      </c>
    </row>
    <row r="447" spans="1:3" ht="15" x14ac:dyDescent="0.25">
      <c r="A447">
        <v>9306</v>
      </c>
      <c r="B447" t="s">
        <v>10330</v>
      </c>
      <c r="C447" t="s">
        <v>5043</v>
      </c>
    </row>
    <row r="448" spans="1:3" ht="15" x14ac:dyDescent="0.25">
      <c r="A448">
        <v>10601</v>
      </c>
      <c r="B448" t="s">
        <v>8813</v>
      </c>
      <c r="C448" t="s">
        <v>5043</v>
      </c>
    </row>
    <row r="449" spans="1:3" ht="15" x14ac:dyDescent="0.25">
      <c r="A449">
        <v>8080</v>
      </c>
      <c r="B449" t="s">
        <v>10333</v>
      </c>
      <c r="C449" t="s">
        <v>5043</v>
      </c>
    </row>
    <row r="450" spans="1:3" ht="15" x14ac:dyDescent="0.25">
      <c r="A450">
        <v>7822</v>
      </c>
      <c r="B450" t="s">
        <v>10335</v>
      </c>
      <c r="C450" t="s">
        <v>5043</v>
      </c>
    </row>
    <row r="451" spans="1:3" ht="15" x14ac:dyDescent="0.25">
      <c r="A451">
        <v>11641</v>
      </c>
      <c r="B451" t="s">
        <v>10337</v>
      </c>
      <c r="C451" t="s">
        <v>5043</v>
      </c>
    </row>
    <row r="452" spans="1:3" ht="15" x14ac:dyDescent="0.25">
      <c r="A452">
        <v>8171</v>
      </c>
      <c r="B452" t="s">
        <v>10337</v>
      </c>
      <c r="C452" t="s">
        <v>5043</v>
      </c>
    </row>
    <row r="453" spans="1:3" ht="15" x14ac:dyDescent="0.25">
      <c r="A453">
        <v>9825</v>
      </c>
      <c r="B453" t="s">
        <v>10337</v>
      </c>
      <c r="C453" t="s">
        <v>5043</v>
      </c>
    </row>
    <row r="454" spans="1:3" ht="15" x14ac:dyDescent="0.25">
      <c r="A454">
        <v>9902</v>
      </c>
      <c r="B454" t="s">
        <v>10337</v>
      </c>
      <c r="C454" t="s">
        <v>5043</v>
      </c>
    </row>
    <row r="455" spans="1:3" ht="15" x14ac:dyDescent="0.25">
      <c r="A455">
        <v>10509</v>
      </c>
      <c r="B455" t="s">
        <v>10338</v>
      </c>
      <c r="C455" t="s">
        <v>5043</v>
      </c>
    </row>
    <row r="456" spans="1:3" ht="15" x14ac:dyDescent="0.25">
      <c r="A456">
        <v>11610</v>
      </c>
      <c r="B456" t="s">
        <v>10338</v>
      </c>
      <c r="C456" t="s">
        <v>5043</v>
      </c>
    </row>
    <row r="457" spans="1:3" ht="15" x14ac:dyDescent="0.25">
      <c r="A457">
        <v>7680</v>
      </c>
      <c r="B457" t="s">
        <v>10338</v>
      </c>
      <c r="C457" t="s">
        <v>5043</v>
      </c>
    </row>
    <row r="458" spans="1:3" ht="15" x14ac:dyDescent="0.25">
      <c r="A458">
        <v>8672</v>
      </c>
      <c r="B458" t="s">
        <v>10338</v>
      </c>
      <c r="C458" t="s">
        <v>5043</v>
      </c>
    </row>
    <row r="459" spans="1:3" ht="15" x14ac:dyDescent="0.25">
      <c r="A459">
        <v>9473</v>
      </c>
      <c r="B459" t="s">
        <v>10338</v>
      </c>
      <c r="C459" t="s">
        <v>5043</v>
      </c>
    </row>
    <row r="460" spans="1:3" ht="15" x14ac:dyDescent="0.25">
      <c r="A460">
        <v>10384</v>
      </c>
      <c r="B460" t="s">
        <v>10339</v>
      </c>
      <c r="C460" t="s">
        <v>5043</v>
      </c>
    </row>
    <row r="461" spans="1:3" ht="15" x14ac:dyDescent="0.25">
      <c r="A461">
        <v>10695</v>
      </c>
      <c r="B461" t="s">
        <v>10339</v>
      </c>
      <c r="C461" t="s">
        <v>5043</v>
      </c>
    </row>
    <row r="462" spans="1:3" ht="15" x14ac:dyDescent="0.25">
      <c r="A462">
        <v>9636</v>
      </c>
      <c r="B462" t="s">
        <v>10339</v>
      </c>
      <c r="C462" t="s">
        <v>5043</v>
      </c>
    </row>
    <row r="463" spans="1:3" ht="15" x14ac:dyDescent="0.25">
      <c r="A463">
        <v>8761</v>
      </c>
      <c r="B463" t="s">
        <v>10341</v>
      </c>
      <c r="C463" t="s">
        <v>5043</v>
      </c>
    </row>
    <row r="464" spans="1:3" ht="15" x14ac:dyDescent="0.25">
      <c r="A464">
        <v>11379</v>
      </c>
      <c r="B464" t="s">
        <v>10348</v>
      </c>
      <c r="C464" t="s">
        <v>5043</v>
      </c>
    </row>
    <row r="465" spans="1:3" ht="15" x14ac:dyDescent="0.25">
      <c r="A465">
        <v>9504</v>
      </c>
      <c r="B465" t="s">
        <v>10359</v>
      </c>
      <c r="C465" t="s">
        <v>5043</v>
      </c>
    </row>
    <row r="466" spans="1:3" ht="15" x14ac:dyDescent="0.25">
      <c r="A466">
        <v>9077</v>
      </c>
      <c r="B466" t="s">
        <v>10360</v>
      </c>
      <c r="C466" t="s">
        <v>5043</v>
      </c>
    </row>
    <row r="467" spans="1:3" ht="15" x14ac:dyDescent="0.25">
      <c r="A467">
        <v>7526</v>
      </c>
      <c r="B467" t="s">
        <v>10374</v>
      </c>
      <c r="C467" t="s">
        <v>5043</v>
      </c>
    </row>
    <row r="468" spans="1:3" ht="15" x14ac:dyDescent="0.25">
      <c r="A468">
        <v>9517</v>
      </c>
      <c r="B468" t="s">
        <v>10380</v>
      </c>
      <c r="C468" t="s">
        <v>5043</v>
      </c>
    </row>
    <row r="469" spans="1:3" ht="15" x14ac:dyDescent="0.25">
      <c r="A469">
        <v>6675</v>
      </c>
      <c r="B469" t="s">
        <v>10404</v>
      </c>
      <c r="C469" t="s">
        <v>5043</v>
      </c>
    </row>
    <row r="470" spans="1:3" ht="15" x14ac:dyDescent="0.25">
      <c r="A470">
        <v>8372</v>
      </c>
      <c r="B470" t="s">
        <v>10418</v>
      </c>
      <c r="C470" t="s">
        <v>5043</v>
      </c>
    </row>
    <row r="471" spans="1:3" ht="15" x14ac:dyDescent="0.25">
      <c r="A471">
        <v>7255</v>
      </c>
      <c r="B471" t="s">
        <v>10432</v>
      </c>
      <c r="C471" t="s">
        <v>5043</v>
      </c>
    </row>
    <row r="472" spans="1:3" ht="15" x14ac:dyDescent="0.25">
      <c r="A472">
        <v>7853</v>
      </c>
      <c r="B472" t="s">
        <v>10432</v>
      </c>
      <c r="C472" t="s">
        <v>5043</v>
      </c>
    </row>
    <row r="473" spans="1:3" ht="15" x14ac:dyDescent="0.25">
      <c r="A473">
        <v>9655</v>
      </c>
      <c r="B473" t="s">
        <v>10432</v>
      </c>
      <c r="C473" t="s">
        <v>5043</v>
      </c>
    </row>
    <row r="474" spans="1:3" ht="15" x14ac:dyDescent="0.25">
      <c r="A474">
        <v>11492</v>
      </c>
      <c r="B474" t="s">
        <v>10438</v>
      </c>
      <c r="C474" t="s">
        <v>5043</v>
      </c>
    </row>
    <row r="475" spans="1:3" ht="15" x14ac:dyDescent="0.25">
      <c r="A475">
        <v>7252</v>
      </c>
      <c r="B475" t="s">
        <v>10438</v>
      </c>
      <c r="C475" t="s">
        <v>5043</v>
      </c>
    </row>
    <row r="476" spans="1:3" ht="15" x14ac:dyDescent="0.25">
      <c r="A476">
        <v>11080</v>
      </c>
      <c r="B476" t="s">
        <v>10439</v>
      </c>
      <c r="C476" t="s">
        <v>5043</v>
      </c>
    </row>
    <row r="477" spans="1:3" ht="15" x14ac:dyDescent="0.25">
      <c r="A477">
        <v>11636</v>
      </c>
      <c r="B477" t="s">
        <v>10440</v>
      </c>
      <c r="C477" t="s">
        <v>5043</v>
      </c>
    </row>
    <row r="478" spans="1:3" ht="15" x14ac:dyDescent="0.25">
      <c r="A478">
        <v>11637</v>
      </c>
      <c r="B478" t="s">
        <v>10440</v>
      </c>
      <c r="C478" t="s">
        <v>5043</v>
      </c>
    </row>
    <row r="479" spans="1:3" ht="15" x14ac:dyDescent="0.25">
      <c r="A479">
        <v>7137</v>
      </c>
      <c r="B479" t="s">
        <v>10440</v>
      </c>
      <c r="C479" t="s">
        <v>5043</v>
      </c>
    </row>
    <row r="480" spans="1:3" ht="15" x14ac:dyDescent="0.25">
      <c r="A480">
        <v>11579</v>
      </c>
      <c r="B480" t="s">
        <v>10442</v>
      </c>
      <c r="C480" t="s">
        <v>5043</v>
      </c>
    </row>
    <row r="481" spans="1:3" ht="15" x14ac:dyDescent="0.25">
      <c r="A481">
        <v>7325</v>
      </c>
      <c r="B481" t="s">
        <v>10442</v>
      </c>
      <c r="C481" t="s">
        <v>5043</v>
      </c>
    </row>
    <row r="482" spans="1:3" ht="15" x14ac:dyDescent="0.25">
      <c r="A482">
        <v>8235</v>
      </c>
      <c r="B482" t="s">
        <v>10442</v>
      </c>
      <c r="C482" t="s">
        <v>5043</v>
      </c>
    </row>
    <row r="483" spans="1:3" ht="15" x14ac:dyDescent="0.25">
      <c r="A483">
        <v>9568</v>
      </c>
      <c r="B483" t="s">
        <v>10442</v>
      </c>
      <c r="C483" t="s">
        <v>5043</v>
      </c>
    </row>
    <row r="484" spans="1:3" ht="15" x14ac:dyDescent="0.25">
      <c r="A484">
        <v>10251</v>
      </c>
      <c r="B484" t="s">
        <v>10443</v>
      </c>
      <c r="C484" t="s">
        <v>5043</v>
      </c>
    </row>
    <row r="485" spans="1:3" ht="15" x14ac:dyDescent="0.25">
      <c r="A485">
        <v>11437</v>
      </c>
      <c r="B485" t="s">
        <v>10443</v>
      </c>
      <c r="C485" t="s">
        <v>5043</v>
      </c>
    </row>
    <row r="486" spans="1:3" ht="15" x14ac:dyDescent="0.25">
      <c r="A486">
        <v>11594</v>
      </c>
      <c r="B486" t="s">
        <v>10443</v>
      </c>
      <c r="C486" t="s">
        <v>5043</v>
      </c>
    </row>
    <row r="487" spans="1:3" ht="15" x14ac:dyDescent="0.25">
      <c r="A487">
        <v>6576</v>
      </c>
      <c r="B487" t="s">
        <v>10444</v>
      </c>
      <c r="C487" t="s">
        <v>5043</v>
      </c>
    </row>
    <row r="488" spans="1:3" ht="15" x14ac:dyDescent="0.25">
      <c r="A488">
        <v>7991</v>
      </c>
      <c r="B488" t="s">
        <v>10447</v>
      </c>
      <c r="C488" t="s">
        <v>5043</v>
      </c>
    </row>
    <row r="489" spans="1:3" ht="15" x14ac:dyDescent="0.25">
      <c r="A489">
        <v>8338</v>
      </c>
      <c r="B489" t="s">
        <v>10447</v>
      </c>
      <c r="C489" t="s">
        <v>5043</v>
      </c>
    </row>
    <row r="490" spans="1:3" ht="15" x14ac:dyDescent="0.25">
      <c r="A490">
        <v>10856</v>
      </c>
      <c r="B490" t="s">
        <v>10460</v>
      </c>
      <c r="C490" t="s">
        <v>5043</v>
      </c>
    </row>
    <row r="491" spans="1:3" ht="15" x14ac:dyDescent="0.25">
      <c r="A491">
        <v>11635</v>
      </c>
      <c r="B491" t="s">
        <v>10460</v>
      </c>
      <c r="C491" t="s">
        <v>5043</v>
      </c>
    </row>
    <row r="492" spans="1:3" ht="15" x14ac:dyDescent="0.25">
      <c r="A492">
        <v>8774</v>
      </c>
      <c r="B492" t="s">
        <v>10460</v>
      </c>
      <c r="C492" t="s">
        <v>5043</v>
      </c>
    </row>
    <row r="493" spans="1:3" ht="15" x14ac:dyDescent="0.25">
      <c r="A493">
        <v>10363</v>
      </c>
      <c r="B493" t="s">
        <v>10463</v>
      </c>
      <c r="C493" t="s">
        <v>5043</v>
      </c>
    </row>
    <row r="494" spans="1:3" ht="15" x14ac:dyDescent="0.25">
      <c r="A494">
        <v>11543</v>
      </c>
      <c r="B494" t="s">
        <v>10463</v>
      </c>
      <c r="C494" t="s">
        <v>5043</v>
      </c>
    </row>
    <row r="495" spans="1:3" ht="15" x14ac:dyDescent="0.25">
      <c r="A495">
        <v>10032</v>
      </c>
      <c r="B495" t="s">
        <v>10473</v>
      </c>
      <c r="C495" t="s">
        <v>5043</v>
      </c>
    </row>
    <row r="496" spans="1:3" ht="15" x14ac:dyDescent="0.25">
      <c r="A496">
        <v>10569</v>
      </c>
      <c r="B496" t="s">
        <v>10473</v>
      </c>
      <c r="C496" t="s">
        <v>5043</v>
      </c>
    </row>
    <row r="497" spans="1:3" ht="15" x14ac:dyDescent="0.25">
      <c r="A497">
        <v>10844</v>
      </c>
      <c r="B497" t="s">
        <v>10473</v>
      </c>
      <c r="C497" t="s">
        <v>5043</v>
      </c>
    </row>
    <row r="498" spans="1:3" ht="15" x14ac:dyDescent="0.25">
      <c r="A498">
        <v>11024</v>
      </c>
      <c r="B498" t="s">
        <v>10473</v>
      </c>
      <c r="C498" t="s">
        <v>5043</v>
      </c>
    </row>
    <row r="499" spans="1:3" ht="15" x14ac:dyDescent="0.25">
      <c r="A499">
        <v>7821</v>
      </c>
      <c r="B499" t="s">
        <v>10473</v>
      </c>
      <c r="C499" t="s">
        <v>5043</v>
      </c>
    </row>
    <row r="500" spans="1:3" ht="15" x14ac:dyDescent="0.25">
      <c r="A500">
        <v>9220</v>
      </c>
      <c r="B500" t="s">
        <v>10473</v>
      </c>
      <c r="C500" t="s">
        <v>5043</v>
      </c>
    </row>
    <row r="501" spans="1:3" ht="15" x14ac:dyDescent="0.25">
      <c r="A501">
        <v>12605</v>
      </c>
      <c r="B501" t="s">
        <v>11565</v>
      </c>
      <c r="C501" t="s">
        <v>5043</v>
      </c>
    </row>
    <row r="502" spans="1:3" ht="15" x14ac:dyDescent="0.25">
      <c r="A502">
        <v>12607</v>
      </c>
      <c r="B502" t="s">
        <v>11565</v>
      </c>
      <c r="C502" t="s">
        <v>5043</v>
      </c>
    </row>
    <row r="503" spans="1:3" ht="15" x14ac:dyDescent="0.25">
      <c r="A503">
        <v>8916</v>
      </c>
      <c r="B503" t="s">
        <v>10476</v>
      </c>
      <c r="C503" t="s">
        <v>5043</v>
      </c>
    </row>
    <row r="504" spans="1:3" ht="15" x14ac:dyDescent="0.25">
      <c r="A504">
        <v>6431</v>
      </c>
      <c r="B504" t="s">
        <v>8818</v>
      </c>
      <c r="C504" t="s">
        <v>5043</v>
      </c>
    </row>
    <row r="505" spans="1:3" ht="15" x14ac:dyDescent="0.25">
      <c r="A505">
        <v>9308</v>
      </c>
      <c r="B505" t="s">
        <v>8818</v>
      </c>
      <c r="C505" t="s">
        <v>5043</v>
      </c>
    </row>
    <row r="506" spans="1:3" ht="15" x14ac:dyDescent="0.25">
      <c r="A506">
        <v>9827</v>
      </c>
      <c r="B506" t="s">
        <v>8823</v>
      </c>
      <c r="C506" t="s">
        <v>5043</v>
      </c>
    </row>
    <row r="507" spans="1:3" ht="15" x14ac:dyDescent="0.25">
      <c r="A507">
        <v>8590</v>
      </c>
      <c r="B507" t="s">
        <v>8829</v>
      </c>
      <c r="C507" t="s">
        <v>5043</v>
      </c>
    </row>
    <row r="508" spans="1:3" ht="15" x14ac:dyDescent="0.25">
      <c r="A508">
        <v>6562</v>
      </c>
      <c r="B508" t="s">
        <v>8831</v>
      </c>
      <c r="C508" t="s">
        <v>5043</v>
      </c>
    </row>
    <row r="509" spans="1:3" ht="15" x14ac:dyDescent="0.25">
      <c r="A509">
        <v>9158</v>
      </c>
      <c r="B509" t="s">
        <v>8831</v>
      </c>
      <c r="C509" t="s">
        <v>5043</v>
      </c>
    </row>
    <row r="510" spans="1:3" ht="15" x14ac:dyDescent="0.25">
      <c r="A510">
        <v>10766</v>
      </c>
      <c r="B510" t="s">
        <v>8832</v>
      </c>
      <c r="C510" t="s">
        <v>5043</v>
      </c>
    </row>
    <row r="511" spans="1:3" ht="15" x14ac:dyDescent="0.25">
      <c r="A511">
        <v>7522</v>
      </c>
      <c r="B511" t="s">
        <v>8832</v>
      </c>
      <c r="C511" t="s">
        <v>5043</v>
      </c>
    </row>
    <row r="512" spans="1:3" ht="15" x14ac:dyDescent="0.25">
      <c r="A512">
        <v>8695</v>
      </c>
      <c r="B512" t="s">
        <v>8847</v>
      </c>
      <c r="C512" t="s">
        <v>5043</v>
      </c>
    </row>
    <row r="513" spans="1:3" ht="15" x14ac:dyDescent="0.25">
      <c r="A513">
        <v>11426</v>
      </c>
      <c r="B513" t="s">
        <v>8853</v>
      </c>
      <c r="C513" t="s">
        <v>5043</v>
      </c>
    </row>
    <row r="514" spans="1:3" ht="15" x14ac:dyDescent="0.25">
      <c r="A514">
        <v>8914</v>
      </c>
      <c r="B514" t="s">
        <v>8853</v>
      </c>
      <c r="C514" t="s">
        <v>5043</v>
      </c>
    </row>
    <row r="515" spans="1:3" ht="15" x14ac:dyDescent="0.25">
      <c r="A515">
        <v>10205</v>
      </c>
      <c r="B515" t="s">
        <v>9032</v>
      </c>
      <c r="C515" t="s">
        <v>5043</v>
      </c>
    </row>
    <row r="516" spans="1:3" ht="15" x14ac:dyDescent="0.25">
      <c r="A516">
        <v>10862</v>
      </c>
      <c r="B516" t="s">
        <v>9032</v>
      </c>
      <c r="C516" t="s">
        <v>5043</v>
      </c>
    </row>
    <row r="517" spans="1:3" ht="15" x14ac:dyDescent="0.25">
      <c r="A517">
        <v>11156</v>
      </c>
      <c r="B517" t="s">
        <v>9033</v>
      </c>
      <c r="C517" t="s">
        <v>5043</v>
      </c>
    </row>
    <row r="518" spans="1:3" ht="15" x14ac:dyDescent="0.25">
      <c r="A518">
        <v>8614</v>
      </c>
      <c r="B518" t="s">
        <v>9033</v>
      </c>
      <c r="C518" t="s">
        <v>5043</v>
      </c>
    </row>
    <row r="519" spans="1:3" ht="15" x14ac:dyDescent="0.25">
      <c r="A519">
        <v>8730</v>
      </c>
      <c r="B519" t="s">
        <v>9033</v>
      </c>
      <c r="C519" t="s">
        <v>5043</v>
      </c>
    </row>
    <row r="520" spans="1:3" ht="15" x14ac:dyDescent="0.25">
      <c r="A520">
        <v>8802</v>
      </c>
      <c r="B520" t="s">
        <v>9033</v>
      </c>
      <c r="C520" t="s">
        <v>5043</v>
      </c>
    </row>
    <row r="521" spans="1:3" ht="15" x14ac:dyDescent="0.25">
      <c r="A521">
        <v>10742</v>
      </c>
      <c r="B521" t="s">
        <v>9034</v>
      </c>
      <c r="C521" t="s">
        <v>5043</v>
      </c>
    </row>
    <row r="522" spans="1:3" ht="15" x14ac:dyDescent="0.25">
      <c r="A522">
        <v>11376</v>
      </c>
      <c r="B522" t="s">
        <v>9034</v>
      </c>
      <c r="C522" t="s">
        <v>5043</v>
      </c>
    </row>
    <row r="523" spans="1:3" ht="15" x14ac:dyDescent="0.25">
      <c r="A523">
        <v>6848</v>
      </c>
      <c r="B523" t="s">
        <v>9034</v>
      </c>
      <c r="C523" t="s">
        <v>5043</v>
      </c>
    </row>
    <row r="524" spans="1:3" ht="15" x14ac:dyDescent="0.25">
      <c r="A524">
        <v>8461</v>
      </c>
      <c r="B524" t="s">
        <v>9034</v>
      </c>
      <c r="C524" t="s">
        <v>5043</v>
      </c>
    </row>
    <row r="525" spans="1:3" ht="15" x14ac:dyDescent="0.25">
      <c r="A525">
        <v>9351</v>
      </c>
      <c r="B525" t="s">
        <v>9034</v>
      </c>
      <c r="C525" t="s">
        <v>5043</v>
      </c>
    </row>
    <row r="526" spans="1:3" ht="15" x14ac:dyDescent="0.25">
      <c r="A526">
        <v>10162</v>
      </c>
      <c r="B526" t="s">
        <v>8854</v>
      </c>
      <c r="C526" t="s">
        <v>5043</v>
      </c>
    </row>
    <row r="527" spans="1:3" ht="15" x14ac:dyDescent="0.25">
      <c r="A527">
        <v>11260</v>
      </c>
      <c r="B527" t="s">
        <v>8854</v>
      </c>
      <c r="C527" t="s">
        <v>5043</v>
      </c>
    </row>
    <row r="528" spans="1:3" ht="15" x14ac:dyDescent="0.25">
      <c r="A528">
        <v>7827</v>
      </c>
      <c r="B528" t="s">
        <v>8854</v>
      </c>
      <c r="C528" t="s">
        <v>5043</v>
      </c>
    </row>
    <row r="529" spans="1:3" ht="15" x14ac:dyDescent="0.25">
      <c r="A529">
        <v>9273</v>
      </c>
      <c r="B529" t="s">
        <v>8854</v>
      </c>
      <c r="C529" t="s">
        <v>5043</v>
      </c>
    </row>
    <row r="530" spans="1:3" ht="15" x14ac:dyDescent="0.25">
      <c r="A530">
        <v>9928</v>
      </c>
      <c r="B530" t="s">
        <v>8854</v>
      </c>
      <c r="C530" t="s">
        <v>5043</v>
      </c>
    </row>
    <row r="531" spans="1:3" ht="15" x14ac:dyDescent="0.25">
      <c r="A531">
        <v>10406</v>
      </c>
      <c r="B531" t="s">
        <v>8857</v>
      </c>
      <c r="C531" t="s">
        <v>5043</v>
      </c>
    </row>
    <row r="532" spans="1:3" ht="15" x14ac:dyDescent="0.25">
      <c r="A532">
        <v>9531</v>
      </c>
      <c r="B532" t="s">
        <v>8857</v>
      </c>
      <c r="C532" t="s">
        <v>5043</v>
      </c>
    </row>
    <row r="533" spans="1:3" ht="15" x14ac:dyDescent="0.25">
      <c r="A533">
        <v>7527</v>
      </c>
      <c r="B533" t="s">
        <v>8858</v>
      </c>
      <c r="C533" t="s">
        <v>5043</v>
      </c>
    </row>
    <row r="534" spans="1:3" ht="15" x14ac:dyDescent="0.25">
      <c r="A534">
        <v>7631</v>
      </c>
      <c r="B534" t="s">
        <v>8858</v>
      </c>
      <c r="C534" t="s">
        <v>5043</v>
      </c>
    </row>
    <row r="535" spans="1:3" ht="15" x14ac:dyDescent="0.25">
      <c r="A535">
        <v>9426</v>
      </c>
      <c r="B535" t="s">
        <v>8858</v>
      </c>
      <c r="C535" t="s">
        <v>5043</v>
      </c>
    </row>
    <row r="536" spans="1:3" ht="15" x14ac:dyDescent="0.25">
      <c r="A536">
        <v>6533</v>
      </c>
      <c r="B536" t="s">
        <v>8859</v>
      </c>
      <c r="C536" t="s">
        <v>5043</v>
      </c>
    </row>
    <row r="537" spans="1:3" ht="15" x14ac:dyDescent="0.25">
      <c r="A537">
        <v>7861</v>
      </c>
      <c r="B537" t="s">
        <v>8859</v>
      </c>
      <c r="C537" t="s">
        <v>5043</v>
      </c>
    </row>
    <row r="538" spans="1:3" ht="15" x14ac:dyDescent="0.25">
      <c r="A538">
        <v>7187</v>
      </c>
      <c r="B538" t="s">
        <v>8861</v>
      </c>
      <c r="C538" t="s">
        <v>5043</v>
      </c>
    </row>
    <row r="539" spans="1:3" ht="15" x14ac:dyDescent="0.25">
      <c r="A539">
        <v>6787</v>
      </c>
      <c r="B539" t="s">
        <v>8863</v>
      </c>
      <c r="C539" t="s">
        <v>5043</v>
      </c>
    </row>
    <row r="540" spans="1:3" ht="15" x14ac:dyDescent="0.25">
      <c r="A540">
        <v>7506</v>
      </c>
      <c r="B540" t="s">
        <v>8863</v>
      </c>
      <c r="C540" t="s">
        <v>5043</v>
      </c>
    </row>
    <row r="541" spans="1:3" ht="15" x14ac:dyDescent="0.25">
      <c r="A541">
        <v>8652</v>
      </c>
      <c r="B541" t="s">
        <v>8863</v>
      </c>
      <c r="C541" t="s">
        <v>5043</v>
      </c>
    </row>
    <row r="542" spans="1:3" ht="15" x14ac:dyDescent="0.25">
      <c r="A542">
        <v>7336</v>
      </c>
      <c r="B542" t="s">
        <v>8865</v>
      </c>
      <c r="C542" t="s">
        <v>5043</v>
      </c>
    </row>
    <row r="543" spans="1:3" ht="15" x14ac:dyDescent="0.25">
      <c r="A543">
        <v>10357</v>
      </c>
      <c r="B543" t="s">
        <v>8867</v>
      </c>
      <c r="C543" t="s">
        <v>5043</v>
      </c>
    </row>
    <row r="544" spans="1:3" ht="15" x14ac:dyDescent="0.25">
      <c r="A544">
        <v>10202</v>
      </c>
      <c r="B544" t="s">
        <v>8868</v>
      </c>
      <c r="C544" t="s">
        <v>5043</v>
      </c>
    </row>
    <row r="545" spans="1:3" ht="15" x14ac:dyDescent="0.25">
      <c r="A545">
        <v>8371</v>
      </c>
      <c r="B545" t="s">
        <v>8868</v>
      </c>
      <c r="C545" t="s">
        <v>5043</v>
      </c>
    </row>
    <row r="546" spans="1:3" ht="15" x14ac:dyDescent="0.25">
      <c r="A546">
        <v>10891</v>
      </c>
      <c r="B546" t="s">
        <v>8869</v>
      </c>
      <c r="C546" t="s">
        <v>5043</v>
      </c>
    </row>
    <row r="547" spans="1:3" ht="15" x14ac:dyDescent="0.25">
      <c r="A547">
        <v>11108</v>
      </c>
      <c r="B547" t="s">
        <v>8869</v>
      </c>
      <c r="C547" t="s">
        <v>5043</v>
      </c>
    </row>
    <row r="548" spans="1:3" ht="15" x14ac:dyDescent="0.25">
      <c r="A548">
        <v>7804</v>
      </c>
      <c r="B548" t="s">
        <v>8869</v>
      </c>
      <c r="C548" t="s">
        <v>5043</v>
      </c>
    </row>
    <row r="549" spans="1:3" ht="15" x14ac:dyDescent="0.25">
      <c r="A549">
        <v>7333</v>
      </c>
      <c r="B549" t="s">
        <v>8870</v>
      </c>
      <c r="C549" t="s">
        <v>5043</v>
      </c>
    </row>
    <row r="550" spans="1:3" ht="15" x14ac:dyDescent="0.25">
      <c r="A550">
        <v>8051</v>
      </c>
      <c r="B550" t="s">
        <v>8874</v>
      </c>
      <c r="C550" t="s">
        <v>5043</v>
      </c>
    </row>
    <row r="551" spans="1:3" ht="15" x14ac:dyDescent="0.25">
      <c r="A551">
        <v>7733</v>
      </c>
      <c r="B551" t="s">
        <v>8875</v>
      </c>
      <c r="C551" t="s">
        <v>5043</v>
      </c>
    </row>
    <row r="552" spans="1:3" ht="15" x14ac:dyDescent="0.25">
      <c r="A552">
        <v>7182</v>
      </c>
      <c r="B552" t="s">
        <v>8877</v>
      </c>
      <c r="C552" t="s">
        <v>5043</v>
      </c>
    </row>
    <row r="553" spans="1:3" ht="15" x14ac:dyDescent="0.25">
      <c r="A553">
        <v>6529</v>
      </c>
      <c r="B553" t="s">
        <v>8878</v>
      </c>
      <c r="C553" t="s">
        <v>5043</v>
      </c>
    </row>
    <row r="554" spans="1:3" ht="15" x14ac:dyDescent="0.25">
      <c r="A554">
        <v>10054</v>
      </c>
      <c r="B554" t="s">
        <v>8879</v>
      </c>
      <c r="C554" t="s">
        <v>5043</v>
      </c>
    </row>
    <row r="555" spans="1:3" ht="15" x14ac:dyDescent="0.25">
      <c r="A555">
        <v>7871</v>
      </c>
      <c r="B555" t="s">
        <v>8881</v>
      </c>
      <c r="C555" t="s">
        <v>5043</v>
      </c>
    </row>
    <row r="556" spans="1:3" ht="15" x14ac:dyDescent="0.25">
      <c r="A556">
        <v>10711</v>
      </c>
      <c r="B556" t="s">
        <v>8883</v>
      </c>
      <c r="C556" t="s">
        <v>5043</v>
      </c>
    </row>
    <row r="557" spans="1:3" ht="15" x14ac:dyDescent="0.25">
      <c r="A557">
        <v>9196</v>
      </c>
      <c r="B557" t="s">
        <v>8883</v>
      </c>
      <c r="C557" t="s">
        <v>5043</v>
      </c>
    </row>
    <row r="558" spans="1:3" ht="15" x14ac:dyDescent="0.25">
      <c r="A558">
        <v>8134</v>
      </c>
      <c r="B558" t="s">
        <v>9035</v>
      </c>
      <c r="C558" t="s">
        <v>5043</v>
      </c>
    </row>
    <row r="559" spans="1:3" ht="15" x14ac:dyDescent="0.25">
      <c r="A559">
        <v>10259</v>
      </c>
      <c r="B559" t="s">
        <v>8886</v>
      </c>
      <c r="C559" t="s">
        <v>5043</v>
      </c>
    </row>
    <row r="560" spans="1:3" ht="15" x14ac:dyDescent="0.25">
      <c r="A560">
        <v>11302</v>
      </c>
      <c r="B560" t="s">
        <v>8886</v>
      </c>
      <c r="C560" t="s">
        <v>5043</v>
      </c>
    </row>
    <row r="561" spans="1:3" ht="15" x14ac:dyDescent="0.25">
      <c r="A561">
        <v>11571</v>
      </c>
      <c r="B561" t="s">
        <v>8886</v>
      </c>
      <c r="C561" t="s">
        <v>5043</v>
      </c>
    </row>
    <row r="562" spans="1:3" ht="15" x14ac:dyDescent="0.25">
      <c r="A562">
        <v>11606</v>
      </c>
      <c r="B562" t="s">
        <v>8886</v>
      </c>
      <c r="C562" t="s">
        <v>5043</v>
      </c>
    </row>
    <row r="563" spans="1:3" ht="15" x14ac:dyDescent="0.25">
      <c r="A563">
        <v>7102</v>
      </c>
      <c r="B563" t="s">
        <v>8886</v>
      </c>
      <c r="C563" t="s">
        <v>5043</v>
      </c>
    </row>
    <row r="564" spans="1:3" ht="15" x14ac:dyDescent="0.25">
      <c r="A564">
        <v>9360</v>
      </c>
      <c r="B564" t="s">
        <v>8886</v>
      </c>
      <c r="C564" t="s">
        <v>5043</v>
      </c>
    </row>
    <row r="565" spans="1:3" ht="15" x14ac:dyDescent="0.25">
      <c r="A565">
        <v>10737</v>
      </c>
      <c r="B565" t="s">
        <v>8889</v>
      </c>
      <c r="C565" t="s">
        <v>5043</v>
      </c>
    </row>
    <row r="566" spans="1:3" ht="15" x14ac:dyDescent="0.25">
      <c r="A566">
        <v>11181</v>
      </c>
      <c r="B566" t="s">
        <v>8890</v>
      </c>
      <c r="C566" t="s">
        <v>5043</v>
      </c>
    </row>
    <row r="567" spans="1:3" ht="15" x14ac:dyDescent="0.25">
      <c r="A567">
        <v>8321</v>
      </c>
      <c r="B567" t="s">
        <v>8890</v>
      </c>
      <c r="C567" t="s">
        <v>5043</v>
      </c>
    </row>
    <row r="568" spans="1:3" ht="15" x14ac:dyDescent="0.25">
      <c r="A568">
        <v>12664</v>
      </c>
      <c r="B568" t="s">
        <v>11569</v>
      </c>
      <c r="C568" t="s">
        <v>5043</v>
      </c>
    </row>
    <row r="569" spans="1:3" ht="15" x14ac:dyDescent="0.25">
      <c r="A569">
        <v>9982</v>
      </c>
      <c r="B569" t="s">
        <v>8891</v>
      </c>
      <c r="C569" t="s">
        <v>5043</v>
      </c>
    </row>
    <row r="570" spans="1:3" ht="15" x14ac:dyDescent="0.25">
      <c r="A570">
        <v>7237</v>
      </c>
      <c r="B570" t="s">
        <v>8892</v>
      </c>
      <c r="C570" t="s">
        <v>5043</v>
      </c>
    </row>
    <row r="571" spans="1:3" ht="15" x14ac:dyDescent="0.25">
      <c r="A571">
        <v>11613</v>
      </c>
      <c r="B571" t="s">
        <v>8893</v>
      </c>
      <c r="C571" t="s">
        <v>5043</v>
      </c>
    </row>
    <row r="572" spans="1:3" ht="15" x14ac:dyDescent="0.25">
      <c r="A572">
        <v>10610</v>
      </c>
      <c r="B572" t="s">
        <v>8894</v>
      </c>
      <c r="C572" t="s">
        <v>5043</v>
      </c>
    </row>
    <row r="573" spans="1:3" ht="15" x14ac:dyDescent="0.25">
      <c r="A573">
        <v>10983</v>
      </c>
      <c r="B573" t="s">
        <v>8894</v>
      </c>
      <c r="C573" t="s">
        <v>5043</v>
      </c>
    </row>
    <row r="574" spans="1:3" ht="15" x14ac:dyDescent="0.25">
      <c r="A574">
        <v>11237</v>
      </c>
      <c r="B574" t="s">
        <v>8894</v>
      </c>
      <c r="C574" t="s">
        <v>5043</v>
      </c>
    </row>
    <row r="575" spans="1:3" ht="15" x14ac:dyDescent="0.25">
      <c r="A575">
        <v>11400</v>
      </c>
      <c r="B575" t="s">
        <v>8894</v>
      </c>
      <c r="C575" t="s">
        <v>5043</v>
      </c>
    </row>
    <row r="576" spans="1:3" ht="15" x14ac:dyDescent="0.25">
      <c r="A576">
        <v>6600</v>
      </c>
      <c r="B576" t="s">
        <v>8894</v>
      </c>
      <c r="C576" t="s">
        <v>5043</v>
      </c>
    </row>
    <row r="577" spans="1:3" ht="15" x14ac:dyDescent="0.25">
      <c r="A577">
        <v>7639</v>
      </c>
      <c r="B577" t="s">
        <v>8894</v>
      </c>
      <c r="C577" t="s">
        <v>5043</v>
      </c>
    </row>
    <row r="578" spans="1:3" ht="15" x14ac:dyDescent="0.25">
      <c r="A578">
        <v>9082</v>
      </c>
      <c r="B578" t="s">
        <v>8894</v>
      </c>
      <c r="C578" t="s">
        <v>5043</v>
      </c>
    </row>
    <row r="579" spans="1:3" ht="15" x14ac:dyDescent="0.25">
      <c r="A579">
        <v>11358</v>
      </c>
      <c r="B579" t="s">
        <v>8895</v>
      </c>
      <c r="C579" t="s">
        <v>5043</v>
      </c>
    </row>
    <row r="580" spans="1:3" ht="15" x14ac:dyDescent="0.25">
      <c r="A580">
        <v>6887</v>
      </c>
      <c r="B580" t="s">
        <v>8895</v>
      </c>
      <c r="C580" t="s">
        <v>5043</v>
      </c>
    </row>
    <row r="581" spans="1:3" ht="15" x14ac:dyDescent="0.25">
      <c r="A581">
        <v>7534</v>
      </c>
      <c r="B581" t="s">
        <v>8897</v>
      </c>
      <c r="C581" t="s">
        <v>5043</v>
      </c>
    </row>
    <row r="582" spans="1:3" ht="15" x14ac:dyDescent="0.25">
      <c r="A582">
        <v>9768</v>
      </c>
      <c r="B582" t="s">
        <v>8897</v>
      </c>
      <c r="C582" t="s">
        <v>5043</v>
      </c>
    </row>
    <row r="583" spans="1:3" ht="15" x14ac:dyDescent="0.25">
      <c r="A583">
        <v>7746</v>
      </c>
      <c r="B583" t="s">
        <v>8898</v>
      </c>
      <c r="C583" t="s">
        <v>5043</v>
      </c>
    </row>
    <row r="584" spans="1:3" ht="15" x14ac:dyDescent="0.25">
      <c r="A584">
        <v>10053</v>
      </c>
      <c r="B584" t="s">
        <v>8900</v>
      </c>
      <c r="C584" t="s">
        <v>5043</v>
      </c>
    </row>
    <row r="585" spans="1:3" ht="15" x14ac:dyDescent="0.25">
      <c r="A585">
        <v>10351</v>
      </c>
      <c r="B585" t="s">
        <v>8900</v>
      </c>
      <c r="C585" t="s">
        <v>5043</v>
      </c>
    </row>
    <row r="586" spans="1:3" ht="15" x14ac:dyDescent="0.25">
      <c r="A586">
        <v>10440</v>
      </c>
      <c r="B586" t="s">
        <v>8900</v>
      </c>
      <c r="C586" t="s">
        <v>5043</v>
      </c>
    </row>
    <row r="587" spans="1:3" ht="15" x14ac:dyDescent="0.25">
      <c r="A587">
        <v>11261</v>
      </c>
      <c r="B587" t="s">
        <v>8900</v>
      </c>
      <c r="C587" t="s">
        <v>5043</v>
      </c>
    </row>
    <row r="588" spans="1:3" ht="15" x14ac:dyDescent="0.25">
      <c r="A588">
        <v>11644</v>
      </c>
      <c r="B588" t="s">
        <v>8900</v>
      </c>
      <c r="C588" t="s">
        <v>5043</v>
      </c>
    </row>
    <row r="589" spans="1:3" ht="15" x14ac:dyDescent="0.25">
      <c r="A589">
        <v>6741</v>
      </c>
      <c r="B589" t="s">
        <v>8900</v>
      </c>
      <c r="C589" t="s">
        <v>5043</v>
      </c>
    </row>
    <row r="590" spans="1:3" ht="15" x14ac:dyDescent="0.25">
      <c r="A590">
        <v>6947</v>
      </c>
      <c r="B590" t="s">
        <v>8900</v>
      </c>
      <c r="C590" t="s">
        <v>5043</v>
      </c>
    </row>
    <row r="591" spans="1:3" ht="15" x14ac:dyDescent="0.25">
      <c r="A591">
        <v>7518</v>
      </c>
      <c r="B591" t="s">
        <v>8900</v>
      </c>
      <c r="C591" t="s">
        <v>5043</v>
      </c>
    </row>
    <row r="592" spans="1:3" ht="15" x14ac:dyDescent="0.25">
      <c r="A592">
        <v>8179</v>
      </c>
      <c r="B592" t="s">
        <v>8900</v>
      </c>
      <c r="C592" t="s">
        <v>5043</v>
      </c>
    </row>
    <row r="593" spans="1:3" ht="15" x14ac:dyDescent="0.25">
      <c r="A593">
        <v>8772</v>
      </c>
      <c r="B593" t="s">
        <v>8900</v>
      </c>
      <c r="C593" t="s">
        <v>5043</v>
      </c>
    </row>
    <row r="594" spans="1:3" ht="15" x14ac:dyDescent="0.25">
      <c r="A594">
        <v>7818</v>
      </c>
      <c r="B594" t="s">
        <v>8902</v>
      </c>
      <c r="C594" t="s">
        <v>5043</v>
      </c>
    </row>
    <row r="595" spans="1:3" ht="15" x14ac:dyDescent="0.25">
      <c r="A595">
        <v>8288</v>
      </c>
      <c r="B595" t="s">
        <v>8903</v>
      </c>
      <c r="C595" t="s">
        <v>5043</v>
      </c>
    </row>
    <row r="596" spans="1:3" ht="15" x14ac:dyDescent="0.25">
      <c r="A596">
        <v>8606</v>
      </c>
      <c r="B596" t="s">
        <v>8904</v>
      </c>
      <c r="C596" t="s">
        <v>5043</v>
      </c>
    </row>
    <row r="597" spans="1:3" ht="15" x14ac:dyDescent="0.25">
      <c r="A597">
        <v>10110</v>
      </c>
      <c r="B597" t="s">
        <v>8906</v>
      </c>
      <c r="C597" t="s">
        <v>5043</v>
      </c>
    </row>
    <row r="598" spans="1:3" ht="15" x14ac:dyDescent="0.25">
      <c r="A598">
        <v>10955</v>
      </c>
      <c r="B598" t="s">
        <v>8906</v>
      </c>
      <c r="C598" t="s">
        <v>5043</v>
      </c>
    </row>
    <row r="599" spans="1:3" ht="15" x14ac:dyDescent="0.25">
      <c r="A599">
        <v>9723</v>
      </c>
      <c r="B599" t="s">
        <v>8906</v>
      </c>
      <c r="C599" t="s">
        <v>5043</v>
      </c>
    </row>
    <row r="600" spans="1:3" ht="15" x14ac:dyDescent="0.25">
      <c r="A600">
        <v>11708</v>
      </c>
      <c r="B600" t="s">
        <v>8907</v>
      </c>
      <c r="C600" t="s">
        <v>5043</v>
      </c>
    </row>
    <row r="601" spans="1:3" ht="15" x14ac:dyDescent="0.25">
      <c r="A601">
        <v>7813</v>
      </c>
      <c r="B601" t="s">
        <v>8911</v>
      </c>
      <c r="C601" t="s">
        <v>5043</v>
      </c>
    </row>
    <row r="602" spans="1:3" ht="15" x14ac:dyDescent="0.25">
      <c r="A602">
        <v>11640</v>
      </c>
      <c r="B602" t="s">
        <v>8912</v>
      </c>
      <c r="C602" t="s">
        <v>5043</v>
      </c>
    </row>
    <row r="603" spans="1:3" ht="15" x14ac:dyDescent="0.25">
      <c r="A603">
        <v>8366</v>
      </c>
      <c r="B603" t="s">
        <v>8912</v>
      </c>
      <c r="C603" t="s">
        <v>5043</v>
      </c>
    </row>
    <row r="604" spans="1:3" ht="15" x14ac:dyDescent="0.25">
      <c r="A604">
        <v>12060</v>
      </c>
      <c r="B604" t="s">
        <v>8914</v>
      </c>
      <c r="C604" t="s">
        <v>5043</v>
      </c>
    </row>
    <row r="605" spans="1:3" ht="15" x14ac:dyDescent="0.25">
      <c r="A605">
        <v>12063</v>
      </c>
      <c r="B605" t="s">
        <v>8914</v>
      </c>
      <c r="C605" t="s">
        <v>5043</v>
      </c>
    </row>
    <row r="606" spans="1:3" ht="15" x14ac:dyDescent="0.25">
      <c r="A606">
        <v>6474</v>
      </c>
      <c r="B606" t="s">
        <v>8914</v>
      </c>
      <c r="C606" t="s">
        <v>5043</v>
      </c>
    </row>
    <row r="607" spans="1:3" ht="15" x14ac:dyDescent="0.25">
      <c r="A607">
        <v>9359</v>
      </c>
      <c r="B607" t="s">
        <v>8914</v>
      </c>
      <c r="C607" t="s">
        <v>5043</v>
      </c>
    </row>
    <row r="608" spans="1:3" ht="15" x14ac:dyDescent="0.25">
      <c r="A608">
        <v>12061</v>
      </c>
      <c r="B608" t="s">
        <v>8915</v>
      </c>
      <c r="C608" t="s">
        <v>5043</v>
      </c>
    </row>
    <row r="609" spans="1:3" ht="15" x14ac:dyDescent="0.25">
      <c r="A609">
        <v>12064</v>
      </c>
      <c r="B609" t="s">
        <v>8915</v>
      </c>
      <c r="C609" t="s">
        <v>5043</v>
      </c>
    </row>
    <row r="610" spans="1:3" ht="15" x14ac:dyDescent="0.25">
      <c r="A610">
        <v>7864</v>
      </c>
      <c r="B610" t="s">
        <v>8917</v>
      </c>
      <c r="C610" t="s">
        <v>5043</v>
      </c>
    </row>
    <row r="611" spans="1:3" ht="15" x14ac:dyDescent="0.25">
      <c r="A611">
        <v>9666</v>
      </c>
      <c r="B611" t="s">
        <v>8918</v>
      </c>
      <c r="C611" t="s">
        <v>11570</v>
      </c>
    </row>
    <row r="612" spans="1:3" ht="15" x14ac:dyDescent="0.25">
      <c r="A612">
        <v>8579</v>
      </c>
      <c r="B612" t="s">
        <v>8919</v>
      </c>
      <c r="C612" t="s">
        <v>5043</v>
      </c>
    </row>
    <row r="613" spans="1:3" ht="15" x14ac:dyDescent="0.25">
      <c r="A613">
        <v>8531</v>
      </c>
      <c r="B613" t="s">
        <v>8921</v>
      </c>
      <c r="C613" t="s">
        <v>5043</v>
      </c>
    </row>
    <row r="614" spans="1:3" ht="15" x14ac:dyDescent="0.25">
      <c r="A614">
        <v>11380</v>
      </c>
      <c r="B614" t="s">
        <v>8925</v>
      </c>
      <c r="C614" t="s">
        <v>5043</v>
      </c>
    </row>
    <row r="615" spans="1:3" ht="15" x14ac:dyDescent="0.25">
      <c r="A615">
        <v>11228</v>
      </c>
      <c r="B615" t="s">
        <v>8926</v>
      </c>
      <c r="C615" t="s">
        <v>5043</v>
      </c>
    </row>
    <row r="616" spans="1:3" ht="15" x14ac:dyDescent="0.25">
      <c r="A616">
        <v>11489</v>
      </c>
      <c r="B616" t="s">
        <v>8926</v>
      </c>
      <c r="C616" t="s">
        <v>5043</v>
      </c>
    </row>
    <row r="617" spans="1:3" ht="15" x14ac:dyDescent="0.25">
      <c r="A617">
        <v>9995</v>
      </c>
      <c r="B617" t="s">
        <v>8926</v>
      </c>
      <c r="C617" t="s">
        <v>5043</v>
      </c>
    </row>
    <row r="618" spans="1:3" ht="15" x14ac:dyDescent="0.25">
      <c r="A618">
        <v>8889</v>
      </c>
      <c r="B618" t="s">
        <v>8927</v>
      </c>
      <c r="C618" t="s">
        <v>5043</v>
      </c>
    </row>
    <row r="619" spans="1:3" ht="15" x14ac:dyDescent="0.25">
      <c r="A619">
        <v>9314</v>
      </c>
      <c r="B619" t="s">
        <v>8932</v>
      </c>
      <c r="C619" t="s">
        <v>5043</v>
      </c>
    </row>
    <row r="620" spans="1:3" ht="15" x14ac:dyDescent="0.25">
      <c r="A620">
        <v>10550</v>
      </c>
      <c r="B620" t="s">
        <v>8933</v>
      </c>
      <c r="C620" t="s">
        <v>5043</v>
      </c>
    </row>
    <row r="621" spans="1:3" ht="15" x14ac:dyDescent="0.25">
      <c r="A621">
        <v>9983</v>
      </c>
      <c r="B621" t="s">
        <v>8934</v>
      </c>
      <c r="C621" t="s">
        <v>5043</v>
      </c>
    </row>
    <row r="622" spans="1:3" ht="15" x14ac:dyDescent="0.25">
      <c r="A622">
        <v>7668</v>
      </c>
      <c r="B622" t="s">
        <v>8937</v>
      </c>
      <c r="C622" t="s">
        <v>5043</v>
      </c>
    </row>
    <row r="623" spans="1:3" ht="15" x14ac:dyDescent="0.25">
      <c r="A623">
        <v>8019</v>
      </c>
      <c r="B623" t="s">
        <v>8937</v>
      </c>
      <c r="C623" t="s">
        <v>5043</v>
      </c>
    </row>
    <row r="624" spans="1:3" ht="15" x14ac:dyDescent="0.25">
      <c r="A624">
        <v>6818</v>
      </c>
      <c r="B624" t="s">
        <v>8938</v>
      </c>
      <c r="C624" t="s">
        <v>5043</v>
      </c>
    </row>
    <row r="625" spans="1:3" ht="15" x14ac:dyDescent="0.25">
      <c r="A625">
        <v>8705</v>
      </c>
      <c r="B625" t="s">
        <v>8938</v>
      </c>
      <c r="C625" t="s">
        <v>5043</v>
      </c>
    </row>
    <row r="626" spans="1:3" ht="15" x14ac:dyDescent="0.25">
      <c r="A626">
        <v>10777</v>
      </c>
      <c r="B626" t="s">
        <v>8939</v>
      </c>
      <c r="C626" t="s">
        <v>5043</v>
      </c>
    </row>
    <row r="627" spans="1:3" ht="15" x14ac:dyDescent="0.25">
      <c r="A627">
        <v>9124</v>
      </c>
      <c r="B627" t="s">
        <v>8939</v>
      </c>
      <c r="C627" t="s">
        <v>5043</v>
      </c>
    </row>
    <row r="628" spans="1:3" ht="15" x14ac:dyDescent="0.25">
      <c r="A628">
        <v>8105</v>
      </c>
      <c r="B628" t="s">
        <v>8940</v>
      </c>
      <c r="C628" t="s">
        <v>5043</v>
      </c>
    </row>
    <row r="629" spans="1:3" ht="15" x14ac:dyDescent="0.25">
      <c r="A629">
        <v>8266</v>
      </c>
      <c r="B629" t="s">
        <v>8940</v>
      </c>
      <c r="C629" t="s">
        <v>5043</v>
      </c>
    </row>
    <row r="630" spans="1:3" ht="15" x14ac:dyDescent="0.25">
      <c r="A630">
        <v>9899</v>
      </c>
      <c r="B630" t="s">
        <v>8940</v>
      </c>
      <c r="C630" t="s">
        <v>5043</v>
      </c>
    </row>
    <row r="631" spans="1:3" ht="15" x14ac:dyDescent="0.25">
      <c r="A631">
        <v>6408</v>
      </c>
      <c r="B631" t="s">
        <v>8941</v>
      </c>
      <c r="C631" t="s">
        <v>5043</v>
      </c>
    </row>
    <row r="632" spans="1:3" ht="15" x14ac:dyDescent="0.25">
      <c r="A632">
        <v>6513</v>
      </c>
      <c r="B632" t="s">
        <v>8941</v>
      </c>
      <c r="C632" t="s">
        <v>5043</v>
      </c>
    </row>
    <row r="633" spans="1:3" ht="15" x14ac:dyDescent="0.25">
      <c r="A633">
        <v>8956</v>
      </c>
      <c r="B633" t="s">
        <v>8941</v>
      </c>
      <c r="C633" t="s">
        <v>5043</v>
      </c>
    </row>
    <row r="634" spans="1:3" ht="15" x14ac:dyDescent="0.25">
      <c r="A634">
        <v>10001</v>
      </c>
      <c r="B634" t="s">
        <v>8942</v>
      </c>
      <c r="C634" t="s">
        <v>5043</v>
      </c>
    </row>
    <row r="635" spans="1:3" ht="15" x14ac:dyDescent="0.25">
      <c r="A635">
        <v>7898</v>
      </c>
      <c r="B635" t="s">
        <v>8942</v>
      </c>
      <c r="C635" t="s">
        <v>5043</v>
      </c>
    </row>
    <row r="636" spans="1:3" ht="15" x14ac:dyDescent="0.25">
      <c r="A636">
        <v>8069</v>
      </c>
      <c r="B636" t="s">
        <v>8942</v>
      </c>
      <c r="C636" t="s">
        <v>5043</v>
      </c>
    </row>
    <row r="637" spans="1:3" ht="15" x14ac:dyDescent="0.25">
      <c r="A637">
        <v>8848</v>
      </c>
      <c r="B637" t="s">
        <v>8942</v>
      </c>
      <c r="C637" t="s">
        <v>5043</v>
      </c>
    </row>
    <row r="638" spans="1:3" ht="15" x14ac:dyDescent="0.25">
      <c r="A638">
        <v>10488</v>
      </c>
      <c r="B638" t="s">
        <v>8943</v>
      </c>
      <c r="C638" t="s">
        <v>5043</v>
      </c>
    </row>
    <row r="639" spans="1:3" ht="15" x14ac:dyDescent="0.25">
      <c r="A639">
        <v>6824</v>
      </c>
      <c r="B639" t="s">
        <v>10629</v>
      </c>
      <c r="C639" t="s">
        <v>5043</v>
      </c>
    </row>
    <row r="640" spans="1:3" ht="15" x14ac:dyDescent="0.25">
      <c r="A640">
        <v>7242</v>
      </c>
      <c r="B640" t="s">
        <v>8944</v>
      </c>
      <c r="C640" t="s">
        <v>5043</v>
      </c>
    </row>
    <row r="641" spans="1:3" ht="15" x14ac:dyDescent="0.25">
      <c r="A641">
        <v>9350</v>
      </c>
      <c r="B641" t="s">
        <v>8944</v>
      </c>
      <c r="C641" t="s">
        <v>5043</v>
      </c>
    </row>
    <row r="642" spans="1:3" ht="15" x14ac:dyDescent="0.25">
      <c r="A642">
        <v>9747</v>
      </c>
      <c r="B642" t="s">
        <v>8944</v>
      </c>
      <c r="C642" t="s">
        <v>5043</v>
      </c>
    </row>
    <row r="643" spans="1:3" ht="15" x14ac:dyDescent="0.25">
      <c r="A643">
        <v>9186</v>
      </c>
      <c r="B643" t="s">
        <v>8945</v>
      </c>
      <c r="C643" t="s">
        <v>5043</v>
      </c>
    </row>
    <row r="644" spans="1:3" ht="15" x14ac:dyDescent="0.25">
      <c r="A644">
        <v>10254</v>
      </c>
      <c r="B644" t="s">
        <v>8946</v>
      </c>
      <c r="C644" t="s">
        <v>5043</v>
      </c>
    </row>
    <row r="645" spans="1:3" ht="15" x14ac:dyDescent="0.25">
      <c r="A645">
        <v>7702</v>
      </c>
      <c r="B645" t="s">
        <v>8946</v>
      </c>
      <c r="C645" t="s">
        <v>5043</v>
      </c>
    </row>
    <row r="646" spans="1:3" ht="15" x14ac:dyDescent="0.25">
      <c r="A646">
        <v>9110</v>
      </c>
      <c r="B646" t="s">
        <v>8946</v>
      </c>
      <c r="C646" t="s">
        <v>5043</v>
      </c>
    </row>
    <row r="647" spans="1:3" ht="15" x14ac:dyDescent="0.25">
      <c r="A647">
        <v>9118</v>
      </c>
      <c r="B647" t="s">
        <v>8946</v>
      </c>
      <c r="C647" t="s">
        <v>5043</v>
      </c>
    </row>
    <row r="648" spans="1:3" ht="15" x14ac:dyDescent="0.25">
      <c r="A648">
        <v>9766</v>
      </c>
      <c r="B648" t="s">
        <v>8946</v>
      </c>
      <c r="C648" t="s">
        <v>5043</v>
      </c>
    </row>
    <row r="649" spans="1:3" ht="15" x14ac:dyDescent="0.25">
      <c r="A649">
        <v>11728</v>
      </c>
      <c r="B649" t="s">
        <v>8948</v>
      </c>
      <c r="C649" t="s">
        <v>5043</v>
      </c>
    </row>
    <row r="650" spans="1:3" ht="15" x14ac:dyDescent="0.25">
      <c r="A650">
        <v>8043</v>
      </c>
      <c r="B650" t="s">
        <v>8948</v>
      </c>
      <c r="C650" t="s">
        <v>5043</v>
      </c>
    </row>
    <row r="651" spans="1:3" ht="15" x14ac:dyDescent="0.25">
      <c r="A651">
        <v>8336</v>
      </c>
      <c r="B651" t="s">
        <v>8954</v>
      </c>
      <c r="C651" t="s">
        <v>5043</v>
      </c>
    </row>
    <row r="652" spans="1:3" ht="15" x14ac:dyDescent="0.25">
      <c r="A652">
        <v>11038</v>
      </c>
      <c r="B652" t="s">
        <v>8955</v>
      </c>
      <c r="C652" t="s">
        <v>5043</v>
      </c>
    </row>
    <row r="653" spans="1:3" ht="15" x14ac:dyDescent="0.25">
      <c r="A653">
        <v>7136</v>
      </c>
      <c r="B653" t="s">
        <v>8955</v>
      </c>
      <c r="C653" t="s">
        <v>5043</v>
      </c>
    </row>
    <row r="654" spans="1:3" ht="15" x14ac:dyDescent="0.25">
      <c r="A654">
        <v>8613</v>
      </c>
      <c r="B654" t="s">
        <v>8955</v>
      </c>
      <c r="C654" t="s">
        <v>5043</v>
      </c>
    </row>
    <row r="655" spans="1:3" ht="15" x14ac:dyDescent="0.25">
      <c r="A655">
        <v>9151</v>
      </c>
      <c r="B655" t="s">
        <v>8955</v>
      </c>
      <c r="C655" t="s">
        <v>5043</v>
      </c>
    </row>
    <row r="656" spans="1:3" ht="15" x14ac:dyDescent="0.25">
      <c r="A656">
        <v>9830</v>
      </c>
      <c r="B656" t="s">
        <v>8955</v>
      </c>
      <c r="C656" t="s">
        <v>5043</v>
      </c>
    </row>
    <row r="657" spans="1:3" ht="15" x14ac:dyDescent="0.25">
      <c r="A657">
        <v>11193</v>
      </c>
      <c r="B657" t="s">
        <v>8958</v>
      </c>
      <c r="C657" t="s">
        <v>5043</v>
      </c>
    </row>
    <row r="658" spans="1:3" ht="15" x14ac:dyDescent="0.25">
      <c r="A658">
        <v>11703</v>
      </c>
      <c r="B658" t="s">
        <v>8958</v>
      </c>
      <c r="C658" t="s">
        <v>5043</v>
      </c>
    </row>
    <row r="659" spans="1:3" ht="15" x14ac:dyDescent="0.25">
      <c r="A659">
        <v>9153</v>
      </c>
      <c r="B659" t="s">
        <v>8959</v>
      </c>
      <c r="C659" t="s">
        <v>5043</v>
      </c>
    </row>
    <row r="660" spans="1:3" ht="15" x14ac:dyDescent="0.25">
      <c r="A660">
        <v>8175</v>
      </c>
      <c r="B660" t="s">
        <v>8960</v>
      </c>
      <c r="C660" t="s">
        <v>5043</v>
      </c>
    </row>
    <row r="661" spans="1:3" ht="15" x14ac:dyDescent="0.25">
      <c r="A661">
        <v>9707</v>
      </c>
      <c r="B661" t="s">
        <v>8961</v>
      </c>
      <c r="C661" t="s">
        <v>5043</v>
      </c>
    </row>
    <row r="662" spans="1:3" ht="15" x14ac:dyDescent="0.25">
      <c r="A662">
        <v>9289</v>
      </c>
      <c r="B662" t="s">
        <v>8962</v>
      </c>
      <c r="C662" t="s">
        <v>5043</v>
      </c>
    </row>
    <row r="663" spans="1:3" ht="15" x14ac:dyDescent="0.25">
      <c r="A663">
        <v>11477</v>
      </c>
      <c r="B663" t="s">
        <v>8963</v>
      </c>
      <c r="C663" t="s">
        <v>5043</v>
      </c>
    </row>
    <row r="664" spans="1:3" ht="15" x14ac:dyDescent="0.25">
      <c r="A664">
        <v>11414</v>
      </c>
      <c r="B664" t="s">
        <v>8964</v>
      </c>
      <c r="C664" t="s">
        <v>5043</v>
      </c>
    </row>
    <row r="665" spans="1:3" ht="15" x14ac:dyDescent="0.25">
      <c r="A665">
        <v>11536</v>
      </c>
      <c r="B665" t="s">
        <v>8964</v>
      </c>
      <c r="C665" t="s">
        <v>5043</v>
      </c>
    </row>
    <row r="666" spans="1:3" ht="15" x14ac:dyDescent="0.25">
      <c r="A666">
        <v>6459</v>
      </c>
      <c r="B666" t="s">
        <v>8964</v>
      </c>
      <c r="C666" t="s">
        <v>5043</v>
      </c>
    </row>
    <row r="667" spans="1:3" ht="15" x14ac:dyDescent="0.25">
      <c r="A667">
        <v>7100</v>
      </c>
      <c r="B667" t="s">
        <v>8964</v>
      </c>
      <c r="C667" t="s">
        <v>5043</v>
      </c>
    </row>
    <row r="668" spans="1:3" ht="15" x14ac:dyDescent="0.25">
      <c r="A668">
        <v>9751</v>
      </c>
      <c r="B668" t="s">
        <v>8969</v>
      </c>
      <c r="C668" t="s">
        <v>5043</v>
      </c>
    </row>
    <row r="669" spans="1:3" ht="15" x14ac:dyDescent="0.25">
      <c r="A669">
        <v>11760</v>
      </c>
      <c r="B669" t="s">
        <v>10657</v>
      </c>
      <c r="C669" t="s">
        <v>5043</v>
      </c>
    </row>
    <row r="670" spans="1:3" ht="15" x14ac:dyDescent="0.25">
      <c r="A670">
        <v>10898</v>
      </c>
      <c r="B670" t="s">
        <v>8971</v>
      </c>
      <c r="C670" t="s">
        <v>5043</v>
      </c>
    </row>
    <row r="671" spans="1:3" ht="15" x14ac:dyDescent="0.25">
      <c r="A671">
        <v>10519</v>
      </c>
      <c r="B671" t="s">
        <v>8972</v>
      </c>
      <c r="C671" t="s">
        <v>5043</v>
      </c>
    </row>
    <row r="672" spans="1:3" ht="15" x14ac:dyDescent="0.25">
      <c r="A672">
        <v>8723</v>
      </c>
      <c r="B672" t="s">
        <v>8973</v>
      </c>
      <c r="C672" t="s">
        <v>5043</v>
      </c>
    </row>
    <row r="673" spans="1:3" ht="15" x14ac:dyDescent="0.25">
      <c r="A673">
        <v>8104</v>
      </c>
      <c r="B673" t="s">
        <v>8975</v>
      </c>
      <c r="C673" t="s">
        <v>5043</v>
      </c>
    </row>
    <row r="674" spans="1:3" ht="15" x14ac:dyDescent="0.25">
      <c r="A674">
        <v>8121</v>
      </c>
      <c r="B674" t="s">
        <v>8977</v>
      </c>
      <c r="C674" t="s">
        <v>5043</v>
      </c>
    </row>
    <row r="675" spans="1:3" ht="15" x14ac:dyDescent="0.25">
      <c r="A675">
        <v>8225</v>
      </c>
      <c r="B675" t="s">
        <v>8977</v>
      </c>
      <c r="C675" t="s">
        <v>5043</v>
      </c>
    </row>
    <row r="676" spans="1:3" ht="15" x14ac:dyDescent="0.25">
      <c r="A676">
        <v>6470</v>
      </c>
      <c r="B676" t="s">
        <v>8978</v>
      </c>
      <c r="C676" t="s">
        <v>5043</v>
      </c>
    </row>
    <row r="677" spans="1:3" ht="15" x14ac:dyDescent="0.25">
      <c r="A677">
        <v>8485</v>
      </c>
      <c r="B677" t="s">
        <v>8979</v>
      </c>
      <c r="C677" t="s">
        <v>5043</v>
      </c>
    </row>
    <row r="678" spans="1:3" ht="15" x14ac:dyDescent="0.25">
      <c r="A678">
        <v>10236</v>
      </c>
      <c r="B678" t="s">
        <v>8981</v>
      </c>
      <c r="C678" t="s">
        <v>5043</v>
      </c>
    </row>
    <row r="679" spans="1:3" ht="15" x14ac:dyDescent="0.25">
      <c r="A679">
        <v>7519</v>
      </c>
      <c r="B679" t="s">
        <v>8984</v>
      </c>
      <c r="C679" t="s">
        <v>5043</v>
      </c>
    </row>
    <row r="680" spans="1:3" ht="15" x14ac:dyDescent="0.25">
      <c r="A680">
        <v>9686</v>
      </c>
      <c r="B680" t="s">
        <v>8987</v>
      </c>
      <c r="C680" t="s">
        <v>5043</v>
      </c>
    </row>
    <row r="681" spans="1:3" ht="15" x14ac:dyDescent="0.25">
      <c r="A681">
        <v>6999</v>
      </c>
      <c r="B681" t="s">
        <v>8989</v>
      </c>
      <c r="C681" t="s">
        <v>5043</v>
      </c>
    </row>
    <row r="682" spans="1:3" ht="15" x14ac:dyDescent="0.25">
      <c r="A682">
        <v>8411</v>
      </c>
      <c r="B682" t="s">
        <v>8993</v>
      </c>
      <c r="C682" t="s">
        <v>5043</v>
      </c>
    </row>
    <row r="683" spans="1:3" ht="15" x14ac:dyDescent="0.25">
      <c r="A683">
        <v>10527</v>
      </c>
      <c r="B683" t="s">
        <v>8994</v>
      </c>
      <c r="C683" t="s">
        <v>5043</v>
      </c>
    </row>
    <row r="684" spans="1:3" ht="15" x14ac:dyDescent="0.25">
      <c r="A684">
        <v>11246</v>
      </c>
      <c r="B684" t="s">
        <v>8995</v>
      </c>
      <c r="C684" t="s">
        <v>5043</v>
      </c>
    </row>
    <row r="685" spans="1:3" ht="15" x14ac:dyDescent="0.25">
      <c r="A685">
        <v>7532</v>
      </c>
      <c r="B685" t="s">
        <v>8995</v>
      </c>
      <c r="C685" t="s">
        <v>5043</v>
      </c>
    </row>
    <row r="686" spans="1:3" ht="15" x14ac:dyDescent="0.25">
      <c r="A686">
        <v>6669</v>
      </c>
      <c r="B686" t="s">
        <v>10670</v>
      </c>
      <c r="C686" t="s">
        <v>5043</v>
      </c>
    </row>
    <row r="687" spans="1:3" ht="15" x14ac:dyDescent="0.25">
      <c r="A687">
        <v>10213</v>
      </c>
      <c r="B687" t="s">
        <v>8996</v>
      </c>
      <c r="C687" t="s">
        <v>5043</v>
      </c>
    </row>
    <row r="688" spans="1:3" ht="15" x14ac:dyDescent="0.25">
      <c r="A688">
        <v>11341</v>
      </c>
      <c r="B688" t="s">
        <v>8996</v>
      </c>
      <c r="C688" t="s">
        <v>5043</v>
      </c>
    </row>
    <row r="689" spans="1:3" ht="15" x14ac:dyDescent="0.25">
      <c r="A689">
        <v>6461</v>
      </c>
      <c r="B689" t="s">
        <v>8996</v>
      </c>
      <c r="C689" t="s">
        <v>5043</v>
      </c>
    </row>
    <row r="690" spans="1:3" ht="15" x14ac:dyDescent="0.25">
      <c r="A690">
        <v>7847</v>
      </c>
      <c r="B690" t="s">
        <v>8996</v>
      </c>
      <c r="C690" t="s">
        <v>5043</v>
      </c>
    </row>
    <row r="691" spans="1:3" ht="15" x14ac:dyDescent="0.25">
      <c r="A691">
        <v>8158</v>
      </c>
      <c r="B691" t="s">
        <v>8996</v>
      </c>
      <c r="C691" t="s">
        <v>5043</v>
      </c>
    </row>
    <row r="692" spans="1:3" ht="15" x14ac:dyDescent="0.25">
      <c r="A692">
        <v>10614</v>
      </c>
      <c r="B692" t="s">
        <v>8997</v>
      </c>
      <c r="C692" t="s">
        <v>5043</v>
      </c>
    </row>
    <row r="693" spans="1:3" ht="15" x14ac:dyDescent="0.25">
      <c r="A693">
        <v>10638</v>
      </c>
      <c r="B693" t="s">
        <v>8997</v>
      </c>
      <c r="C693" t="s">
        <v>5043</v>
      </c>
    </row>
    <row r="694" spans="1:3" ht="15" x14ac:dyDescent="0.25">
      <c r="A694">
        <v>10677</v>
      </c>
      <c r="B694" t="s">
        <v>8997</v>
      </c>
      <c r="C694" t="s">
        <v>5043</v>
      </c>
    </row>
    <row r="695" spans="1:3" ht="15" x14ac:dyDescent="0.25">
      <c r="A695">
        <v>10691</v>
      </c>
      <c r="B695" t="s">
        <v>8997</v>
      </c>
      <c r="C695" t="s">
        <v>5043</v>
      </c>
    </row>
    <row r="696" spans="1:3" ht="15" x14ac:dyDescent="0.25">
      <c r="A696">
        <v>10776</v>
      </c>
      <c r="B696" t="s">
        <v>8997</v>
      </c>
      <c r="C696" t="s">
        <v>5043</v>
      </c>
    </row>
    <row r="697" spans="1:3" ht="15" x14ac:dyDescent="0.25">
      <c r="A697">
        <v>11362</v>
      </c>
      <c r="B697" t="s">
        <v>8997</v>
      </c>
      <c r="C697" t="s">
        <v>5043</v>
      </c>
    </row>
    <row r="698" spans="1:3" ht="15" x14ac:dyDescent="0.25">
      <c r="A698">
        <v>6403</v>
      </c>
      <c r="B698" t="s">
        <v>8997</v>
      </c>
      <c r="C698" t="s">
        <v>5043</v>
      </c>
    </row>
    <row r="699" spans="1:3" ht="15" x14ac:dyDescent="0.25">
      <c r="A699">
        <v>6685</v>
      </c>
      <c r="B699" t="s">
        <v>8997</v>
      </c>
      <c r="C699" t="s">
        <v>5043</v>
      </c>
    </row>
    <row r="700" spans="1:3" ht="15" x14ac:dyDescent="0.25">
      <c r="A700">
        <v>6779</v>
      </c>
      <c r="B700" t="s">
        <v>8997</v>
      </c>
      <c r="C700" t="s">
        <v>5043</v>
      </c>
    </row>
    <row r="701" spans="1:3" ht="15" x14ac:dyDescent="0.25">
      <c r="A701">
        <v>8681</v>
      </c>
      <c r="B701" t="s">
        <v>8997</v>
      </c>
      <c r="C701" t="s">
        <v>5043</v>
      </c>
    </row>
    <row r="702" spans="1:3" ht="15" x14ac:dyDescent="0.25">
      <c r="A702">
        <v>8852</v>
      </c>
      <c r="B702" t="s">
        <v>8997</v>
      </c>
      <c r="C702" t="s">
        <v>5043</v>
      </c>
    </row>
    <row r="703" spans="1:3" ht="15" x14ac:dyDescent="0.25">
      <c r="A703">
        <v>8970</v>
      </c>
      <c r="B703" t="s">
        <v>8997</v>
      </c>
      <c r="C703" t="s">
        <v>5043</v>
      </c>
    </row>
    <row r="704" spans="1:3" ht="15" x14ac:dyDescent="0.25">
      <c r="A704">
        <v>9240</v>
      </c>
      <c r="B704" t="s">
        <v>8997</v>
      </c>
      <c r="C704" t="s">
        <v>5043</v>
      </c>
    </row>
    <row r="705" spans="1:3" ht="15" x14ac:dyDescent="0.25">
      <c r="A705">
        <v>10558</v>
      </c>
      <c r="B705" t="s">
        <v>8999</v>
      </c>
      <c r="C705" t="s">
        <v>5043</v>
      </c>
    </row>
    <row r="706" spans="1:3" ht="15" x14ac:dyDescent="0.25">
      <c r="A706">
        <v>8830</v>
      </c>
      <c r="B706" t="s">
        <v>8999</v>
      </c>
      <c r="C706" t="s">
        <v>5043</v>
      </c>
    </row>
    <row r="707" spans="1:3" ht="15" x14ac:dyDescent="0.25">
      <c r="A707">
        <v>9965</v>
      </c>
      <c r="B707" t="s">
        <v>8999</v>
      </c>
      <c r="C707" t="s">
        <v>5043</v>
      </c>
    </row>
    <row r="708" spans="1:3" ht="15" x14ac:dyDescent="0.25">
      <c r="A708">
        <v>10326</v>
      </c>
      <c r="B708" t="s">
        <v>9000</v>
      </c>
      <c r="C708" t="s">
        <v>5043</v>
      </c>
    </row>
    <row r="709" spans="1:3" ht="15" x14ac:dyDescent="0.25">
      <c r="A709">
        <v>9570</v>
      </c>
      <c r="B709" t="s">
        <v>9000</v>
      </c>
      <c r="C709" t="s">
        <v>5043</v>
      </c>
    </row>
    <row r="710" spans="1:3" ht="15" x14ac:dyDescent="0.25">
      <c r="A710">
        <v>11195</v>
      </c>
      <c r="B710" t="s">
        <v>9001</v>
      </c>
      <c r="C710" t="s">
        <v>5043</v>
      </c>
    </row>
    <row r="711" spans="1:3" ht="15" x14ac:dyDescent="0.25">
      <c r="A711">
        <v>8660</v>
      </c>
      <c r="B711" t="s">
        <v>9001</v>
      </c>
      <c r="C711" t="s">
        <v>5043</v>
      </c>
    </row>
    <row r="712" spans="1:3" ht="15" x14ac:dyDescent="0.25">
      <c r="A712">
        <v>10765</v>
      </c>
      <c r="B712" t="s">
        <v>9002</v>
      </c>
      <c r="C712" t="s">
        <v>5043</v>
      </c>
    </row>
    <row r="713" spans="1:3" ht="15" x14ac:dyDescent="0.25">
      <c r="A713">
        <v>11077</v>
      </c>
      <c r="B713" t="s">
        <v>9002</v>
      </c>
      <c r="C713" t="s">
        <v>5043</v>
      </c>
    </row>
    <row r="714" spans="1:3" ht="15" x14ac:dyDescent="0.25">
      <c r="A714">
        <v>8140</v>
      </c>
      <c r="B714" t="s">
        <v>9002</v>
      </c>
      <c r="C714" t="s">
        <v>5043</v>
      </c>
    </row>
    <row r="715" spans="1:3" ht="15" x14ac:dyDescent="0.25">
      <c r="A715">
        <v>8487</v>
      </c>
      <c r="B715" t="s">
        <v>9002</v>
      </c>
      <c r="C715" t="s">
        <v>5043</v>
      </c>
    </row>
    <row r="716" spans="1:3" ht="15" x14ac:dyDescent="0.25">
      <c r="A716">
        <v>8855</v>
      </c>
      <c r="B716" t="s">
        <v>9002</v>
      </c>
      <c r="C716" t="s">
        <v>5043</v>
      </c>
    </row>
    <row r="717" spans="1:3" ht="15" x14ac:dyDescent="0.25">
      <c r="A717">
        <v>9201</v>
      </c>
      <c r="B717" t="s">
        <v>9002</v>
      </c>
      <c r="C717" t="s">
        <v>5043</v>
      </c>
    </row>
    <row r="718" spans="1:3" ht="15" x14ac:dyDescent="0.25">
      <c r="A718">
        <v>10130</v>
      </c>
      <c r="B718" t="s">
        <v>9003</v>
      </c>
      <c r="C718" t="s">
        <v>5043</v>
      </c>
    </row>
    <row r="719" spans="1:3" ht="15" x14ac:dyDescent="0.25">
      <c r="A719">
        <v>10220</v>
      </c>
      <c r="B719" t="s">
        <v>9003</v>
      </c>
      <c r="C719" t="s">
        <v>5043</v>
      </c>
    </row>
    <row r="720" spans="1:3" ht="15" x14ac:dyDescent="0.25">
      <c r="A720">
        <v>10267</v>
      </c>
      <c r="B720" t="s">
        <v>9003</v>
      </c>
      <c r="C720" t="s">
        <v>5043</v>
      </c>
    </row>
    <row r="721" spans="1:3" ht="15" x14ac:dyDescent="0.25">
      <c r="A721">
        <v>10442</v>
      </c>
      <c r="B721" t="s">
        <v>9003</v>
      </c>
      <c r="C721" t="s">
        <v>5043</v>
      </c>
    </row>
    <row r="722" spans="1:3" ht="15" x14ac:dyDescent="0.25">
      <c r="A722">
        <v>10554</v>
      </c>
      <c r="B722" t="s">
        <v>9003</v>
      </c>
      <c r="C722" t="s">
        <v>5043</v>
      </c>
    </row>
    <row r="723" spans="1:3" ht="15" x14ac:dyDescent="0.25">
      <c r="A723">
        <v>10567</v>
      </c>
      <c r="B723" t="s">
        <v>9003</v>
      </c>
      <c r="C723" t="s">
        <v>5043</v>
      </c>
    </row>
    <row r="724" spans="1:3" ht="15" x14ac:dyDescent="0.25">
      <c r="A724">
        <v>10606</v>
      </c>
      <c r="B724" t="s">
        <v>9003</v>
      </c>
      <c r="C724" t="s">
        <v>5043</v>
      </c>
    </row>
    <row r="725" spans="1:3" ht="15" x14ac:dyDescent="0.25">
      <c r="A725">
        <v>10676</v>
      </c>
      <c r="B725" t="s">
        <v>9003</v>
      </c>
      <c r="C725" t="s">
        <v>5043</v>
      </c>
    </row>
    <row r="726" spans="1:3" ht="15" x14ac:dyDescent="0.25">
      <c r="A726">
        <v>10761</v>
      </c>
      <c r="B726" t="s">
        <v>9003</v>
      </c>
      <c r="C726" t="s">
        <v>5043</v>
      </c>
    </row>
    <row r="727" spans="1:3" ht="15" x14ac:dyDescent="0.25">
      <c r="A727">
        <v>10825</v>
      </c>
      <c r="B727" t="s">
        <v>9003</v>
      </c>
      <c r="C727" t="s">
        <v>5043</v>
      </c>
    </row>
    <row r="728" spans="1:3" ht="15" x14ac:dyDescent="0.25">
      <c r="A728">
        <v>10847</v>
      </c>
      <c r="B728" t="s">
        <v>9003</v>
      </c>
      <c r="C728" t="s">
        <v>5043</v>
      </c>
    </row>
    <row r="729" spans="1:3" ht="15" x14ac:dyDescent="0.25">
      <c r="A729">
        <v>11092</v>
      </c>
      <c r="B729" t="s">
        <v>9003</v>
      </c>
      <c r="C729" t="s">
        <v>5043</v>
      </c>
    </row>
    <row r="730" spans="1:3" ht="15" x14ac:dyDescent="0.25">
      <c r="A730">
        <v>11155</v>
      </c>
      <c r="B730" t="s">
        <v>9003</v>
      </c>
      <c r="C730" t="s">
        <v>5043</v>
      </c>
    </row>
    <row r="731" spans="1:3" ht="15" x14ac:dyDescent="0.25">
      <c r="A731">
        <v>11280</v>
      </c>
      <c r="B731" t="s">
        <v>9003</v>
      </c>
      <c r="C731" t="s">
        <v>5043</v>
      </c>
    </row>
    <row r="732" spans="1:3" ht="15" x14ac:dyDescent="0.25">
      <c r="A732">
        <v>11526</v>
      </c>
      <c r="B732" t="s">
        <v>9003</v>
      </c>
      <c r="C732" t="s">
        <v>5043</v>
      </c>
    </row>
    <row r="733" spans="1:3" ht="15" x14ac:dyDescent="0.25">
      <c r="A733">
        <v>11585</v>
      </c>
      <c r="B733" t="s">
        <v>9003</v>
      </c>
      <c r="C733" t="s">
        <v>5043</v>
      </c>
    </row>
    <row r="734" spans="1:3" ht="15" x14ac:dyDescent="0.25">
      <c r="A734">
        <v>11677</v>
      </c>
      <c r="B734" t="s">
        <v>9003</v>
      </c>
      <c r="C734" t="s">
        <v>5043</v>
      </c>
    </row>
    <row r="735" spans="1:3" ht="15" x14ac:dyDescent="0.25">
      <c r="A735">
        <v>11681</v>
      </c>
      <c r="B735" t="s">
        <v>9003</v>
      </c>
      <c r="C735" t="s">
        <v>5043</v>
      </c>
    </row>
    <row r="736" spans="1:3" ht="15" x14ac:dyDescent="0.25">
      <c r="A736">
        <v>6677</v>
      </c>
      <c r="B736" t="s">
        <v>9003</v>
      </c>
      <c r="C736" t="s">
        <v>5043</v>
      </c>
    </row>
    <row r="737" spans="1:3" ht="15" x14ac:dyDescent="0.25">
      <c r="A737">
        <v>6786</v>
      </c>
      <c r="B737" t="s">
        <v>9003</v>
      </c>
      <c r="C737" t="s">
        <v>5043</v>
      </c>
    </row>
    <row r="738" spans="1:3" ht="15" x14ac:dyDescent="0.25">
      <c r="A738">
        <v>6829</v>
      </c>
      <c r="B738" t="s">
        <v>9003</v>
      </c>
      <c r="C738" t="s">
        <v>5043</v>
      </c>
    </row>
    <row r="739" spans="1:3" ht="15" x14ac:dyDescent="0.25">
      <c r="A739">
        <v>6874</v>
      </c>
      <c r="B739" t="s">
        <v>9003</v>
      </c>
      <c r="C739" t="s">
        <v>5043</v>
      </c>
    </row>
    <row r="740" spans="1:3" ht="15" x14ac:dyDescent="0.25">
      <c r="A740">
        <v>7008</v>
      </c>
      <c r="B740" t="s">
        <v>9003</v>
      </c>
      <c r="C740" t="s">
        <v>5043</v>
      </c>
    </row>
    <row r="741" spans="1:3" ht="15" x14ac:dyDescent="0.25">
      <c r="A741">
        <v>7348</v>
      </c>
      <c r="B741" t="s">
        <v>9003</v>
      </c>
      <c r="C741" t="s">
        <v>5043</v>
      </c>
    </row>
    <row r="742" spans="1:3" ht="15" x14ac:dyDescent="0.25">
      <c r="A742">
        <v>7440</v>
      </c>
      <c r="B742" t="s">
        <v>9003</v>
      </c>
      <c r="C742" t="s">
        <v>5043</v>
      </c>
    </row>
    <row r="743" spans="1:3" ht="15" x14ac:dyDescent="0.25">
      <c r="A743">
        <v>7452</v>
      </c>
      <c r="B743" t="s">
        <v>9003</v>
      </c>
      <c r="C743" t="s">
        <v>5043</v>
      </c>
    </row>
    <row r="744" spans="1:3" ht="15" x14ac:dyDescent="0.25">
      <c r="A744">
        <v>7659</v>
      </c>
      <c r="B744" t="s">
        <v>9003</v>
      </c>
      <c r="C744" t="s">
        <v>5043</v>
      </c>
    </row>
    <row r="745" spans="1:3" ht="15" x14ac:dyDescent="0.25">
      <c r="A745">
        <v>7765</v>
      </c>
      <c r="B745" t="s">
        <v>9003</v>
      </c>
      <c r="C745" t="s">
        <v>5043</v>
      </c>
    </row>
    <row r="746" spans="1:3" ht="15" x14ac:dyDescent="0.25">
      <c r="A746">
        <v>7772</v>
      </c>
      <c r="B746" t="s">
        <v>9003</v>
      </c>
      <c r="C746" t="s">
        <v>5043</v>
      </c>
    </row>
    <row r="747" spans="1:3" ht="15" x14ac:dyDescent="0.25">
      <c r="A747">
        <v>7836</v>
      </c>
      <c r="B747" t="s">
        <v>9003</v>
      </c>
      <c r="C747" t="s">
        <v>5043</v>
      </c>
    </row>
    <row r="748" spans="1:3" ht="15" x14ac:dyDescent="0.25">
      <c r="A748">
        <v>7995</v>
      </c>
      <c r="B748" t="s">
        <v>9003</v>
      </c>
      <c r="C748" t="s">
        <v>5043</v>
      </c>
    </row>
    <row r="749" spans="1:3" ht="15" x14ac:dyDescent="0.25">
      <c r="A749">
        <v>8050</v>
      </c>
      <c r="B749" t="s">
        <v>9003</v>
      </c>
      <c r="C749" t="s">
        <v>5043</v>
      </c>
    </row>
    <row r="750" spans="1:3" ht="15" x14ac:dyDescent="0.25">
      <c r="A750">
        <v>8100</v>
      </c>
      <c r="B750" t="s">
        <v>9003</v>
      </c>
      <c r="C750" t="s">
        <v>5043</v>
      </c>
    </row>
    <row r="751" spans="1:3" ht="15" x14ac:dyDescent="0.25">
      <c r="A751">
        <v>8180</v>
      </c>
      <c r="B751" t="s">
        <v>9003</v>
      </c>
      <c r="C751" t="s">
        <v>5043</v>
      </c>
    </row>
    <row r="752" spans="1:3" ht="15" x14ac:dyDescent="0.25">
      <c r="A752">
        <v>8406</v>
      </c>
      <c r="B752" t="s">
        <v>9003</v>
      </c>
      <c r="C752" t="s">
        <v>5043</v>
      </c>
    </row>
    <row r="753" spans="1:3" ht="15" x14ac:dyDescent="0.25">
      <c r="A753">
        <v>8433</v>
      </c>
      <c r="B753" t="s">
        <v>9003</v>
      </c>
      <c r="C753" t="s">
        <v>5043</v>
      </c>
    </row>
    <row r="754" spans="1:3" ht="15" x14ac:dyDescent="0.25">
      <c r="A754">
        <v>8467</v>
      </c>
      <c r="B754" t="s">
        <v>9003</v>
      </c>
      <c r="C754" t="s">
        <v>5043</v>
      </c>
    </row>
    <row r="755" spans="1:3" ht="15" x14ac:dyDescent="0.25">
      <c r="A755">
        <v>8629</v>
      </c>
      <c r="B755" t="s">
        <v>9003</v>
      </c>
      <c r="C755" t="s">
        <v>5043</v>
      </c>
    </row>
    <row r="756" spans="1:3" ht="15" x14ac:dyDescent="0.25">
      <c r="A756">
        <v>8640</v>
      </c>
      <c r="B756" t="s">
        <v>9003</v>
      </c>
      <c r="C756" t="s">
        <v>5043</v>
      </c>
    </row>
    <row r="757" spans="1:3" ht="15" x14ac:dyDescent="0.25">
      <c r="A757">
        <v>8812</v>
      </c>
      <c r="B757" t="s">
        <v>9003</v>
      </c>
      <c r="C757" t="s">
        <v>5043</v>
      </c>
    </row>
    <row r="758" spans="1:3" ht="15" x14ac:dyDescent="0.25">
      <c r="A758">
        <v>8818</v>
      </c>
      <c r="B758" t="s">
        <v>9003</v>
      </c>
      <c r="C758" t="s">
        <v>5043</v>
      </c>
    </row>
    <row r="759" spans="1:3" ht="15" x14ac:dyDescent="0.25">
      <c r="A759">
        <v>8885</v>
      </c>
      <c r="B759" t="s">
        <v>9003</v>
      </c>
      <c r="C759" t="s">
        <v>5043</v>
      </c>
    </row>
    <row r="760" spans="1:3" ht="15" x14ac:dyDescent="0.25">
      <c r="A760">
        <v>9005</v>
      </c>
      <c r="B760" t="s">
        <v>9003</v>
      </c>
      <c r="C760" t="s">
        <v>5043</v>
      </c>
    </row>
    <row r="761" spans="1:3" ht="15" x14ac:dyDescent="0.25">
      <c r="A761">
        <v>9060</v>
      </c>
      <c r="B761" t="s">
        <v>9003</v>
      </c>
      <c r="C761" t="s">
        <v>5043</v>
      </c>
    </row>
    <row r="762" spans="1:3" ht="15" x14ac:dyDescent="0.25">
      <c r="A762">
        <v>9262</v>
      </c>
      <c r="B762" t="s">
        <v>9003</v>
      </c>
      <c r="C762" t="s">
        <v>5043</v>
      </c>
    </row>
    <row r="763" spans="1:3" ht="15" x14ac:dyDescent="0.25">
      <c r="A763">
        <v>9476</v>
      </c>
      <c r="B763" t="s">
        <v>9003</v>
      </c>
      <c r="C763" t="s">
        <v>5043</v>
      </c>
    </row>
    <row r="764" spans="1:3" ht="15" x14ac:dyDescent="0.25">
      <c r="A764">
        <v>9480</v>
      </c>
      <c r="B764" t="s">
        <v>9003</v>
      </c>
      <c r="C764" t="s">
        <v>5043</v>
      </c>
    </row>
    <row r="765" spans="1:3" ht="15" x14ac:dyDescent="0.25">
      <c r="A765">
        <v>9842</v>
      </c>
      <c r="B765" t="s">
        <v>9003</v>
      </c>
      <c r="C765" t="s">
        <v>5043</v>
      </c>
    </row>
    <row r="766" spans="1:3" ht="15" x14ac:dyDescent="0.25">
      <c r="A766">
        <v>9942</v>
      </c>
      <c r="B766" t="s">
        <v>9003</v>
      </c>
      <c r="C766" t="s">
        <v>5043</v>
      </c>
    </row>
    <row r="767" spans="1:3" ht="15" x14ac:dyDescent="0.25">
      <c r="A767">
        <v>12663</v>
      </c>
      <c r="B767" t="s">
        <v>9004</v>
      </c>
      <c r="C767" t="s">
        <v>5043</v>
      </c>
    </row>
    <row r="768" spans="1:3" ht="15" x14ac:dyDescent="0.25">
      <c r="A768">
        <v>7685</v>
      </c>
      <c r="B768" t="s">
        <v>9004</v>
      </c>
      <c r="C768" t="s">
        <v>5043</v>
      </c>
    </row>
    <row r="769" spans="1:3" ht="15" x14ac:dyDescent="0.25">
      <c r="A769">
        <v>8328</v>
      </c>
      <c r="B769" t="s">
        <v>9004</v>
      </c>
      <c r="C769" t="s">
        <v>5043</v>
      </c>
    </row>
    <row r="770" spans="1:3" ht="15" x14ac:dyDescent="0.25">
      <c r="A770">
        <v>8897</v>
      </c>
      <c r="B770" t="s">
        <v>9004</v>
      </c>
      <c r="C770" t="s">
        <v>5043</v>
      </c>
    </row>
    <row r="771" spans="1:3" ht="15" x14ac:dyDescent="0.25">
      <c r="A771">
        <v>12273</v>
      </c>
      <c r="B771" t="s">
        <v>11516</v>
      </c>
      <c r="C771" t="s">
        <v>5043</v>
      </c>
    </row>
    <row r="772" spans="1:3" ht="15" x14ac:dyDescent="0.25">
      <c r="A772">
        <v>12305</v>
      </c>
      <c r="B772" t="s">
        <v>11516</v>
      </c>
      <c r="C772" t="s">
        <v>5043</v>
      </c>
    </row>
    <row r="773" spans="1:3" ht="15" x14ac:dyDescent="0.25">
      <c r="A773">
        <v>7035</v>
      </c>
      <c r="B773" t="s">
        <v>9005</v>
      </c>
      <c r="C773" t="s">
        <v>5043</v>
      </c>
    </row>
    <row r="774" spans="1:3" ht="15" x14ac:dyDescent="0.25">
      <c r="A774">
        <v>8609</v>
      </c>
      <c r="B774" t="s">
        <v>9006</v>
      </c>
      <c r="C774" t="s">
        <v>5043</v>
      </c>
    </row>
    <row r="775" spans="1:3" ht="15" x14ac:dyDescent="0.25">
      <c r="A775">
        <v>11188</v>
      </c>
      <c r="B775" t="s">
        <v>9007</v>
      </c>
      <c r="C775" t="s">
        <v>5043</v>
      </c>
    </row>
    <row r="776" spans="1:3" ht="15" x14ac:dyDescent="0.25">
      <c r="A776">
        <v>9966</v>
      </c>
      <c r="B776" t="s">
        <v>9007</v>
      </c>
      <c r="C776" t="s">
        <v>5043</v>
      </c>
    </row>
    <row r="777" spans="1:3" ht="15" x14ac:dyDescent="0.25">
      <c r="A777">
        <v>10572</v>
      </c>
      <c r="B777" t="s">
        <v>9008</v>
      </c>
      <c r="C777" t="s">
        <v>5043</v>
      </c>
    </row>
    <row r="778" spans="1:3" ht="15" x14ac:dyDescent="0.25">
      <c r="A778">
        <v>7386</v>
      </c>
      <c r="B778" t="s">
        <v>9008</v>
      </c>
      <c r="C778" t="s">
        <v>5043</v>
      </c>
    </row>
    <row r="779" spans="1:3" ht="15" x14ac:dyDescent="0.25">
      <c r="A779">
        <v>8750</v>
      </c>
      <c r="B779" t="s">
        <v>9008</v>
      </c>
      <c r="C779" t="s">
        <v>5043</v>
      </c>
    </row>
    <row r="780" spans="1:3" ht="15" x14ac:dyDescent="0.25">
      <c r="A780">
        <v>6830</v>
      </c>
      <c r="B780" t="s">
        <v>9009</v>
      </c>
      <c r="C780" t="s">
        <v>5043</v>
      </c>
    </row>
    <row r="781" spans="1:3" ht="15" x14ac:dyDescent="0.25">
      <c r="A781">
        <v>8006</v>
      </c>
      <c r="B781" t="s">
        <v>9010</v>
      </c>
      <c r="C781" t="s">
        <v>5043</v>
      </c>
    </row>
    <row r="782" spans="1:3" ht="15" x14ac:dyDescent="0.25">
      <c r="A782">
        <v>8515</v>
      </c>
      <c r="B782" t="s">
        <v>9010</v>
      </c>
      <c r="C782" t="s">
        <v>5043</v>
      </c>
    </row>
    <row r="783" spans="1:3" ht="15" x14ac:dyDescent="0.25">
      <c r="A783">
        <v>8915</v>
      </c>
      <c r="B783" t="s">
        <v>9010</v>
      </c>
      <c r="C783" t="s">
        <v>5043</v>
      </c>
    </row>
    <row r="784" spans="1:3" ht="15" x14ac:dyDescent="0.25">
      <c r="A784">
        <v>10475</v>
      </c>
      <c r="B784" t="s">
        <v>9011</v>
      </c>
      <c r="C784" t="s">
        <v>5043</v>
      </c>
    </row>
    <row r="785" spans="1:3" ht="15" x14ac:dyDescent="0.25">
      <c r="A785">
        <v>10826</v>
      </c>
      <c r="B785" t="s">
        <v>9012</v>
      </c>
      <c r="C785" t="s">
        <v>5043</v>
      </c>
    </row>
    <row r="786" spans="1:3" ht="15" x14ac:dyDescent="0.25">
      <c r="A786">
        <v>6768</v>
      </c>
      <c r="B786" t="s">
        <v>9012</v>
      </c>
      <c r="C786" t="s">
        <v>5043</v>
      </c>
    </row>
    <row r="787" spans="1:3" ht="15" x14ac:dyDescent="0.25">
      <c r="A787">
        <v>11690</v>
      </c>
      <c r="B787" t="s">
        <v>9013</v>
      </c>
      <c r="C787" t="s">
        <v>5043</v>
      </c>
    </row>
    <row r="788" spans="1:3" ht="15" x14ac:dyDescent="0.25">
      <c r="A788">
        <v>7162</v>
      </c>
      <c r="B788" t="s">
        <v>9015</v>
      </c>
      <c r="C788" t="s">
        <v>5043</v>
      </c>
    </row>
    <row r="789" spans="1:3" ht="15" x14ac:dyDescent="0.25">
      <c r="A789">
        <v>7274</v>
      </c>
      <c r="B789" t="s">
        <v>9015</v>
      </c>
      <c r="C789" t="s">
        <v>5043</v>
      </c>
    </row>
    <row r="790" spans="1:3" ht="15" x14ac:dyDescent="0.25">
      <c r="A790">
        <v>10403</v>
      </c>
      <c r="B790" t="s">
        <v>9016</v>
      </c>
      <c r="C790" t="s">
        <v>5043</v>
      </c>
    </row>
    <row r="791" spans="1:3" ht="15" x14ac:dyDescent="0.25">
      <c r="A791">
        <v>11626</v>
      </c>
      <c r="B791" t="s">
        <v>9016</v>
      </c>
      <c r="C791" t="s">
        <v>5043</v>
      </c>
    </row>
    <row r="792" spans="1:3" ht="15" x14ac:dyDescent="0.25">
      <c r="A792">
        <v>7315</v>
      </c>
      <c r="B792" t="s">
        <v>9016</v>
      </c>
      <c r="C792" t="s">
        <v>5043</v>
      </c>
    </row>
    <row r="793" spans="1:3" ht="15" x14ac:dyDescent="0.25">
      <c r="A793">
        <v>7788</v>
      </c>
      <c r="B793" t="s">
        <v>9016</v>
      </c>
      <c r="C793" t="s">
        <v>5043</v>
      </c>
    </row>
    <row r="794" spans="1:3" ht="15" x14ac:dyDescent="0.25">
      <c r="A794">
        <v>9089</v>
      </c>
      <c r="B794" t="s">
        <v>9016</v>
      </c>
      <c r="C794" t="s">
        <v>5043</v>
      </c>
    </row>
    <row r="795" spans="1:3" ht="15" x14ac:dyDescent="0.25">
      <c r="A795">
        <v>10356</v>
      </c>
      <c r="B795" t="s">
        <v>9017</v>
      </c>
      <c r="C795" t="s">
        <v>5043</v>
      </c>
    </row>
    <row r="796" spans="1:3" ht="15" x14ac:dyDescent="0.25">
      <c r="A796">
        <v>10361</v>
      </c>
      <c r="B796" t="s">
        <v>9017</v>
      </c>
      <c r="C796" t="s">
        <v>5043</v>
      </c>
    </row>
    <row r="797" spans="1:3" ht="15" x14ac:dyDescent="0.25">
      <c r="A797">
        <v>6708</v>
      </c>
      <c r="B797" t="s">
        <v>9017</v>
      </c>
      <c r="C797" t="s">
        <v>5043</v>
      </c>
    </row>
    <row r="798" spans="1:3" ht="15" x14ac:dyDescent="0.25">
      <c r="A798">
        <v>8246</v>
      </c>
      <c r="B798" t="s">
        <v>9017</v>
      </c>
      <c r="C798" t="s">
        <v>5043</v>
      </c>
    </row>
    <row r="799" spans="1:3" ht="15" x14ac:dyDescent="0.25">
      <c r="A799">
        <v>8499</v>
      </c>
      <c r="B799" t="s">
        <v>9017</v>
      </c>
      <c r="C799" t="s">
        <v>5043</v>
      </c>
    </row>
    <row r="800" spans="1:3" ht="15" x14ac:dyDescent="0.25">
      <c r="A800">
        <v>9129</v>
      </c>
      <c r="B800" t="s">
        <v>9017</v>
      </c>
      <c r="C800" t="s">
        <v>5043</v>
      </c>
    </row>
    <row r="801" spans="1:3" ht="15" x14ac:dyDescent="0.25">
      <c r="A801">
        <v>6831</v>
      </c>
      <c r="B801" t="s">
        <v>9018</v>
      </c>
      <c r="C801" t="s">
        <v>5043</v>
      </c>
    </row>
    <row r="802" spans="1:3" ht="15" x14ac:dyDescent="0.25">
      <c r="A802">
        <v>8999</v>
      </c>
      <c r="B802" t="s">
        <v>9018</v>
      </c>
      <c r="C802" t="s">
        <v>5043</v>
      </c>
    </row>
    <row r="803" spans="1:3" ht="15" x14ac:dyDescent="0.25">
      <c r="A803">
        <v>10648</v>
      </c>
      <c r="B803" t="s">
        <v>9019</v>
      </c>
      <c r="C803" t="s">
        <v>5043</v>
      </c>
    </row>
    <row r="804" spans="1:3" ht="15" x14ac:dyDescent="0.25">
      <c r="A804">
        <v>7796</v>
      </c>
      <c r="B804" t="s">
        <v>9019</v>
      </c>
      <c r="C804" t="s">
        <v>5043</v>
      </c>
    </row>
    <row r="805" spans="1:3" ht="15" x14ac:dyDescent="0.25">
      <c r="A805">
        <v>8863</v>
      </c>
      <c r="B805" t="s">
        <v>9020</v>
      </c>
      <c r="C805" t="s">
        <v>5043</v>
      </c>
    </row>
    <row r="806" spans="1:3" ht="15" x14ac:dyDescent="0.25">
      <c r="A806">
        <v>10570</v>
      </c>
      <c r="B806" t="s">
        <v>9021</v>
      </c>
      <c r="C806" t="s">
        <v>5043</v>
      </c>
    </row>
    <row r="807" spans="1:3" ht="15" x14ac:dyDescent="0.25">
      <c r="A807">
        <v>7253</v>
      </c>
      <c r="B807" t="s">
        <v>9022</v>
      </c>
      <c r="C807" t="s">
        <v>5043</v>
      </c>
    </row>
    <row r="808" spans="1:3" ht="15" x14ac:dyDescent="0.25">
      <c r="A808">
        <v>11436</v>
      </c>
      <c r="B808" t="s">
        <v>9023</v>
      </c>
      <c r="C808" t="s">
        <v>5043</v>
      </c>
    </row>
    <row r="809" spans="1:3" ht="15" x14ac:dyDescent="0.25">
      <c r="A809">
        <v>8787</v>
      </c>
      <c r="B809" t="s">
        <v>9023</v>
      </c>
      <c r="C809" t="s">
        <v>5043</v>
      </c>
    </row>
    <row r="810" spans="1:3" ht="15" x14ac:dyDescent="0.25">
      <c r="A810">
        <v>9379</v>
      </c>
      <c r="B810" t="s">
        <v>9023</v>
      </c>
      <c r="C810" t="s">
        <v>5043</v>
      </c>
    </row>
    <row r="811" spans="1:3" ht="15" x14ac:dyDescent="0.25">
      <c r="A811">
        <v>11325</v>
      </c>
      <c r="B811" t="s">
        <v>9025</v>
      </c>
      <c r="C811" t="s">
        <v>5043</v>
      </c>
    </row>
    <row r="812" spans="1:3" ht="15" x14ac:dyDescent="0.25">
      <c r="A812">
        <v>8777</v>
      </c>
      <c r="B812" t="s">
        <v>9026</v>
      </c>
      <c r="C812" t="s">
        <v>5043</v>
      </c>
    </row>
    <row r="813" spans="1:3" ht="15" x14ac:dyDescent="0.25">
      <c r="A813">
        <v>9758</v>
      </c>
      <c r="B813" t="s">
        <v>9027</v>
      </c>
      <c r="C813" t="s">
        <v>5043</v>
      </c>
    </row>
    <row r="814" spans="1:3" ht="15" x14ac:dyDescent="0.25">
      <c r="A814">
        <v>6922</v>
      </c>
      <c r="B814" t="s">
        <v>9028</v>
      </c>
      <c r="C814" t="s">
        <v>5043</v>
      </c>
    </row>
    <row r="815" spans="1:3" ht="15" x14ac:dyDescent="0.25">
      <c r="A815">
        <v>11016</v>
      </c>
      <c r="B815" t="s">
        <v>9031</v>
      </c>
      <c r="C815" t="s">
        <v>5043</v>
      </c>
    </row>
    <row r="816" spans="1:3" ht="15" x14ac:dyDescent="0.25">
      <c r="A816">
        <v>10925</v>
      </c>
      <c r="B816" t="s">
        <v>10748</v>
      </c>
      <c r="C816" t="s">
        <v>5043</v>
      </c>
    </row>
    <row r="817" spans="1:3" ht="15" x14ac:dyDescent="0.25">
      <c r="A817"/>
      <c r="B817"/>
      <c r="C817"/>
    </row>
    <row r="818" spans="1:3" ht="15" x14ac:dyDescent="0.25">
      <c r="A818"/>
      <c r="B818"/>
      <c r="C818"/>
    </row>
    <row r="819" spans="1:3" ht="15" x14ac:dyDescent="0.25">
      <c r="A819"/>
      <c r="B819"/>
      <c r="C819"/>
    </row>
    <row r="820" spans="1:3" ht="15" x14ac:dyDescent="0.25">
      <c r="A820"/>
      <c r="B820"/>
      <c r="C820"/>
    </row>
    <row r="821" spans="1:3" ht="15" x14ac:dyDescent="0.25">
      <c r="A821"/>
      <c r="B821"/>
      <c r="C821"/>
    </row>
    <row r="822" spans="1:3" ht="15" x14ac:dyDescent="0.25">
      <c r="A822"/>
      <c r="B822"/>
      <c r="C822"/>
    </row>
    <row r="823" spans="1:3" ht="15" x14ac:dyDescent="0.25">
      <c r="A823"/>
      <c r="B823"/>
      <c r="C823"/>
    </row>
    <row r="824" spans="1:3" ht="15" x14ac:dyDescent="0.25">
      <c r="A824"/>
      <c r="B824"/>
      <c r="C824"/>
    </row>
    <row r="825" spans="1:3" ht="15" x14ac:dyDescent="0.25">
      <c r="A825"/>
      <c r="B825"/>
      <c r="C825"/>
    </row>
    <row r="826" spans="1:3" ht="15" x14ac:dyDescent="0.25">
      <c r="A826"/>
      <c r="B826"/>
      <c r="C826"/>
    </row>
    <row r="827" spans="1:3" ht="15" x14ac:dyDescent="0.25">
      <c r="A827"/>
      <c r="B827"/>
      <c r="C827"/>
    </row>
    <row r="828" spans="1:3" ht="15" x14ac:dyDescent="0.25">
      <c r="A828"/>
      <c r="B828"/>
      <c r="C828"/>
    </row>
    <row r="829" spans="1:3" ht="15" x14ac:dyDescent="0.25">
      <c r="A829"/>
      <c r="B829"/>
      <c r="C829"/>
    </row>
    <row r="830" spans="1:3" ht="15" x14ac:dyDescent="0.25">
      <c r="A830"/>
      <c r="B830"/>
      <c r="C830"/>
    </row>
    <row r="831" spans="1:3" ht="15" x14ac:dyDescent="0.25">
      <c r="A831"/>
      <c r="B831"/>
      <c r="C831"/>
    </row>
    <row r="832" spans="1:3" ht="15" x14ac:dyDescent="0.25">
      <c r="A832"/>
      <c r="B832"/>
      <c r="C832"/>
    </row>
    <row r="833" spans="1:3" ht="15" x14ac:dyDescent="0.25">
      <c r="A833"/>
      <c r="B833"/>
      <c r="C833"/>
    </row>
    <row r="834" spans="1:3" ht="15" x14ac:dyDescent="0.25">
      <c r="A834"/>
      <c r="B834"/>
      <c r="C834"/>
    </row>
    <row r="835" spans="1:3" ht="15" x14ac:dyDescent="0.25">
      <c r="A835"/>
      <c r="B835"/>
      <c r="C835"/>
    </row>
    <row r="836" spans="1:3" ht="15" x14ac:dyDescent="0.25">
      <c r="A836"/>
      <c r="B836"/>
      <c r="C836"/>
    </row>
    <row r="837" spans="1:3" ht="15" x14ac:dyDescent="0.25">
      <c r="A837"/>
      <c r="B837"/>
      <c r="C837"/>
    </row>
    <row r="838" spans="1:3" ht="15" x14ac:dyDescent="0.25">
      <c r="A838"/>
      <c r="B838"/>
      <c r="C838"/>
    </row>
    <row r="839" spans="1:3" ht="15" x14ac:dyDescent="0.25">
      <c r="A839"/>
      <c r="B839"/>
      <c r="C839"/>
    </row>
    <row r="840" spans="1:3" ht="15" x14ac:dyDescent="0.25">
      <c r="A840"/>
      <c r="B840"/>
      <c r="C840"/>
    </row>
    <row r="841" spans="1:3" ht="15" x14ac:dyDescent="0.25">
      <c r="A841"/>
      <c r="B841"/>
      <c r="C841"/>
    </row>
    <row r="842" spans="1:3" ht="15" x14ac:dyDescent="0.25">
      <c r="A842"/>
      <c r="B842"/>
      <c r="C842"/>
    </row>
    <row r="843" spans="1:3" ht="15" x14ac:dyDescent="0.25">
      <c r="A843"/>
      <c r="B843"/>
      <c r="C843"/>
    </row>
    <row r="844" spans="1:3" ht="15" x14ac:dyDescent="0.25">
      <c r="A844"/>
      <c r="B844"/>
      <c r="C844"/>
    </row>
    <row r="845" spans="1:3" ht="15" x14ac:dyDescent="0.25">
      <c r="A845"/>
      <c r="B845"/>
      <c r="C845"/>
    </row>
    <row r="846" spans="1:3" ht="15" x14ac:dyDescent="0.25">
      <c r="A846"/>
      <c r="B846"/>
      <c r="C846"/>
    </row>
    <row r="847" spans="1:3" ht="15" x14ac:dyDescent="0.25">
      <c r="A847"/>
      <c r="B847"/>
      <c r="C847"/>
    </row>
    <row r="848" spans="1:3" ht="15" x14ac:dyDescent="0.25">
      <c r="A848"/>
      <c r="B848"/>
      <c r="C848"/>
    </row>
    <row r="849" spans="1:3" ht="15" x14ac:dyDescent="0.25">
      <c r="A849"/>
      <c r="B849"/>
      <c r="C849"/>
    </row>
    <row r="850" spans="1:3" ht="15" x14ac:dyDescent="0.25">
      <c r="A850"/>
      <c r="B850"/>
      <c r="C850"/>
    </row>
    <row r="851" spans="1:3" ht="15" x14ac:dyDescent="0.25">
      <c r="A851"/>
      <c r="B851"/>
      <c r="C851"/>
    </row>
    <row r="852" spans="1:3" ht="15" x14ac:dyDescent="0.25">
      <c r="A852"/>
      <c r="B852"/>
      <c r="C852"/>
    </row>
    <row r="853" spans="1:3" ht="15" x14ac:dyDescent="0.25">
      <c r="A853"/>
      <c r="B853"/>
      <c r="C853"/>
    </row>
    <row r="854" spans="1:3" ht="15" x14ac:dyDescent="0.25">
      <c r="A854"/>
      <c r="B854"/>
      <c r="C854"/>
    </row>
    <row r="855" spans="1:3" ht="15" x14ac:dyDescent="0.25">
      <c r="A855"/>
      <c r="B855"/>
      <c r="C855"/>
    </row>
    <row r="856" spans="1:3" ht="15" x14ac:dyDescent="0.25">
      <c r="A856"/>
      <c r="B856"/>
      <c r="C856"/>
    </row>
    <row r="857" spans="1:3" ht="15" x14ac:dyDescent="0.25">
      <c r="A857"/>
      <c r="B857"/>
      <c r="C857"/>
    </row>
    <row r="858" spans="1:3" ht="15" x14ac:dyDescent="0.25">
      <c r="A858"/>
      <c r="B858"/>
      <c r="C858"/>
    </row>
    <row r="859" spans="1:3" ht="15" x14ac:dyDescent="0.25">
      <c r="A859"/>
      <c r="B859"/>
      <c r="C859"/>
    </row>
    <row r="860" spans="1:3" ht="15" x14ac:dyDescent="0.25">
      <c r="A860"/>
      <c r="B860"/>
      <c r="C860"/>
    </row>
    <row r="861" spans="1:3" ht="15" x14ac:dyDescent="0.25">
      <c r="A861"/>
      <c r="B861"/>
      <c r="C861"/>
    </row>
    <row r="862" spans="1:3" ht="15" x14ac:dyDescent="0.25">
      <c r="A862"/>
      <c r="B862"/>
      <c r="C862"/>
    </row>
    <row r="863" spans="1:3" ht="15" x14ac:dyDescent="0.25">
      <c r="A863"/>
      <c r="B863"/>
      <c r="C863"/>
    </row>
    <row r="864" spans="1:3" ht="15" x14ac:dyDescent="0.25">
      <c r="A864"/>
      <c r="B864"/>
      <c r="C864"/>
    </row>
    <row r="865" spans="1:3" ht="15" x14ac:dyDescent="0.25">
      <c r="A865"/>
      <c r="B865"/>
      <c r="C865"/>
    </row>
    <row r="866" spans="1:3" ht="15" x14ac:dyDescent="0.25">
      <c r="A866"/>
      <c r="B866"/>
      <c r="C866"/>
    </row>
    <row r="867" spans="1:3" ht="15" x14ac:dyDescent="0.25">
      <c r="A867"/>
      <c r="B867"/>
      <c r="C867"/>
    </row>
    <row r="868" spans="1:3" ht="15" x14ac:dyDescent="0.25">
      <c r="A868"/>
      <c r="B868"/>
      <c r="C868"/>
    </row>
    <row r="869" spans="1:3" ht="15" x14ac:dyDescent="0.25">
      <c r="A869"/>
      <c r="B869"/>
      <c r="C869"/>
    </row>
    <row r="870" spans="1:3" ht="15" x14ac:dyDescent="0.25">
      <c r="A870"/>
      <c r="B870"/>
      <c r="C870"/>
    </row>
    <row r="871" spans="1:3" ht="15" x14ac:dyDescent="0.25">
      <c r="A871"/>
      <c r="B871"/>
      <c r="C871"/>
    </row>
    <row r="872" spans="1:3" ht="15" x14ac:dyDescent="0.25">
      <c r="A872"/>
      <c r="B872"/>
      <c r="C872"/>
    </row>
    <row r="873" spans="1:3" ht="15" x14ac:dyDescent="0.25">
      <c r="A873"/>
      <c r="B873"/>
      <c r="C873"/>
    </row>
    <row r="874" spans="1:3" ht="15" x14ac:dyDescent="0.25">
      <c r="A874"/>
      <c r="B874"/>
      <c r="C874"/>
    </row>
    <row r="875" spans="1:3" ht="15" x14ac:dyDescent="0.25">
      <c r="A875"/>
      <c r="B875"/>
      <c r="C875"/>
    </row>
    <row r="876" spans="1:3" ht="15" x14ac:dyDescent="0.25">
      <c r="A876"/>
      <c r="B876"/>
      <c r="C876"/>
    </row>
    <row r="877" spans="1:3" ht="15" x14ac:dyDescent="0.25">
      <c r="A877"/>
      <c r="B877"/>
      <c r="C877"/>
    </row>
    <row r="878" spans="1:3" ht="15" x14ac:dyDescent="0.25">
      <c r="A878"/>
      <c r="B878"/>
      <c r="C878"/>
    </row>
    <row r="879" spans="1:3" ht="15" x14ac:dyDescent="0.25">
      <c r="A879"/>
      <c r="B879"/>
      <c r="C879"/>
    </row>
    <row r="880" spans="1:3" ht="15" x14ac:dyDescent="0.25">
      <c r="A880"/>
      <c r="B880"/>
      <c r="C880"/>
    </row>
    <row r="881" spans="1:3" ht="15" x14ac:dyDescent="0.25">
      <c r="A881"/>
      <c r="B881"/>
      <c r="C881"/>
    </row>
    <row r="882" spans="1:3" ht="15" x14ac:dyDescent="0.25">
      <c r="A882"/>
      <c r="B882"/>
      <c r="C882"/>
    </row>
    <row r="883" spans="1:3" ht="15" x14ac:dyDescent="0.25">
      <c r="A883"/>
      <c r="B883"/>
      <c r="C883"/>
    </row>
    <row r="884" spans="1:3" ht="15" x14ac:dyDescent="0.25">
      <c r="A884"/>
      <c r="B884"/>
      <c r="C884"/>
    </row>
    <row r="885" spans="1:3" ht="15" x14ac:dyDescent="0.25">
      <c r="A885"/>
      <c r="B885"/>
      <c r="C885"/>
    </row>
    <row r="886" spans="1:3" ht="15" x14ac:dyDescent="0.25">
      <c r="A886"/>
      <c r="B886"/>
      <c r="C886"/>
    </row>
    <row r="887" spans="1:3" ht="15" x14ac:dyDescent="0.25">
      <c r="A887"/>
      <c r="B887"/>
      <c r="C887"/>
    </row>
    <row r="888" spans="1:3" ht="15" x14ac:dyDescent="0.25">
      <c r="A888"/>
      <c r="B888"/>
      <c r="C888"/>
    </row>
    <row r="889" spans="1:3" ht="15" x14ac:dyDescent="0.25">
      <c r="A889"/>
      <c r="B889"/>
      <c r="C889"/>
    </row>
    <row r="890" spans="1:3" ht="15" x14ac:dyDescent="0.25">
      <c r="A890"/>
      <c r="B890"/>
      <c r="C890"/>
    </row>
    <row r="891" spans="1:3" ht="15" x14ac:dyDescent="0.25">
      <c r="A891"/>
      <c r="B891"/>
      <c r="C891"/>
    </row>
    <row r="892" spans="1:3" ht="15" x14ac:dyDescent="0.25">
      <c r="A892"/>
      <c r="B892"/>
      <c r="C892"/>
    </row>
    <row r="893" spans="1:3" ht="15" x14ac:dyDescent="0.25">
      <c r="A893"/>
      <c r="B893"/>
      <c r="C893"/>
    </row>
    <row r="894" spans="1:3" ht="15" x14ac:dyDescent="0.25">
      <c r="A894"/>
      <c r="B894"/>
      <c r="C894"/>
    </row>
    <row r="895" spans="1:3" ht="15" x14ac:dyDescent="0.25">
      <c r="A895"/>
      <c r="B895"/>
      <c r="C895"/>
    </row>
    <row r="896" spans="1:3" ht="15" x14ac:dyDescent="0.25">
      <c r="A896"/>
      <c r="B896"/>
      <c r="C896"/>
    </row>
    <row r="897" spans="1:3" ht="15" x14ac:dyDescent="0.25">
      <c r="A897"/>
      <c r="B897"/>
      <c r="C897"/>
    </row>
    <row r="898" spans="1:3" ht="15" x14ac:dyDescent="0.25">
      <c r="A898"/>
      <c r="B898"/>
      <c r="C898"/>
    </row>
    <row r="899" spans="1:3" ht="15" x14ac:dyDescent="0.25">
      <c r="A899"/>
      <c r="B899"/>
      <c r="C899"/>
    </row>
    <row r="900" spans="1:3" ht="15" x14ac:dyDescent="0.25">
      <c r="A900"/>
      <c r="B900"/>
      <c r="C900"/>
    </row>
    <row r="901" spans="1:3" ht="15" x14ac:dyDescent="0.25">
      <c r="A901"/>
      <c r="B901"/>
      <c r="C901"/>
    </row>
    <row r="902" spans="1:3" ht="15" x14ac:dyDescent="0.25">
      <c r="A902"/>
      <c r="B902"/>
      <c r="C902"/>
    </row>
    <row r="903" spans="1:3" ht="15" x14ac:dyDescent="0.25">
      <c r="A903"/>
      <c r="B903"/>
      <c r="C903"/>
    </row>
    <row r="904" spans="1:3" ht="15" x14ac:dyDescent="0.25">
      <c r="A904"/>
      <c r="B904"/>
      <c r="C904"/>
    </row>
    <row r="905" spans="1:3" ht="15" x14ac:dyDescent="0.25">
      <c r="A905"/>
      <c r="B905"/>
      <c r="C905"/>
    </row>
    <row r="906" spans="1:3" ht="15" x14ac:dyDescent="0.25">
      <c r="A906"/>
      <c r="B906"/>
      <c r="C906"/>
    </row>
    <row r="907" spans="1:3" ht="15" x14ac:dyDescent="0.25">
      <c r="A907"/>
      <c r="B907"/>
      <c r="C907"/>
    </row>
    <row r="908" spans="1:3" ht="15" x14ac:dyDescent="0.25">
      <c r="A908"/>
      <c r="B908"/>
      <c r="C908"/>
    </row>
    <row r="909" spans="1:3" ht="15" x14ac:dyDescent="0.25">
      <c r="A909"/>
      <c r="B909"/>
      <c r="C909"/>
    </row>
    <row r="910" spans="1:3" ht="15" x14ac:dyDescent="0.25">
      <c r="A910"/>
      <c r="B910"/>
      <c r="C910"/>
    </row>
    <row r="911" spans="1:3" ht="15" x14ac:dyDescent="0.25">
      <c r="A911"/>
      <c r="B911"/>
      <c r="C911"/>
    </row>
    <row r="912" spans="1:3" ht="15" x14ac:dyDescent="0.25">
      <c r="A912"/>
      <c r="B912"/>
      <c r="C912"/>
    </row>
    <row r="913" spans="1:3" ht="15" x14ac:dyDescent="0.25">
      <c r="A913"/>
      <c r="B913"/>
      <c r="C913"/>
    </row>
    <row r="914" spans="1:3" ht="15" x14ac:dyDescent="0.25">
      <c r="A914"/>
      <c r="B914"/>
      <c r="C914"/>
    </row>
    <row r="915" spans="1:3" ht="15" x14ac:dyDescent="0.25">
      <c r="A915"/>
      <c r="B915"/>
      <c r="C915"/>
    </row>
    <row r="916" spans="1:3" ht="15" x14ac:dyDescent="0.25">
      <c r="A916"/>
      <c r="B916"/>
      <c r="C916"/>
    </row>
    <row r="917" spans="1:3" ht="15" x14ac:dyDescent="0.25">
      <c r="A917"/>
      <c r="B917"/>
      <c r="C917"/>
    </row>
    <row r="918" spans="1:3" ht="15" x14ac:dyDescent="0.25">
      <c r="A918"/>
      <c r="B918"/>
      <c r="C918"/>
    </row>
    <row r="919" spans="1:3" ht="15" x14ac:dyDescent="0.25">
      <c r="A919"/>
      <c r="B919"/>
      <c r="C919"/>
    </row>
    <row r="920" spans="1:3" ht="15" x14ac:dyDescent="0.25">
      <c r="A920"/>
      <c r="B920"/>
      <c r="C920"/>
    </row>
    <row r="921" spans="1:3" ht="15" x14ac:dyDescent="0.25">
      <c r="A921"/>
      <c r="B921"/>
      <c r="C921"/>
    </row>
    <row r="922" spans="1:3" ht="15" x14ac:dyDescent="0.25">
      <c r="A922"/>
      <c r="B922"/>
      <c r="C922"/>
    </row>
    <row r="923" spans="1:3" ht="15" x14ac:dyDescent="0.25">
      <c r="A923"/>
      <c r="B923"/>
      <c r="C923"/>
    </row>
    <row r="924" spans="1:3" ht="15" x14ac:dyDescent="0.25">
      <c r="A924"/>
      <c r="B924"/>
      <c r="C924"/>
    </row>
    <row r="925" spans="1:3" ht="15" x14ac:dyDescent="0.25">
      <c r="A925"/>
      <c r="B925"/>
      <c r="C925"/>
    </row>
    <row r="926" spans="1:3" ht="15" x14ac:dyDescent="0.25">
      <c r="A926"/>
      <c r="B926"/>
      <c r="C926"/>
    </row>
    <row r="927" spans="1:3" ht="15" x14ac:dyDescent="0.25">
      <c r="A927"/>
      <c r="B927"/>
      <c r="C927"/>
    </row>
    <row r="928" spans="1:3" ht="15" x14ac:dyDescent="0.25">
      <c r="A928"/>
      <c r="B928"/>
      <c r="C928"/>
    </row>
    <row r="929" spans="1:3" ht="15" x14ac:dyDescent="0.25">
      <c r="A929"/>
      <c r="B929"/>
      <c r="C929"/>
    </row>
    <row r="930" spans="1:3" ht="15" x14ac:dyDescent="0.25">
      <c r="A930"/>
      <c r="B930"/>
      <c r="C930"/>
    </row>
    <row r="931" spans="1:3" ht="15" x14ac:dyDescent="0.25">
      <c r="A931"/>
      <c r="B931"/>
      <c r="C931"/>
    </row>
    <row r="932" spans="1:3" ht="15" x14ac:dyDescent="0.25">
      <c r="A932"/>
      <c r="B932"/>
      <c r="C932"/>
    </row>
    <row r="933" spans="1:3" ht="15" x14ac:dyDescent="0.25">
      <c r="A933"/>
      <c r="B933"/>
      <c r="C933"/>
    </row>
    <row r="934" spans="1:3" ht="15" x14ac:dyDescent="0.25">
      <c r="A934"/>
      <c r="B934"/>
      <c r="C934"/>
    </row>
    <row r="935" spans="1:3" ht="15" x14ac:dyDescent="0.25">
      <c r="A935"/>
      <c r="B935"/>
      <c r="C935"/>
    </row>
    <row r="936" spans="1:3" ht="15" x14ac:dyDescent="0.25">
      <c r="A936"/>
      <c r="B936"/>
      <c r="C936"/>
    </row>
    <row r="937" spans="1:3" ht="15" x14ac:dyDescent="0.25">
      <c r="A937"/>
      <c r="B937"/>
      <c r="C937"/>
    </row>
    <row r="938" spans="1:3" ht="15" x14ac:dyDescent="0.25">
      <c r="A938"/>
      <c r="B938"/>
      <c r="C938"/>
    </row>
    <row r="939" spans="1:3" ht="15" x14ac:dyDescent="0.25">
      <c r="A939"/>
      <c r="B939"/>
      <c r="C939"/>
    </row>
    <row r="940" spans="1:3" ht="15" x14ac:dyDescent="0.25">
      <c r="A940"/>
      <c r="B940"/>
      <c r="C940"/>
    </row>
    <row r="941" spans="1:3" ht="15" x14ac:dyDescent="0.25">
      <c r="A941"/>
      <c r="B941"/>
      <c r="C941"/>
    </row>
    <row r="942" spans="1:3" ht="15" x14ac:dyDescent="0.25">
      <c r="A942"/>
      <c r="B942"/>
      <c r="C942"/>
    </row>
    <row r="943" spans="1:3" ht="15" x14ac:dyDescent="0.25">
      <c r="A943"/>
      <c r="B943"/>
      <c r="C943"/>
    </row>
    <row r="944" spans="1:3" ht="15" x14ac:dyDescent="0.25">
      <c r="A944"/>
      <c r="B944"/>
      <c r="C944"/>
    </row>
    <row r="945" spans="1:3" ht="15" x14ac:dyDescent="0.25">
      <c r="A945"/>
      <c r="B945"/>
      <c r="C945"/>
    </row>
    <row r="946" spans="1:3" ht="15" x14ac:dyDescent="0.25">
      <c r="A946"/>
      <c r="B946"/>
      <c r="C946"/>
    </row>
    <row r="947" spans="1:3" ht="15" x14ac:dyDescent="0.25">
      <c r="A947"/>
      <c r="B947"/>
      <c r="C947"/>
    </row>
    <row r="948" spans="1:3" ht="15" x14ac:dyDescent="0.25">
      <c r="A948"/>
      <c r="B948"/>
      <c r="C948"/>
    </row>
    <row r="949" spans="1:3" ht="15" x14ac:dyDescent="0.25">
      <c r="A949"/>
      <c r="B949"/>
      <c r="C949"/>
    </row>
    <row r="950" spans="1:3" ht="15" x14ac:dyDescent="0.25">
      <c r="A950"/>
      <c r="B950"/>
      <c r="C950"/>
    </row>
    <row r="951" spans="1:3" ht="15" x14ac:dyDescent="0.25">
      <c r="A951"/>
      <c r="B951"/>
      <c r="C951"/>
    </row>
    <row r="952" spans="1:3" ht="15" x14ac:dyDescent="0.25">
      <c r="A952"/>
      <c r="B952"/>
      <c r="C952"/>
    </row>
    <row r="953" spans="1:3" ht="15" x14ac:dyDescent="0.25">
      <c r="A953"/>
      <c r="B953"/>
      <c r="C953"/>
    </row>
    <row r="954" spans="1:3" ht="15" x14ac:dyDescent="0.25">
      <c r="A954"/>
      <c r="B954"/>
      <c r="C954"/>
    </row>
    <row r="955" spans="1:3" ht="15" x14ac:dyDescent="0.25">
      <c r="A955"/>
      <c r="B955"/>
      <c r="C955"/>
    </row>
    <row r="956" spans="1:3" ht="15" x14ac:dyDescent="0.25">
      <c r="A956"/>
      <c r="B956"/>
      <c r="C956"/>
    </row>
    <row r="957" spans="1:3" ht="15" x14ac:dyDescent="0.25">
      <c r="A957"/>
      <c r="B957"/>
      <c r="C957"/>
    </row>
    <row r="958" spans="1:3" ht="15" x14ac:dyDescent="0.25">
      <c r="A958"/>
      <c r="B958"/>
      <c r="C958"/>
    </row>
    <row r="959" spans="1:3" ht="15" x14ac:dyDescent="0.25">
      <c r="A959"/>
      <c r="B959"/>
      <c r="C959"/>
    </row>
    <row r="960" spans="1:3" ht="15" x14ac:dyDescent="0.25">
      <c r="A960"/>
      <c r="B960"/>
      <c r="C960"/>
    </row>
    <row r="961" spans="1:3" ht="15" x14ac:dyDescent="0.25">
      <c r="A961"/>
      <c r="B961"/>
      <c r="C961"/>
    </row>
    <row r="962" spans="1:3" ht="15" x14ac:dyDescent="0.25">
      <c r="A962"/>
      <c r="B962"/>
      <c r="C962"/>
    </row>
    <row r="963" spans="1:3" ht="15" x14ac:dyDescent="0.25">
      <c r="A963"/>
      <c r="B963"/>
      <c r="C963"/>
    </row>
    <row r="964" spans="1:3" ht="15" x14ac:dyDescent="0.25">
      <c r="A964"/>
      <c r="B964"/>
      <c r="C964"/>
    </row>
    <row r="965" spans="1:3" ht="15" x14ac:dyDescent="0.25">
      <c r="A965"/>
      <c r="B965"/>
      <c r="C965"/>
    </row>
    <row r="966" spans="1:3" ht="15" x14ac:dyDescent="0.25">
      <c r="A966"/>
      <c r="B966"/>
      <c r="C966"/>
    </row>
    <row r="967" spans="1:3" ht="15" x14ac:dyDescent="0.25">
      <c r="A967"/>
      <c r="B967"/>
      <c r="C967"/>
    </row>
    <row r="968" spans="1:3" ht="15" x14ac:dyDescent="0.25">
      <c r="A968"/>
      <c r="B968"/>
      <c r="C968"/>
    </row>
    <row r="969" spans="1:3" ht="15" x14ac:dyDescent="0.25">
      <c r="A969"/>
      <c r="B969"/>
      <c r="C969"/>
    </row>
    <row r="970" spans="1:3" ht="15" x14ac:dyDescent="0.25">
      <c r="A970"/>
      <c r="B970"/>
      <c r="C970"/>
    </row>
    <row r="971" spans="1:3" ht="15" x14ac:dyDescent="0.25">
      <c r="A971"/>
      <c r="B971"/>
      <c r="C971"/>
    </row>
    <row r="972" spans="1:3" ht="15" x14ac:dyDescent="0.25">
      <c r="A972"/>
      <c r="B972"/>
      <c r="C972"/>
    </row>
    <row r="973" spans="1:3" ht="15" x14ac:dyDescent="0.25">
      <c r="A973"/>
      <c r="B973"/>
      <c r="C973"/>
    </row>
    <row r="974" spans="1:3" ht="15" x14ac:dyDescent="0.25">
      <c r="A974"/>
      <c r="B974"/>
      <c r="C974"/>
    </row>
    <row r="975" spans="1:3" ht="15" x14ac:dyDescent="0.25">
      <c r="A975"/>
      <c r="B975"/>
      <c r="C975"/>
    </row>
    <row r="976" spans="1:3" ht="15" x14ac:dyDescent="0.25">
      <c r="A976"/>
      <c r="B976"/>
      <c r="C976"/>
    </row>
    <row r="977" spans="1:3" ht="15" x14ac:dyDescent="0.25">
      <c r="A977"/>
      <c r="B977"/>
      <c r="C977"/>
    </row>
    <row r="978" spans="1:3" ht="15" x14ac:dyDescent="0.25">
      <c r="A978"/>
      <c r="B978"/>
      <c r="C978"/>
    </row>
    <row r="979" spans="1:3" ht="15" x14ac:dyDescent="0.25">
      <c r="A979"/>
      <c r="B979"/>
      <c r="C979"/>
    </row>
    <row r="980" spans="1:3" ht="15" x14ac:dyDescent="0.25">
      <c r="A980"/>
      <c r="B980"/>
      <c r="C980"/>
    </row>
    <row r="981" spans="1:3" ht="15" x14ac:dyDescent="0.25">
      <c r="A981"/>
      <c r="B981"/>
      <c r="C981"/>
    </row>
    <row r="982" spans="1:3" ht="15" x14ac:dyDescent="0.25">
      <c r="A982"/>
      <c r="B982"/>
      <c r="C982"/>
    </row>
    <row r="983" spans="1:3" ht="15" x14ac:dyDescent="0.25">
      <c r="A983"/>
      <c r="B983"/>
      <c r="C983"/>
    </row>
    <row r="984" spans="1:3" ht="15" x14ac:dyDescent="0.25">
      <c r="A984"/>
      <c r="B984"/>
      <c r="C984"/>
    </row>
    <row r="985" spans="1:3" ht="15" x14ac:dyDescent="0.25">
      <c r="A985"/>
      <c r="B985"/>
      <c r="C985"/>
    </row>
    <row r="986" spans="1:3" ht="15" x14ac:dyDescent="0.25">
      <c r="A986"/>
      <c r="B986"/>
      <c r="C986"/>
    </row>
    <row r="987" spans="1:3" ht="15" x14ac:dyDescent="0.25">
      <c r="A987"/>
      <c r="B987"/>
      <c r="C987"/>
    </row>
    <row r="988" spans="1:3" ht="15" x14ac:dyDescent="0.25">
      <c r="A988"/>
      <c r="B988"/>
      <c r="C988"/>
    </row>
    <row r="989" spans="1:3" ht="15" x14ac:dyDescent="0.25">
      <c r="A989"/>
      <c r="B989"/>
      <c r="C989"/>
    </row>
    <row r="990" spans="1:3" ht="15" x14ac:dyDescent="0.25">
      <c r="A990"/>
      <c r="B990"/>
      <c r="C990"/>
    </row>
    <row r="991" spans="1:3" ht="15" x14ac:dyDescent="0.25">
      <c r="A991"/>
      <c r="B991"/>
      <c r="C991"/>
    </row>
    <row r="992" spans="1:3" ht="15" x14ac:dyDescent="0.25">
      <c r="A992"/>
      <c r="B992"/>
      <c r="C992"/>
    </row>
    <row r="993" spans="1:3" ht="15" x14ac:dyDescent="0.25">
      <c r="A993"/>
      <c r="B993"/>
      <c r="C993"/>
    </row>
    <row r="994" spans="1:3" ht="15" x14ac:dyDescent="0.25">
      <c r="A994"/>
      <c r="B994"/>
      <c r="C994"/>
    </row>
    <row r="995" spans="1:3" ht="15" x14ac:dyDescent="0.25">
      <c r="A995"/>
      <c r="B995"/>
      <c r="C995"/>
    </row>
    <row r="996" spans="1:3" ht="15" x14ac:dyDescent="0.25">
      <c r="A996"/>
      <c r="B996"/>
      <c r="C996"/>
    </row>
    <row r="997" spans="1:3" ht="15" x14ac:dyDescent="0.25">
      <c r="A997"/>
      <c r="B997"/>
      <c r="C997"/>
    </row>
    <row r="998" spans="1:3" ht="15" x14ac:dyDescent="0.25">
      <c r="A998"/>
      <c r="B998"/>
      <c r="C998"/>
    </row>
    <row r="999" spans="1:3" ht="15" x14ac:dyDescent="0.25">
      <c r="A999"/>
      <c r="B999"/>
      <c r="C999"/>
    </row>
    <row r="1000" spans="1:3" ht="15" x14ac:dyDescent="0.25">
      <c r="A1000"/>
      <c r="B1000"/>
      <c r="C1000"/>
    </row>
    <row r="1001" spans="1:3" ht="15" x14ac:dyDescent="0.25">
      <c r="A1001"/>
      <c r="B1001"/>
      <c r="C1001"/>
    </row>
    <row r="1002" spans="1:3" ht="15" x14ac:dyDescent="0.25">
      <c r="A1002"/>
      <c r="B1002"/>
      <c r="C1002"/>
    </row>
    <row r="1003" spans="1:3" ht="15" x14ac:dyDescent="0.25">
      <c r="A1003"/>
      <c r="B1003"/>
      <c r="C1003"/>
    </row>
    <row r="1004" spans="1:3" ht="15" x14ac:dyDescent="0.25">
      <c r="A1004"/>
      <c r="B1004"/>
      <c r="C1004"/>
    </row>
    <row r="1005" spans="1:3" ht="15" x14ac:dyDescent="0.25">
      <c r="A1005"/>
      <c r="B1005"/>
      <c r="C1005"/>
    </row>
    <row r="1006" spans="1:3" ht="15" x14ac:dyDescent="0.25">
      <c r="A1006"/>
      <c r="B1006"/>
      <c r="C1006"/>
    </row>
    <row r="1007" spans="1:3" ht="15" x14ac:dyDescent="0.25">
      <c r="A1007"/>
      <c r="B1007"/>
      <c r="C1007"/>
    </row>
    <row r="1008" spans="1:3" ht="15" x14ac:dyDescent="0.25">
      <c r="A1008"/>
      <c r="B1008"/>
      <c r="C1008"/>
    </row>
    <row r="1009" spans="1:3" ht="15" x14ac:dyDescent="0.25">
      <c r="A1009"/>
      <c r="B1009"/>
      <c r="C1009"/>
    </row>
    <row r="1010" spans="1:3" ht="15" x14ac:dyDescent="0.25">
      <c r="A1010"/>
      <c r="B1010"/>
      <c r="C1010"/>
    </row>
    <row r="1011" spans="1:3" ht="15" x14ac:dyDescent="0.25">
      <c r="A1011"/>
      <c r="B1011"/>
      <c r="C1011"/>
    </row>
    <row r="1012" spans="1:3" ht="15" x14ac:dyDescent="0.25">
      <c r="A1012"/>
      <c r="B1012"/>
      <c r="C1012"/>
    </row>
    <row r="1013" spans="1:3" ht="15" x14ac:dyDescent="0.25">
      <c r="A1013"/>
      <c r="B1013"/>
      <c r="C1013"/>
    </row>
    <row r="1014" spans="1:3" ht="15" x14ac:dyDescent="0.25">
      <c r="A1014"/>
      <c r="B1014"/>
      <c r="C1014"/>
    </row>
    <row r="1015" spans="1:3" ht="15" x14ac:dyDescent="0.25">
      <c r="A1015"/>
      <c r="B1015"/>
      <c r="C1015"/>
    </row>
    <row r="1016" spans="1:3" ht="15" x14ac:dyDescent="0.25">
      <c r="A1016"/>
      <c r="B1016"/>
      <c r="C1016"/>
    </row>
    <row r="1017" spans="1:3" ht="15" x14ac:dyDescent="0.25">
      <c r="A1017"/>
      <c r="B1017"/>
      <c r="C1017"/>
    </row>
    <row r="1018" spans="1:3" ht="15" x14ac:dyDescent="0.25">
      <c r="A1018"/>
      <c r="B1018"/>
      <c r="C1018"/>
    </row>
    <row r="1019" spans="1:3" ht="15" x14ac:dyDescent="0.25">
      <c r="A1019"/>
      <c r="B1019"/>
      <c r="C1019"/>
    </row>
    <row r="1020" spans="1:3" ht="15" x14ac:dyDescent="0.25">
      <c r="A1020"/>
      <c r="B1020"/>
      <c r="C1020"/>
    </row>
    <row r="1021" spans="1:3" ht="15" x14ac:dyDescent="0.25">
      <c r="A1021"/>
      <c r="B1021"/>
      <c r="C1021"/>
    </row>
    <row r="1022" spans="1:3" ht="15" x14ac:dyDescent="0.25">
      <c r="A1022"/>
      <c r="B1022"/>
      <c r="C1022"/>
    </row>
    <row r="1023" spans="1:3" ht="15" x14ac:dyDescent="0.25">
      <c r="A1023"/>
      <c r="B1023"/>
      <c r="C1023"/>
    </row>
    <row r="1024" spans="1:3" ht="15" x14ac:dyDescent="0.25">
      <c r="A1024"/>
      <c r="B1024"/>
      <c r="C1024"/>
    </row>
    <row r="1025" spans="1:3" ht="15" x14ac:dyDescent="0.25">
      <c r="A1025"/>
      <c r="B1025"/>
      <c r="C1025"/>
    </row>
    <row r="1026" spans="1:3" ht="15" x14ac:dyDescent="0.25">
      <c r="A1026"/>
      <c r="B1026"/>
      <c r="C1026"/>
    </row>
    <row r="1027" spans="1:3" ht="15" x14ac:dyDescent="0.25">
      <c r="A1027"/>
      <c r="B1027"/>
      <c r="C1027"/>
    </row>
    <row r="1028" spans="1:3" ht="15" x14ac:dyDescent="0.25">
      <c r="A1028"/>
      <c r="B1028"/>
      <c r="C1028"/>
    </row>
    <row r="1029" spans="1:3" ht="15" x14ac:dyDescent="0.25">
      <c r="A1029"/>
      <c r="B1029"/>
      <c r="C1029"/>
    </row>
    <row r="1030" spans="1:3" ht="15" x14ac:dyDescent="0.25">
      <c r="A1030"/>
      <c r="B1030"/>
      <c r="C1030"/>
    </row>
    <row r="1031" spans="1:3" ht="15" x14ac:dyDescent="0.25">
      <c r="A1031"/>
      <c r="B1031"/>
      <c r="C1031"/>
    </row>
    <row r="1032" spans="1:3" ht="15" x14ac:dyDescent="0.25">
      <c r="A1032"/>
      <c r="B1032"/>
      <c r="C1032"/>
    </row>
    <row r="1033" spans="1:3" ht="15" x14ac:dyDescent="0.25">
      <c r="A1033"/>
      <c r="B1033"/>
      <c r="C1033"/>
    </row>
    <row r="1034" spans="1:3" ht="15" x14ac:dyDescent="0.25">
      <c r="A1034"/>
      <c r="B1034"/>
      <c r="C1034"/>
    </row>
    <row r="1035" spans="1:3" ht="15" x14ac:dyDescent="0.25">
      <c r="A1035"/>
      <c r="B1035"/>
      <c r="C1035"/>
    </row>
    <row r="1036" spans="1:3" ht="15" x14ac:dyDescent="0.25">
      <c r="A1036"/>
      <c r="B1036"/>
      <c r="C1036"/>
    </row>
    <row r="1037" spans="1:3" ht="15" x14ac:dyDescent="0.25">
      <c r="A1037"/>
      <c r="B1037"/>
      <c r="C1037"/>
    </row>
    <row r="1038" spans="1:3" ht="15" x14ac:dyDescent="0.25">
      <c r="A1038"/>
      <c r="B1038"/>
      <c r="C1038"/>
    </row>
    <row r="1039" spans="1:3" ht="15" x14ac:dyDescent="0.25">
      <c r="A1039"/>
      <c r="B1039"/>
      <c r="C1039"/>
    </row>
    <row r="1040" spans="1:3" ht="15" x14ac:dyDescent="0.25">
      <c r="A1040"/>
      <c r="B1040"/>
      <c r="C1040"/>
    </row>
    <row r="1041" spans="1:3" ht="15" x14ac:dyDescent="0.25">
      <c r="A1041"/>
      <c r="B1041"/>
      <c r="C1041"/>
    </row>
    <row r="1042" spans="1:3" ht="15" x14ac:dyDescent="0.25">
      <c r="A1042"/>
      <c r="B1042"/>
      <c r="C1042"/>
    </row>
    <row r="1043" spans="1:3" ht="15" x14ac:dyDescent="0.25">
      <c r="A1043"/>
      <c r="B1043"/>
      <c r="C1043"/>
    </row>
    <row r="1044" spans="1:3" ht="15" x14ac:dyDescent="0.25">
      <c r="A1044"/>
      <c r="B1044"/>
      <c r="C1044"/>
    </row>
    <row r="1045" spans="1:3" ht="15" x14ac:dyDescent="0.25">
      <c r="A1045"/>
      <c r="B1045"/>
      <c r="C1045"/>
    </row>
    <row r="1046" spans="1:3" ht="15" x14ac:dyDescent="0.25">
      <c r="A1046"/>
      <c r="B1046"/>
      <c r="C1046"/>
    </row>
    <row r="1047" spans="1:3" ht="15" x14ac:dyDescent="0.25">
      <c r="A1047"/>
      <c r="B1047"/>
      <c r="C1047"/>
    </row>
    <row r="1048" spans="1:3" ht="15" x14ac:dyDescent="0.25">
      <c r="A1048"/>
      <c r="B1048"/>
      <c r="C1048"/>
    </row>
    <row r="1049" spans="1:3" ht="15" x14ac:dyDescent="0.25">
      <c r="A1049"/>
      <c r="B1049"/>
      <c r="C1049"/>
    </row>
    <row r="1050" spans="1:3" ht="15" x14ac:dyDescent="0.25">
      <c r="A1050"/>
      <c r="B1050"/>
      <c r="C1050"/>
    </row>
    <row r="1051" spans="1:3" ht="15" x14ac:dyDescent="0.25">
      <c r="A1051"/>
      <c r="B1051"/>
      <c r="C1051"/>
    </row>
    <row r="1052" spans="1:3" ht="15" x14ac:dyDescent="0.25">
      <c r="A1052"/>
      <c r="B1052"/>
      <c r="C1052"/>
    </row>
    <row r="1053" spans="1:3" ht="15" x14ac:dyDescent="0.25">
      <c r="A1053"/>
      <c r="B1053"/>
      <c r="C1053"/>
    </row>
    <row r="1054" spans="1:3" ht="15" x14ac:dyDescent="0.25">
      <c r="A1054"/>
      <c r="B1054"/>
      <c r="C1054"/>
    </row>
    <row r="1055" spans="1:3" ht="15" x14ac:dyDescent="0.25">
      <c r="A1055"/>
      <c r="B1055"/>
      <c r="C1055"/>
    </row>
    <row r="1056" spans="1:3" ht="15" x14ac:dyDescent="0.25">
      <c r="A1056"/>
      <c r="B1056"/>
      <c r="C1056"/>
    </row>
    <row r="1057" spans="1:3" ht="15" x14ac:dyDescent="0.25">
      <c r="A1057"/>
      <c r="B1057"/>
      <c r="C1057"/>
    </row>
    <row r="1058" spans="1:3" ht="15" x14ac:dyDescent="0.25">
      <c r="A1058"/>
      <c r="B1058"/>
      <c r="C1058"/>
    </row>
    <row r="1059" spans="1:3" ht="15" x14ac:dyDescent="0.25">
      <c r="A1059"/>
      <c r="B1059"/>
      <c r="C1059"/>
    </row>
    <row r="1060" spans="1:3" ht="15" x14ac:dyDescent="0.25">
      <c r="A1060"/>
      <c r="B1060"/>
      <c r="C1060"/>
    </row>
    <row r="1061" spans="1:3" ht="15" x14ac:dyDescent="0.25">
      <c r="A1061"/>
      <c r="B1061"/>
      <c r="C1061"/>
    </row>
    <row r="1062" spans="1:3" ht="15" x14ac:dyDescent="0.25">
      <c r="A1062"/>
      <c r="B1062"/>
      <c r="C1062"/>
    </row>
    <row r="1063" spans="1:3" ht="15" x14ac:dyDescent="0.25">
      <c r="A1063"/>
      <c r="B1063"/>
      <c r="C1063"/>
    </row>
    <row r="1064" spans="1:3" ht="15" x14ac:dyDescent="0.25">
      <c r="A1064"/>
      <c r="B1064"/>
      <c r="C1064"/>
    </row>
    <row r="1065" spans="1:3" ht="15" x14ac:dyDescent="0.25">
      <c r="A1065"/>
      <c r="B1065"/>
      <c r="C1065"/>
    </row>
    <row r="1066" spans="1:3" ht="15" x14ac:dyDescent="0.25">
      <c r="A1066"/>
      <c r="B1066"/>
      <c r="C1066"/>
    </row>
    <row r="1067" spans="1:3" ht="15" x14ac:dyDescent="0.25">
      <c r="A1067"/>
      <c r="B1067"/>
      <c r="C1067"/>
    </row>
    <row r="1068" spans="1:3" ht="15" x14ac:dyDescent="0.25">
      <c r="A1068"/>
      <c r="B1068"/>
      <c r="C1068"/>
    </row>
    <row r="1069" spans="1:3" ht="15" x14ac:dyDescent="0.25">
      <c r="A1069"/>
      <c r="B1069"/>
      <c r="C1069"/>
    </row>
    <row r="1070" spans="1:3" ht="15" x14ac:dyDescent="0.25">
      <c r="A1070"/>
      <c r="B1070"/>
      <c r="C1070"/>
    </row>
    <row r="1071" spans="1:3" ht="15" x14ac:dyDescent="0.25">
      <c r="A1071"/>
      <c r="B1071"/>
      <c r="C1071"/>
    </row>
    <row r="1072" spans="1:3" ht="15" x14ac:dyDescent="0.25">
      <c r="A1072"/>
      <c r="B1072"/>
      <c r="C1072"/>
    </row>
    <row r="1073" spans="1:3" ht="15" x14ac:dyDescent="0.25">
      <c r="A1073"/>
      <c r="B1073"/>
      <c r="C1073"/>
    </row>
    <row r="1074" spans="1:3" ht="15" x14ac:dyDescent="0.25">
      <c r="A1074"/>
      <c r="B1074"/>
      <c r="C1074"/>
    </row>
    <row r="1075" spans="1:3" ht="15" x14ac:dyDescent="0.25">
      <c r="A1075"/>
      <c r="B1075"/>
      <c r="C1075"/>
    </row>
    <row r="1076" spans="1:3" ht="15" x14ac:dyDescent="0.25">
      <c r="A1076"/>
      <c r="B1076"/>
      <c r="C1076"/>
    </row>
    <row r="1077" spans="1:3" ht="15" x14ac:dyDescent="0.25">
      <c r="A1077"/>
      <c r="B1077"/>
      <c r="C1077"/>
    </row>
    <row r="1078" spans="1:3" ht="15" x14ac:dyDescent="0.25">
      <c r="A1078"/>
      <c r="B1078"/>
      <c r="C1078"/>
    </row>
    <row r="1079" spans="1:3" ht="15" x14ac:dyDescent="0.25">
      <c r="A1079"/>
      <c r="B1079"/>
      <c r="C1079"/>
    </row>
    <row r="1080" spans="1:3" ht="15" x14ac:dyDescent="0.25">
      <c r="A1080"/>
      <c r="B1080"/>
      <c r="C1080"/>
    </row>
    <row r="1081" spans="1:3" ht="15" x14ac:dyDescent="0.25">
      <c r="A1081"/>
      <c r="B1081"/>
      <c r="C1081"/>
    </row>
    <row r="1082" spans="1:3" ht="15" x14ac:dyDescent="0.25">
      <c r="A1082"/>
      <c r="B1082"/>
      <c r="C1082"/>
    </row>
    <row r="1083" spans="1:3" ht="15" x14ac:dyDescent="0.25">
      <c r="A1083"/>
      <c r="B1083"/>
      <c r="C1083"/>
    </row>
    <row r="1084" spans="1:3" ht="15" x14ac:dyDescent="0.25">
      <c r="A1084"/>
      <c r="B1084"/>
      <c r="C1084"/>
    </row>
    <row r="1085" spans="1:3" ht="15" x14ac:dyDescent="0.25">
      <c r="A1085"/>
      <c r="B1085"/>
      <c r="C1085"/>
    </row>
    <row r="1086" spans="1:3" ht="15" x14ac:dyDescent="0.25">
      <c r="A1086"/>
      <c r="B1086"/>
      <c r="C1086"/>
    </row>
    <row r="1087" spans="1:3" ht="15" x14ac:dyDescent="0.25">
      <c r="A1087"/>
      <c r="B1087"/>
      <c r="C1087"/>
    </row>
    <row r="1088" spans="1:3" ht="15" x14ac:dyDescent="0.25">
      <c r="A1088"/>
      <c r="B1088"/>
      <c r="C1088"/>
    </row>
    <row r="1089" spans="1:3" ht="15" x14ac:dyDescent="0.25">
      <c r="A1089"/>
      <c r="B1089"/>
      <c r="C1089"/>
    </row>
    <row r="1090" spans="1:3" ht="15" x14ac:dyDescent="0.25">
      <c r="A1090"/>
      <c r="B1090"/>
      <c r="C1090"/>
    </row>
    <row r="1091" spans="1:3" ht="15" x14ac:dyDescent="0.25">
      <c r="A1091"/>
      <c r="B1091"/>
      <c r="C1091"/>
    </row>
    <row r="1092" spans="1:3" ht="15" x14ac:dyDescent="0.25">
      <c r="A1092"/>
      <c r="B1092"/>
      <c r="C1092"/>
    </row>
    <row r="1093" spans="1:3" ht="15" x14ac:dyDescent="0.25">
      <c r="A1093"/>
      <c r="B1093"/>
      <c r="C1093"/>
    </row>
    <row r="1094" spans="1:3" ht="15" x14ac:dyDescent="0.25">
      <c r="A1094"/>
      <c r="B1094"/>
      <c r="C1094"/>
    </row>
    <row r="1095" spans="1:3" ht="15" x14ac:dyDescent="0.25">
      <c r="A1095"/>
      <c r="B1095"/>
      <c r="C1095"/>
    </row>
    <row r="1096" spans="1:3" ht="15" x14ac:dyDescent="0.25">
      <c r="A1096"/>
      <c r="B1096"/>
      <c r="C1096"/>
    </row>
    <row r="1097" spans="1:3" ht="15" x14ac:dyDescent="0.25">
      <c r="A1097"/>
      <c r="B1097"/>
      <c r="C1097"/>
    </row>
    <row r="1098" spans="1:3" ht="15" x14ac:dyDescent="0.25">
      <c r="A1098"/>
      <c r="B1098"/>
      <c r="C1098"/>
    </row>
    <row r="1099" spans="1:3" ht="15" x14ac:dyDescent="0.25">
      <c r="A1099"/>
      <c r="B1099"/>
      <c r="C1099"/>
    </row>
    <row r="1100" spans="1:3" ht="15" x14ac:dyDescent="0.25">
      <c r="A1100"/>
      <c r="B1100"/>
      <c r="C1100"/>
    </row>
    <row r="1101" spans="1:3" ht="15" x14ac:dyDescent="0.25">
      <c r="A1101"/>
      <c r="B1101"/>
      <c r="C1101"/>
    </row>
    <row r="1102" spans="1:3" ht="15" x14ac:dyDescent="0.25">
      <c r="A1102"/>
      <c r="B1102"/>
      <c r="C1102"/>
    </row>
    <row r="1103" spans="1:3" ht="15" x14ac:dyDescent="0.25">
      <c r="A1103"/>
      <c r="B1103"/>
      <c r="C1103"/>
    </row>
    <row r="1104" spans="1:3" ht="15" x14ac:dyDescent="0.25">
      <c r="A1104"/>
      <c r="B1104"/>
      <c r="C1104"/>
    </row>
    <row r="1105" spans="1:3" ht="15" x14ac:dyDescent="0.25">
      <c r="A1105"/>
      <c r="B1105"/>
      <c r="C1105"/>
    </row>
    <row r="1106" spans="1:3" ht="15" x14ac:dyDescent="0.25">
      <c r="A1106"/>
      <c r="B1106"/>
      <c r="C1106"/>
    </row>
    <row r="1107" spans="1:3" ht="15" x14ac:dyDescent="0.25">
      <c r="A1107"/>
      <c r="B1107"/>
      <c r="C1107"/>
    </row>
    <row r="1108" spans="1:3" ht="15" x14ac:dyDescent="0.25">
      <c r="A1108"/>
      <c r="B1108"/>
      <c r="C1108"/>
    </row>
    <row r="1109" spans="1:3" ht="15" x14ac:dyDescent="0.25">
      <c r="A1109"/>
      <c r="B1109"/>
      <c r="C1109"/>
    </row>
    <row r="1110" spans="1:3" ht="15" x14ac:dyDescent="0.25">
      <c r="A1110"/>
      <c r="B1110"/>
      <c r="C1110"/>
    </row>
    <row r="1111" spans="1:3" ht="15" x14ac:dyDescent="0.25">
      <c r="A1111"/>
      <c r="B1111"/>
      <c r="C1111"/>
    </row>
    <row r="1112" spans="1:3" ht="15" x14ac:dyDescent="0.25">
      <c r="A1112"/>
      <c r="B1112"/>
      <c r="C1112"/>
    </row>
    <row r="1113" spans="1:3" ht="15" x14ac:dyDescent="0.25">
      <c r="A1113"/>
      <c r="B1113"/>
      <c r="C1113"/>
    </row>
    <row r="1114" spans="1:3" ht="15" x14ac:dyDescent="0.25">
      <c r="A1114"/>
      <c r="B1114"/>
      <c r="C1114"/>
    </row>
    <row r="1115" spans="1:3" ht="15" x14ac:dyDescent="0.25">
      <c r="A1115"/>
      <c r="B1115"/>
      <c r="C1115"/>
    </row>
    <row r="1116" spans="1:3" ht="15" x14ac:dyDescent="0.25">
      <c r="A1116"/>
      <c r="B1116"/>
      <c r="C1116"/>
    </row>
    <row r="1117" spans="1:3" ht="15" x14ac:dyDescent="0.25">
      <c r="A1117"/>
      <c r="B1117"/>
      <c r="C1117"/>
    </row>
    <row r="1118" spans="1:3" ht="15" x14ac:dyDescent="0.25">
      <c r="A1118"/>
      <c r="B1118"/>
      <c r="C1118"/>
    </row>
    <row r="1119" spans="1:3" ht="15" x14ac:dyDescent="0.25">
      <c r="A1119"/>
      <c r="B1119"/>
      <c r="C1119"/>
    </row>
    <row r="1120" spans="1:3" ht="15" x14ac:dyDescent="0.25">
      <c r="A1120"/>
      <c r="B1120"/>
      <c r="C1120"/>
    </row>
    <row r="1121" spans="1:3" ht="15" x14ac:dyDescent="0.25">
      <c r="A1121"/>
      <c r="B1121"/>
      <c r="C1121"/>
    </row>
    <row r="1122" spans="1:3" ht="15" x14ac:dyDescent="0.25">
      <c r="A1122"/>
      <c r="B1122"/>
      <c r="C1122"/>
    </row>
    <row r="1123" spans="1:3" ht="15" x14ac:dyDescent="0.25">
      <c r="A1123"/>
      <c r="B1123"/>
      <c r="C1123"/>
    </row>
    <row r="1124" spans="1:3" ht="15" x14ac:dyDescent="0.25">
      <c r="A1124"/>
      <c r="B1124"/>
      <c r="C1124"/>
    </row>
    <row r="1125" spans="1:3" ht="15" x14ac:dyDescent="0.25">
      <c r="A1125"/>
      <c r="B1125"/>
      <c r="C1125"/>
    </row>
    <row r="1126" spans="1:3" ht="15" x14ac:dyDescent="0.25">
      <c r="A1126"/>
      <c r="B1126"/>
      <c r="C1126"/>
    </row>
    <row r="1127" spans="1:3" ht="15" x14ac:dyDescent="0.25">
      <c r="A1127"/>
      <c r="B1127"/>
      <c r="C1127"/>
    </row>
    <row r="1128" spans="1:3" ht="15" x14ac:dyDescent="0.25">
      <c r="A1128"/>
      <c r="B1128"/>
      <c r="C1128"/>
    </row>
    <row r="1129" spans="1:3" ht="15" x14ac:dyDescent="0.25">
      <c r="A1129"/>
      <c r="B1129"/>
      <c r="C1129"/>
    </row>
    <row r="1130" spans="1:3" ht="15" x14ac:dyDescent="0.25">
      <c r="A1130"/>
      <c r="B1130"/>
      <c r="C1130"/>
    </row>
    <row r="1131" spans="1:3" ht="15" x14ac:dyDescent="0.25">
      <c r="A1131"/>
      <c r="B1131"/>
      <c r="C1131"/>
    </row>
    <row r="1132" spans="1:3" ht="15" x14ac:dyDescent="0.25">
      <c r="A1132"/>
      <c r="B1132"/>
      <c r="C1132"/>
    </row>
    <row r="1133" spans="1:3" ht="15" x14ac:dyDescent="0.25">
      <c r="A1133"/>
      <c r="B1133"/>
      <c r="C1133"/>
    </row>
    <row r="1134" spans="1:3" ht="15" x14ac:dyDescent="0.25">
      <c r="A1134"/>
      <c r="B1134"/>
      <c r="C1134"/>
    </row>
    <row r="1135" spans="1:3" ht="15" x14ac:dyDescent="0.25">
      <c r="A1135"/>
      <c r="B1135"/>
      <c r="C1135"/>
    </row>
    <row r="1136" spans="1:3" ht="15" x14ac:dyDescent="0.25">
      <c r="A1136"/>
      <c r="B1136"/>
      <c r="C1136"/>
    </row>
    <row r="1137" spans="1:3" ht="15" x14ac:dyDescent="0.25">
      <c r="A1137"/>
      <c r="B1137"/>
      <c r="C1137"/>
    </row>
    <row r="1138" spans="1:3" ht="15" x14ac:dyDescent="0.25">
      <c r="A1138"/>
      <c r="B1138"/>
      <c r="C1138"/>
    </row>
    <row r="1139" spans="1:3" ht="15" x14ac:dyDescent="0.25">
      <c r="A1139"/>
      <c r="B1139"/>
      <c r="C1139"/>
    </row>
    <row r="1140" spans="1:3" ht="15" x14ac:dyDescent="0.25">
      <c r="A1140"/>
      <c r="B1140"/>
      <c r="C1140"/>
    </row>
    <row r="1141" spans="1:3" ht="15" x14ac:dyDescent="0.25">
      <c r="A1141"/>
      <c r="B1141"/>
      <c r="C1141"/>
    </row>
    <row r="1142" spans="1:3" ht="15" x14ac:dyDescent="0.25">
      <c r="A1142"/>
      <c r="B1142"/>
      <c r="C1142"/>
    </row>
    <row r="1143" spans="1:3" ht="15" x14ac:dyDescent="0.25">
      <c r="A1143"/>
      <c r="B1143"/>
      <c r="C1143"/>
    </row>
    <row r="1144" spans="1:3" ht="15" x14ac:dyDescent="0.25">
      <c r="A1144"/>
      <c r="B1144"/>
      <c r="C1144"/>
    </row>
    <row r="1145" spans="1:3" ht="15" x14ac:dyDescent="0.25">
      <c r="A1145"/>
      <c r="B1145"/>
      <c r="C1145"/>
    </row>
    <row r="1146" spans="1:3" ht="15" x14ac:dyDescent="0.25">
      <c r="A1146"/>
      <c r="B1146"/>
      <c r="C1146"/>
    </row>
    <row r="1147" spans="1:3" ht="15" x14ac:dyDescent="0.25">
      <c r="A1147"/>
      <c r="B1147"/>
      <c r="C1147"/>
    </row>
    <row r="1148" spans="1:3" ht="15" x14ac:dyDescent="0.25">
      <c r="A1148"/>
      <c r="B1148"/>
      <c r="C1148"/>
    </row>
    <row r="1149" spans="1:3" ht="15" x14ac:dyDescent="0.25">
      <c r="A1149"/>
      <c r="B1149"/>
      <c r="C1149"/>
    </row>
    <row r="1150" spans="1:3" ht="15" x14ac:dyDescent="0.25">
      <c r="A1150"/>
      <c r="B1150"/>
      <c r="C1150"/>
    </row>
    <row r="1151" spans="1:3" ht="15" x14ac:dyDescent="0.25">
      <c r="A1151"/>
      <c r="B1151"/>
      <c r="C1151"/>
    </row>
    <row r="1152" spans="1:3" ht="15" x14ac:dyDescent="0.25">
      <c r="A1152"/>
      <c r="B1152"/>
      <c r="C1152"/>
    </row>
    <row r="1153" spans="1:3" ht="15" x14ac:dyDescent="0.25">
      <c r="A1153"/>
      <c r="B1153"/>
      <c r="C1153"/>
    </row>
    <row r="1154" spans="1:3" ht="15" x14ac:dyDescent="0.25">
      <c r="A1154"/>
      <c r="B1154"/>
      <c r="C1154"/>
    </row>
    <row r="1155" spans="1:3" ht="15" x14ac:dyDescent="0.25">
      <c r="A1155"/>
      <c r="B1155"/>
      <c r="C1155"/>
    </row>
    <row r="1156" spans="1:3" ht="15" x14ac:dyDescent="0.25">
      <c r="A1156"/>
      <c r="B1156"/>
      <c r="C1156"/>
    </row>
    <row r="1157" spans="1:3" ht="15" x14ac:dyDescent="0.25">
      <c r="A1157"/>
      <c r="B1157"/>
      <c r="C1157"/>
    </row>
    <row r="1158" spans="1:3" ht="15" x14ac:dyDescent="0.25">
      <c r="A1158"/>
      <c r="B1158"/>
      <c r="C1158"/>
    </row>
    <row r="1159" spans="1:3" ht="15" x14ac:dyDescent="0.25">
      <c r="A1159"/>
      <c r="B1159"/>
      <c r="C1159"/>
    </row>
    <row r="1160" spans="1:3" ht="15" x14ac:dyDescent="0.25">
      <c r="A1160"/>
      <c r="B1160"/>
      <c r="C1160"/>
    </row>
    <row r="1161" spans="1:3" ht="15" x14ac:dyDescent="0.25">
      <c r="A1161"/>
      <c r="B1161"/>
      <c r="C1161"/>
    </row>
    <row r="1162" spans="1:3" ht="15" x14ac:dyDescent="0.25">
      <c r="A1162"/>
      <c r="B1162"/>
      <c r="C1162"/>
    </row>
    <row r="1163" spans="1:3" ht="15" x14ac:dyDescent="0.25">
      <c r="A1163"/>
      <c r="B1163"/>
      <c r="C1163"/>
    </row>
    <row r="1164" spans="1:3" ht="15" x14ac:dyDescent="0.25">
      <c r="A1164"/>
      <c r="B1164"/>
      <c r="C1164"/>
    </row>
    <row r="1165" spans="1:3" ht="15" x14ac:dyDescent="0.25">
      <c r="A1165"/>
      <c r="B1165"/>
      <c r="C1165"/>
    </row>
    <row r="1166" spans="1:3" ht="15" x14ac:dyDescent="0.25">
      <c r="A1166"/>
      <c r="B1166"/>
      <c r="C1166"/>
    </row>
    <row r="1167" spans="1:3" ht="15" x14ac:dyDescent="0.25">
      <c r="A1167"/>
      <c r="B1167"/>
      <c r="C1167"/>
    </row>
    <row r="1168" spans="1:3" ht="15" x14ac:dyDescent="0.25">
      <c r="A1168"/>
      <c r="B1168"/>
      <c r="C1168"/>
    </row>
    <row r="1169" spans="1:3" ht="15" x14ac:dyDescent="0.25">
      <c r="A1169"/>
      <c r="B1169"/>
      <c r="C1169"/>
    </row>
    <row r="1170" spans="1:3" ht="15" x14ac:dyDescent="0.25">
      <c r="A1170"/>
      <c r="B1170"/>
      <c r="C1170"/>
    </row>
    <row r="1171" spans="1:3" ht="15" x14ac:dyDescent="0.25">
      <c r="A1171"/>
      <c r="B1171"/>
      <c r="C1171"/>
    </row>
    <row r="1172" spans="1:3" ht="15" x14ac:dyDescent="0.25">
      <c r="A1172"/>
      <c r="B1172"/>
      <c r="C1172"/>
    </row>
    <row r="1173" spans="1:3" ht="15" x14ac:dyDescent="0.25">
      <c r="A1173"/>
      <c r="B1173"/>
      <c r="C1173"/>
    </row>
    <row r="1174" spans="1:3" ht="15" x14ac:dyDescent="0.25">
      <c r="A1174"/>
      <c r="B1174"/>
      <c r="C1174"/>
    </row>
    <row r="1175" spans="1:3" ht="15" x14ac:dyDescent="0.25">
      <c r="A1175"/>
      <c r="B1175"/>
      <c r="C1175"/>
    </row>
    <row r="1176" spans="1:3" ht="15" x14ac:dyDescent="0.25">
      <c r="A1176"/>
      <c r="B1176"/>
      <c r="C1176"/>
    </row>
    <row r="1177" spans="1:3" ht="15" x14ac:dyDescent="0.25">
      <c r="A1177"/>
      <c r="B1177"/>
      <c r="C1177"/>
    </row>
    <row r="1178" spans="1:3" ht="15" x14ac:dyDescent="0.25">
      <c r="A1178"/>
      <c r="B1178"/>
      <c r="C1178"/>
    </row>
    <row r="1179" spans="1:3" ht="15" x14ac:dyDescent="0.25">
      <c r="A1179"/>
      <c r="B1179"/>
      <c r="C1179"/>
    </row>
    <row r="1180" spans="1:3" ht="15" x14ac:dyDescent="0.25">
      <c r="A1180"/>
      <c r="B1180"/>
      <c r="C1180"/>
    </row>
    <row r="1181" spans="1:3" ht="15" x14ac:dyDescent="0.25">
      <c r="A1181"/>
      <c r="B1181"/>
      <c r="C1181"/>
    </row>
    <row r="1182" spans="1:3" ht="15" x14ac:dyDescent="0.25">
      <c r="A1182"/>
      <c r="B1182"/>
      <c r="C1182"/>
    </row>
    <row r="1183" spans="1:3" ht="15" x14ac:dyDescent="0.25">
      <c r="A1183"/>
      <c r="B1183"/>
      <c r="C1183"/>
    </row>
    <row r="1184" spans="1:3" ht="15" x14ac:dyDescent="0.25">
      <c r="A1184"/>
      <c r="B1184"/>
      <c r="C1184"/>
    </row>
    <row r="1185" spans="1:3" ht="15" x14ac:dyDescent="0.25">
      <c r="A1185"/>
      <c r="B1185"/>
      <c r="C1185"/>
    </row>
    <row r="1186" spans="1:3" ht="15" x14ac:dyDescent="0.25">
      <c r="A1186"/>
      <c r="B1186"/>
      <c r="C1186"/>
    </row>
    <row r="1187" spans="1:3" ht="15" x14ac:dyDescent="0.25">
      <c r="A1187"/>
      <c r="B1187"/>
      <c r="C1187"/>
    </row>
    <row r="1188" spans="1:3" ht="15" x14ac:dyDescent="0.25">
      <c r="A1188"/>
      <c r="B1188"/>
      <c r="C1188"/>
    </row>
    <row r="1189" spans="1:3" ht="15" x14ac:dyDescent="0.25">
      <c r="A1189"/>
      <c r="B1189"/>
      <c r="C1189"/>
    </row>
    <row r="1190" spans="1:3" ht="15" x14ac:dyDescent="0.25">
      <c r="A1190"/>
      <c r="B1190"/>
      <c r="C1190"/>
    </row>
    <row r="1191" spans="1:3" ht="15" x14ac:dyDescent="0.25">
      <c r="A1191"/>
      <c r="B1191"/>
      <c r="C1191"/>
    </row>
    <row r="1192" spans="1:3" ht="15" x14ac:dyDescent="0.25">
      <c r="A1192"/>
      <c r="B1192"/>
      <c r="C1192"/>
    </row>
    <row r="1193" spans="1:3" ht="15" x14ac:dyDescent="0.25">
      <c r="A1193"/>
      <c r="B1193"/>
      <c r="C1193"/>
    </row>
    <row r="1194" spans="1:3" ht="15" x14ac:dyDescent="0.25">
      <c r="A1194"/>
      <c r="B1194"/>
      <c r="C1194"/>
    </row>
    <row r="1195" spans="1:3" ht="15" x14ac:dyDescent="0.25">
      <c r="A1195"/>
      <c r="B1195"/>
      <c r="C1195"/>
    </row>
    <row r="1196" spans="1:3" ht="15" x14ac:dyDescent="0.25">
      <c r="A1196"/>
      <c r="B1196"/>
      <c r="C1196"/>
    </row>
    <row r="1197" spans="1:3" ht="15" x14ac:dyDescent="0.25">
      <c r="A1197"/>
      <c r="B1197"/>
      <c r="C1197"/>
    </row>
    <row r="1198" spans="1:3" ht="15" x14ac:dyDescent="0.25">
      <c r="A1198"/>
      <c r="B1198"/>
      <c r="C1198"/>
    </row>
    <row r="1199" spans="1:3" ht="15" x14ac:dyDescent="0.25">
      <c r="A1199"/>
      <c r="B1199"/>
      <c r="C1199"/>
    </row>
    <row r="1200" spans="1:3" ht="15" x14ac:dyDescent="0.25">
      <c r="A1200"/>
      <c r="B1200"/>
      <c r="C1200"/>
    </row>
    <row r="1201" spans="1:3" ht="15" x14ac:dyDescent="0.25">
      <c r="A1201"/>
      <c r="B1201"/>
      <c r="C1201"/>
    </row>
    <row r="1202" spans="1:3" ht="15" x14ac:dyDescent="0.25">
      <c r="A1202"/>
      <c r="B1202"/>
      <c r="C1202"/>
    </row>
    <row r="1203" spans="1:3" ht="15" x14ac:dyDescent="0.25">
      <c r="A1203"/>
      <c r="B1203"/>
      <c r="C1203"/>
    </row>
    <row r="1204" spans="1:3" ht="15" x14ac:dyDescent="0.25">
      <c r="A1204"/>
      <c r="B1204"/>
      <c r="C1204"/>
    </row>
    <row r="1205" spans="1:3" ht="15" x14ac:dyDescent="0.25">
      <c r="A1205"/>
      <c r="B1205"/>
      <c r="C1205"/>
    </row>
    <row r="1206" spans="1:3" ht="15" x14ac:dyDescent="0.25">
      <c r="A1206"/>
      <c r="B1206"/>
      <c r="C1206"/>
    </row>
    <row r="1207" spans="1:3" ht="15" x14ac:dyDescent="0.25">
      <c r="A1207"/>
      <c r="B1207"/>
      <c r="C1207"/>
    </row>
    <row r="1208" spans="1:3" ht="15" x14ac:dyDescent="0.25">
      <c r="A1208"/>
      <c r="B1208"/>
      <c r="C1208"/>
    </row>
    <row r="1209" spans="1:3" ht="15" x14ac:dyDescent="0.25">
      <c r="A1209"/>
      <c r="B1209"/>
      <c r="C1209"/>
    </row>
    <row r="1210" spans="1:3" ht="15" x14ac:dyDescent="0.25">
      <c r="A1210"/>
      <c r="B1210"/>
      <c r="C1210"/>
    </row>
    <row r="1211" spans="1:3" ht="15" x14ac:dyDescent="0.25">
      <c r="A1211"/>
      <c r="B1211"/>
      <c r="C1211"/>
    </row>
    <row r="1212" spans="1:3" ht="15" x14ac:dyDescent="0.25">
      <c r="A1212"/>
      <c r="B1212"/>
      <c r="C1212"/>
    </row>
    <row r="1213" spans="1:3" ht="15" x14ac:dyDescent="0.25">
      <c r="A1213"/>
      <c r="B1213"/>
      <c r="C1213"/>
    </row>
    <row r="1214" spans="1:3" ht="15" x14ac:dyDescent="0.25">
      <c r="A1214"/>
      <c r="B1214"/>
      <c r="C1214"/>
    </row>
    <row r="1215" spans="1:3" ht="15" x14ac:dyDescent="0.25">
      <c r="A1215"/>
      <c r="B1215"/>
      <c r="C1215"/>
    </row>
    <row r="1216" spans="1:3" ht="15" x14ac:dyDescent="0.25">
      <c r="A1216"/>
      <c r="B1216"/>
      <c r="C1216"/>
    </row>
    <row r="1217" spans="1:3" ht="15" x14ac:dyDescent="0.25">
      <c r="A1217"/>
      <c r="B1217"/>
      <c r="C1217"/>
    </row>
    <row r="1218" spans="1:3" ht="15" x14ac:dyDescent="0.25">
      <c r="A1218"/>
      <c r="B1218"/>
      <c r="C1218"/>
    </row>
    <row r="1219" spans="1:3" ht="15" x14ac:dyDescent="0.25">
      <c r="A1219"/>
      <c r="B1219"/>
      <c r="C1219"/>
    </row>
    <row r="1220" spans="1:3" ht="15" x14ac:dyDescent="0.25">
      <c r="A1220"/>
      <c r="B1220"/>
      <c r="C1220"/>
    </row>
    <row r="1221" spans="1:3" ht="15" x14ac:dyDescent="0.25">
      <c r="A1221"/>
      <c r="B1221"/>
      <c r="C1221"/>
    </row>
    <row r="1222" spans="1:3" ht="15" x14ac:dyDescent="0.25">
      <c r="A1222"/>
      <c r="B1222"/>
      <c r="C1222"/>
    </row>
    <row r="1223" spans="1:3" ht="15" x14ac:dyDescent="0.25">
      <c r="A1223"/>
      <c r="B1223"/>
      <c r="C1223"/>
    </row>
    <row r="1224" spans="1:3" ht="15" x14ac:dyDescent="0.25">
      <c r="A1224"/>
      <c r="B1224"/>
      <c r="C1224"/>
    </row>
    <row r="1225" spans="1:3" ht="15" x14ac:dyDescent="0.25">
      <c r="A1225"/>
      <c r="B1225"/>
      <c r="C1225"/>
    </row>
    <row r="1226" spans="1:3" ht="15" x14ac:dyDescent="0.25">
      <c r="A1226"/>
      <c r="B1226"/>
      <c r="C1226"/>
    </row>
    <row r="1227" spans="1:3" ht="15" x14ac:dyDescent="0.25">
      <c r="A1227"/>
      <c r="B1227"/>
      <c r="C1227"/>
    </row>
    <row r="1228" spans="1:3" ht="15" x14ac:dyDescent="0.25">
      <c r="A1228"/>
      <c r="B1228"/>
      <c r="C1228"/>
    </row>
    <row r="1229" spans="1:3" ht="15" x14ac:dyDescent="0.25">
      <c r="A1229"/>
      <c r="B1229"/>
      <c r="C1229"/>
    </row>
    <row r="1230" spans="1:3" ht="15" x14ac:dyDescent="0.25">
      <c r="A1230"/>
      <c r="B1230"/>
      <c r="C1230"/>
    </row>
    <row r="1231" spans="1:3" ht="15" x14ac:dyDescent="0.25">
      <c r="A1231"/>
      <c r="B1231"/>
      <c r="C1231"/>
    </row>
    <row r="1232" spans="1:3" ht="15" x14ac:dyDescent="0.25">
      <c r="A1232"/>
      <c r="B1232"/>
      <c r="C1232"/>
    </row>
    <row r="1233" spans="1:3" ht="15" x14ac:dyDescent="0.25">
      <c r="A1233"/>
      <c r="B1233"/>
      <c r="C1233"/>
    </row>
    <row r="1234" spans="1:3" ht="15" x14ac:dyDescent="0.25">
      <c r="A1234"/>
      <c r="B1234"/>
      <c r="C1234"/>
    </row>
    <row r="1235" spans="1:3" ht="15" x14ac:dyDescent="0.25">
      <c r="A1235"/>
      <c r="B1235"/>
      <c r="C1235"/>
    </row>
    <row r="1236" spans="1:3" ht="15" x14ac:dyDescent="0.25">
      <c r="A1236"/>
      <c r="B1236"/>
      <c r="C1236"/>
    </row>
    <row r="1237" spans="1:3" ht="15" x14ac:dyDescent="0.25">
      <c r="A1237"/>
      <c r="B1237"/>
      <c r="C1237"/>
    </row>
    <row r="1238" spans="1:3" ht="15" x14ac:dyDescent="0.25">
      <c r="A1238"/>
      <c r="B1238"/>
      <c r="C1238"/>
    </row>
    <row r="1239" spans="1:3" ht="15" x14ac:dyDescent="0.25">
      <c r="A1239"/>
      <c r="B1239"/>
      <c r="C1239"/>
    </row>
    <row r="1240" spans="1:3" ht="15" x14ac:dyDescent="0.25">
      <c r="A1240"/>
      <c r="B1240"/>
      <c r="C1240"/>
    </row>
    <row r="1241" spans="1:3" ht="15" x14ac:dyDescent="0.25">
      <c r="A1241"/>
      <c r="B1241"/>
      <c r="C1241"/>
    </row>
    <row r="1242" spans="1:3" ht="15" x14ac:dyDescent="0.25">
      <c r="A1242"/>
      <c r="B1242"/>
      <c r="C1242"/>
    </row>
    <row r="1243" spans="1:3" ht="15" x14ac:dyDescent="0.25">
      <c r="A1243"/>
      <c r="B1243"/>
      <c r="C1243"/>
    </row>
    <row r="1244" spans="1:3" ht="15" x14ac:dyDescent="0.25">
      <c r="A1244"/>
      <c r="B1244"/>
      <c r="C1244"/>
    </row>
    <row r="1245" spans="1:3" ht="15" x14ac:dyDescent="0.25">
      <c r="A1245"/>
      <c r="B1245"/>
      <c r="C1245"/>
    </row>
    <row r="1246" spans="1:3" ht="15" x14ac:dyDescent="0.25">
      <c r="A1246"/>
      <c r="B1246"/>
      <c r="C1246"/>
    </row>
    <row r="1247" spans="1:3" ht="15" x14ac:dyDescent="0.25">
      <c r="A1247"/>
      <c r="B1247"/>
      <c r="C1247"/>
    </row>
    <row r="1248" spans="1:3" ht="15" x14ac:dyDescent="0.25">
      <c r="A1248"/>
      <c r="B1248"/>
      <c r="C1248"/>
    </row>
    <row r="1249" spans="1:3" ht="15" x14ac:dyDescent="0.25">
      <c r="A1249"/>
      <c r="B1249"/>
      <c r="C1249"/>
    </row>
    <row r="1250" spans="1:3" ht="15" x14ac:dyDescent="0.25">
      <c r="A1250"/>
      <c r="B1250"/>
      <c r="C1250"/>
    </row>
    <row r="1251" spans="1:3" ht="15" x14ac:dyDescent="0.25">
      <c r="A1251"/>
      <c r="B1251"/>
      <c r="C1251"/>
    </row>
    <row r="1252" spans="1:3" ht="15" x14ac:dyDescent="0.25">
      <c r="A1252"/>
      <c r="B1252"/>
      <c r="C1252"/>
    </row>
    <row r="1253" spans="1:3" ht="15" x14ac:dyDescent="0.25">
      <c r="A1253"/>
      <c r="B1253"/>
      <c r="C1253"/>
    </row>
    <row r="1254" spans="1:3" ht="15" x14ac:dyDescent="0.25">
      <c r="A1254"/>
      <c r="B1254"/>
      <c r="C1254"/>
    </row>
    <row r="1255" spans="1:3" ht="15" x14ac:dyDescent="0.25">
      <c r="A1255"/>
      <c r="B1255"/>
      <c r="C1255"/>
    </row>
    <row r="1256" spans="1:3" ht="15" x14ac:dyDescent="0.25">
      <c r="A1256"/>
      <c r="B1256"/>
      <c r="C1256"/>
    </row>
    <row r="1257" spans="1:3" ht="15" x14ac:dyDescent="0.25">
      <c r="A1257"/>
      <c r="B1257"/>
      <c r="C1257"/>
    </row>
    <row r="1258" spans="1:3" ht="15" x14ac:dyDescent="0.25">
      <c r="A1258"/>
      <c r="B1258"/>
      <c r="C1258"/>
    </row>
    <row r="1259" spans="1:3" ht="15" x14ac:dyDescent="0.25">
      <c r="A1259"/>
      <c r="B1259"/>
      <c r="C1259"/>
    </row>
    <row r="1260" spans="1:3" ht="15" x14ac:dyDescent="0.25">
      <c r="A1260"/>
      <c r="B1260"/>
      <c r="C1260"/>
    </row>
    <row r="1261" spans="1:3" ht="15" x14ac:dyDescent="0.25">
      <c r="A1261"/>
      <c r="B1261"/>
      <c r="C1261"/>
    </row>
    <row r="1262" spans="1:3" ht="15" x14ac:dyDescent="0.25">
      <c r="A1262"/>
      <c r="B1262"/>
      <c r="C1262"/>
    </row>
    <row r="1263" spans="1:3" ht="15" x14ac:dyDescent="0.25">
      <c r="A1263"/>
      <c r="B1263"/>
      <c r="C1263"/>
    </row>
    <row r="1264" spans="1:3" ht="15" x14ac:dyDescent="0.25">
      <c r="A1264"/>
      <c r="B1264"/>
      <c r="C1264"/>
    </row>
    <row r="1265" spans="1:3" ht="15" x14ac:dyDescent="0.25">
      <c r="A1265"/>
      <c r="B1265"/>
      <c r="C1265"/>
    </row>
    <row r="1266" spans="1:3" ht="15" x14ac:dyDescent="0.25">
      <c r="A1266"/>
      <c r="B1266"/>
      <c r="C1266"/>
    </row>
    <row r="1267" spans="1:3" ht="15" x14ac:dyDescent="0.25">
      <c r="A1267"/>
      <c r="B1267"/>
      <c r="C1267"/>
    </row>
    <row r="1268" spans="1:3" ht="15" x14ac:dyDescent="0.25">
      <c r="A1268"/>
      <c r="B1268"/>
      <c r="C1268"/>
    </row>
    <row r="1269" spans="1:3" ht="15" x14ac:dyDescent="0.25">
      <c r="A1269"/>
      <c r="B1269"/>
      <c r="C1269"/>
    </row>
    <row r="1270" spans="1:3" ht="15" x14ac:dyDescent="0.25">
      <c r="A1270"/>
      <c r="B1270"/>
      <c r="C1270"/>
    </row>
    <row r="1271" spans="1:3" ht="15" x14ac:dyDescent="0.25">
      <c r="A1271"/>
      <c r="B1271"/>
      <c r="C1271"/>
    </row>
    <row r="1272" spans="1:3" ht="15" x14ac:dyDescent="0.25">
      <c r="A1272"/>
      <c r="B1272"/>
      <c r="C1272"/>
    </row>
    <row r="1273" spans="1:3" ht="15" x14ac:dyDescent="0.25">
      <c r="A1273"/>
      <c r="B1273"/>
      <c r="C1273"/>
    </row>
    <row r="1274" spans="1:3" ht="15" x14ac:dyDescent="0.25">
      <c r="A1274"/>
      <c r="B1274"/>
      <c r="C1274"/>
    </row>
    <row r="1275" spans="1:3" ht="15" x14ac:dyDescent="0.25">
      <c r="A1275"/>
      <c r="B1275"/>
      <c r="C1275"/>
    </row>
    <row r="1276" spans="1:3" ht="15" x14ac:dyDescent="0.25">
      <c r="A1276"/>
      <c r="B1276"/>
      <c r="C1276"/>
    </row>
    <row r="1277" spans="1:3" ht="15" x14ac:dyDescent="0.25">
      <c r="A1277"/>
      <c r="B1277"/>
      <c r="C1277"/>
    </row>
    <row r="1278" spans="1:3" ht="15" x14ac:dyDescent="0.25">
      <c r="A1278"/>
      <c r="B1278"/>
      <c r="C1278"/>
    </row>
    <row r="1279" spans="1:3" ht="15" x14ac:dyDescent="0.25">
      <c r="A1279"/>
      <c r="B1279"/>
      <c r="C1279"/>
    </row>
    <row r="1280" spans="1:3" ht="15" x14ac:dyDescent="0.25">
      <c r="A1280"/>
      <c r="B1280"/>
      <c r="C1280"/>
    </row>
    <row r="1281" spans="1:3" ht="15" x14ac:dyDescent="0.25">
      <c r="A1281"/>
      <c r="B1281"/>
      <c r="C1281"/>
    </row>
    <row r="1282" spans="1:3" ht="15" x14ac:dyDescent="0.25">
      <c r="A1282"/>
      <c r="B1282"/>
      <c r="C1282"/>
    </row>
    <row r="1283" spans="1:3" ht="15" x14ac:dyDescent="0.25">
      <c r="A1283"/>
      <c r="B1283"/>
      <c r="C1283"/>
    </row>
    <row r="1284" spans="1:3" ht="15" x14ac:dyDescent="0.25">
      <c r="A1284"/>
      <c r="B1284"/>
      <c r="C1284"/>
    </row>
    <row r="1285" spans="1:3" ht="15" x14ac:dyDescent="0.25">
      <c r="A1285"/>
      <c r="B1285"/>
      <c r="C1285"/>
    </row>
    <row r="1286" spans="1:3" ht="15" x14ac:dyDescent="0.25">
      <c r="A1286"/>
      <c r="B1286"/>
      <c r="C1286"/>
    </row>
    <row r="1287" spans="1:3" ht="15" x14ac:dyDescent="0.25">
      <c r="A1287"/>
      <c r="B1287"/>
      <c r="C1287"/>
    </row>
    <row r="1288" spans="1:3" ht="15" x14ac:dyDescent="0.25">
      <c r="A1288"/>
      <c r="B1288"/>
      <c r="C1288"/>
    </row>
    <row r="1289" spans="1:3" ht="15" x14ac:dyDescent="0.25">
      <c r="A1289"/>
      <c r="B1289"/>
      <c r="C1289"/>
    </row>
    <row r="1290" spans="1:3" ht="15" x14ac:dyDescent="0.25">
      <c r="A1290"/>
      <c r="B1290"/>
      <c r="C1290"/>
    </row>
    <row r="1291" spans="1:3" ht="15" x14ac:dyDescent="0.25">
      <c r="A1291"/>
      <c r="B1291"/>
      <c r="C1291"/>
    </row>
    <row r="1292" spans="1:3" ht="15" x14ac:dyDescent="0.25">
      <c r="A1292"/>
      <c r="B1292"/>
      <c r="C1292"/>
    </row>
    <row r="1293" spans="1:3" ht="15" x14ac:dyDescent="0.25">
      <c r="A1293"/>
      <c r="B1293"/>
      <c r="C1293"/>
    </row>
    <row r="1294" spans="1:3" ht="15" x14ac:dyDescent="0.25">
      <c r="A1294"/>
      <c r="B1294"/>
      <c r="C1294"/>
    </row>
    <row r="1295" spans="1:3" ht="15" x14ac:dyDescent="0.25">
      <c r="A1295"/>
      <c r="B1295"/>
      <c r="C1295"/>
    </row>
    <row r="1296" spans="1:3" ht="15" x14ac:dyDescent="0.25">
      <c r="A1296"/>
      <c r="B1296"/>
      <c r="C1296"/>
    </row>
    <row r="1297" spans="1:3" ht="15" x14ac:dyDescent="0.25">
      <c r="A1297"/>
      <c r="B1297"/>
      <c r="C1297"/>
    </row>
    <row r="1298" spans="1:3" ht="15" x14ac:dyDescent="0.25">
      <c r="A1298"/>
      <c r="B1298"/>
      <c r="C1298"/>
    </row>
    <row r="1299" spans="1:3" ht="15" x14ac:dyDescent="0.25">
      <c r="A1299"/>
      <c r="B1299"/>
      <c r="C1299"/>
    </row>
    <row r="1300" spans="1:3" ht="15" x14ac:dyDescent="0.25">
      <c r="A1300"/>
      <c r="B1300"/>
      <c r="C1300"/>
    </row>
    <row r="1301" spans="1:3" ht="15" x14ac:dyDescent="0.25">
      <c r="A1301"/>
      <c r="B1301"/>
      <c r="C1301"/>
    </row>
    <row r="1302" spans="1:3" ht="15" x14ac:dyDescent="0.25">
      <c r="A1302"/>
      <c r="B1302"/>
      <c r="C1302"/>
    </row>
    <row r="1303" spans="1:3" ht="15" x14ac:dyDescent="0.25">
      <c r="A1303"/>
      <c r="B1303"/>
      <c r="C1303"/>
    </row>
    <row r="1304" spans="1:3" ht="15" x14ac:dyDescent="0.25">
      <c r="A1304"/>
      <c r="B1304"/>
      <c r="C1304"/>
    </row>
    <row r="1305" spans="1:3" ht="15" x14ac:dyDescent="0.25">
      <c r="A1305"/>
      <c r="B1305"/>
      <c r="C1305"/>
    </row>
    <row r="1306" spans="1:3" ht="15" x14ac:dyDescent="0.25">
      <c r="A1306"/>
      <c r="B1306"/>
      <c r="C1306"/>
    </row>
    <row r="1307" spans="1:3" ht="15" x14ac:dyDescent="0.25">
      <c r="A1307"/>
      <c r="B1307"/>
      <c r="C1307"/>
    </row>
    <row r="1308" spans="1:3" ht="15" x14ac:dyDescent="0.25">
      <c r="A1308"/>
      <c r="B1308"/>
      <c r="C1308"/>
    </row>
    <row r="1309" spans="1:3" ht="15" x14ac:dyDescent="0.25">
      <c r="A1309"/>
      <c r="B1309"/>
      <c r="C1309"/>
    </row>
    <row r="1310" spans="1:3" ht="15" x14ac:dyDescent="0.25">
      <c r="A1310"/>
      <c r="B1310"/>
      <c r="C1310"/>
    </row>
    <row r="1311" spans="1:3" ht="15" x14ac:dyDescent="0.25">
      <c r="A1311"/>
      <c r="B1311"/>
      <c r="C1311"/>
    </row>
    <row r="1312" spans="1:3" ht="15" x14ac:dyDescent="0.25">
      <c r="A1312"/>
      <c r="B1312"/>
      <c r="C1312"/>
    </row>
    <row r="1313" spans="1:3" ht="15" x14ac:dyDescent="0.25">
      <c r="A1313"/>
      <c r="B1313"/>
      <c r="C1313"/>
    </row>
    <row r="1314" spans="1:3" ht="15" x14ac:dyDescent="0.25">
      <c r="A1314"/>
      <c r="B1314"/>
      <c r="C1314"/>
    </row>
    <row r="1315" spans="1:3" ht="15" x14ac:dyDescent="0.25">
      <c r="A1315"/>
      <c r="B1315"/>
      <c r="C1315"/>
    </row>
    <row r="1316" spans="1:3" ht="15" x14ac:dyDescent="0.25">
      <c r="A1316"/>
      <c r="B1316"/>
      <c r="C1316"/>
    </row>
    <row r="1317" spans="1:3" ht="15" x14ac:dyDescent="0.25">
      <c r="A1317"/>
      <c r="B1317"/>
      <c r="C1317"/>
    </row>
    <row r="1318" spans="1:3" ht="15" x14ac:dyDescent="0.25">
      <c r="A1318"/>
      <c r="B1318"/>
      <c r="C1318"/>
    </row>
    <row r="1319" spans="1:3" ht="15" x14ac:dyDescent="0.25">
      <c r="A1319"/>
      <c r="B1319"/>
      <c r="C1319"/>
    </row>
    <row r="1320" spans="1:3" ht="15" x14ac:dyDescent="0.25">
      <c r="A1320"/>
      <c r="B1320"/>
      <c r="C1320"/>
    </row>
    <row r="1321" spans="1:3" ht="15" x14ac:dyDescent="0.25">
      <c r="A1321"/>
      <c r="B1321"/>
      <c r="C1321"/>
    </row>
    <row r="1322" spans="1:3" ht="15" x14ac:dyDescent="0.25">
      <c r="A1322"/>
      <c r="B1322"/>
      <c r="C1322"/>
    </row>
    <row r="1323" spans="1:3" ht="15" x14ac:dyDescent="0.25">
      <c r="A1323"/>
      <c r="B1323"/>
      <c r="C1323"/>
    </row>
    <row r="1324" spans="1:3" ht="15" x14ac:dyDescent="0.25">
      <c r="A1324"/>
      <c r="B1324"/>
      <c r="C1324"/>
    </row>
    <row r="1325" spans="1:3" ht="15" x14ac:dyDescent="0.25">
      <c r="A1325"/>
      <c r="B1325"/>
      <c r="C1325"/>
    </row>
    <row r="1326" spans="1:3" ht="15" x14ac:dyDescent="0.25">
      <c r="A1326"/>
      <c r="B1326"/>
      <c r="C1326"/>
    </row>
    <row r="1327" spans="1:3" ht="15" x14ac:dyDescent="0.25">
      <c r="A1327"/>
      <c r="B1327"/>
      <c r="C1327"/>
    </row>
    <row r="1328" spans="1:3" ht="15" x14ac:dyDescent="0.25">
      <c r="A1328"/>
      <c r="B1328"/>
      <c r="C1328"/>
    </row>
    <row r="1329" spans="1:3" ht="15" x14ac:dyDescent="0.25">
      <c r="A1329"/>
      <c r="B1329"/>
      <c r="C1329"/>
    </row>
    <row r="1330" spans="1:3" ht="15" x14ac:dyDescent="0.25">
      <c r="A1330"/>
      <c r="B1330"/>
      <c r="C1330"/>
    </row>
    <row r="1331" spans="1:3" ht="15" x14ac:dyDescent="0.25">
      <c r="A1331"/>
      <c r="B1331"/>
      <c r="C1331"/>
    </row>
    <row r="1332" spans="1:3" ht="15" x14ac:dyDescent="0.25">
      <c r="A1332"/>
      <c r="B1332"/>
      <c r="C1332"/>
    </row>
    <row r="1333" spans="1:3" ht="15" x14ac:dyDescent="0.25">
      <c r="A1333"/>
      <c r="B1333"/>
      <c r="C1333"/>
    </row>
    <row r="1334" spans="1:3" ht="15" x14ac:dyDescent="0.25">
      <c r="A1334"/>
      <c r="B1334"/>
      <c r="C1334"/>
    </row>
    <row r="1335" spans="1:3" ht="15" x14ac:dyDescent="0.25">
      <c r="A1335"/>
      <c r="B1335"/>
      <c r="C1335"/>
    </row>
    <row r="1336" spans="1:3" ht="15" x14ac:dyDescent="0.25">
      <c r="A1336"/>
      <c r="B1336"/>
      <c r="C1336"/>
    </row>
    <row r="1337" spans="1:3" ht="15" x14ac:dyDescent="0.25">
      <c r="A1337"/>
      <c r="B1337"/>
      <c r="C1337"/>
    </row>
    <row r="1338" spans="1:3" ht="15" x14ac:dyDescent="0.25">
      <c r="A1338"/>
      <c r="B1338"/>
      <c r="C1338"/>
    </row>
    <row r="1339" spans="1:3" ht="15" x14ac:dyDescent="0.25">
      <c r="A1339"/>
      <c r="B1339"/>
      <c r="C1339"/>
    </row>
    <row r="1340" spans="1:3" ht="15" x14ac:dyDescent="0.25">
      <c r="A1340"/>
      <c r="B1340"/>
      <c r="C1340"/>
    </row>
    <row r="1341" spans="1:3" ht="15" x14ac:dyDescent="0.25">
      <c r="A1341"/>
      <c r="B1341"/>
      <c r="C1341"/>
    </row>
    <row r="1342" spans="1:3" ht="15" x14ac:dyDescent="0.25">
      <c r="A1342"/>
      <c r="B1342"/>
      <c r="C1342"/>
    </row>
    <row r="1343" spans="1:3" ht="15" x14ac:dyDescent="0.25">
      <c r="A1343"/>
      <c r="B1343"/>
      <c r="C1343"/>
    </row>
    <row r="1344" spans="1:3" ht="15" x14ac:dyDescent="0.25">
      <c r="A1344"/>
      <c r="B1344"/>
      <c r="C1344"/>
    </row>
    <row r="1345" spans="1:3" ht="15" x14ac:dyDescent="0.25">
      <c r="A1345"/>
      <c r="B1345"/>
      <c r="C1345"/>
    </row>
    <row r="1346" spans="1:3" ht="15" x14ac:dyDescent="0.25">
      <c r="A1346"/>
      <c r="B1346"/>
      <c r="C1346"/>
    </row>
    <row r="1347" spans="1:3" ht="15" x14ac:dyDescent="0.25">
      <c r="A1347"/>
      <c r="B1347"/>
      <c r="C1347"/>
    </row>
    <row r="1348" spans="1:3" ht="15" x14ac:dyDescent="0.25">
      <c r="A1348"/>
      <c r="B1348"/>
      <c r="C1348"/>
    </row>
    <row r="1349" spans="1:3" ht="15" x14ac:dyDescent="0.25">
      <c r="A1349"/>
      <c r="B1349"/>
      <c r="C1349"/>
    </row>
    <row r="1350" spans="1:3" ht="15" x14ac:dyDescent="0.25">
      <c r="A1350"/>
      <c r="B1350"/>
      <c r="C1350"/>
    </row>
    <row r="1351" spans="1:3" ht="15" x14ac:dyDescent="0.25">
      <c r="A1351"/>
      <c r="B1351"/>
      <c r="C1351"/>
    </row>
    <row r="1352" spans="1:3" ht="15" x14ac:dyDescent="0.25">
      <c r="A1352"/>
      <c r="B1352"/>
      <c r="C1352"/>
    </row>
    <row r="1353" spans="1:3" ht="15" x14ac:dyDescent="0.25">
      <c r="A1353"/>
      <c r="B1353"/>
      <c r="C1353"/>
    </row>
    <row r="1354" spans="1:3" ht="15" x14ac:dyDescent="0.25">
      <c r="A1354"/>
      <c r="B1354"/>
      <c r="C1354"/>
    </row>
    <row r="1355" spans="1:3" ht="15" x14ac:dyDescent="0.25">
      <c r="A1355"/>
      <c r="B1355"/>
      <c r="C1355"/>
    </row>
    <row r="1356" spans="1:3" ht="15" x14ac:dyDescent="0.25">
      <c r="A1356"/>
      <c r="B1356"/>
      <c r="C1356"/>
    </row>
    <row r="1357" spans="1:3" ht="15" x14ac:dyDescent="0.25">
      <c r="A1357"/>
      <c r="B1357"/>
      <c r="C1357"/>
    </row>
    <row r="1358" spans="1:3" ht="15" x14ac:dyDescent="0.25">
      <c r="A1358"/>
      <c r="B1358"/>
      <c r="C1358"/>
    </row>
    <row r="1359" spans="1:3" ht="15" x14ac:dyDescent="0.25">
      <c r="A1359"/>
      <c r="B1359"/>
      <c r="C1359"/>
    </row>
    <row r="1360" spans="1:3" ht="15" x14ac:dyDescent="0.25">
      <c r="A1360"/>
      <c r="B1360"/>
      <c r="C1360"/>
    </row>
    <row r="1361" spans="1:3" ht="15" x14ac:dyDescent="0.25">
      <c r="A1361"/>
      <c r="B1361"/>
      <c r="C1361"/>
    </row>
    <row r="1362" spans="1:3" ht="15" x14ac:dyDescent="0.25">
      <c r="A1362"/>
      <c r="B1362"/>
      <c r="C1362"/>
    </row>
    <row r="1363" spans="1:3" ht="15" x14ac:dyDescent="0.25">
      <c r="A1363"/>
      <c r="B1363"/>
      <c r="C1363"/>
    </row>
    <row r="1364" spans="1:3" ht="15" x14ac:dyDescent="0.25">
      <c r="A1364"/>
      <c r="B1364"/>
      <c r="C1364"/>
    </row>
    <row r="1365" spans="1:3" ht="15" x14ac:dyDescent="0.25">
      <c r="A1365"/>
      <c r="B1365"/>
      <c r="C1365"/>
    </row>
    <row r="1366" spans="1:3" ht="15" x14ac:dyDescent="0.25">
      <c r="A1366"/>
      <c r="B1366"/>
      <c r="C1366"/>
    </row>
    <row r="1367" spans="1:3" ht="15" x14ac:dyDescent="0.25">
      <c r="A1367"/>
      <c r="B1367"/>
      <c r="C1367"/>
    </row>
    <row r="1368" spans="1:3" ht="15" x14ac:dyDescent="0.25">
      <c r="A1368"/>
      <c r="B1368"/>
      <c r="C1368"/>
    </row>
    <row r="1369" spans="1:3" ht="15" x14ac:dyDescent="0.25">
      <c r="A1369"/>
      <c r="B1369"/>
      <c r="C1369"/>
    </row>
    <row r="1370" spans="1:3" ht="15" x14ac:dyDescent="0.25">
      <c r="A1370"/>
      <c r="B1370"/>
      <c r="C1370"/>
    </row>
    <row r="1371" spans="1:3" ht="15" x14ac:dyDescent="0.25">
      <c r="A1371"/>
      <c r="B1371"/>
      <c r="C1371"/>
    </row>
    <row r="1372" spans="1:3" ht="15" x14ac:dyDescent="0.25">
      <c r="A1372"/>
      <c r="B1372"/>
      <c r="C1372"/>
    </row>
    <row r="1373" spans="1:3" ht="15" x14ac:dyDescent="0.25">
      <c r="A1373"/>
      <c r="B1373"/>
      <c r="C1373"/>
    </row>
    <row r="1374" spans="1:3" ht="15" x14ac:dyDescent="0.25">
      <c r="A1374"/>
      <c r="B1374"/>
      <c r="C1374"/>
    </row>
    <row r="1375" spans="1:3" ht="15" x14ac:dyDescent="0.25">
      <c r="A1375"/>
      <c r="B1375"/>
      <c r="C1375"/>
    </row>
    <row r="1376" spans="1:3" ht="15" x14ac:dyDescent="0.25">
      <c r="A1376"/>
      <c r="B1376"/>
      <c r="C1376"/>
    </row>
    <row r="1377" spans="1:3" ht="15" x14ac:dyDescent="0.25">
      <c r="A1377"/>
      <c r="B1377"/>
      <c r="C1377"/>
    </row>
    <row r="1378" spans="1:3" ht="15" x14ac:dyDescent="0.25">
      <c r="A1378"/>
      <c r="B1378"/>
      <c r="C1378"/>
    </row>
    <row r="1379" spans="1:3" ht="15" x14ac:dyDescent="0.25">
      <c r="A1379"/>
      <c r="B1379"/>
      <c r="C1379"/>
    </row>
    <row r="1380" spans="1:3" ht="15" x14ac:dyDescent="0.25">
      <c r="A1380"/>
      <c r="B1380"/>
      <c r="C1380"/>
    </row>
    <row r="1381" spans="1:3" ht="15" x14ac:dyDescent="0.25">
      <c r="A1381"/>
      <c r="B1381"/>
      <c r="C1381"/>
    </row>
    <row r="1382" spans="1:3" ht="15" x14ac:dyDescent="0.25">
      <c r="A1382"/>
      <c r="B1382"/>
      <c r="C1382"/>
    </row>
    <row r="1383" spans="1:3" ht="15" x14ac:dyDescent="0.25">
      <c r="A1383"/>
      <c r="B1383"/>
      <c r="C1383"/>
    </row>
    <row r="1384" spans="1:3" ht="15" x14ac:dyDescent="0.25">
      <c r="A1384"/>
      <c r="B1384"/>
      <c r="C1384"/>
    </row>
    <row r="1385" spans="1:3" ht="15" x14ac:dyDescent="0.25">
      <c r="A1385"/>
      <c r="B1385"/>
      <c r="C1385"/>
    </row>
    <row r="1386" spans="1:3" ht="15" x14ac:dyDescent="0.25">
      <c r="A1386"/>
      <c r="B1386"/>
      <c r="C1386"/>
    </row>
    <row r="1387" spans="1:3" ht="15" x14ac:dyDescent="0.25">
      <c r="A1387"/>
      <c r="B1387"/>
      <c r="C1387"/>
    </row>
    <row r="1388" spans="1:3" ht="15" x14ac:dyDescent="0.25">
      <c r="A1388"/>
      <c r="B1388"/>
      <c r="C1388"/>
    </row>
    <row r="1389" spans="1:3" ht="15" x14ac:dyDescent="0.25">
      <c r="A1389"/>
      <c r="B1389"/>
      <c r="C1389"/>
    </row>
    <row r="1390" spans="1:3" ht="15" x14ac:dyDescent="0.25">
      <c r="A1390"/>
      <c r="B1390"/>
      <c r="C1390"/>
    </row>
    <row r="1391" spans="1:3" ht="15" x14ac:dyDescent="0.25">
      <c r="A1391"/>
      <c r="B1391"/>
      <c r="C1391"/>
    </row>
    <row r="1392" spans="1:3" ht="15" x14ac:dyDescent="0.25">
      <c r="A1392"/>
      <c r="B1392"/>
      <c r="C1392"/>
    </row>
    <row r="1393" spans="1:3" ht="15" x14ac:dyDescent="0.25">
      <c r="A1393"/>
      <c r="B1393"/>
      <c r="C1393"/>
    </row>
    <row r="1394" spans="1:3" ht="15" x14ac:dyDescent="0.25">
      <c r="A1394"/>
      <c r="B1394"/>
      <c r="C1394"/>
    </row>
    <row r="1395" spans="1:3" ht="15" x14ac:dyDescent="0.25">
      <c r="A1395"/>
      <c r="B1395"/>
      <c r="C1395"/>
    </row>
    <row r="1396" spans="1:3" ht="15" x14ac:dyDescent="0.25">
      <c r="A1396"/>
      <c r="B1396"/>
      <c r="C1396"/>
    </row>
    <row r="1397" spans="1:3" ht="15" x14ac:dyDescent="0.25">
      <c r="A1397"/>
      <c r="B1397"/>
      <c r="C1397"/>
    </row>
    <row r="1398" spans="1:3" ht="15" x14ac:dyDescent="0.25">
      <c r="A1398"/>
      <c r="B1398"/>
      <c r="C1398"/>
    </row>
    <row r="1399" spans="1:3" ht="15" x14ac:dyDescent="0.25">
      <c r="A1399"/>
      <c r="B1399"/>
      <c r="C1399"/>
    </row>
    <row r="1400" spans="1:3" ht="15" x14ac:dyDescent="0.25">
      <c r="A1400"/>
      <c r="B1400"/>
      <c r="C1400"/>
    </row>
    <row r="1401" spans="1:3" ht="15" x14ac:dyDescent="0.25">
      <c r="A1401"/>
      <c r="B1401"/>
      <c r="C1401"/>
    </row>
    <row r="1402" spans="1:3" ht="15" x14ac:dyDescent="0.25">
      <c r="A1402"/>
      <c r="B1402"/>
      <c r="C1402"/>
    </row>
    <row r="1403" spans="1:3" ht="15" x14ac:dyDescent="0.25">
      <c r="A1403"/>
      <c r="B1403"/>
      <c r="C1403"/>
    </row>
    <row r="1404" spans="1:3" ht="15" x14ac:dyDescent="0.25">
      <c r="A1404"/>
      <c r="B1404"/>
      <c r="C1404"/>
    </row>
    <row r="1405" spans="1:3" ht="15" x14ac:dyDescent="0.25">
      <c r="A1405"/>
      <c r="B1405"/>
      <c r="C1405"/>
    </row>
    <row r="1406" spans="1:3" ht="15" x14ac:dyDescent="0.25">
      <c r="A1406"/>
      <c r="B1406"/>
      <c r="C1406"/>
    </row>
    <row r="1407" spans="1:3" ht="15" x14ac:dyDescent="0.25">
      <c r="A1407"/>
      <c r="B1407"/>
      <c r="C1407"/>
    </row>
    <row r="1408" spans="1:3" ht="15" x14ac:dyDescent="0.25">
      <c r="A1408"/>
      <c r="B1408"/>
      <c r="C1408"/>
    </row>
    <row r="1409" spans="1:3" ht="15" x14ac:dyDescent="0.25">
      <c r="A1409"/>
      <c r="B1409"/>
      <c r="C1409"/>
    </row>
    <row r="1410" spans="1:3" ht="15" x14ac:dyDescent="0.25">
      <c r="A1410"/>
      <c r="B1410"/>
      <c r="C1410"/>
    </row>
    <row r="1411" spans="1:3" ht="15" x14ac:dyDescent="0.25">
      <c r="A1411"/>
      <c r="B1411"/>
      <c r="C1411"/>
    </row>
    <row r="1412" spans="1:3" ht="15" x14ac:dyDescent="0.25">
      <c r="A1412"/>
      <c r="B1412"/>
      <c r="C1412"/>
    </row>
    <row r="1413" spans="1:3" ht="15" x14ac:dyDescent="0.25">
      <c r="A1413"/>
      <c r="B1413"/>
      <c r="C1413"/>
    </row>
    <row r="1414" spans="1:3" ht="15" x14ac:dyDescent="0.25">
      <c r="A1414"/>
      <c r="B1414"/>
      <c r="C1414"/>
    </row>
    <row r="1415" spans="1:3" ht="15" x14ac:dyDescent="0.25">
      <c r="A1415"/>
      <c r="B1415"/>
      <c r="C1415"/>
    </row>
    <row r="1416" spans="1:3" ht="15" x14ac:dyDescent="0.25">
      <c r="A1416"/>
      <c r="B1416"/>
      <c r="C1416"/>
    </row>
    <row r="1417" spans="1:3" ht="15" x14ac:dyDescent="0.25">
      <c r="A1417"/>
      <c r="B1417"/>
      <c r="C1417"/>
    </row>
    <row r="1418" spans="1:3" ht="15" x14ac:dyDescent="0.25">
      <c r="A1418"/>
      <c r="B1418"/>
      <c r="C1418"/>
    </row>
    <row r="1419" spans="1:3" ht="15" x14ac:dyDescent="0.25">
      <c r="A1419"/>
      <c r="B1419"/>
      <c r="C1419"/>
    </row>
    <row r="1420" spans="1:3" ht="15" x14ac:dyDescent="0.25">
      <c r="A1420"/>
      <c r="B1420"/>
      <c r="C1420"/>
    </row>
    <row r="1421" spans="1:3" ht="15" x14ac:dyDescent="0.25">
      <c r="A1421"/>
      <c r="B1421"/>
      <c r="C1421"/>
    </row>
    <row r="1422" spans="1:3" ht="15" x14ac:dyDescent="0.25">
      <c r="A1422"/>
      <c r="B1422"/>
      <c r="C1422"/>
    </row>
    <row r="1423" spans="1:3" ht="15" x14ac:dyDescent="0.25">
      <c r="A1423"/>
      <c r="B1423"/>
      <c r="C1423"/>
    </row>
    <row r="1424" spans="1:3" ht="15" x14ac:dyDescent="0.25">
      <c r="A1424"/>
      <c r="B1424"/>
      <c r="C1424"/>
    </row>
    <row r="1425" spans="1:3" ht="15" x14ac:dyDescent="0.25">
      <c r="A1425"/>
      <c r="B1425"/>
      <c r="C1425"/>
    </row>
    <row r="1426" spans="1:3" ht="15" x14ac:dyDescent="0.25">
      <c r="A1426"/>
      <c r="B1426"/>
      <c r="C1426"/>
    </row>
    <row r="1427" spans="1:3" ht="15" x14ac:dyDescent="0.25">
      <c r="A1427"/>
      <c r="B1427"/>
      <c r="C1427"/>
    </row>
    <row r="1428" spans="1:3" ht="15" x14ac:dyDescent="0.25">
      <c r="A1428"/>
      <c r="B1428"/>
      <c r="C1428"/>
    </row>
    <row r="1429" spans="1:3" ht="15" x14ac:dyDescent="0.25">
      <c r="A1429"/>
      <c r="B1429"/>
      <c r="C1429"/>
    </row>
    <row r="1430" spans="1:3" ht="15" x14ac:dyDescent="0.25">
      <c r="A1430"/>
      <c r="B1430"/>
      <c r="C1430"/>
    </row>
    <row r="1431" spans="1:3" ht="15" x14ac:dyDescent="0.25">
      <c r="A1431"/>
      <c r="B1431"/>
      <c r="C1431"/>
    </row>
    <row r="1432" spans="1:3" ht="15" x14ac:dyDescent="0.25">
      <c r="A1432"/>
      <c r="B1432"/>
      <c r="C1432"/>
    </row>
    <row r="1433" spans="1:3" ht="15" x14ac:dyDescent="0.25">
      <c r="A1433"/>
      <c r="B1433"/>
      <c r="C1433"/>
    </row>
    <row r="1434" spans="1:3" ht="15" x14ac:dyDescent="0.25">
      <c r="A1434"/>
      <c r="B1434"/>
      <c r="C1434"/>
    </row>
    <row r="1435" spans="1:3" ht="15" x14ac:dyDescent="0.25">
      <c r="A1435"/>
      <c r="B1435"/>
      <c r="C1435"/>
    </row>
    <row r="1436" spans="1:3" ht="15" x14ac:dyDescent="0.25">
      <c r="A1436"/>
      <c r="B1436"/>
      <c r="C1436"/>
    </row>
    <row r="1437" spans="1:3" ht="15" x14ac:dyDescent="0.25">
      <c r="A1437"/>
      <c r="B1437"/>
      <c r="C1437"/>
    </row>
    <row r="1438" spans="1:3" ht="15" x14ac:dyDescent="0.25">
      <c r="A1438"/>
      <c r="B1438"/>
      <c r="C1438"/>
    </row>
    <row r="1439" spans="1:3" ht="15" x14ac:dyDescent="0.25">
      <c r="A1439"/>
      <c r="B1439"/>
      <c r="C1439"/>
    </row>
    <row r="1440" spans="1:3" ht="15" x14ac:dyDescent="0.25">
      <c r="A1440"/>
      <c r="B1440"/>
      <c r="C1440"/>
    </row>
    <row r="1441" spans="1:3" ht="15" x14ac:dyDescent="0.25">
      <c r="A1441"/>
      <c r="B1441"/>
      <c r="C1441"/>
    </row>
    <row r="1442" spans="1:3" ht="15" x14ac:dyDescent="0.25">
      <c r="A1442"/>
      <c r="B1442"/>
      <c r="C1442"/>
    </row>
    <row r="1443" spans="1:3" ht="15" x14ac:dyDescent="0.25">
      <c r="A1443"/>
      <c r="B1443"/>
      <c r="C1443"/>
    </row>
    <row r="1444" spans="1:3" ht="15" x14ac:dyDescent="0.25">
      <c r="A1444"/>
      <c r="B1444"/>
      <c r="C1444"/>
    </row>
    <row r="1445" spans="1:3" ht="15" x14ac:dyDescent="0.25">
      <c r="A1445"/>
      <c r="B1445"/>
      <c r="C1445"/>
    </row>
    <row r="1446" spans="1:3" ht="15" x14ac:dyDescent="0.25">
      <c r="A1446"/>
      <c r="B1446"/>
      <c r="C1446"/>
    </row>
    <row r="1447" spans="1:3" ht="15" x14ac:dyDescent="0.25">
      <c r="A1447"/>
      <c r="B1447"/>
      <c r="C1447"/>
    </row>
    <row r="1448" spans="1:3" ht="15" x14ac:dyDescent="0.25">
      <c r="A1448"/>
      <c r="B1448"/>
      <c r="C1448"/>
    </row>
    <row r="1449" spans="1:3" ht="15" x14ac:dyDescent="0.25">
      <c r="A1449"/>
      <c r="B1449"/>
      <c r="C1449"/>
    </row>
    <row r="1450" spans="1:3" ht="15" x14ac:dyDescent="0.25">
      <c r="A1450"/>
      <c r="B1450"/>
      <c r="C1450"/>
    </row>
    <row r="1451" spans="1:3" ht="15" x14ac:dyDescent="0.25">
      <c r="A1451"/>
      <c r="B1451"/>
      <c r="C1451"/>
    </row>
    <row r="1452" spans="1:3" ht="15" x14ac:dyDescent="0.25">
      <c r="A1452"/>
      <c r="B1452"/>
      <c r="C1452"/>
    </row>
    <row r="1453" spans="1:3" ht="15" x14ac:dyDescent="0.25">
      <c r="A1453"/>
      <c r="B1453"/>
      <c r="C1453"/>
    </row>
    <row r="1454" spans="1:3" ht="15" x14ac:dyDescent="0.25">
      <c r="A1454"/>
      <c r="B1454"/>
      <c r="C1454"/>
    </row>
    <row r="1455" spans="1:3" ht="15" x14ac:dyDescent="0.25">
      <c r="A1455"/>
      <c r="B1455"/>
      <c r="C1455"/>
    </row>
    <row r="1456" spans="1:3" ht="15" x14ac:dyDescent="0.25">
      <c r="A1456"/>
      <c r="B1456"/>
      <c r="C1456"/>
    </row>
    <row r="1457" spans="1:3" ht="15" x14ac:dyDescent="0.25">
      <c r="A1457"/>
      <c r="B1457"/>
      <c r="C1457"/>
    </row>
    <row r="1458" spans="1:3" ht="15" x14ac:dyDescent="0.25">
      <c r="A1458"/>
      <c r="B1458"/>
      <c r="C1458"/>
    </row>
    <row r="1459" spans="1:3" ht="15" x14ac:dyDescent="0.25">
      <c r="A1459"/>
      <c r="B1459"/>
      <c r="C1459"/>
    </row>
    <row r="1460" spans="1:3" ht="15" x14ac:dyDescent="0.25">
      <c r="A1460"/>
      <c r="B1460"/>
      <c r="C1460"/>
    </row>
    <row r="1461" spans="1:3" ht="15" x14ac:dyDescent="0.25">
      <c r="A1461"/>
      <c r="B1461"/>
      <c r="C1461"/>
    </row>
    <row r="1462" spans="1:3" ht="15" x14ac:dyDescent="0.25">
      <c r="A1462"/>
      <c r="B1462"/>
      <c r="C1462"/>
    </row>
    <row r="1463" spans="1:3" ht="15" x14ac:dyDescent="0.25">
      <c r="A1463"/>
      <c r="B1463"/>
      <c r="C1463"/>
    </row>
    <row r="1464" spans="1:3" ht="15" x14ac:dyDescent="0.25">
      <c r="A1464"/>
      <c r="B1464"/>
      <c r="C1464"/>
    </row>
    <row r="1465" spans="1:3" ht="15" x14ac:dyDescent="0.25">
      <c r="A1465"/>
      <c r="B1465"/>
      <c r="C1465"/>
    </row>
    <row r="1466" spans="1:3" ht="15" x14ac:dyDescent="0.25">
      <c r="A1466"/>
      <c r="B1466"/>
      <c r="C1466"/>
    </row>
    <row r="1467" spans="1:3" ht="15" x14ac:dyDescent="0.25">
      <c r="A1467"/>
      <c r="B1467"/>
      <c r="C1467"/>
    </row>
    <row r="1468" spans="1:3" ht="15" x14ac:dyDescent="0.25">
      <c r="A1468"/>
      <c r="B1468"/>
      <c r="C1468"/>
    </row>
    <row r="1469" spans="1:3" ht="15" x14ac:dyDescent="0.25">
      <c r="A1469"/>
      <c r="B1469"/>
      <c r="C1469"/>
    </row>
    <row r="1470" spans="1:3" ht="15" x14ac:dyDescent="0.25">
      <c r="A1470"/>
      <c r="B1470"/>
      <c r="C1470"/>
    </row>
    <row r="1471" spans="1:3" ht="15" x14ac:dyDescent="0.25">
      <c r="A1471"/>
      <c r="B1471"/>
      <c r="C1471"/>
    </row>
    <row r="1472" spans="1:3" ht="15" x14ac:dyDescent="0.25">
      <c r="A1472"/>
      <c r="B1472"/>
      <c r="C1472"/>
    </row>
    <row r="1473" spans="1:3" ht="15" x14ac:dyDescent="0.25">
      <c r="A1473"/>
      <c r="B1473"/>
      <c r="C1473"/>
    </row>
  </sheetData>
  <sortState ref="A4:B14">
    <sortCondition descending="1" ref="A4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194"/>
  <sheetViews>
    <sheetView workbookViewId="0">
      <selection activeCell="A20" sqref="A20:C189"/>
    </sheetView>
  </sheetViews>
  <sheetFormatPr defaultColWidth="9.140625" defaultRowHeight="11.25" x14ac:dyDescent="0.2"/>
  <cols>
    <col min="1" max="1" width="8.5703125" style="2" customWidth="1"/>
    <col min="2" max="2" width="64.140625" style="2" customWidth="1"/>
    <col min="3" max="16384" width="9.140625" style="2"/>
  </cols>
  <sheetData>
    <row r="1" spans="1:3" customFormat="1" ht="21.75" x14ac:dyDescent="0.25">
      <c r="A1" s="9" t="s">
        <v>2685</v>
      </c>
      <c r="B1" s="2"/>
      <c r="C1" s="2"/>
    </row>
    <row r="2" spans="1:3" customFormat="1" ht="15" x14ac:dyDescent="0.25">
      <c r="A2" s="24" t="s">
        <v>9571</v>
      </c>
      <c r="C2" s="2"/>
    </row>
    <row r="3" spans="1:3" customFormat="1" ht="5.25" customHeight="1" x14ac:dyDescent="0.25">
      <c r="A3" s="50"/>
      <c r="B3" s="51"/>
      <c r="C3" s="2"/>
    </row>
    <row r="4" spans="1:3" customFormat="1" ht="15" x14ac:dyDescent="0.25">
      <c r="A4" s="18">
        <f>COUNTIF($B$20:$B$9956,"*content/routing/*")</f>
        <v>54</v>
      </c>
      <c r="B4" s="19" t="s">
        <v>2687</v>
      </c>
      <c r="C4" s="30"/>
    </row>
    <row r="5" spans="1:3" customFormat="1" ht="15" x14ac:dyDescent="0.25">
      <c r="A5" s="18">
        <f>COUNTIF($B$20:$B$9956,"*content/storage/*")</f>
        <v>2</v>
      </c>
      <c r="B5" s="19" t="s">
        <v>6</v>
      </c>
      <c r="C5" s="30"/>
    </row>
    <row r="6" spans="1:3" customFormat="1" ht="15" x14ac:dyDescent="0.25">
      <c r="A6" s="18">
        <f>COUNTIF($B$20:$B$9956,"*/common/tools/*")</f>
        <v>0</v>
      </c>
      <c r="B6" s="19" t="s">
        <v>2693</v>
      </c>
      <c r="C6" s="30"/>
    </row>
    <row r="7" spans="1:3" customFormat="1" ht="15" hidden="1" x14ac:dyDescent="0.25">
      <c r="A7" s="18">
        <f>COUNTIF($B$20:$B$9956,"*content/device/configurator/*")</f>
        <v>0</v>
      </c>
      <c r="B7" s="19" t="s">
        <v>2686</v>
      </c>
      <c r="C7" s="30"/>
    </row>
    <row r="8" spans="1:3" customFormat="1" ht="15" hidden="1" x14ac:dyDescent="0.25">
      <c r="A8" s="18">
        <f>COUNTIF($B$20:$B$9956,"*content/datacenter/*")</f>
        <v>3</v>
      </c>
      <c r="B8" s="19" t="s">
        <v>695</v>
      </c>
      <c r="C8" s="30"/>
    </row>
    <row r="9" spans="1:3" customFormat="1" ht="15" hidden="1" x14ac:dyDescent="0.25">
      <c r="A9" s="18">
        <f>COUNTIF($B$20:$B$9956,"*content/traffictests/*")</f>
        <v>0</v>
      </c>
      <c r="B9" s="19" t="s">
        <v>2688</v>
      </c>
      <c r="C9" s="30"/>
    </row>
    <row r="10" spans="1:3" customFormat="1" ht="15" hidden="1" x14ac:dyDescent="0.25">
      <c r="A10" s="18">
        <f>COUNTIF($B$20:$B$9956,"*content/access/*")</f>
        <v>0</v>
      </c>
      <c r="B10" s="19" t="s">
        <v>181</v>
      </c>
      <c r="C10" s="30"/>
    </row>
    <row r="11" spans="1:3" customFormat="1" ht="15" hidden="1" x14ac:dyDescent="0.25">
      <c r="A11" s="18">
        <f>COUNTIF($B$20:$B$9956,"*content/tripleplay/*")</f>
        <v>0</v>
      </c>
      <c r="B11" s="19" t="s">
        <v>2690</v>
      </c>
      <c r="C11" s="30"/>
    </row>
    <row r="12" spans="1:3" customFormat="1" ht="15" hidden="1" x14ac:dyDescent="0.25">
      <c r="A12" s="18">
        <f>COUNTIF($B$20:$B$9956,"*content/admin/*")</f>
        <v>0</v>
      </c>
      <c r="B12" s="19" t="s">
        <v>2689</v>
      </c>
      <c r="C12" s="30"/>
    </row>
    <row r="13" spans="1:3" customFormat="1" ht="15" hidden="1" x14ac:dyDescent="0.25">
      <c r="A13" s="18">
        <f>COUNTIF($B$20:$B$9956,"*content/sample/*")</f>
        <v>0</v>
      </c>
      <c r="B13" s="19" t="s">
        <v>2691</v>
      </c>
      <c r="C13" s="30"/>
    </row>
    <row r="14" spans="1:3" customFormat="1" ht="15" hidden="1" x14ac:dyDescent="0.25">
      <c r="A14" s="18">
        <f>COUNTIF($B$20:$B$9956,"*content/mcast/*")</f>
        <v>0</v>
      </c>
      <c r="B14" s="19" t="s">
        <v>1150</v>
      </c>
      <c r="C14" s="30"/>
    </row>
    <row r="15" spans="1:3" customFormat="1" ht="15" hidden="1" x14ac:dyDescent="0.25">
      <c r="A15" s="18">
        <f>COUNTIF($B$20:$B$9956,"*content/learning/*")</f>
        <v>0</v>
      </c>
      <c r="B15" s="19" t="s">
        <v>2692</v>
      </c>
      <c r="C15" s="30"/>
    </row>
    <row r="16" spans="1:3" customFormat="1" ht="4.5" customHeight="1" x14ac:dyDescent="0.25">
      <c r="A16" s="50"/>
      <c r="B16" s="51"/>
      <c r="C16" s="2"/>
    </row>
    <row r="17" spans="1:4" customFormat="1" ht="15" x14ac:dyDescent="0.25">
      <c r="A17" s="20">
        <f>SUM(A3:A16)</f>
        <v>59</v>
      </c>
      <c r="B17" s="1" t="s">
        <v>2694</v>
      </c>
      <c r="C17" s="31"/>
    </row>
    <row r="18" spans="1:4" customFormat="1" ht="15" x14ac:dyDescent="0.25">
      <c r="A18" s="20"/>
      <c r="B18" s="1"/>
      <c r="C18" s="31"/>
    </row>
    <row r="19" spans="1:4" customFormat="1" ht="15" x14ac:dyDescent="0.25">
      <c r="A19" s="20" t="s">
        <v>110</v>
      </c>
      <c r="B19" s="44" t="s">
        <v>111</v>
      </c>
      <c r="C19" s="2">
        <f>COUNTA(A19:A9953)-1</f>
        <v>175</v>
      </c>
      <c r="D19">
        <f>57-28</f>
        <v>29</v>
      </c>
    </row>
    <row r="20" spans="1:4" ht="15" x14ac:dyDescent="0.25">
      <c r="A20">
        <v>251603</v>
      </c>
      <c r="B20" t="s">
        <v>10848</v>
      </c>
      <c r="C20" t="s">
        <v>5043</v>
      </c>
    </row>
    <row r="21" spans="1:4" ht="15" x14ac:dyDescent="0.25">
      <c r="A21">
        <v>10656</v>
      </c>
      <c r="B21" t="s">
        <v>10849</v>
      </c>
      <c r="C21" t="s">
        <v>5043</v>
      </c>
    </row>
    <row r="22" spans="1:4" ht="15" x14ac:dyDescent="0.25">
      <c r="A22">
        <v>11229</v>
      </c>
      <c r="B22" t="s">
        <v>10849</v>
      </c>
      <c r="C22" t="s">
        <v>5043</v>
      </c>
    </row>
    <row r="23" spans="1:4" ht="14.45" x14ac:dyDescent="0.3">
      <c r="A23">
        <v>10512</v>
      </c>
      <c r="B23" t="s">
        <v>9076</v>
      </c>
      <c r="C23" t="s">
        <v>5043</v>
      </c>
    </row>
    <row r="24" spans="1:4" ht="14.45" x14ac:dyDescent="0.3">
      <c r="A24">
        <v>9932</v>
      </c>
      <c r="B24" t="s">
        <v>9076</v>
      </c>
      <c r="C24" t="s">
        <v>5043</v>
      </c>
    </row>
    <row r="25" spans="1:4" ht="14.45" x14ac:dyDescent="0.3">
      <c r="A25">
        <v>8425</v>
      </c>
      <c r="B25" t="s">
        <v>10930</v>
      </c>
      <c r="C25" t="s">
        <v>5043</v>
      </c>
    </row>
    <row r="26" spans="1:4" ht="14.45" x14ac:dyDescent="0.3">
      <c r="A26">
        <v>10547</v>
      </c>
      <c r="B26" t="s">
        <v>9079</v>
      </c>
      <c r="C26" t="s">
        <v>5043</v>
      </c>
    </row>
    <row r="27" spans="1:4" ht="14.45" x14ac:dyDescent="0.3">
      <c r="A27">
        <v>10503</v>
      </c>
      <c r="B27" t="s">
        <v>9086</v>
      </c>
      <c r="C27" t="s">
        <v>5043</v>
      </c>
    </row>
    <row r="28" spans="1:4" ht="14.45" x14ac:dyDescent="0.3">
      <c r="A28">
        <v>9030</v>
      </c>
      <c r="B28" t="s">
        <v>9086</v>
      </c>
      <c r="C28" t="s">
        <v>5043</v>
      </c>
    </row>
    <row r="29" spans="1:4" ht="14.45" x14ac:dyDescent="0.3">
      <c r="A29">
        <v>11836</v>
      </c>
      <c r="B29" t="s">
        <v>9090</v>
      </c>
      <c r="C29" t="s">
        <v>5043</v>
      </c>
    </row>
    <row r="30" spans="1:4" ht="14.45" x14ac:dyDescent="0.3">
      <c r="A30">
        <v>7760</v>
      </c>
      <c r="B30" t="s">
        <v>9090</v>
      </c>
      <c r="C30" t="s">
        <v>5043</v>
      </c>
    </row>
    <row r="31" spans="1:4" ht="14.45" x14ac:dyDescent="0.3">
      <c r="A31">
        <v>7125</v>
      </c>
      <c r="B31" t="s">
        <v>10947</v>
      </c>
      <c r="C31" t="s">
        <v>5043</v>
      </c>
    </row>
    <row r="32" spans="1:4" ht="14.45" x14ac:dyDescent="0.3">
      <c r="A32">
        <v>8798</v>
      </c>
      <c r="B32" t="s">
        <v>10947</v>
      </c>
      <c r="C32" t="s">
        <v>5043</v>
      </c>
    </row>
    <row r="33" spans="1:3" ht="14.45" x14ac:dyDescent="0.3">
      <c r="A33">
        <v>9329</v>
      </c>
      <c r="B33" t="s">
        <v>10947</v>
      </c>
      <c r="C33" t="s">
        <v>5043</v>
      </c>
    </row>
    <row r="34" spans="1:3" ht="14.45" x14ac:dyDescent="0.3">
      <c r="A34">
        <v>11626</v>
      </c>
      <c r="B34" t="s">
        <v>10948</v>
      </c>
      <c r="C34" t="s">
        <v>5043</v>
      </c>
    </row>
    <row r="35" spans="1:3" ht="14.45" x14ac:dyDescent="0.3">
      <c r="A35">
        <v>11707</v>
      </c>
      <c r="B35" t="s">
        <v>10956</v>
      </c>
      <c r="C35" t="s">
        <v>5043</v>
      </c>
    </row>
    <row r="36" spans="1:3" ht="14.45" x14ac:dyDescent="0.3">
      <c r="A36">
        <v>11722</v>
      </c>
      <c r="B36" t="s">
        <v>10956</v>
      </c>
      <c r="C36" t="s">
        <v>5043</v>
      </c>
    </row>
    <row r="37" spans="1:3" ht="14.45" x14ac:dyDescent="0.3">
      <c r="A37">
        <v>11510</v>
      </c>
      <c r="B37" t="s">
        <v>10957</v>
      </c>
      <c r="C37" t="s">
        <v>5043</v>
      </c>
    </row>
    <row r="38" spans="1:3" ht="14.45" x14ac:dyDescent="0.3">
      <c r="A38">
        <v>10519</v>
      </c>
      <c r="B38" t="s">
        <v>10960</v>
      </c>
      <c r="C38" t="s">
        <v>5043</v>
      </c>
    </row>
    <row r="39" spans="1:3" ht="14.45" x14ac:dyDescent="0.3">
      <c r="A39">
        <v>10669</v>
      </c>
      <c r="B39" t="s">
        <v>10961</v>
      </c>
      <c r="C39" t="s">
        <v>5043</v>
      </c>
    </row>
    <row r="40" spans="1:3" ht="14.45" x14ac:dyDescent="0.3">
      <c r="A40">
        <v>11726</v>
      </c>
      <c r="B40" t="s">
        <v>10961</v>
      </c>
      <c r="C40" t="s">
        <v>5043</v>
      </c>
    </row>
    <row r="41" spans="1:3" ht="14.45" x14ac:dyDescent="0.3">
      <c r="A41">
        <v>7218</v>
      </c>
      <c r="B41" t="s">
        <v>10962</v>
      </c>
      <c r="C41" t="s">
        <v>5043</v>
      </c>
    </row>
    <row r="42" spans="1:3" ht="14.45" x14ac:dyDescent="0.3">
      <c r="A42">
        <v>8407</v>
      </c>
      <c r="B42" t="s">
        <v>9112</v>
      </c>
      <c r="C42" t="s">
        <v>5043</v>
      </c>
    </row>
    <row r="43" spans="1:3" ht="14.45" x14ac:dyDescent="0.3">
      <c r="A43">
        <v>8541</v>
      </c>
      <c r="B43" t="s">
        <v>9112</v>
      </c>
      <c r="C43" t="s">
        <v>5043</v>
      </c>
    </row>
    <row r="44" spans="1:3" ht="14.45" x14ac:dyDescent="0.3">
      <c r="A44">
        <v>10851</v>
      </c>
      <c r="B44" t="s">
        <v>9114</v>
      </c>
      <c r="C44" t="s">
        <v>5043</v>
      </c>
    </row>
    <row r="45" spans="1:3" ht="14.45" x14ac:dyDescent="0.3">
      <c r="A45">
        <v>10365</v>
      </c>
      <c r="B45" t="s">
        <v>10980</v>
      </c>
      <c r="C45" t="s">
        <v>5043</v>
      </c>
    </row>
    <row r="46" spans="1:3" ht="14.45" x14ac:dyDescent="0.3">
      <c r="A46">
        <v>10562</v>
      </c>
      <c r="B46" t="s">
        <v>10980</v>
      </c>
      <c r="C46" t="s">
        <v>5043</v>
      </c>
    </row>
    <row r="47" spans="1:3" ht="14.45" x14ac:dyDescent="0.3">
      <c r="A47">
        <v>10609</v>
      </c>
      <c r="B47" t="s">
        <v>10980</v>
      </c>
      <c r="C47" t="s">
        <v>5043</v>
      </c>
    </row>
    <row r="48" spans="1:3" ht="14.45" x14ac:dyDescent="0.3">
      <c r="A48">
        <v>10879</v>
      </c>
      <c r="B48" t="s">
        <v>10980</v>
      </c>
      <c r="C48" t="s">
        <v>5043</v>
      </c>
    </row>
    <row r="49" spans="1:3" ht="14.45" x14ac:dyDescent="0.3">
      <c r="A49">
        <v>11084</v>
      </c>
      <c r="B49" t="s">
        <v>10980</v>
      </c>
      <c r="C49" t="s">
        <v>5043</v>
      </c>
    </row>
    <row r="50" spans="1:3" ht="14.45" x14ac:dyDescent="0.3">
      <c r="A50">
        <v>11284</v>
      </c>
      <c r="B50" t="s">
        <v>10980</v>
      </c>
      <c r="C50" t="s">
        <v>5043</v>
      </c>
    </row>
    <row r="51" spans="1:3" ht="14.45" x14ac:dyDescent="0.3">
      <c r="A51">
        <v>11990</v>
      </c>
      <c r="B51" t="s">
        <v>10980</v>
      </c>
      <c r="C51" t="s">
        <v>5043</v>
      </c>
    </row>
    <row r="52" spans="1:3" ht="14.45" x14ac:dyDescent="0.3">
      <c r="A52">
        <v>12396</v>
      </c>
      <c r="B52" t="s">
        <v>10980</v>
      </c>
      <c r="C52" t="s">
        <v>5043</v>
      </c>
    </row>
    <row r="53" spans="1:3" ht="14.45" x14ac:dyDescent="0.3">
      <c r="A53">
        <v>12399</v>
      </c>
      <c r="B53" t="s">
        <v>10980</v>
      </c>
      <c r="C53" t="s">
        <v>5043</v>
      </c>
    </row>
    <row r="54" spans="1:3" ht="15" x14ac:dyDescent="0.25">
      <c r="A54">
        <v>6784</v>
      </c>
      <c r="B54" t="s">
        <v>10980</v>
      </c>
      <c r="C54" t="s">
        <v>5043</v>
      </c>
    </row>
    <row r="55" spans="1:3" ht="15" x14ac:dyDescent="0.25">
      <c r="A55">
        <v>8144</v>
      </c>
      <c r="B55" t="s">
        <v>10980</v>
      </c>
      <c r="C55" t="s">
        <v>5043</v>
      </c>
    </row>
    <row r="56" spans="1:3" ht="15" x14ac:dyDescent="0.25">
      <c r="A56">
        <v>9212</v>
      </c>
      <c r="B56" t="s">
        <v>10980</v>
      </c>
      <c r="C56" t="s">
        <v>5043</v>
      </c>
    </row>
    <row r="57" spans="1:3" ht="15" x14ac:dyDescent="0.25">
      <c r="A57">
        <v>11042</v>
      </c>
      <c r="B57" t="s">
        <v>9117</v>
      </c>
      <c r="C57" t="s">
        <v>5043</v>
      </c>
    </row>
    <row r="58" spans="1:3" ht="15" x14ac:dyDescent="0.25">
      <c r="A58">
        <v>11877</v>
      </c>
      <c r="B58" t="s">
        <v>9117</v>
      </c>
      <c r="C58" t="s">
        <v>5043</v>
      </c>
    </row>
    <row r="59" spans="1:3" ht="15" x14ac:dyDescent="0.25">
      <c r="A59">
        <v>7042</v>
      </c>
      <c r="B59" t="s">
        <v>9117</v>
      </c>
      <c r="C59" t="s">
        <v>5043</v>
      </c>
    </row>
    <row r="60" spans="1:3" ht="15" x14ac:dyDescent="0.25">
      <c r="A60">
        <v>10557</v>
      </c>
      <c r="B60" t="s">
        <v>9119</v>
      </c>
      <c r="C60" t="s">
        <v>5043</v>
      </c>
    </row>
    <row r="61" spans="1:3" ht="15" x14ac:dyDescent="0.25">
      <c r="A61">
        <v>10619</v>
      </c>
      <c r="B61" t="s">
        <v>9119</v>
      </c>
      <c r="C61" t="s">
        <v>5043</v>
      </c>
    </row>
    <row r="62" spans="1:3" ht="15" x14ac:dyDescent="0.25">
      <c r="A62">
        <v>11926</v>
      </c>
      <c r="B62" t="s">
        <v>9122</v>
      </c>
      <c r="C62" t="s">
        <v>5043</v>
      </c>
    </row>
    <row r="63" spans="1:3" ht="15" x14ac:dyDescent="0.25">
      <c r="A63">
        <v>7920</v>
      </c>
      <c r="B63" t="s">
        <v>9122</v>
      </c>
      <c r="C63" t="s">
        <v>5043</v>
      </c>
    </row>
    <row r="64" spans="1:3" ht="15" x14ac:dyDescent="0.25">
      <c r="A64">
        <v>10280</v>
      </c>
      <c r="B64" t="s">
        <v>9126</v>
      </c>
      <c r="C64" t="s">
        <v>5043</v>
      </c>
    </row>
    <row r="65" spans="1:3" ht="15" x14ac:dyDescent="0.25">
      <c r="A65">
        <v>7874</v>
      </c>
      <c r="B65" t="s">
        <v>9126</v>
      </c>
      <c r="C65" t="s">
        <v>5043</v>
      </c>
    </row>
    <row r="66" spans="1:3" ht="15" x14ac:dyDescent="0.25">
      <c r="A66">
        <v>8069</v>
      </c>
      <c r="B66" t="s">
        <v>9126</v>
      </c>
      <c r="C66" t="s">
        <v>5043</v>
      </c>
    </row>
    <row r="67" spans="1:3" ht="15" x14ac:dyDescent="0.25">
      <c r="A67">
        <v>9590</v>
      </c>
      <c r="B67" t="s">
        <v>9126</v>
      </c>
      <c r="C67" t="s">
        <v>5043</v>
      </c>
    </row>
    <row r="68" spans="1:3" ht="15" x14ac:dyDescent="0.25">
      <c r="A68">
        <v>8680</v>
      </c>
      <c r="B68" t="s">
        <v>9139</v>
      </c>
      <c r="C68" t="s">
        <v>5043</v>
      </c>
    </row>
    <row r="69" spans="1:3" ht="15" x14ac:dyDescent="0.25">
      <c r="A69">
        <v>11560</v>
      </c>
      <c r="B69" t="s">
        <v>9140</v>
      </c>
      <c r="C69" t="s">
        <v>5043</v>
      </c>
    </row>
    <row r="70" spans="1:3" ht="15" x14ac:dyDescent="0.25">
      <c r="A70">
        <v>10288</v>
      </c>
      <c r="B70" t="s">
        <v>9142</v>
      </c>
      <c r="C70" t="s">
        <v>5043</v>
      </c>
    </row>
    <row r="71" spans="1:3" ht="15" x14ac:dyDescent="0.25">
      <c r="A71">
        <v>11254</v>
      </c>
      <c r="B71" t="s">
        <v>9142</v>
      </c>
      <c r="C71" t="s">
        <v>5043</v>
      </c>
    </row>
    <row r="72" spans="1:3" ht="15" x14ac:dyDescent="0.25">
      <c r="A72">
        <v>8757</v>
      </c>
      <c r="B72" t="s">
        <v>9142</v>
      </c>
      <c r="C72" t="s">
        <v>5043</v>
      </c>
    </row>
    <row r="73" spans="1:3" ht="15" x14ac:dyDescent="0.25">
      <c r="A73">
        <v>9281</v>
      </c>
      <c r="B73" t="s">
        <v>9142</v>
      </c>
      <c r="C73" t="s">
        <v>5043</v>
      </c>
    </row>
    <row r="74" spans="1:3" ht="15" x14ac:dyDescent="0.25">
      <c r="A74">
        <v>11535</v>
      </c>
      <c r="B74" t="s">
        <v>9148</v>
      </c>
      <c r="C74" t="s">
        <v>5043</v>
      </c>
    </row>
    <row r="75" spans="1:3" ht="15" x14ac:dyDescent="0.25">
      <c r="A75">
        <v>7133</v>
      </c>
      <c r="B75" t="s">
        <v>9148</v>
      </c>
      <c r="C75" t="s">
        <v>5043</v>
      </c>
    </row>
    <row r="76" spans="1:3" ht="15" x14ac:dyDescent="0.25">
      <c r="A76">
        <v>8747</v>
      </c>
      <c r="B76" t="s">
        <v>9148</v>
      </c>
      <c r="C76" t="s">
        <v>5043</v>
      </c>
    </row>
    <row r="77" spans="1:3" ht="15" x14ac:dyDescent="0.25">
      <c r="A77">
        <v>10140</v>
      </c>
      <c r="B77" t="s">
        <v>11065</v>
      </c>
      <c r="C77" t="s">
        <v>5043</v>
      </c>
    </row>
    <row r="78" spans="1:3" ht="15" x14ac:dyDescent="0.25">
      <c r="A78">
        <v>8276</v>
      </c>
      <c r="B78" t="s">
        <v>11066</v>
      </c>
      <c r="C78" t="s">
        <v>5043</v>
      </c>
    </row>
    <row r="79" spans="1:3" ht="15" x14ac:dyDescent="0.25">
      <c r="A79">
        <v>10985</v>
      </c>
      <c r="B79" t="s">
        <v>9284</v>
      </c>
      <c r="C79" t="s">
        <v>5043</v>
      </c>
    </row>
    <row r="80" spans="1:3" ht="15" x14ac:dyDescent="0.25">
      <c r="A80">
        <v>7503</v>
      </c>
      <c r="B80" t="s">
        <v>11093</v>
      </c>
      <c r="C80" t="s">
        <v>5043</v>
      </c>
    </row>
    <row r="81" spans="1:3" ht="15" x14ac:dyDescent="0.25">
      <c r="A81">
        <v>8434</v>
      </c>
      <c r="B81" t="s">
        <v>11093</v>
      </c>
      <c r="C81" t="s">
        <v>5043</v>
      </c>
    </row>
    <row r="82" spans="1:3" ht="15" x14ac:dyDescent="0.25">
      <c r="A82">
        <v>10533</v>
      </c>
      <c r="B82" t="s">
        <v>11102</v>
      </c>
      <c r="C82" t="s">
        <v>5043</v>
      </c>
    </row>
    <row r="83" spans="1:3" ht="15" x14ac:dyDescent="0.25">
      <c r="A83">
        <v>10778</v>
      </c>
      <c r="B83" t="s">
        <v>11150</v>
      </c>
      <c r="C83" t="s">
        <v>5043</v>
      </c>
    </row>
    <row r="84" spans="1:3" ht="15" x14ac:dyDescent="0.25">
      <c r="A84">
        <v>9449</v>
      </c>
      <c r="B84" t="s">
        <v>11151</v>
      </c>
      <c r="C84" t="s">
        <v>5043</v>
      </c>
    </row>
    <row r="85" spans="1:3" ht="15" x14ac:dyDescent="0.25">
      <c r="A85">
        <v>6875</v>
      </c>
      <c r="B85" t="s">
        <v>11161</v>
      </c>
      <c r="C85" t="s">
        <v>5043</v>
      </c>
    </row>
    <row r="86" spans="1:3" ht="15" x14ac:dyDescent="0.25">
      <c r="A86">
        <v>8536</v>
      </c>
      <c r="B86" t="s">
        <v>11161</v>
      </c>
      <c r="C86" t="s">
        <v>5043</v>
      </c>
    </row>
    <row r="87" spans="1:3" ht="15" x14ac:dyDescent="0.25">
      <c r="A87">
        <v>8766</v>
      </c>
      <c r="B87" t="s">
        <v>11161</v>
      </c>
      <c r="C87" t="s">
        <v>5043</v>
      </c>
    </row>
    <row r="88" spans="1:3" ht="15" x14ac:dyDescent="0.25">
      <c r="A88">
        <v>9678</v>
      </c>
      <c r="B88" t="s">
        <v>11161</v>
      </c>
      <c r="C88" t="s">
        <v>5043</v>
      </c>
    </row>
    <row r="89" spans="1:3" ht="15" x14ac:dyDescent="0.25">
      <c r="A89">
        <v>10328</v>
      </c>
      <c r="B89" t="s">
        <v>11162</v>
      </c>
      <c r="C89" t="s">
        <v>5043</v>
      </c>
    </row>
    <row r="90" spans="1:3" ht="15" x14ac:dyDescent="0.25">
      <c r="A90">
        <v>10710</v>
      </c>
      <c r="B90" t="s">
        <v>11162</v>
      </c>
      <c r="C90" t="s">
        <v>5043</v>
      </c>
    </row>
    <row r="91" spans="1:3" ht="15" x14ac:dyDescent="0.25">
      <c r="A91">
        <v>10907</v>
      </c>
      <c r="B91" t="s">
        <v>11162</v>
      </c>
      <c r="C91" t="s">
        <v>5043</v>
      </c>
    </row>
    <row r="92" spans="1:3" ht="15" x14ac:dyDescent="0.25">
      <c r="A92">
        <v>7975</v>
      </c>
      <c r="B92" t="s">
        <v>11162</v>
      </c>
      <c r="C92" t="s">
        <v>5043</v>
      </c>
    </row>
    <row r="93" spans="1:3" ht="15" x14ac:dyDescent="0.25">
      <c r="A93">
        <v>9027</v>
      </c>
      <c r="B93" t="s">
        <v>11162</v>
      </c>
      <c r="C93" t="s">
        <v>5043</v>
      </c>
    </row>
    <row r="94" spans="1:3" ht="15" x14ac:dyDescent="0.25">
      <c r="A94">
        <v>9727</v>
      </c>
      <c r="B94" t="s">
        <v>11162</v>
      </c>
      <c r="C94" t="s">
        <v>5043</v>
      </c>
    </row>
    <row r="95" spans="1:3" ht="15" x14ac:dyDescent="0.25">
      <c r="A95">
        <v>7134</v>
      </c>
      <c r="B95" t="s">
        <v>11184</v>
      </c>
      <c r="C95" t="s">
        <v>5043</v>
      </c>
    </row>
    <row r="96" spans="1:3" ht="15" x14ac:dyDescent="0.25">
      <c r="A96">
        <v>9542</v>
      </c>
      <c r="B96" t="s">
        <v>11184</v>
      </c>
      <c r="C96" t="s">
        <v>5043</v>
      </c>
    </row>
    <row r="97" spans="1:3" ht="15" x14ac:dyDescent="0.25">
      <c r="A97">
        <v>7858</v>
      </c>
      <c r="B97" t="s">
        <v>11188</v>
      </c>
      <c r="C97" t="s">
        <v>5043</v>
      </c>
    </row>
    <row r="98" spans="1:3" ht="15" x14ac:dyDescent="0.25">
      <c r="A98">
        <v>8736</v>
      </c>
      <c r="B98" t="s">
        <v>11188</v>
      </c>
      <c r="C98" t="s">
        <v>5043</v>
      </c>
    </row>
    <row r="99" spans="1:3" ht="15" x14ac:dyDescent="0.25">
      <c r="A99">
        <v>10024</v>
      </c>
      <c r="B99" t="s">
        <v>11215</v>
      </c>
      <c r="C99" t="s">
        <v>5043</v>
      </c>
    </row>
    <row r="100" spans="1:3" ht="15" x14ac:dyDescent="0.25">
      <c r="A100">
        <v>11483</v>
      </c>
      <c r="B100" t="s">
        <v>11215</v>
      </c>
      <c r="C100" t="s">
        <v>5043</v>
      </c>
    </row>
    <row r="101" spans="1:3" ht="15" x14ac:dyDescent="0.25">
      <c r="A101">
        <v>12029</v>
      </c>
      <c r="B101" t="s">
        <v>11215</v>
      </c>
      <c r="C101" t="s">
        <v>5043</v>
      </c>
    </row>
    <row r="102" spans="1:3" ht="15" x14ac:dyDescent="0.25">
      <c r="A102">
        <v>7190</v>
      </c>
      <c r="B102" t="s">
        <v>11215</v>
      </c>
      <c r="C102" t="s">
        <v>5043</v>
      </c>
    </row>
    <row r="103" spans="1:3" ht="15" x14ac:dyDescent="0.25">
      <c r="A103">
        <v>7721</v>
      </c>
      <c r="B103" t="s">
        <v>11215</v>
      </c>
      <c r="C103" t="s">
        <v>5043</v>
      </c>
    </row>
    <row r="104" spans="1:3" ht="15" x14ac:dyDescent="0.25">
      <c r="A104">
        <v>8744</v>
      </c>
      <c r="B104" t="s">
        <v>11215</v>
      </c>
      <c r="C104" t="s">
        <v>5043</v>
      </c>
    </row>
    <row r="105" spans="1:3" ht="15" x14ac:dyDescent="0.25">
      <c r="A105">
        <v>9672</v>
      </c>
      <c r="B105" t="s">
        <v>11215</v>
      </c>
      <c r="C105" t="s">
        <v>5043</v>
      </c>
    </row>
    <row r="106" spans="1:3" ht="15" x14ac:dyDescent="0.25">
      <c r="A106">
        <v>9701</v>
      </c>
      <c r="B106" t="s">
        <v>11215</v>
      </c>
      <c r="C106" t="s">
        <v>5043</v>
      </c>
    </row>
    <row r="107" spans="1:3" ht="15" x14ac:dyDescent="0.25">
      <c r="A107">
        <v>10522</v>
      </c>
      <c r="B107" t="s">
        <v>11218</v>
      </c>
      <c r="C107" t="s">
        <v>5043</v>
      </c>
    </row>
    <row r="108" spans="1:3" ht="15" x14ac:dyDescent="0.25">
      <c r="A108">
        <v>11333</v>
      </c>
      <c r="B108" t="s">
        <v>11218</v>
      </c>
      <c r="C108" t="s">
        <v>5043</v>
      </c>
    </row>
    <row r="109" spans="1:3" ht="15" x14ac:dyDescent="0.25">
      <c r="A109">
        <v>11848</v>
      </c>
      <c r="B109" t="s">
        <v>11218</v>
      </c>
      <c r="C109" t="s">
        <v>5043</v>
      </c>
    </row>
    <row r="110" spans="1:3" ht="15" x14ac:dyDescent="0.25">
      <c r="A110">
        <v>6705</v>
      </c>
      <c r="B110" t="s">
        <v>11218</v>
      </c>
      <c r="C110" t="s">
        <v>5043</v>
      </c>
    </row>
    <row r="111" spans="1:3" ht="15" x14ac:dyDescent="0.25">
      <c r="A111">
        <v>8092</v>
      </c>
      <c r="B111" t="s">
        <v>11218</v>
      </c>
      <c r="C111" t="s">
        <v>5043</v>
      </c>
    </row>
    <row r="112" spans="1:3" ht="15" x14ac:dyDescent="0.25">
      <c r="A112">
        <v>8629</v>
      </c>
      <c r="B112" t="s">
        <v>11218</v>
      </c>
      <c r="C112" t="s">
        <v>5043</v>
      </c>
    </row>
    <row r="113" spans="1:3" ht="15" x14ac:dyDescent="0.25">
      <c r="A113">
        <v>11128</v>
      </c>
      <c r="B113" t="s">
        <v>11219</v>
      </c>
      <c r="C113" t="s">
        <v>5043</v>
      </c>
    </row>
    <row r="114" spans="1:3" ht="15" x14ac:dyDescent="0.25">
      <c r="A114">
        <v>11709</v>
      </c>
      <c r="B114" t="s">
        <v>11219</v>
      </c>
      <c r="C114" t="s">
        <v>5043</v>
      </c>
    </row>
    <row r="115" spans="1:3" ht="15" x14ac:dyDescent="0.25">
      <c r="A115">
        <v>7568</v>
      </c>
      <c r="B115" t="s">
        <v>11219</v>
      </c>
      <c r="C115" t="s">
        <v>5043</v>
      </c>
    </row>
    <row r="116" spans="1:3" ht="15" x14ac:dyDescent="0.25">
      <c r="A116">
        <v>9383</v>
      </c>
      <c r="B116" t="s">
        <v>11219</v>
      </c>
      <c r="C116" t="s">
        <v>5043</v>
      </c>
    </row>
    <row r="117" spans="1:3" ht="15" x14ac:dyDescent="0.25">
      <c r="A117">
        <v>9582</v>
      </c>
      <c r="B117" t="s">
        <v>11219</v>
      </c>
      <c r="C117" t="s">
        <v>5043</v>
      </c>
    </row>
    <row r="118" spans="1:3" ht="15" x14ac:dyDescent="0.25">
      <c r="A118">
        <v>9584</v>
      </c>
      <c r="B118" t="s">
        <v>11219</v>
      </c>
      <c r="C118" t="s">
        <v>5043</v>
      </c>
    </row>
    <row r="119" spans="1:3" ht="15" x14ac:dyDescent="0.25">
      <c r="A119">
        <v>10245</v>
      </c>
      <c r="B119" t="s">
        <v>11225</v>
      </c>
      <c r="C119" t="s">
        <v>5043</v>
      </c>
    </row>
    <row r="120" spans="1:3" ht="15" x14ac:dyDescent="0.25">
      <c r="A120">
        <v>10568</v>
      </c>
      <c r="B120" t="s">
        <v>11225</v>
      </c>
      <c r="C120" t="s">
        <v>5043</v>
      </c>
    </row>
    <row r="121" spans="1:3" ht="15" x14ac:dyDescent="0.25">
      <c r="A121">
        <v>10780</v>
      </c>
      <c r="B121" t="s">
        <v>11225</v>
      </c>
      <c r="C121" t="s">
        <v>5043</v>
      </c>
    </row>
    <row r="122" spans="1:3" ht="15" x14ac:dyDescent="0.25">
      <c r="A122">
        <v>11683</v>
      </c>
      <c r="B122" t="s">
        <v>11225</v>
      </c>
      <c r="C122" t="s">
        <v>5043</v>
      </c>
    </row>
    <row r="123" spans="1:3" ht="15" x14ac:dyDescent="0.25">
      <c r="A123">
        <v>9079</v>
      </c>
      <c r="B123" t="s">
        <v>11225</v>
      </c>
      <c r="C123" t="s">
        <v>5043</v>
      </c>
    </row>
    <row r="124" spans="1:3" ht="15" x14ac:dyDescent="0.25">
      <c r="A124">
        <v>9569</v>
      </c>
      <c r="B124" t="s">
        <v>11225</v>
      </c>
      <c r="C124" t="s">
        <v>5043</v>
      </c>
    </row>
    <row r="125" spans="1:3" ht="15" x14ac:dyDescent="0.25">
      <c r="A125">
        <v>11171</v>
      </c>
      <c r="B125" t="s">
        <v>11249</v>
      </c>
      <c r="C125" t="s">
        <v>5043</v>
      </c>
    </row>
    <row r="126" spans="1:3" ht="15" x14ac:dyDescent="0.25">
      <c r="A126">
        <v>6948</v>
      </c>
      <c r="B126" t="s">
        <v>11249</v>
      </c>
      <c r="C126" t="s">
        <v>5043</v>
      </c>
    </row>
    <row r="127" spans="1:3" ht="15" x14ac:dyDescent="0.25">
      <c r="A127">
        <v>9275</v>
      </c>
      <c r="B127" t="s">
        <v>11250</v>
      </c>
      <c r="C127" t="s">
        <v>5043</v>
      </c>
    </row>
    <row r="128" spans="1:3" ht="15" x14ac:dyDescent="0.25">
      <c r="A128">
        <v>9633</v>
      </c>
      <c r="B128" t="s">
        <v>11250</v>
      </c>
      <c r="C128" t="s">
        <v>5043</v>
      </c>
    </row>
    <row r="129" spans="1:3" ht="15" x14ac:dyDescent="0.25">
      <c r="A129">
        <v>11651</v>
      </c>
      <c r="B129" t="s">
        <v>11253</v>
      </c>
      <c r="C129" t="s">
        <v>5043</v>
      </c>
    </row>
    <row r="130" spans="1:3" ht="15" x14ac:dyDescent="0.25">
      <c r="A130">
        <v>7803</v>
      </c>
      <c r="B130" t="s">
        <v>11253</v>
      </c>
      <c r="C130" t="s">
        <v>5043</v>
      </c>
    </row>
    <row r="131" spans="1:3" ht="15" x14ac:dyDescent="0.25">
      <c r="A131">
        <v>10223</v>
      </c>
      <c r="B131" t="s">
        <v>11254</v>
      </c>
      <c r="C131" t="s">
        <v>5043</v>
      </c>
    </row>
    <row r="132" spans="1:3" ht="15" x14ac:dyDescent="0.25">
      <c r="A132">
        <v>6998</v>
      </c>
      <c r="B132" t="s">
        <v>11254</v>
      </c>
      <c r="C132" t="s">
        <v>5043</v>
      </c>
    </row>
    <row r="133" spans="1:3" ht="15" x14ac:dyDescent="0.25">
      <c r="A133">
        <v>10347</v>
      </c>
      <c r="B133" t="s">
        <v>11255</v>
      </c>
      <c r="C133" t="s">
        <v>5043</v>
      </c>
    </row>
    <row r="134" spans="1:3" ht="15" x14ac:dyDescent="0.25">
      <c r="A134">
        <v>7267</v>
      </c>
      <c r="B134" t="s">
        <v>11255</v>
      </c>
      <c r="C134" t="s">
        <v>5043</v>
      </c>
    </row>
    <row r="135" spans="1:3" ht="15" x14ac:dyDescent="0.25">
      <c r="A135">
        <v>11814</v>
      </c>
      <c r="B135" t="s">
        <v>11256</v>
      </c>
      <c r="C135" t="s">
        <v>5043</v>
      </c>
    </row>
    <row r="136" spans="1:3" ht="15" x14ac:dyDescent="0.25">
      <c r="A136">
        <v>9127</v>
      </c>
      <c r="B136" t="s">
        <v>11256</v>
      </c>
      <c r="C136" t="s">
        <v>5043</v>
      </c>
    </row>
    <row r="137" spans="1:3" ht="15" x14ac:dyDescent="0.25">
      <c r="A137">
        <v>10053</v>
      </c>
      <c r="B137" t="s">
        <v>11260</v>
      </c>
      <c r="C137" t="s">
        <v>5043</v>
      </c>
    </row>
    <row r="138" spans="1:3" ht="15" x14ac:dyDescent="0.25">
      <c r="A138">
        <v>7202</v>
      </c>
      <c r="B138" t="s">
        <v>11268</v>
      </c>
      <c r="C138" t="s">
        <v>5043</v>
      </c>
    </row>
    <row r="139" spans="1:3" ht="15" x14ac:dyDescent="0.25">
      <c r="A139">
        <v>9723</v>
      </c>
      <c r="B139" t="s">
        <v>11268</v>
      </c>
      <c r="C139" t="s">
        <v>5043</v>
      </c>
    </row>
    <row r="140" spans="1:3" ht="15" x14ac:dyDescent="0.25">
      <c r="A140">
        <v>9650</v>
      </c>
      <c r="B140" t="s">
        <v>11269</v>
      </c>
      <c r="C140" t="s">
        <v>5043</v>
      </c>
    </row>
    <row r="141" spans="1:3" ht="15" x14ac:dyDescent="0.25">
      <c r="A141">
        <v>9101</v>
      </c>
      <c r="B141" t="s">
        <v>11283</v>
      </c>
      <c r="C141" t="s">
        <v>5043</v>
      </c>
    </row>
    <row r="142" spans="1:3" ht="15" x14ac:dyDescent="0.25">
      <c r="A142">
        <v>7060</v>
      </c>
      <c r="B142" t="s">
        <v>11284</v>
      </c>
      <c r="C142" t="s">
        <v>5043</v>
      </c>
    </row>
    <row r="143" spans="1:3" ht="15" x14ac:dyDescent="0.25">
      <c r="A143">
        <v>7494</v>
      </c>
      <c r="B143" t="s">
        <v>11288</v>
      </c>
      <c r="C143" t="s">
        <v>5043</v>
      </c>
    </row>
    <row r="144" spans="1:3" ht="15" x14ac:dyDescent="0.25">
      <c r="A144">
        <v>11413</v>
      </c>
      <c r="B144" t="s">
        <v>11289</v>
      </c>
      <c r="C144" t="s">
        <v>5043</v>
      </c>
    </row>
    <row r="145" spans="1:3" ht="15" x14ac:dyDescent="0.25">
      <c r="A145">
        <v>11366</v>
      </c>
      <c r="B145" t="s">
        <v>11290</v>
      </c>
      <c r="C145" t="s">
        <v>5043</v>
      </c>
    </row>
    <row r="146" spans="1:3" ht="15" x14ac:dyDescent="0.25">
      <c r="A146">
        <v>9283</v>
      </c>
      <c r="B146" t="s">
        <v>11291</v>
      </c>
      <c r="C146" t="s">
        <v>5043</v>
      </c>
    </row>
    <row r="147" spans="1:3" ht="15" x14ac:dyDescent="0.25">
      <c r="A147">
        <v>6773</v>
      </c>
      <c r="B147" t="s">
        <v>9482</v>
      </c>
      <c r="C147" t="s">
        <v>5043</v>
      </c>
    </row>
    <row r="148" spans="1:3" ht="15" x14ac:dyDescent="0.25">
      <c r="A148">
        <v>6793</v>
      </c>
      <c r="B148" t="s">
        <v>9482</v>
      </c>
      <c r="C148" t="s">
        <v>5043</v>
      </c>
    </row>
    <row r="149" spans="1:3" ht="15" x14ac:dyDescent="0.25">
      <c r="A149">
        <v>6801</v>
      </c>
      <c r="B149" t="s">
        <v>9482</v>
      </c>
      <c r="C149" t="s">
        <v>5043</v>
      </c>
    </row>
    <row r="150" spans="1:3" ht="15" x14ac:dyDescent="0.25">
      <c r="A150">
        <v>7846</v>
      </c>
      <c r="B150" t="s">
        <v>9482</v>
      </c>
      <c r="C150" t="s">
        <v>5043</v>
      </c>
    </row>
    <row r="151" spans="1:3" ht="15" x14ac:dyDescent="0.25">
      <c r="A151">
        <v>9871</v>
      </c>
      <c r="B151" t="s">
        <v>9482</v>
      </c>
      <c r="C151" t="s">
        <v>5043</v>
      </c>
    </row>
    <row r="152" spans="1:3" ht="15" x14ac:dyDescent="0.25">
      <c r="A152">
        <v>12077</v>
      </c>
      <c r="B152" t="s">
        <v>11311</v>
      </c>
      <c r="C152" t="s">
        <v>5043</v>
      </c>
    </row>
    <row r="153" spans="1:3" ht="15" x14ac:dyDescent="0.25">
      <c r="A153">
        <v>8641</v>
      </c>
      <c r="B153" t="s">
        <v>11311</v>
      </c>
      <c r="C153" t="s">
        <v>5043</v>
      </c>
    </row>
    <row r="154" spans="1:3" ht="15" x14ac:dyDescent="0.25">
      <c r="A154">
        <v>10899</v>
      </c>
      <c r="B154" t="s">
        <v>9501</v>
      </c>
      <c r="C154" t="s">
        <v>5043</v>
      </c>
    </row>
    <row r="155" spans="1:3" ht="15" x14ac:dyDescent="0.25">
      <c r="A155">
        <v>11564</v>
      </c>
      <c r="B155" t="s">
        <v>11323</v>
      </c>
      <c r="C155" t="s">
        <v>5043</v>
      </c>
    </row>
    <row r="156" spans="1:3" ht="15" x14ac:dyDescent="0.25">
      <c r="A156">
        <v>11908</v>
      </c>
      <c r="B156" t="s">
        <v>11323</v>
      </c>
      <c r="C156" t="s">
        <v>5043</v>
      </c>
    </row>
    <row r="157" spans="1:3" ht="15" x14ac:dyDescent="0.25">
      <c r="A157">
        <v>8555</v>
      </c>
      <c r="B157" t="s">
        <v>11323</v>
      </c>
      <c r="C157" t="s">
        <v>5043</v>
      </c>
    </row>
    <row r="158" spans="1:3" ht="15" x14ac:dyDescent="0.25">
      <c r="A158">
        <v>6683</v>
      </c>
      <c r="B158" t="s">
        <v>9506</v>
      </c>
      <c r="C158" t="s">
        <v>5043</v>
      </c>
    </row>
    <row r="159" spans="1:3" ht="15" x14ac:dyDescent="0.25">
      <c r="A159">
        <v>7861</v>
      </c>
      <c r="B159" t="s">
        <v>9506</v>
      </c>
      <c r="C159" t="s">
        <v>5043</v>
      </c>
    </row>
    <row r="160" spans="1:3" ht="15" x14ac:dyDescent="0.25">
      <c r="A160">
        <v>8796</v>
      </c>
      <c r="B160" t="s">
        <v>9506</v>
      </c>
      <c r="C160" t="s">
        <v>5043</v>
      </c>
    </row>
    <row r="161" spans="1:3" ht="15" x14ac:dyDescent="0.25">
      <c r="A161">
        <v>9777</v>
      </c>
      <c r="B161" t="s">
        <v>9506</v>
      </c>
      <c r="C161" t="s">
        <v>5043</v>
      </c>
    </row>
    <row r="162" spans="1:3" ht="15" x14ac:dyDescent="0.25">
      <c r="A162">
        <v>8106</v>
      </c>
      <c r="B162" t="s">
        <v>11329</v>
      </c>
      <c r="C162" t="s">
        <v>5043</v>
      </c>
    </row>
    <row r="163" spans="1:3" ht="15" x14ac:dyDescent="0.25">
      <c r="A163">
        <v>11833</v>
      </c>
      <c r="B163" t="s">
        <v>9512</v>
      </c>
      <c r="C163" t="s">
        <v>5043</v>
      </c>
    </row>
    <row r="164" spans="1:3" ht="15" x14ac:dyDescent="0.25">
      <c r="A164">
        <v>8229</v>
      </c>
      <c r="B164" t="s">
        <v>11330</v>
      </c>
      <c r="C164" t="s">
        <v>5043</v>
      </c>
    </row>
    <row r="165" spans="1:3" ht="15" x14ac:dyDescent="0.25">
      <c r="A165">
        <v>9933</v>
      </c>
      <c r="B165" t="s">
        <v>11332</v>
      </c>
      <c r="C165" t="s">
        <v>5043</v>
      </c>
    </row>
    <row r="166" spans="1:3" ht="15" x14ac:dyDescent="0.25">
      <c r="A166">
        <v>11615</v>
      </c>
      <c r="B166" t="s">
        <v>11336</v>
      </c>
      <c r="C166" t="s">
        <v>5043</v>
      </c>
    </row>
    <row r="167" spans="1:3" ht="15" x14ac:dyDescent="0.25">
      <c r="A167">
        <v>10348</v>
      </c>
      <c r="B167" t="s">
        <v>11337</v>
      </c>
      <c r="C167" t="s">
        <v>5043</v>
      </c>
    </row>
    <row r="168" spans="1:3" ht="15" x14ac:dyDescent="0.25">
      <c r="A168">
        <v>12062</v>
      </c>
      <c r="B168" t="s">
        <v>9521</v>
      </c>
      <c r="C168" t="s">
        <v>5043</v>
      </c>
    </row>
    <row r="169" spans="1:3" ht="15" x14ac:dyDescent="0.25">
      <c r="A169">
        <v>10567</v>
      </c>
      <c r="B169" t="s">
        <v>9524</v>
      </c>
      <c r="C169" t="s">
        <v>5043</v>
      </c>
    </row>
    <row r="170" spans="1:3" ht="15" x14ac:dyDescent="0.25">
      <c r="A170">
        <v>9361</v>
      </c>
      <c r="B170" t="s">
        <v>9524</v>
      </c>
      <c r="C170" t="s">
        <v>5043</v>
      </c>
    </row>
    <row r="171" spans="1:3" ht="15" x14ac:dyDescent="0.25">
      <c r="A171">
        <v>8336</v>
      </c>
      <c r="B171" t="s">
        <v>11371</v>
      </c>
      <c r="C171" t="s">
        <v>5043</v>
      </c>
    </row>
    <row r="172" spans="1:3" ht="15" x14ac:dyDescent="0.25">
      <c r="A172">
        <v>8439</v>
      </c>
      <c r="B172" t="s">
        <v>11371</v>
      </c>
      <c r="C172" t="s">
        <v>5043</v>
      </c>
    </row>
    <row r="173" spans="1:3" ht="15" x14ac:dyDescent="0.25">
      <c r="A173">
        <v>8755</v>
      </c>
      <c r="B173" t="s">
        <v>11373</v>
      </c>
      <c r="C173" t="s">
        <v>5043</v>
      </c>
    </row>
    <row r="174" spans="1:3" ht="15" x14ac:dyDescent="0.25">
      <c r="A174">
        <v>8290</v>
      </c>
      <c r="B174" t="s">
        <v>11390</v>
      </c>
      <c r="C174" t="s">
        <v>5043</v>
      </c>
    </row>
    <row r="175" spans="1:3" ht="15" x14ac:dyDescent="0.25">
      <c r="A175">
        <v>9126</v>
      </c>
      <c r="B175" t="s">
        <v>11396</v>
      </c>
      <c r="C175" t="s">
        <v>5043</v>
      </c>
    </row>
    <row r="176" spans="1:3" ht="15" x14ac:dyDescent="0.25">
      <c r="A176">
        <v>7252</v>
      </c>
      <c r="B176" t="s">
        <v>11418</v>
      </c>
      <c r="C176" t="s">
        <v>5043</v>
      </c>
    </row>
    <row r="177" spans="1:3" ht="15" x14ac:dyDescent="0.25">
      <c r="A177">
        <v>8579</v>
      </c>
      <c r="B177" t="s">
        <v>11418</v>
      </c>
      <c r="C177" t="s">
        <v>5043</v>
      </c>
    </row>
    <row r="178" spans="1:3" ht="15" x14ac:dyDescent="0.25">
      <c r="A178">
        <v>6939</v>
      </c>
      <c r="B178" t="s">
        <v>11424</v>
      </c>
      <c r="C178" t="s">
        <v>5043</v>
      </c>
    </row>
    <row r="179" spans="1:3" ht="15" x14ac:dyDescent="0.25">
      <c r="A179">
        <v>11240</v>
      </c>
      <c r="B179" t="s">
        <v>11426</v>
      </c>
      <c r="C179" t="s">
        <v>5043</v>
      </c>
    </row>
    <row r="180" spans="1:3" ht="15" x14ac:dyDescent="0.25">
      <c r="A180">
        <v>10696</v>
      </c>
      <c r="B180" t="s">
        <v>11434</v>
      </c>
      <c r="C180" t="s">
        <v>5043</v>
      </c>
    </row>
    <row r="181" spans="1:3" ht="15" x14ac:dyDescent="0.25">
      <c r="A181">
        <v>7643</v>
      </c>
      <c r="B181" t="s">
        <v>11435</v>
      </c>
      <c r="C181" t="s">
        <v>5043</v>
      </c>
    </row>
    <row r="182" spans="1:3" ht="15" x14ac:dyDescent="0.25">
      <c r="A182">
        <v>8819</v>
      </c>
      <c r="B182" t="s">
        <v>11435</v>
      </c>
      <c r="C182" t="s">
        <v>5043</v>
      </c>
    </row>
    <row r="183" spans="1:3" ht="15" x14ac:dyDescent="0.25">
      <c r="A183">
        <v>8192</v>
      </c>
      <c r="B183" t="s">
        <v>11437</v>
      </c>
      <c r="C183" t="s">
        <v>5043</v>
      </c>
    </row>
    <row r="184" spans="1:3" ht="15" x14ac:dyDescent="0.25">
      <c r="A184">
        <v>10443</v>
      </c>
      <c r="B184" t="s">
        <v>11441</v>
      </c>
      <c r="C184" t="s">
        <v>5043</v>
      </c>
    </row>
    <row r="185" spans="1:3" ht="15" x14ac:dyDescent="0.25">
      <c r="A185">
        <v>7420</v>
      </c>
      <c r="B185" t="s">
        <v>11474</v>
      </c>
      <c r="C185" t="s">
        <v>5043</v>
      </c>
    </row>
    <row r="186" spans="1:3" ht="15" x14ac:dyDescent="0.25">
      <c r="A186">
        <v>8177</v>
      </c>
      <c r="B186" t="s">
        <v>11480</v>
      </c>
      <c r="C186" t="s">
        <v>5043</v>
      </c>
    </row>
    <row r="187" spans="1:3" ht="15" x14ac:dyDescent="0.25">
      <c r="A187">
        <v>8402</v>
      </c>
      <c r="B187" t="s">
        <v>11487</v>
      </c>
      <c r="C187" t="s">
        <v>5043</v>
      </c>
    </row>
    <row r="188" spans="1:3" ht="15" x14ac:dyDescent="0.25">
      <c r="A188">
        <v>10187</v>
      </c>
      <c r="B188" t="s">
        <v>11490</v>
      </c>
      <c r="C188" t="s">
        <v>5043</v>
      </c>
    </row>
    <row r="189" spans="1:3" ht="15" x14ac:dyDescent="0.25">
      <c r="A189">
        <v>7940</v>
      </c>
      <c r="B189" t="s">
        <v>11491</v>
      </c>
      <c r="C189" t="s">
        <v>5043</v>
      </c>
    </row>
    <row r="190" spans="1:3" ht="15" x14ac:dyDescent="0.25">
      <c r="A190">
        <v>7420</v>
      </c>
      <c r="B190" t="s">
        <v>11474</v>
      </c>
      <c r="C190" t="s">
        <v>5043</v>
      </c>
    </row>
    <row r="191" spans="1:3" ht="15" x14ac:dyDescent="0.25">
      <c r="A191">
        <v>8177</v>
      </c>
      <c r="B191" t="s">
        <v>11480</v>
      </c>
      <c r="C191" t="s">
        <v>5043</v>
      </c>
    </row>
    <row r="192" spans="1:3" ht="15" x14ac:dyDescent="0.25">
      <c r="A192">
        <v>8402</v>
      </c>
      <c r="B192" t="s">
        <v>11487</v>
      </c>
      <c r="C192" t="s">
        <v>5043</v>
      </c>
    </row>
    <row r="193" spans="1:3" ht="15" x14ac:dyDescent="0.25">
      <c r="A193">
        <v>10187</v>
      </c>
      <c r="B193" t="s">
        <v>11490</v>
      </c>
      <c r="C193" t="s">
        <v>5043</v>
      </c>
    </row>
    <row r="194" spans="1:3" ht="15" x14ac:dyDescent="0.25">
      <c r="A194">
        <v>7940</v>
      </c>
      <c r="B194" t="s">
        <v>11491</v>
      </c>
      <c r="C194" t="s">
        <v>5043</v>
      </c>
    </row>
  </sheetData>
  <sortState ref="A4:B8">
    <sortCondition descending="1" ref="A4"/>
  </sortState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73"/>
  <sheetViews>
    <sheetView topLeftCell="A2" workbookViewId="0">
      <selection activeCell="A21" sqref="A21:C64"/>
    </sheetView>
  </sheetViews>
  <sheetFormatPr defaultColWidth="9.140625" defaultRowHeight="11.25" x14ac:dyDescent="0.2"/>
  <cols>
    <col min="1" max="1" width="7.85546875" style="2" customWidth="1"/>
    <col min="2" max="2" width="56.5703125" style="2" customWidth="1"/>
    <col min="3" max="16384" width="9.140625" style="2"/>
  </cols>
  <sheetData>
    <row r="1" spans="1:3" customFormat="1" ht="21.75" x14ac:dyDescent="0.25">
      <c r="A1" s="9" t="s">
        <v>2684</v>
      </c>
      <c r="B1" s="2"/>
      <c r="C1" s="2"/>
    </row>
    <row r="2" spans="1:3" customFormat="1" ht="15" x14ac:dyDescent="0.25">
      <c r="A2" s="24" t="s">
        <v>9572</v>
      </c>
      <c r="C2" s="2"/>
    </row>
    <row r="3" spans="1:3" customFormat="1" ht="5.25" customHeight="1" x14ac:dyDescent="0.25">
      <c r="A3" s="50"/>
      <c r="B3" s="51"/>
      <c r="C3" s="2"/>
    </row>
    <row r="4" spans="1:3" customFormat="1" ht="15" x14ac:dyDescent="0.25">
      <c r="A4" s="18">
        <f>COUNTIF($B$21:$B$9978,"*content\routing\*")</f>
        <v>1</v>
      </c>
      <c r="B4" s="19" t="s">
        <v>9</v>
      </c>
      <c r="C4" s="30"/>
    </row>
    <row r="5" spans="1:3" customFormat="1" ht="15" x14ac:dyDescent="0.25">
      <c r="A5" s="18">
        <f>COUNTIF($B$21:$B$9978,"*framework\*")</f>
        <v>36</v>
      </c>
      <c r="B5" s="19" t="s">
        <v>8</v>
      </c>
      <c r="C5" s="30"/>
    </row>
    <row r="6" spans="1:3" customFormat="1" ht="15" x14ac:dyDescent="0.25">
      <c r="A6" s="18">
        <f>COUNTIF($B$21:$B$9978,"*content\traffic\*")</f>
        <v>4</v>
      </c>
      <c r="B6" s="19" t="s">
        <v>11</v>
      </c>
      <c r="C6" s="30"/>
    </row>
    <row r="7" spans="1:3" customFormat="1" ht="15" x14ac:dyDescent="0.25">
      <c r="A7" s="18">
        <f>COUNTIF($B$21:$B$9978,"*content\access\*")</f>
        <v>0</v>
      </c>
      <c r="B7" s="19" t="s">
        <v>13</v>
      </c>
      <c r="C7" s="30"/>
    </row>
    <row r="8" spans="1:3" customFormat="1" ht="15" x14ac:dyDescent="0.25">
      <c r="A8" s="18">
        <f>COUNTIF($B$21:$B$9978,"*content\device\configurator\*")</f>
        <v>1</v>
      </c>
      <c r="B8" s="19" t="s">
        <v>2683</v>
      </c>
      <c r="C8" s="30"/>
    </row>
    <row r="9" spans="1:3" customFormat="1" ht="15" hidden="1" x14ac:dyDescent="0.25">
      <c r="A9" s="18">
        <f>COUNTIF($B$21:$B$9978,"*content\storage\*")</f>
        <v>0</v>
      </c>
      <c r="B9" s="19" t="s">
        <v>162</v>
      </c>
      <c r="C9" s="30"/>
    </row>
    <row r="10" spans="1:3" customFormat="1" ht="15" hidden="1" x14ac:dyDescent="0.25">
      <c r="A10" s="18">
        <f>COUNTIF($B$21:$B$9978,"*content\datacenter\*")</f>
        <v>0</v>
      </c>
      <c r="B10" s="19" t="s">
        <v>10</v>
      </c>
      <c r="C10" s="30"/>
    </row>
    <row r="11" spans="1:3" customFormat="1" ht="15" hidden="1" x14ac:dyDescent="0.25">
      <c r="A11" s="18">
        <f>COUNTIF($B$21:$B$9978,"*content\traffictests\*")</f>
        <v>0</v>
      </c>
      <c r="B11" s="19" t="s">
        <v>12</v>
      </c>
      <c r="C11" s="30"/>
    </row>
    <row r="12" spans="1:3" customFormat="1" ht="15" hidden="1" x14ac:dyDescent="0.25">
      <c r="A12" s="18">
        <f>COUNTIF($B$21:$B$9978,"*content\tripleplay\*")</f>
        <v>0</v>
      </c>
      <c r="B12" s="19" t="s">
        <v>2682</v>
      </c>
      <c r="C12" s="30"/>
    </row>
    <row r="13" spans="1:3" customFormat="1" ht="15" hidden="1" x14ac:dyDescent="0.25">
      <c r="A13" s="18">
        <f>COUNTIF($B$21:$B$9978,"*content\admin\*")</f>
        <v>0</v>
      </c>
      <c r="B13" s="19" t="s">
        <v>615</v>
      </c>
      <c r="C13" s="30"/>
    </row>
    <row r="14" spans="1:3" customFormat="1" ht="15" hidden="1" x14ac:dyDescent="0.25">
      <c r="A14" s="18">
        <f>COUNTIF($B$21:$B$9978,"*content\sample\*")</f>
        <v>0</v>
      </c>
      <c r="B14" s="19" t="s">
        <v>617</v>
      </c>
      <c r="C14" s="30"/>
    </row>
    <row r="15" spans="1:3" customFormat="1" ht="15" hidden="1" x14ac:dyDescent="0.25">
      <c r="A15" s="18">
        <f>COUNTIF($B$21:$B$9978,"*content\mcast\*")</f>
        <v>0</v>
      </c>
      <c r="B15" s="19" t="s">
        <v>163</v>
      </c>
      <c r="C15" s="30"/>
    </row>
    <row r="16" spans="1:3" customFormat="1" ht="15" hidden="1" x14ac:dyDescent="0.25">
      <c r="A16" s="18">
        <f>COUNTIF($B$21:$B$9978,"*content\learning\*")</f>
        <v>0</v>
      </c>
      <c r="B16" s="19" t="s">
        <v>164</v>
      </c>
      <c r="C16" s="30"/>
    </row>
    <row r="17" spans="1:4" customFormat="1" ht="4.5" customHeight="1" x14ac:dyDescent="0.25">
      <c r="A17" s="50"/>
      <c r="B17" s="51"/>
      <c r="C17" s="2"/>
    </row>
    <row r="18" spans="1:4" customFormat="1" ht="15" x14ac:dyDescent="0.25">
      <c r="A18" s="20">
        <f>SUM(A3:A17)</f>
        <v>42</v>
      </c>
      <c r="B18" s="1" t="s">
        <v>2694</v>
      </c>
      <c r="C18" s="31"/>
    </row>
    <row r="19" spans="1:4" customFormat="1" ht="15" x14ac:dyDescent="0.25">
      <c r="A19" s="20"/>
      <c r="B19" s="1"/>
      <c r="C19" s="31"/>
      <c r="D19">
        <f>16-A18</f>
        <v>-26</v>
      </c>
    </row>
    <row r="20" spans="1:4" customFormat="1" ht="15" x14ac:dyDescent="0.25">
      <c r="A20" s="20" t="s">
        <v>110</v>
      </c>
      <c r="B20" s="44" t="s">
        <v>111</v>
      </c>
      <c r="C20" s="2">
        <f>COUNTA(A20:A9975)-1</f>
        <v>44</v>
      </c>
    </row>
    <row r="21" spans="1:4" ht="15" x14ac:dyDescent="0.25">
      <c r="A21">
        <v>10302</v>
      </c>
      <c r="B21" t="s">
        <v>9654</v>
      </c>
      <c r="C21" t="s">
        <v>5043</v>
      </c>
    </row>
    <row r="22" spans="1:4" ht="14.45" x14ac:dyDescent="0.3">
      <c r="A22">
        <v>10452</v>
      </c>
      <c r="B22" t="s">
        <v>9658</v>
      </c>
      <c r="C22" t="s">
        <v>5043</v>
      </c>
    </row>
    <row r="23" spans="1:4" ht="14.45" x14ac:dyDescent="0.3">
      <c r="A23">
        <v>7045</v>
      </c>
      <c r="B23" t="s">
        <v>8534</v>
      </c>
      <c r="C23" t="s">
        <v>5043</v>
      </c>
    </row>
    <row r="24" spans="1:4" ht="14.45" x14ac:dyDescent="0.3">
      <c r="A24">
        <v>8670</v>
      </c>
      <c r="B24" t="s">
        <v>9685</v>
      </c>
      <c r="C24" t="s">
        <v>5043</v>
      </c>
    </row>
    <row r="25" spans="1:4" ht="14.45" x14ac:dyDescent="0.3">
      <c r="A25">
        <v>7448</v>
      </c>
      <c r="B25" t="s">
        <v>9731</v>
      </c>
      <c r="C25" t="s">
        <v>5043</v>
      </c>
    </row>
    <row r="26" spans="1:4" ht="14.45" x14ac:dyDescent="0.3">
      <c r="A26">
        <v>5600</v>
      </c>
      <c r="B26" t="s">
        <v>9742</v>
      </c>
      <c r="C26" t="s">
        <v>5043</v>
      </c>
    </row>
    <row r="27" spans="1:4" ht="14.45" x14ac:dyDescent="0.3">
      <c r="A27">
        <v>7986</v>
      </c>
      <c r="B27" t="s">
        <v>9742</v>
      </c>
      <c r="C27" t="s">
        <v>5043</v>
      </c>
    </row>
    <row r="28" spans="1:4" ht="14.45" x14ac:dyDescent="0.3">
      <c r="A28">
        <v>8080</v>
      </c>
      <c r="B28" t="s">
        <v>9742</v>
      </c>
      <c r="C28" t="s">
        <v>5043</v>
      </c>
    </row>
    <row r="29" spans="1:4" ht="14.45" x14ac:dyDescent="0.3">
      <c r="A29">
        <v>5405</v>
      </c>
      <c r="B29" t="s">
        <v>9756</v>
      </c>
      <c r="C29" t="s">
        <v>5043</v>
      </c>
    </row>
    <row r="30" spans="1:4" ht="14.45" x14ac:dyDescent="0.3">
      <c r="A30">
        <v>5400</v>
      </c>
      <c r="B30" t="s">
        <v>9768</v>
      </c>
      <c r="C30" t="s">
        <v>5043</v>
      </c>
    </row>
    <row r="31" spans="1:4" ht="14.45" x14ac:dyDescent="0.3">
      <c r="A31">
        <v>7898</v>
      </c>
      <c r="B31" t="s">
        <v>9768</v>
      </c>
      <c r="C31" t="s">
        <v>5043</v>
      </c>
    </row>
    <row r="32" spans="1:4" ht="14.45" x14ac:dyDescent="0.3">
      <c r="A32">
        <v>8738</v>
      </c>
      <c r="B32" t="s">
        <v>9768</v>
      </c>
      <c r="C32" t="s">
        <v>5043</v>
      </c>
    </row>
    <row r="33" spans="1:3" ht="14.45" x14ac:dyDescent="0.3">
      <c r="A33">
        <v>5655</v>
      </c>
      <c r="B33" t="s">
        <v>9786</v>
      </c>
      <c r="C33" t="s">
        <v>5043</v>
      </c>
    </row>
    <row r="34" spans="1:3" ht="14.45" x14ac:dyDescent="0.3">
      <c r="A34">
        <v>6690</v>
      </c>
      <c r="B34" t="s">
        <v>8601</v>
      </c>
      <c r="C34" t="s">
        <v>5043</v>
      </c>
    </row>
    <row r="35" spans="1:3" ht="14.45" x14ac:dyDescent="0.3">
      <c r="A35">
        <v>5662</v>
      </c>
      <c r="B35" t="s">
        <v>8602</v>
      </c>
      <c r="C35" t="s">
        <v>5043</v>
      </c>
    </row>
    <row r="36" spans="1:3" ht="14.45" x14ac:dyDescent="0.3">
      <c r="A36">
        <v>7173</v>
      </c>
      <c r="B36" t="s">
        <v>8602</v>
      </c>
      <c r="C36" t="s">
        <v>5043</v>
      </c>
    </row>
    <row r="37" spans="1:3" ht="14.45" x14ac:dyDescent="0.3">
      <c r="A37">
        <v>8555</v>
      </c>
      <c r="B37" t="s">
        <v>8602</v>
      </c>
      <c r="C37" t="s">
        <v>5043</v>
      </c>
    </row>
    <row r="38" spans="1:3" ht="14.45" x14ac:dyDescent="0.3">
      <c r="A38">
        <v>5960</v>
      </c>
      <c r="B38" t="s">
        <v>9825</v>
      </c>
      <c r="C38" t="s">
        <v>5043</v>
      </c>
    </row>
    <row r="39" spans="1:3" ht="14.45" x14ac:dyDescent="0.3">
      <c r="A39">
        <v>6680</v>
      </c>
      <c r="B39" t="s">
        <v>9826</v>
      </c>
      <c r="C39" t="s">
        <v>5043</v>
      </c>
    </row>
    <row r="40" spans="1:3" ht="14.45" x14ac:dyDescent="0.3">
      <c r="A40">
        <v>7594</v>
      </c>
      <c r="B40" t="s">
        <v>9826</v>
      </c>
      <c r="C40" t="s">
        <v>5043</v>
      </c>
    </row>
    <row r="41" spans="1:3" ht="14.45" x14ac:dyDescent="0.3">
      <c r="A41">
        <v>8043</v>
      </c>
      <c r="B41" t="s">
        <v>9826</v>
      </c>
      <c r="C41" t="s">
        <v>5043</v>
      </c>
    </row>
    <row r="42" spans="1:3" ht="14.45" x14ac:dyDescent="0.3">
      <c r="A42">
        <v>5020</v>
      </c>
      <c r="B42" t="s">
        <v>9827</v>
      </c>
      <c r="C42" t="s">
        <v>5043</v>
      </c>
    </row>
    <row r="43" spans="1:3" ht="14.45" x14ac:dyDescent="0.3">
      <c r="A43">
        <v>5076</v>
      </c>
      <c r="B43" t="s">
        <v>9827</v>
      </c>
      <c r="C43" t="s">
        <v>5043</v>
      </c>
    </row>
    <row r="44" spans="1:3" ht="14.45" x14ac:dyDescent="0.3">
      <c r="A44">
        <v>6291</v>
      </c>
      <c r="B44" t="s">
        <v>9827</v>
      </c>
      <c r="C44" t="s">
        <v>5043</v>
      </c>
    </row>
    <row r="45" spans="1:3" ht="14.45" x14ac:dyDescent="0.3">
      <c r="A45">
        <v>7678</v>
      </c>
      <c r="B45" t="s">
        <v>9827</v>
      </c>
      <c r="C45" t="s">
        <v>5043</v>
      </c>
    </row>
    <row r="46" spans="1:3" ht="14.45" x14ac:dyDescent="0.3">
      <c r="A46">
        <v>8213</v>
      </c>
      <c r="B46" t="s">
        <v>9827</v>
      </c>
      <c r="C46" t="s">
        <v>5043</v>
      </c>
    </row>
    <row r="47" spans="1:3" ht="14.45" x14ac:dyDescent="0.3">
      <c r="A47">
        <v>9005</v>
      </c>
      <c r="B47" t="s">
        <v>9827</v>
      </c>
      <c r="C47" t="s">
        <v>5043</v>
      </c>
    </row>
    <row r="48" spans="1:3" ht="14.45" x14ac:dyDescent="0.3">
      <c r="A48">
        <v>9150</v>
      </c>
      <c r="B48" t="s">
        <v>9827</v>
      </c>
      <c r="C48" t="s">
        <v>5043</v>
      </c>
    </row>
    <row r="49" spans="1:3" ht="14.45" x14ac:dyDescent="0.3">
      <c r="A49">
        <v>6079</v>
      </c>
      <c r="B49" t="s">
        <v>9830</v>
      </c>
      <c r="C49" t="s">
        <v>5043</v>
      </c>
    </row>
    <row r="50" spans="1:3" ht="14.45" x14ac:dyDescent="0.3">
      <c r="A50">
        <v>7187</v>
      </c>
      <c r="B50" t="s">
        <v>9830</v>
      </c>
      <c r="C50" t="s">
        <v>5043</v>
      </c>
    </row>
    <row r="51" spans="1:3" ht="14.45" x14ac:dyDescent="0.3">
      <c r="A51">
        <v>7567</v>
      </c>
      <c r="B51" t="s">
        <v>9830</v>
      </c>
      <c r="C51" t="s">
        <v>5043</v>
      </c>
    </row>
    <row r="52" spans="1:3" ht="14.45" x14ac:dyDescent="0.3">
      <c r="A52">
        <v>5250</v>
      </c>
      <c r="B52" t="s">
        <v>9831</v>
      </c>
      <c r="C52" t="s">
        <v>5043</v>
      </c>
    </row>
    <row r="53" spans="1:3" ht="14.45" x14ac:dyDescent="0.3">
      <c r="A53">
        <v>5497</v>
      </c>
      <c r="B53" t="s">
        <v>9831</v>
      </c>
      <c r="C53" t="s">
        <v>5043</v>
      </c>
    </row>
    <row r="54" spans="1:3" ht="14.45" x14ac:dyDescent="0.3">
      <c r="A54">
        <v>5937</v>
      </c>
      <c r="B54" t="s">
        <v>9831</v>
      </c>
      <c r="C54" t="s">
        <v>5043</v>
      </c>
    </row>
    <row r="55" spans="1:3" ht="14.45" x14ac:dyDescent="0.3">
      <c r="A55">
        <v>6163</v>
      </c>
      <c r="B55" t="s">
        <v>9831</v>
      </c>
      <c r="C55" t="s">
        <v>5043</v>
      </c>
    </row>
    <row r="56" spans="1:3" ht="14.45" x14ac:dyDescent="0.3">
      <c r="A56">
        <v>6343</v>
      </c>
      <c r="B56" t="s">
        <v>9831</v>
      </c>
      <c r="C56" t="s">
        <v>5043</v>
      </c>
    </row>
    <row r="57" spans="1:3" ht="14.45" x14ac:dyDescent="0.3">
      <c r="A57">
        <v>7950</v>
      </c>
      <c r="B57" t="s">
        <v>9831</v>
      </c>
      <c r="C57" t="s">
        <v>5043</v>
      </c>
    </row>
    <row r="58" spans="1:3" ht="14.45" x14ac:dyDescent="0.3">
      <c r="A58">
        <v>8725</v>
      </c>
      <c r="B58" t="s">
        <v>9831</v>
      </c>
      <c r="C58" t="s">
        <v>5043</v>
      </c>
    </row>
    <row r="59" spans="1:3" ht="14.45" x14ac:dyDescent="0.3">
      <c r="A59">
        <v>9305</v>
      </c>
      <c r="B59" t="s">
        <v>9831</v>
      </c>
      <c r="C59" t="s">
        <v>5043</v>
      </c>
    </row>
    <row r="60" spans="1:3" ht="14.45" x14ac:dyDescent="0.3">
      <c r="A60">
        <v>8988</v>
      </c>
      <c r="B60" t="s">
        <v>9848</v>
      </c>
      <c r="C60" t="s">
        <v>5043</v>
      </c>
    </row>
    <row r="61" spans="1:3" ht="14.45" x14ac:dyDescent="0.3">
      <c r="A61">
        <v>5426</v>
      </c>
      <c r="B61" t="s">
        <v>8616</v>
      </c>
      <c r="C61" t="s">
        <v>5043</v>
      </c>
    </row>
    <row r="62" spans="1:3" ht="14.45" x14ac:dyDescent="0.3">
      <c r="A62">
        <v>5488</v>
      </c>
      <c r="B62" t="s">
        <v>8617</v>
      </c>
      <c r="C62" t="s">
        <v>5043</v>
      </c>
    </row>
    <row r="63" spans="1:3" ht="14.45" x14ac:dyDescent="0.3">
      <c r="A63">
        <v>6396</v>
      </c>
      <c r="B63" t="s">
        <v>9868</v>
      </c>
      <c r="C63" t="s">
        <v>5043</v>
      </c>
    </row>
    <row r="64" spans="1:3" ht="14.45" x14ac:dyDescent="0.3">
      <c r="A64">
        <v>7804</v>
      </c>
      <c r="B64" t="s">
        <v>9868</v>
      </c>
      <c r="C64" t="s">
        <v>5043</v>
      </c>
    </row>
    <row r="65" spans="1:3" ht="14.45" x14ac:dyDescent="0.3">
      <c r="A65"/>
      <c r="B65"/>
      <c r="C65"/>
    </row>
    <row r="66" spans="1:3" ht="14.45" x14ac:dyDescent="0.3">
      <c r="A66"/>
      <c r="B66"/>
      <c r="C66"/>
    </row>
    <row r="67" spans="1:3" ht="14.45" x14ac:dyDescent="0.3">
      <c r="A67"/>
      <c r="B67"/>
      <c r="C67"/>
    </row>
    <row r="68" spans="1:3" ht="14.45" x14ac:dyDescent="0.3">
      <c r="A68"/>
      <c r="B68"/>
      <c r="C68"/>
    </row>
    <row r="69" spans="1:3" ht="14.45" x14ac:dyDescent="0.3">
      <c r="A69"/>
      <c r="B69"/>
      <c r="C69"/>
    </row>
    <row r="70" spans="1:3" ht="14.45" x14ac:dyDescent="0.3">
      <c r="A70"/>
      <c r="B70"/>
      <c r="C70"/>
    </row>
    <row r="71" spans="1:3" ht="14.45" x14ac:dyDescent="0.3">
      <c r="A71"/>
      <c r="B71"/>
      <c r="C71"/>
    </row>
    <row r="72" spans="1:3" ht="14.45" x14ac:dyDescent="0.3">
      <c r="A72"/>
      <c r="B72"/>
      <c r="C72"/>
    </row>
    <row r="73" spans="1:3" ht="14.45" x14ac:dyDescent="0.3">
      <c r="A73"/>
      <c r="B73"/>
      <c r="C73"/>
    </row>
  </sheetData>
  <sortState ref="A4:B16">
    <sortCondition descending="1" ref="A4:A16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3551"/>
  <sheetViews>
    <sheetView workbookViewId="0">
      <selection activeCell="G3545" sqref="G3545"/>
    </sheetView>
  </sheetViews>
  <sheetFormatPr defaultRowHeight="15" x14ac:dyDescent="0.25"/>
  <cols>
    <col min="1" max="1" width="5" bestFit="1" customWidth="1"/>
    <col min="2" max="2" width="91.140625" customWidth="1"/>
    <col min="3" max="3" width="13.140625" customWidth="1"/>
    <col min="4" max="4" width="9.42578125" bestFit="1" customWidth="1"/>
  </cols>
  <sheetData>
    <row r="1" spans="1:4" x14ac:dyDescent="0.25">
      <c r="A1" s="63" t="s">
        <v>6451</v>
      </c>
      <c r="B1" t="s">
        <v>1573</v>
      </c>
      <c r="C1" t="s">
        <v>5043</v>
      </c>
      <c r="D1" t="s">
        <v>8401</v>
      </c>
    </row>
    <row r="2" spans="1:4" x14ac:dyDescent="0.25">
      <c r="A2" s="63" t="s">
        <v>7278</v>
      </c>
      <c r="B2" t="s">
        <v>1485</v>
      </c>
      <c r="C2" t="s">
        <v>5043</v>
      </c>
      <c r="D2" t="s">
        <v>8401</v>
      </c>
    </row>
    <row r="3" spans="1:4" x14ac:dyDescent="0.25">
      <c r="A3" s="63" t="s">
        <v>7279</v>
      </c>
      <c r="B3" t="s">
        <v>1485</v>
      </c>
      <c r="C3" t="s">
        <v>5043</v>
      </c>
      <c r="D3" t="s">
        <v>8401</v>
      </c>
    </row>
    <row r="4" spans="1:4" x14ac:dyDescent="0.25">
      <c r="A4" s="63" t="s">
        <v>7280</v>
      </c>
      <c r="B4" t="s">
        <v>1485</v>
      </c>
      <c r="C4" t="s">
        <v>5043</v>
      </c>
      <c r="D4" t="s">
        <v>8401</v>
      </c>
    </row>
    <row r="5" spans="1:4" x14ac:dyDescent="0.25">
      <c r="A5" s="63" t="s">
        <v>2696</v>
      </c>
      <c r="B5" t="s">
        <v>1485</v>
      </c>
      <c r="C5" t="s">
        <v>5043</v>
      </c>
      <c r="D5" t="s">
        <v>8401</v>
      </c>
    </row>
    <row r="6" spans="1:4" x14ac:dyDescent="0.25">
      <c r="A6" s="63" t="s">
        <v>2697</v>
      </c>
      <c r="B6" t="s">
        <v>1485</v>
      </c>
      <c r="C6" t="s">
        <v>5043</v>
      </c>
      <c r="D6" t="s">
        <v>8401</v>
      </c>
    </row>
    <row r="7" spans="1:4" x14ac:dyDescent="0.25">
      <c r="A7" s="63" t="s">
        <v>2698</v>
      </c>
      <c r="B7" t="s">
        <v>1485</v>
      </c>
      <c r="C7" t="s">
        <v>5043</v>
      </c>
      <c r="D7" t="s">
        <v>8401</v>
      </c>
    </row>
    <row r="8" spans="1:4" x14ac:dyDescent="0.25">
      <c r="A8" s="63" t="s">
        <v>2699</v>
      </c>
      <c r="B8" t="s">
        <v>1485</v>
      </c>
      <c r="C8" t="s">
        <v>5043</v>
      </c>
      <c r="D8" t="s">
        <v>8401</v>
      </c>
    </row>
    <row r="9" spans="1:4" x14ac:dyDescent="0.25">
      <c r="A9" s="63" t="s">
        <v>2700</v>
      </c>
      <c r="B9" t="s">
        <v>1485</v>
      </c>
      <c r="C9" t="s">
        <v>5043</v>
      </c>
      <c r="D9" t="s">
        <v>8401</v>
      </c>
    </row>
    <row r="10" spans="1:4" x14ac:dyDescent="0.25">
      <c r="A10" s="63" t="s">
        <v>7281</v>
      </c>
      <c r="B10" t="s">
        <v>1475</v>
      </c>
      <c r="C10" t="s">
        <v>5043</v>
      </c>
      <c r="D10" t="s">
        <v>8401</v>
      </c>
    </row>
    <row r="11" spans="1:4" x14ac:dyDescent="0.25">
      <c r="A11" s="63" t="s">
        <v>7282</v>
      </c>
      <c r="B11" t="s">
        <v>1475</v>
      </c>
      <c r="C11" t="s">
        <v>5043</v>
      </c>
      <c r="D11" t="s">
        <v>8401</v>
      </c>
    </row>
    <row r="12" spans="1:4" x14ac:dyDescent="0.25">
      <c r="A12" s="63" t="s">
        <v>7283</v>
      </c>
      <c r="B12" t="s">
        <v>1475</v>
      </c>
      <c r="C12" t="s">
        <v>5043</v>
      </c>
      <c r="D12" t="s">
        <v>8401</v>
      </c>
    </row>
    <row r="13" spans="1:4" ht="14.45" x14ac:dyDescent="0.3">
      <c r="A13" s="63" t="s">
        <v>2701</v>
      </c>
      <c r="B13" t="s">
        <v>1739</v>
      </c>
      <c r="C13" t="s">
        <v>5043</v>
      </c>
      <c r="D13" t="s">
        <v>8401</v>
      </c>
    </row>
    <row r="14" spans="1:4" ht="14.45" x14ac:dyDescent="0.3">
      <c r="A14" s="63" t="s">
        <v>2702</v>
      </c>
      <c r="B14" t="s">
        <v>2445</v>
      </c>
      <c r="C14" t="s">
        <v>5043</v>
      </c>
      <c r="D14" t="s">
        <v>8401</v>
      </c>
    </row>
    <row r="15" spans="1:4" ht="14.45" x14ac:dyDescent="0.3">
      <c r="A15" s="63" t="s">
        <v>2703</v>
      </c>
      <c r="B15" t="s">
        <v>2441</v>
      </c>
      <c r="C15" t="s">
        <v>5043</v>
      </c>
      <c r="D15" t="s">
        <v>8401</v>
      </c>
    </row>
    <row r="16" spans="1:4" ht="14.45" x14ac:dyDescent="0.3">
      <c r="A16" s="63" t="s">
        <v>2704</v>
      </c>
      <c r="B16" t="s">
        <v>2161</v>
      </c>
      <c r="C16" t="s">
        <v>5043</v>
      </c>
      <c r="D16" t="s">
        <v>8401</v>
      </c>
    </row>
    <row r="17" spans="1:4" ht="14.45" x14ac:dyDescent="0.3">
      <c r="A17" s="63" t="s">
        <v>5843</v>
      </c>
      <c r="B17" t="s">
        <v>1476</v>
      </c>
      <c r="C17" t="s">
        <v>5043</v>
      </c>
      <c r="D17" t="s">
        <v>8401</v>
      </c>
    </row>
    <row r="18" spans="1:4" ht="14.45" x14ac:dyDescent="0.3">
      <c r="A18" s="63" t="s">
        <v>5844</v>
      </c>
      <c r="B18" t="s">
        <v>1476</v>
      </c>
      <c r="C18" t="s">
        <v>5043</v>
      </c>
      <c r="D18" t="s">
        <v>8401</v>
      </c>
    </row>
    <row r="19" spans="1:4" ht="14.45" x14ac:dyDescent="0.3">
      <c r="A19" s="63" t="s">
        <v>5845</v>
      </c>
      <c r="B19" t="s">
        <v>1476</v>
      </c>
      <c r="C19" t="s">
        <v>5043</v>
      </c>
      <c r="D19" t="s">
        <v>8401</v>
      </c>
    </row>
    <row r="20" spans="1:4" ht="14.45" x14ac:dyDescent="0.3">
      <c r="A20" s="63" t="s">
        <v>7284</v>
      </c>
      <c r="B20" t="s">
        <v>1476</v>
      </c>
      <c r="C20" t="s">
        <v>5043</v>
      </c>
      <c r="D20" t="s">
        <v>8401</v>
      </c>
    </row>
    <row r="21" spans="1:4" ht="14.45" x14ac:dyDescent="0.3">
      <c r="A21" s="63" t="s">
        <v>2705</v>
      </c>
      <c r="B21" t="s">
        <v>1740</v>
      </c>
      <c r="C21" t="s">
        <v>5043</v>
      </c>
      <c r="D21" t="s">
        <v>8401</v>
      </c>
    </row>
    <row r="22" spans="1:4" ht="14.45" x14ac:dyDescent="0.3">
      <c r="A22" s="63" t="s">
        <v>6567</v>
      </c>
      <c r="B22" t="s">
        <v>1740</v>
      </c>
      <c r="C22" t="s">
        <v>5043</v>
      </c>
      <c r="D22" t="s">
        <v>8401</v>
      </c>
    </row>
    <row r="23" spans="1:4" ht="14.45" x14ac:dyDescent="0.3">
      <c r="A23" s="63" t="s">
        <v>2706</v>
      </c>
      <c r="B23" t="s">
        <v>2440</v>
      </c>
      <c r="C23" t="s">
        <v>5043</v>
      </c>
      <c r="D23" t="s">
        <v>8401</v>
      </c>
    </row>
    <row r="24" spans="1:4" ht="14.45" x14ac:dyDescent="0.3">
      <c r="A24" s="63" t="s">
        <v>7285</v>
      </c>
      <c r="B24" t="s">
        <v>2087</v>
      </c>
      <c r="C24" t="s">
        <v>5043</v>
      </c>
      <c r="D24" t="s">
        <v>8401</v>
      </c>
    </row>
    <row r="25" spans="1:4" ht="14.45" x14ac:dyDescent="0.3">
      <c r="A25" s="63" t="s">
        <v>6358</v>
      </c>
      <c r="B25" t="s">
        <v>2088</v>
      </c>
      <c r="C25" t="s">
        <v>5043</v>
      </c>
      <c r="D25" t="s">
        <v>8401</v>
      </c>
    </row>
    <row r="26" spans="1:4" ht="14.45" x14ac:dyDescent="0.3">
      <c r="A26" s="63" t="s">
        <v>5603</v>
      </c>
      <c r="B26" t="s">
        <v>2390</v>
      </c>
      <c r="C26" t="s">
        <v>5043</v>
      </c>
      <c r="D26" t="s">
        <v>8401</v>
      </c>
    </row>
    <row r="27" spans="1:4" ht="14.45" x14ac:dyDescent="0.3">
      <c r="A27" s="63" t="s">
        <v>2707</v>
      </c>
      <c r="B27" t="s">
        <v>2443</v>
      </c>
      <c r="C27" t="s">
        <v>5043</v>
      </c>
      <c r="D27" t="s">
        <v>8401</v>
      </c>
    </row>
    <row r="28" spans="1:4" ht="14.45" x14ac:dyDescent="0.3">
      <c r="A28" s="63" t="s">
        <v>2708</v>
      </c>
      <c r="B28" t="s">
        <v>2147</v>
      </c>
      <c r="C28" t="s">
        <v>5043</v>
      </c>
      <c r="D28" t="s">
        <v>8401</v>
      </c>
    </row>
    <row r="29" spans="1:4" ht="14.45" x14ac:dyDescent="0.3">
      <c r="A29" s="63" t="s">
        <v>2709</v>
      </c>
      <c r="B29" t="s">
        <v>2122</v>
      </c>
      <c r="C29" t="s">
        <v>5043</v>
      </c>
      <c r="D29" t="s">
        <v>8401</v>
      </c>
    </row>
    <row r="30" spans="1:4" ht="14.45" x14ac:dyDescent="0.3">
      <c r="A30" s="63" t="s">
        <v>2710</v>
      </c>
      <c r="B30" t="s">
        <v>2122</v>
      </c>
      <c r="C30" t="s">
        <v>5043</v>
      </c>
      <c r="D30" t="s">
        <v>8401</v>
      </c>
    </row>
    <row r="31" spans="1:4" ht="14.45" x14ac:dyDescent="0.3">
      <c r="A31" s="63" t="s">
        <v>2711</v>
      </c>
      <c r="B31" t="s">
        <v>2148</v>
      </c>
      <c r="C31" t="s">
        <v>5043</v>
      </c>
      <c r="D31" t="s">
        <v>8401</v>
      </c>
    </row>
    <row r="32" spans="1:4" ht="14.45" x14ac:dyDescent="0.3">
      <c r="A32" s="63" t="s">
        <v>2712</v>
      </c>
      <c r="B32" t="s">
        <v>2148</v>
      </c>
      <c r="C32" t="s">
        <v>5043</v>
      </c>
      <c r="D32" t="s">
        <v>8401</v>
      </c>
    </row>
    <row r="33" spans="1:4" ht="14.45" x14ac:dyDescent="0.3">
      <c r="A33" s="63" t="s">
        <v>2713</v>
      </c>
      <c r="B33" t="s">
        <v>2148</v>
      </c>
      <c r="C33" t="s">
        <v>5043</v>
      </c>
      <c r="D33" t="s">
        <v>8401</v>
      </c>
    </row>
    <row r="34" spans="1:4" ht="14.45" x14ac:dyDescent="0.3">
      <c r="A34" s="63" t="s">
        <v>7286</v>
      </c>
      <c r="B34" t="s">
        <v>2040</v>
      </c>
      <c r="C34" t="s">
        <v>5043</v>
      </c>
      <c r="D34" t="s">
        <v>8401</v>
      </c>
    </row>
    <row r="35" spans="1:4" ht="14.45" x14ac:dyDescent="0.3">
      <c r="A35" s="63" t="s">
        <v>5616</v>
      </c>
      <c r="B35" t="s">
        <v>2350</v>
      </c>
      <c r="C35" t="s">
        <v>5043</v>
      </c>
      <c r="D35" t="s">
        <v>8401</v>
      </c>
    </row>
    <row r="36" spans="1:4" ht="14.45" x14ac:dyDescent="0.3">
      <c r="A36" s="63" t="s">
        <v>7287</v>
      </c>
      <c r="B36" t="s">
        <v>2200</v>
      </c>
      <c r="C36" t="s">
        <v>5043</v>
      </c>
      <c r="D36" t="s">
        <v>8401</v>
      </c>
    </row>
    <row r="37" spans="1:4" ht="14.45" x14ac:dyDescent="0.3">
      <c r="A37" s="63" t="s">
        <v>7288</v>
      </c>
      <c r="B37" t="s">
        <v>1207</v>
      </c>
      <c r="C37" t="s">
        <v>5043</v>
      </c>
      <c r="D37" t="s">
        <v>8401</v>
      </c>
    </row>
    <row r="38" spans="1:4" ht="14.45" x14ac:dyDescent="0.3">
      <c r="A38" s="63" t="s">
        <v>7103</v>
      </c>
      <c r="B38" t="s">
        <v>2383</v>
      </c>
      <c r="C38" t="s">
        <v>5043</v>
      </c>
      <c r="D38" t="s">
        <v>8401</v>
      </c>
    </row>
    <row r="39" spans="1:4" ht="14.45" x14ac:dyDescent="0.3">
      <c r="A39" s="63" t="s">
        <v>7104</v>
      </c>
      <c r="B39" t="s">
        <v>2383</v>
      </c>
      <c r="C39" t="s">
        <v>5043</v>
      </c>
      <c r="D39" t="s">
        <v>8401</v>
      </c>
    </row>
    <row r="40" spans="1:4" ht="14.45" x14ac:dyDescent="0.3">
      <c r="A40" s="63" t="s">
        <v>2714</v>
      </c>
      <c r="B40" t="s">
        <v>2442</v>
      </c>
      <c r="C40" t="s">
        <v>5043</v>
      </c>
      <c r="D40" t="s">
        <v>8401</v>
      </c>
    </row>
    <row r="41" spans="1:4" ht="14.45" x14ac:dyDescent="0.3">
      <c r="A41" s="63" t="s">
        <v>7289</v>
      </c>
      <c r="B41" t="s">
        <v>1819</v>
      </c>
      <c r="C41" t="s">
        <v>5043</v>
      </c>
      <c r="D41" t="s">
        <v>8401</v>
      </c>
    </row>
    <row r="42" spans="1:4" ht="14.45" x14ac:dyDescent="0.3">
      <c r="A42" s="63" t="s">
        <v>7290</v>
      </c>
      <c r="B42" t="s">
        <v>1819</v>
      </c>
      <c r="C42" t="s">
        <v>5043</v>
      </c>
      <c r="D42" t="s">
        <v>8401</v>
      </c>
    </row>
    <row r="43" spans="1:4" ht="14.45" x14ac:dyDescent="0.3">
      <c r="A43" s="63" t="s">
        <v>2715</v>
      </c>
      <c r="B43" t="s">
        <v>2446</v>
      </c>
      <c r="C43" t="s">
        <v>5043</v>
      </c>
      <c r="D43" t="s">
        <v>8401</v>
      </c>
    </row>
    <row r="44" spans="1:4" x14ac:dyDescent="0.25">
      <c r="A44" s="63" t="s">
        <v>2716</v>
      </c>
      <c r="B44" t="s">
        <v>2446</v>
      </c>
      <c r="C44" t="s">
        <v>5043</v>
      </c>
      <c r="D44" t="s">
        <v>8401</v>
      </c>
    </row>
    <row r="45" spans="1:4" x14ac:dyDescent="0.25">
      <c r="A45" s="63" t="s">
        <v>7291</v>
      </c>
      <c r="B45" t="s">
        <v>2013</v>
      </c>
      <c r="C45" t="s">
        <v>5043</v>
      </c>
      <c r="D45" t="s">
        <v>8401</v>
      </c>
    </row>
    <row r="46" spans="1:4" x14ac:dyDescent="0.25">
      <c r="A46" s="63" t="s">
        <v>7292</v>
      </c>
      <c r="B46" t="s">
        <v>2199</v>
      </c>
      <c r="C46" t="s">
        <v>5043</v>
      </c>
      <c r="D46" t="s">
        <v>8401</v>
      </c>
    </row>
    <row r="47" spans="1:4" x14ac:dyDescent="0.25">
      <c r="A47" s="63" t="s">
        <v>7293</v>
      </c>
      <c r="B47" t="s">
        <v>1818</v>
      </c>
      <c r="C47" t="s">
        <v>5043</v>
      </c>
      <c r="D47" t="s">
        <v>8401</v>
      </c>
    </row>
    <row r="48" spans="1:4" x14ac:dyDescent="0.25">
      <c r="A48" s="63" t="s">
        <v>7294</v>
      </c>
      <c r="B48" t="s">
        <v>1818</v>
      </c>
      <c r="C48" t="s">
        <v>5043</v>
      </c>
      <c r="D48" t="s">
        <v>8401</v>
      </c>
    </row>
    <row r="49" spans="1:4" x14ac:dyDescent="0.25">
      <c r="A49" s="63" t="s">
        <v>7295</v>
      </c>
      <c r="B49" t="s">
        <v>1817</v>
      </c>
      <c r="C49" t="s">
        <v>5043</v>
      </c>
      <c r="D49" t="s">
        <v>8401</v>
      </c>
    </row>
    <row r="50" spans="1:4" x14ac:dyDescent="0.25">
      <c r="A50" s="63" t="s">
        <v>7296</v>
      </c>
      <c r="B50" t="s">
        <v>1817</v>
      </c>
      <c r="C50" t="s">
        <v>5043</v>
      </c>
      <c r="D50" t="s">
        <v>8401</v>
      </c>
    </row>
    <row r="51" spans="1:4" x14ac:dyDescent="0.25">
      <c r="A51" s="63" t="s">
        <v>7297</v>
      </c>
      <c r="B51" t="s">
        <v>1816</v>
      </c>
      <c r="C51" t="s">
        <v>5043</v>
      </c>
      <c r="D51" t="s">
        <v>8401</v>
      </c>
    </row>
    <row r="52" spans="1:4" x14ac:dyDescent="0.25">
      <c r="A52" s="63" t="s">
        <v>7298</v>
      </c>
      <c r="B52" t="s">
        <v>1816</v>
      </c>
      <c r="C52" t="s">
        <v>5043</v>
      </c>
      <c r="D52" t="s">
        <v>8401</v>
      </c>
    </row>
    <row r="53" spans="1:4" x14ac:dyDescent="0.25">
      <c r="A53" s="63" t="s">
        <v>7299</v>
      </c>
      <c r="B53" t="s">
        <v>1815</v>
      </c>
      <c r="C53" t="s">
        <v>5043</v>
      </c>
      <c r="D53" t="s">
        <v>8401</v>
      </c>
    </row>
    <row r="54" spans="1:4" x14ac:dyDescent="0.25">
      <c r="A54" s="63" t="s">
        <v>7300</v>
      </c>
      <c r="B54" t="s">
        <v>1815</v>
      </c>
      <c r="C54" t="s">
        <v>5043</v>
      </c>
      <c r="D54" t="s">
        <v>8401</v>
      </c>
    </row>
    <row r="55" spans="1:4" x14ac:dyDescent="0.25">
      <c r="A55" s="63" t="s">
        <v>7301</v>
      </c>
      <c r="B55" t="s">
        <v>1348</v>
      </c>
      <c r="C55" t="s">
        <v>5043</v>
      </c>
      <c r="D55" t="s">
        <v>8401</v>
      </c>
    </row>
    <row r="56" spans="1:4" x14ac:dyDescent="0.25">
      <c r="A56" s="63" t="s">
        <v>7302</v>
      </c>
      <c r="B56" t="s">
        <v>1348</v>
      </c>
      <c r="C56" t="s">
        <v>5043</v>
      </c>
      <c r="D56" t="s">
        <v>8401</v>
      </c>
    </row>
    <row r="57" spans="1:4" x14ac:dyDescent="0.25">
      <c r="A57" s="63" t="s">
        <v>7303</v>
      </c>
      <c r="B57" t="s">
        <v>2263</v>
      </c>
      <c r="C57" t="s">
        <v>5043</v>
      </c>
      <c r="D57" t="s">
        <v>8401</v>
      </c>
    </row>
    <row r="58" spans="1:4" x14ac:dyDescent="0.25">
      <c r="A58" s="63" t="s">
        <v>2717</v>
      </c>
      <c r="B58" t="s">
        <v>1797</v>
      </c>
      <c r="C58" t="s">
        <v>5043</v>
      </c>
      <c r="D58" t="s">
        <v>8401</v>
      </c>
    </row>
    <row r="59" spans="1:4" x14ac:dyDescent="0.25">
      <c r="A59" s="63" t="s">
        <v>2718</v>
      </c>
      <c r="B59" t="s">
        <v>1797</v>
      </c>
      <c r="C59" t="s">
        <v>5043</v>
      </c>
      <c r="D59" t="s">
        <v>8401</v>
      </c>
    </row>
    <row r="60" spans="1:4" x14ac:dyDescent="0.25">
      <c r="A60" s="63" t="s">
        <v>7304</v>
      </c>
      <c r="B60" t="s">
        <v>2262</v>
      </c>
      <c r="C60" t="s">
        <v>5043</v>
      </c>
      <c r="D60" t="s">
        <v>8401</v>
      </c>
    </row>
    <row r="61" spans="1:4" x14ac:dyDescent="0.25">
      <c r="A61" s="63" t="s">
        <v>7305</v>
      </c>
      <c r="B61" t="s">
        <v>1256</v>
      </c>
      <c r="C61" t="s">
        <v>5043</v>
      </c>
      <c r="D61" t="s">
        <v>8401</v>
      </c>
    </row>
    <row r="62" spans="1:4" x14ac:dyDescent="0.25">
      <c r="A62" s="63" t="s">
        <v>7306</v>
      </c>
      <c r="B62" t="s">
        <v>1257</v>
      </c>
      <c r="C62" t="s">
        <v>5043</v>
      </c>
      <c r="D62" t="s">
        <v>8401</v>
      </c>
    </row>
    <row r="63" spans="1:4" x14ac:dyDescent="0.25">
      <c r="A63" s="63" t="s">
        <v>7307</v>
      </c>
      <c r="B63" t="s">
        <v>2077</v>
      </c>
      <c r="C63" t="s">
        <v>5043</v>
      </c>
      <c r="D63" t="s">
        <v>8401</v>
      </c>
    </row>
    <row r="64" spans="1:4" x14ac:dyDescent="0.25">
      <c r="A64" s="63" t="s">
        <v>7308</v>
      </c>
      <c r="B64" t="s">
        <v>2078</v>
      </c>
      <c r="C64" t="s">
        <v>5043</v>
      </c>
      <c r="D64" t="s">
        <v>8401</v>
      </c>
    </row>
    <row r="65" spans="1:4" x14ac:dyDescent="0.25">
      <c r="A65" s="63" t="s">
        <v>7309</v>
      </c>
      <c r="B65" t="s">
        <v>2079</v>
      </c>
      <c r="C65" t="s">
        <v>5043</v>
      </c>
      <c r="D65" t="s">
        <v>8401</v>
      </c>
    </row>
    <row r="66" spans="1:4" x14ac:dyDescent="0.25">
      <c r="A66" s="63" t="s">
        <v>7310</v>
      </c>
      <c r="B66" t="s">
        <v>2076</v>
      </c>
      <c r="C66" t="s">
        <v>5043</v>
      </c>
      <c r="D66" t="s">
        <v>8401</v>
      </c>
    </row>
    <row r="67" spans="1:4" x14ac:dyDescent="0.25">
      <c r="A67" s="63" t="s">
        <v>7311</v>
      </c>
      <c r="B67" t="s">
        <v>1216</v>
      </c>
      <c r="C67" t="s">
        <v>5043</v>
      </c>
      <c r="D67" t="s">
        <v>8401</v>
      </c>
    </row>
    <row r="68" spans="1:4" x14ac:dyDescent="0.25">
      <c r="A68" s="63" t="s">
        <v>6445</v>
      </c>
      <c r="B68" t="s">
        <v>2273</v>
      </c>
      <c r="C68" t="s">
        <v>5043</v>
      </c>
      <c r="D68" t="s">
        <v>8401</v>
      </c>
    </row>
    <row r="69" spans="1:4" x14ac:dyDescent="0.25">
      <c r="A69" s="63" t="s">
        <v>6446</v>
      </c>
      <c r="B69" t="s">
        <v>2273</v>
      </c>
      <c r="C69" t="s">
        <v>5043</v>
      </c>
      <c r="D69" t="s">
        <v>8401</v>
      </c>
    </row>
    <row r="70" spans="1:4" x14ac:dyDescent="0.25">
      <c r="A70" s="63" t="s">
        <v>2719</v>
      </c>
      <c r="B70" t="s">
        <v>1217</v>
      </c>
      <c r="C70" t="s">
        <v>5043</v>
      </c>
      <c r="D70" t="s">
        <v>8401</v>
      </c>
    </row>
    <row r="71" spans="1:4" x14ac:dyDescent="0.25">
      <c r="A71" s="63" t="s">
        <v>2720</v>
      </c>
      <c r="B71" t="s">
        <v>1217</v>
      </c>
      <c r="C71" t="s">
        <v>5043</v>
      </c>
      <c r="D71" t="s">
        <v>8401</v>
      </c>
    </row>
    <row r="72" spans="1:4" x14ac:dyDescent="0.25">
      <c r="A72" s="63" t="s">
        <v>2721</v>
      </c>
      <c r="B72" t="s">
        <v>1217</v>
      </c>
      <c r="C72" t="s">
        <v>5043</v>
      </c>
      <c r="D72" t="s">
        <v>8401</v>
      </c>
    </row>
    <row r="73" spans="1:4" x14ac:dyDescent="0.25">
      <c r="A73" s="63" t="s">
        <v>2722</v>
      </c>
      <c r="B73" t="s">
        <v>1218</v>
      </c>
      <c r="C73" t="s">
        <v>5043</v>
      </c>
      <c r="D73" t="s">
        <v>8401</v>
      </c>
    </row>
    <row r="74" spans="1:4" x14ac:dyDescent="0.25">
      <c r="A74" s="63" t="s">
        <v>2723</v>
      </c>
      <c r="B74" t="s">
        <v>1219</v>
      </c>
      <c r="C74" t="s">
        <v>5043</v>
      </c>
      <c r="D74" t="s">
        <v>8401</v>
      </c>
    </row>
    <row r="75" spans="1:4" x14ac:dyDescent="0.25">
      <c r="A75" s="63" t="s">
        <v>2724</v>
      </c>
      <c r="B75" t="s">
        <v>1219</v>
      </c>
      <c r="C75" t="s">
        <v>5043</v>
      </c>
      <c r="D75" t="s">
        <v>8401</v>
      </c>
    </row>
    <row r="76" spans="1:4" x14ac:dyDescent="0.25">
      <c r="A76" s="63" t="s">
        <v>2725</v>
      </c>
      <c r="B76" t="s">
        <v>1219</v>
      </c>
      <c r="C76" t="s">
        <v>5043</v>
      </c>
      <c r="D76" t="s">
        <v>8401</v>
      </c>
    </row>
    <row r="77" spans="1:4" x14ac:dyDescent="0.25">
      <c r="A77" s="63" t="s">
        <v>2726</v>
      </c>
      <c r="B77" t="s">
        <v>1564</v>
      </c>
      <c r="C77" t="s">
        <v>5043</v>
      </c>
      <c r="D77" t="s">
        <v>8401</v>
      </c>
    </row>
    <row r="78" spans="1:4" x14ac:dyDescent="0.25">
      <c r="A78" s="63" t="s">
        <v>7312</v>
      </c>
      <c r="B78" t="s">
        <v>1563</v>
      </c>
      <c r="C78" t="s">
        <v>5043</v>
      </c>
      <c r="D78" t="s">
        <v>8401</v>
      </c>
    </row>
    <row r="79" spans="1:4" x14ac:dyDescent="0.25">
      <c r="A79" s="63" t="s">
        <v>7313</v>
      </c>
      <c r="B79" t="s">
        <v>2048</v>
      </c>
      <c r="C79" t="s">
        <v>5043</v>
      </c>
      <c r="D79" t="s">
        <v>8401</v>
      </c>
    </row>
    <row r="80" spans="1:4" x14ac:dyDescent="0.25">
      <c r="A80" s="63" t="s">
        <v>7314</v>
      </c>
      <c r="B80" t="s">
        <v>2038</v>
      </c>
      <c r="C80" t="s">
        <v>5043</v>
      </c>
      <c r="D80" t="s">
        <v>8401</v>
      </c>
    </row>
    <row r="81" spans="1:4" x14ac:dyDescent="0.25">
      <c r="A81" s="63" t="s">
        <v>2727</v>
      </c>
      <c r="B81" t="s">
        <v>2261</v>
      </c>
      <c r="C81" t="s">
        <v>5043</v>
      </c>
      <c r="D81" t="s">
        <v>8401</v>
      </c>
    </row>
    <row r="82" spans="1:4" x14ac:dyDescent="0.25">
      <c r="A82" s="63" t="s">
        <v>7315</v>
      </c>
      <c r="B82" t="s">
        <v>2261</v>
      </c>
      <c r="C82" t="s">
        <v>5043</v>
      </c>
      <c r="D82" t="s">
        <v>8401</v>
      </c>
    </row>
    <row r="83" spans="1:4" x14ac:dyDescent="0.25">
      <c r="A83" s="63" t="s">
        <v>2662</v>
      </c>
      <c r="B83" t="s">
        <v>2261</v>
      </c>
      <c r="C83" t="s">
        <v>5043</v>
      </c>
      <c r="D83" t="s">
        <v>8401</v>
      </c>
    </row>
    <row r="84" spans="1:4" x14ac:dyDescent="0.25">
      <c r="A84" s="63" t="s">
        <v>2728</v>
      </c>
      <c r="B84" t="s">
        <v>2182</v>
      </c>
      <c r="C84" t="s">
        <v>5043</v>
      </c>
      <c r="D84" t="s">
        <v>8401</v>
      </c>
    </row>
    <row r="85" spans="1:4" x14ac:dyDescent="0.25">
      <c r="A85" s="63" t="s">
        <v>2729</v>
      </c>
      <c r="B85" t="s">
        <v>2182</v>
      </c>
      <c r="C85" t="s">
        <v>5043</v>
      </c>
      <c r="D85" t="s">
        <v>8401</v>
      </c>
    </row>
    <row r="86" spans="1:4" x14ac:dyDescent="0.25">
      <c r="A86" s="63" t="s">
        <v>6360</v>
      </c>
      <c r="B86" t="s">
        <v>2182</v>
      </c>
      <c r="C86" t="s">
        <v>5043</v>
      </c>
      <c r="D86" t="s">
        <v>8401</v>
      </c>
    </row>
    <row r="87" spans="1:4" x14ac:dyDescent="0.25">
      <c r="A87" s="63" t="s">
        <v>7316</v>
      </c>
      <c r="B87" t="s">
        <v>2182</v>
      </c>
      <c r="C87" t="s">
        <v>5043</v>
      </c>
      <c r="D87" t="s">
        <v>8401</v>
      </c>
    </row>
    <row r="88" spans="1:4" x14ac:dyDescent="0.25">
      <c r="A88" s="63" t="s">
        <v>2730</v>
      </c>
      <c r="B88" t="s">
        <v>1471</v>
      </c>
      <c r="C88" t="s">
        <v>5043</v>
      </c>
      <c r="D88" t="s">
        <v>8401</v>
      </c>
    </row>
    <row r="89" spans="1:4" x14ac:dyDescent="0.25">
      <c r="A89" s="63" t="s">
        <v>2731</v>
      </c>
      <c r="B89" t="s">
        <v>1471</v>
      </c>
      <c r="C89" t="s">
        <v>5043</v>
      </c>
      <c r="D89" t="s">
        <v>8401</v>
      </c>
    </row>
    <row r="90" spans="1:4" x14ac:dyDescent="0.25">
      <c r="A90" s="63" t="s">
        <v>6362</v>
      </c>
      <c r="B90" t="s">
        <v>1471</v>
      </c>
      <c r="C90" t="s">
        <v>5043</v>
      </c>
      <c r="D90" t="s">
        <v>8401</v>
      </c>
    </row>
    <row r="91" spans="1:4" x14ac:dyDescent="0.25">
      <c r="A91" s="63" t="s">
        <v>6363</v>
      </c>
      <c r="B91" t="s">
        <v>1471</v>
      </c>
      <c r="C91" t="s">
        <v>5043</v>
      </c>
      <c r="D91" t="s">
        <v>8401</v>
      </c>
    </row>
    <row r="92" spans="1:4" x14ac:dyDescent="0.25">
      <c r="A92" s="63" t="s">
        <v>2732</v>
      </c>
      <c r="B92" t="s">
        <v>1809</v>
      </c>
      <c r="C92" t="s">
        <v>5043</v>
      </c>
      <c r="D92" t="s">
        <v>8401</v>
      </c>
    </row>
    <row r="93" spans="1:4" x14ac:dyDescent="0.25">
      <c r="A93" s="63" t="s">
        <v>2733</v>
      </c>
      <c r="B93" t="s">
        <v>1809</v>
      </c>
      <c r="C93" t="s">
        <v>5043</v>
      </c>
      <c r="D93" t="s">
        <v>8401</v>
      </c>
    </row>
    <row r="94" spans="1:4" x14ac:dyDescent="0.25">
      <c r="A94" s="63" t="s">
        <v>2734</v>
      </c>
      <c r="B94" t="s">
        <v>1809</v>
      </c>
      <c r="C94" t="s">
        <v>5043</v>
      </c>
      <c r="D94" t="s">
        <v>8401</v>
      </c>
    </row>
    <row r="95" spans="1:4" x14ac:dyDescent="0.25">
      <c r="A95" s="63" t="s">
        <v>7317</v>
      </c>
      <c r="B95" t="s">
        <v>1809</v>
      </c>
      <c r="C95" t="s">
        <v>5043</v>
      </c>
      <c r="D95" t="s">
        <v>8401</v>
      </c>
    </row>
    <row r="96" spans="1:4" x14ac:dyDescent="0.25">
      <c r="A96" s="63" t="s">
        <v>7318</v>
      </c>
      <c r="B96" t="s">
        <v>1809</v>
      </c>
      <c r="C96" t="s">
        <v>5043</v>
      </c>
      <c r="D96" t="s">
        <v>8401</v>
      </c>
    </row>
    <row r="97" spans="1:4" x14ac:dyDescent="0.25">
      <c r="A97" s="63" t="s">
        <v>7319</v>
      </c>
      <c r="B97" t="s">
        <v>1809</v>
      </c>
      <c r="C97" t="s">
        <v>5043</v>
      </c>
      <c r="D97" t="s">
        <v>8401</v>
      </c>
    </row>
    <row r="98" spans="1:4" x14ac:dyDescent="0.25">
      <c r="A98" s="63" t="s">
        <v>7320</v>
      </c>
      <c r="B98" t="s">
        <v>1809</v>
      </c>
      <c r="C98" t="s">
        <v>5043</v>
      </c>
      <c r="D98" t="s">
        <v>8401</v>
      </c>
    </row>
    <row r="99" spans="1:4" x14ac:dyDescent="0.25">
      <c r="A99" s="63" t="s">
        <v>7321</v>
      </c>
      <c r="B99" t="s">
        <v>1809</v>
      </c>
      <c r="C99" t="s">
        <v>5043</v>
      </c>
      <c r="D99" t="s">
        <v>8401</v>
      </c>
    </row>
    <row r="100" spans="1:4" x14ac:dyDescent="0.25">
      <c r="A100" s="63" t="s">
        <v>7322</v>
      </c>
      <c r="B100" t="s">
        <v>2300</v>
      </c>
      <c r="C100" t="s">
        <v>5043</v>
      </c>
      <c r="D100" t="s">
        <v>8401</v>
      </c>
    </row>
    <row r="101" spans="1:4" x14ac:dyDescent="0.25">
      <c r="A101" s="63" t="s">
        <v>7323</v>
      </c>
      <c r="B101" t="s">
        <v>2314</v>
      </c>
      <c r="C101" t="s">
        <v>5043</v>
      </c>
      <c r="D101" t="s">
        <v>8401</v>
      </c>
    </row>
    <row r="102" spans="1:4" x14ac:dyDescent="0.25">
      <c r="A102" s="63" t="s">
        <v>7324</v>
      </c>
      <c r="B102" t="s">
        <v>2313</v>
      </c>
      <c r="C102" t="s">
        <v>5043</v>
      </c>
      <c r="D102" t="s">
        <v>8401</v>
      </c>
    </row>
    <row r="103" spans="1:4" x14ac:dyDescent="0.25">
      <c r="A103" s="63" t="s">
        <v>2735</v>
      </c>
      <c r="B103" t="s">
        <v>1798</v>
      </c>
      <c r="C103" t="s">
        <v>5043</v>
      </c>
      <c r="D103" t="s">
        <v>8401</v>
      </c>
    </row>
    <row r="104" spans="1:4" x14ac:dyDescent="0.25">
      <c r="A104" s="63" t="s">
        <v>2736</v>
      </c>
      <c r="B104" t="s">
        <v>1798</v>
      </c>
      <c r="C104" t="s">
        <v>5043</v>
      </c>
      <c r="D104" t="s">
        <v>8401</v>
      </c>
    </row>
    <row r="105" spans="1:4" x14ac:dyDescent="0.25">
      <c r="A105" s="63" t="s">
        <v>2737</v>
      </c>
      <c r="B105" t="s">
        <v>1498</v>
      </c>
      <c r="C105" t="s">
        <v>5043</v>
      </c>
      <c r="D105" t="s">
        <v>8401</v>
      </c>
    </row>
    <row r="106" spans="1:4" x14ac:dyDescent="0.25">
      <c r="A106" s="63" t="s">
        <v>2738</v>
      </c>
      <c r="B106" t="s">
        <v>1498</v>
      </c>
      <c r="C106" t="s">
        <v>5043</v>
      </c>
      <c r="D106" t="s">
        <v>8401</v>
      </c>
    </row>
    <row r="107" spans="1:4" x14ac:dyDescent="0.25">
      <c r="A107" s="63" t="s">
        <v>2739</v>
      </c>
      <c r="B107" t="s">
        <v>1458</v>
      </c>
      <c r="C107" t="s">
        <v>5043</v>
      </c>
      <c r="D107" t="s">
        <v>8401</v>
      </c>
    </row>
    <row r="108" spans="1:4" x14ac:dyDescent="0.25">
      <c r="A108" s="63" t="s">
        <v>2740</v>
      </c>
      <c r="B108" t="s">
        <v>1459</v>
      </c>
      <c r="C108" t="s">
        <v>5043</v>
      </c>
      <c r="D108" t="s">
        <v>8401</v>
      </c>
    </row>
    <row r="109" spans="1:4" x14ac:dyDescent="0.25">
      <c r="A109" s="63" t="s">
        <v>7325</v>
      </c>
      <c r="B109" t="s">
        <v>2499</v>
      </c>
      <c r="C109" t="s">
        <v>5043</v>
      </c>
      <c r="D109" t="s">
        <v>8401</v>
      </c>
    </row>
    <row r="110" spans="1:4" x14ac:dyDescent="0.25">
      <c r="A110" s="63" t="s">
        <v>7326</v>
      </c>
      <c r="B110" t="s">
        <v>2499</v>
      </c>
      <c r="C110" t="s">
        <v>5043</v>
      </c>
      <c r="D110" t="s">
        <v>8401</v>
      </c>
    </row>
    <row r="111" spans="1:4" x14ac:dyDescent="0.25">
      <c r="A111" s="63" t="s">
        <v>7327</v>
      </c>
      <c r="B111" t="s">
        <v>2500</v>
      </c>
      <c r="C111" t="s">
        <v>5043</v>
      </c>
      <c r="D111" t="s">
        <v>8401</v>
      </c>
    </row>
    <row r="112" spans="1:4" x14ac:dyDescent="0.25">
      <c r="A112" s="63" t="s">
        <v>7328</v>
      </c>
      <c r="B112" t="s">
        <v>2009</v>
      </c>
      <c r="C112" t="s">
        <v>5043</v>
      </c>
      <c r="D112" t="s">
        <v>8401</v>
      </c>
    </row>
    <row r="113" spans="1:4" x14ac:dyDescent="0.25">
      <c r="A113" s="63" t="s">
        <v>7329</v>
      </c>
      <c r="B113" t="s">
        <v>2009</v>
      </c>
      <c r="C113" t="s">
        <v>5043</v>
      </c>
      <c r="D113" t="s">
        <v>8401</v>
      </c>
    </row>
    <row r="114" spans="1:4" x14ac:dyDescent="0.25">
      <c r="A114" s="63" t="s">
        <v>7330</v>
      </c>
      <c r="B114" t="s">
        <v>2008</v>
      </c>
      <c r="C114" t="s">
        <v>5043</v>
      </c>
      <c r="D114" t="s">
        <v>8401</v>
      </c>
    </row>
    <row r="115" spans="1:4" x14ac:dyDescent="0.25">
      <c r="A115" s="63" t="s">
        <v>7331</v>
      </c>
      <c r="B115" t="s">
        <v>2006</v>
      </c>
      <c r="C115" t="s">
        <v>5043</v>
      </c>
      <c r="D115" t="s">
        <v>8401</v>
      </c>
    </row>
    <row r="116" spans="1:4" x14ac:dyDescent="0.25">
      <c r="A116" s="63" t="s">
        <v>7332</v>
      </c>
      <c r="B116" t="s">
        <v>2007</v>
      </c>
      <c r="C116" t="s">
        <v>5043</v>
      </c>
      <c r="D116" t="s">
        <v>8401</v>
      </c>
    </row>
    <row r="117" spans="1:4" x14ac:dyDescent="0.25">
      <c r="A117" s="63" t="s">
        <v>7333</v>
      </c>
      <c r="B117" t="s">
        <v>2007</v>
      </c>
      <c r="C117" t="s">
        <v>5043</v>
      </c>
      <c r="D117" t="s">
        <v>8401</v>
      </c>
    </row>
    <row r="118" spans="1:4" x14ac:dyDescent="0.25">
      <c r="A118" s="63" t="s">
        <v>7334</v>
      </c>
      <c r="B118" t="s">
        <v>2223</v>
      </c>
      <c r="C118" t="s">
        <v>5043</v>
      </c>
      <c r="D118" t="s">
        <v>8401</v>
      </c>
    </row>
    <row r="119" spans="1:4" x14ac:dyDescent="0.25">
      <c r="A119" s="63" t="s">
        <v>7335</v>
      </c>
      <c r="B119" t="s">
        <v>2223</v>
      </c>
      <c r="C119" t="s">
        <v>5043</v>
      </c>
      <c r="D119" t="s">
        <v>8401</v>
      </c>
    </row>
    <row r="120" spans="1:4" x14ac:dyDescent="0.25">
      <c r="A120" s="63" t="s">
        <v>7336</v>
      </c>
      <c r="B120" t="s">
        <v>1237</v>
      </c>
      <c r="C120" t="s">
        <v>5043</v>
      </c>
      <c r="D120" t="s">
        <v>8401</v>
      </c>
    </row>
    <row r="121" spans="1:4" x14ac:dyDescent="0.25">
      <c r="A121" s="63" t="s">
        <v>7337</v>
      </c>
      <c r="B121" t="s">
        <v>1237</v>
      </c>
      <c r="C121" t="s">
        <v>5043</v>
      </c>
      <c r="D121" t="s">
        <v>8401</v>
      </c>
    </row>
    <row r="122" spans="1:4" x14ac:dyDescent="0.25">
      <c r="A122" s="63" t="s">
        <v>7338</v>
      </c>
      <c r="B122" t="s">
        <v>1975</v>
      </c>
      <c r="C122" t="s">
        <v>5043</v>
      </c>
      <c r="D122" t="s">
        <v>8401</v>
      </c>
    </row>
    <row r="123" spans="1:4" x14ac:dyDescent="0.25">
      <c r="A123" s="63" t="s">
        <v>2741</v>
      </c>
      <c r="B123" t="s">
        <v>1439</v>
      </c>
      <c r="C123" t="s">
        <v>5043</v>
      </c>
      <c r="D123" t="s">
        <v>8401</v>
      </c>
    </row>
    <row r="124" spans="1:4" x14ac:dyDescent="0.25">
      <c r="A124" s="63" t="s">
        <v>2742</v>
      </c>
      <c r="B124" t="s">
        <v>1439</v>
      </c>
      <c r="C124" t="s">
        <v>5043</v>
      </c>
      <c r="D124" t="s">
        <v>8401</v>
      </c>
    </row>
    <row r="125" spans="1:4" x14ac:dyDescent="0.25">
      <c r="A125" s="63" t="s">
        <v>2743</v>
      </c>
      <c r="B125" t="s">
        <v>1439</v>
      </c>
      <c r="C125" t="s">
        <v>5043</v>
      </c>
      <c r="D125" t="s">
        <v>8401</v>
      </c>
    </row>
    <row r="126" spans="1:4" x14ac:dyDescent="0.25">
      <c r="A126" s="63" t="s">
        <v>2744</v>
      </c>
      <c r="B126" t="s">
        <v>1974</v>
      </c>
      <c r="C126" t="s">
        <v>5043</v>
      </c>
      <c r="D126" t="s">
        <v>8401</v>
      </c>
    </row>
    <row r="127" spans="1:4" x14ac:dyDescent="0.25">
      <c r="A127" s="63" t="s">
        <v>2745</v>
      </c>
      <c r="B127" t="s">
        <v>1974</v>
      </c>
      <c r="C127" t="s">
        <v>5043</v>
      </c>
      <c r="D127" t="s">
        <v>8401</v>
      </c>
    </row>
    <row r="128" spans="1:4" x14ac:dyDescent="0.25">
      <c r="A128" s="63" t="s">
        <v>2746</v>
      </c>
      <c r="B128" t="s">
        <v>1291</v>
      </c>
      <c r="C128" t="s">
        <v>5043</v>
      </c>
      <c r="D128" t="s">
        <v>8401</v>
      </c>
    </row>
    <row r="129" spans="1:4" x14ac:dyDescent="0.25">
      <c r="A129" s="63" t="s">
        <v>2747</v>
      </c>
      <c r="B129" t="s">
        <v>1291</v>
      </c>
      <c r="C129" t="s">
        <v>5043</v>
      </c>
      <c r="D129" t="s">
        <v>8401</v>
      </c>
    </row>
    <row r="130" spans="1:4" x14ac:dyDescent="0.25">
      <c r="A130" s="63" t="s">
        <v>2748</v>
      </c>
      <c r="B130" t="s">
        <v>1291</v>
      </c>
      <c r="C130" t="s">
        <v>5043</v>
      </c>
      <c r="D130" t="s">
        <v>8401</v>
      </c>
    </row>
    <row r="131" spans="1:4" x14ac:dyDescent="0.25">
      <c r="A131" s="63" t="s">
        <v>2749</v>
      </c>
      <c r="B131" t="s">
        <v>2438</v>
      </c>
      <c r="C131" t="s">
        <v>5043</v>
      </c>
      <c r="D131" t="s">
        <v>8401</v>
      </c>
    </row>
    <row r="132" spans="1:4" x14ac:dyDescent="0.25">
      <c r="A132" s="63" t="s">
        <v>7339</v>
      </c>
      <c r="B132" t="s">
        <v>2437</v>
      </c>
      <c r="C132" t="s">
        <v>5043</v>
      </c>
      <c r="D132" t="s">
        <v>8401</v>
      </c>
    </row>
    <row r="133" spans="1:4" x14ac:dyDescent="0.25">
      <c r="A133" s="63" t="s">
        <v>7340</v>
      </c>
      <c r="B133" t="s">
        <v>2439</v>
      </c>
      <c r="C133" t="s">
        <v>5043</v>
      </c>
      <c r="D133" t="s">
        <v>8401</v>
      </c>
    </row>
    <row r="134" spans="1:4" x14ac:dyDescent="0.25">
      <c r="A134" s="63" t="s">
        <v>7341</v>
      </c>
      <c r="B134" t="s">
        <v>2039</v>
      </c>
      <c r="C134" t="s">
        <v>5043</v>
      </c>
      <c r="D134" t="s">
        <v>8401</v>
      </c>
    </row>
    <row r="135" spans="1:4" x14ac:dyDescent="0.25">
      <c r="A135" s="63" t="s">
        <v>7342</v>
      </c>
      <c r="B135" t="s">
        <v>1641</v>
      </c>
      <c r="C135" t="s">
        <v>5043</v>
      </c>
      <c r="D135" t="s">
        <v>8401</v>
      </c>
    </row>
    <row r="136" spans="1:4" x14ac:dyDescent="0.25">
      <c r="A136" s="63" t="s">
        <v>7343</v>
      </c>
      <c r="B136" t="s">
        <v>1641</v>
      </c>
      <c r="C136" t="s">
        <v>5043</v>
      </c>
      <c r="D136" t="s">
        <v>8401</v>
      </c>
    </row>
    <row r="137" spans="1:4" x14ac:dyDescent="0.25">
      <c r="A137" s="63" t="s">
        <v>7344</v>
      </c>
      <c r="B137" t="s">
        <v>1641</v>
      </c>
      <c r="C137" t="s">
        <v>5043</v>
      </c>
      <c r="D137" t="s">
        <v>8401</v>
      </c>
    </row>
    <row r="138" spans="1:4" x14ac:dyDescent="0.25">
      <c r="A138" s="63" t="s">
        <v>7345</v>
      </c>
      <c r="B138" t="s">
        <v>1641</v>
      </c>
      <c r="C138" t="s">
        <v>5043</v>
      </c>
      <c r="D138" t="s">
        <v>8401</v>
      </c>
    </row>
    <row r="139" spans="1:4" x14ac:dyDescent="0.25">
      <c r="A139" s="63" t="s">
        <v>7346</v>
      </c>
      <c r="B139" t="s">
        <v>1641</v>
      </c>
      <c r="C139" t="s">
        <v>5043</v>
      </c>
      <c r="D139" t="s">
        <v>8401</v>
      </c>
    </row>
    <row r="140" spans="1:4" x14ac:dyDescent="0.25">
      <c r="A140" s="63" t="s">
        <v>7347</v>
      </c>
      <c r="B140" t="s">
        <v>2371</v>
      </c>
      <c r="C140" t="s">
        <v>5043</v>
      </c>
      <c r="D140" t="s">
        <v>8401</v>
      </c>
    </row>
    <row r="141" spans="1:4" x14ac:dyDescent="0.25">
      <c r="A141" s="63" t="s">
        <v>2750</v>
      </c>
      <c r="B141" t="s">
        <v>2371</v>
      </c>
      <c r="C141" t="s">
        <v>5043</v>
      </c>
      <c r="D141" t="s">
        <v>8401</v>
      </c>
    </row>
    <row r="142" spans="1:4" x14ac:dyDescent="0.25">
      <c r="A142" s="63" t="s">
        <v>2663</v>
      </c>
      <c r="B142" t="s">
        <v>2371</v>
      </c>
      <c r="C142" t="s">
        <v>5043</v>
      </c>
      <c r="D142" t="s">
        <v>8401</v>
      </c>
    </row>
    <row r="143" spans="1:4" x14ac:dyDescent="0.25">
      <c r="A143" s="63" t="s">
        <v>2631</v>
      </c>
      <c r="B143" t="s">
        <v>1472</v>
      </c>
      <c r="C143" t="s">
        <v>5043</v>
      </c>
      <c r="D143" t="s">
        <v>8401</v>
      </c>
    </row>
    <row r="144" spans="1:4" x14ac:dyDescent="0.25">
      <c r="A144" s="63" t="s">
        <v>2633</v>
      </c>
      <c r="B144" t="s">
        <v>1472</v>
      </c>
      <c r="C144" t="s">
        <v>5043</v>
      </c>
      <c r="D144" t="s">
        <v>8401</v>
      </c>
    </row>
    <row r="145" spans="1:4" x14ac:dyDescent="0.25">
      <c r="A145" s="63" t="s">
        <v>2634</v>
      </c>
      <c r="B145" t="s">
        <v>1472</v>
      </c>
      <c r="C145" t="s">
        <v>5043</v>
      </c>
      <c r="D145" t="s">
        <v>8401</v>
      </c>
    </row>
    <row r="146" spans="1:4" x14ac:dyDescent="0.25">
      <c r="A146" s="63" t="s">
        <v>2635</v>
      </c>
      <c r="B146" t="s">
        <v>1472</v>
      </c>
      <c r="C146" t="s">
        <v>5043</v>
      </c>
      <c r="D146" t="s">
        <v>8401</v>
      </c>
    </row>
    <row r="147" spans="1:4" x14ac:dyDescent="0.25">
      <c r="A147" s="63" t="s">
        <v>2637</v>
      </c>
      <c r="B147" t="s">
        <v>1473</v>
      </c>
      <c r="C147" t="s">
        <v>5043</v>
      </c>
      <c r="D147" t="s">
        <v>8401</v>
      </c>
    </row>
    <row r="148" spans="1:4" x14ac:dyDescent="0.25">
      <c r="A148" s="63" t="s">
        <v>2638</v>
      </c>
      <c r="B148" t="s">
        <v>1473</v>
      </c>
      <c r="C148" t="s">
        <v>5043</v>
      </c>
      <c r="D148" t="s">
        <v>8401</v>
      </c>
    </row>
    <row r="149" spans="1:4" x14ac:dyDescent="0.25">
      <c r="A149" s="63" t="s">
        <v>6365</v>
      </c>
      <c r="B149" t="s">
        <v>1473</v>
      </c>
      <c r="C149" t="s">
        <v>5043</v>
      </c>
      <c r="D149" t="s">
        <v>8401</v>
      </c>
    </row>
    <row r="150" spans="1:4" x14ac:dyDescent="0.25">
      <c r="A150" s="63" t="s">
        <v>6366</v>
      </c>
      <c r="B150" t="s">
        <v>1473</v>
      </c>
      <c r="C150" t="s">
        <v>5043</v>
      </c>
      <c r="D150" t="s">
        <v>8401</v>
      </c>
    </row>
    <row r="151" spans="1:4" x14ac:dyDescent="0.25">
      <c r="A151" s="63" t="s">
        <v>7348</v>
      </c>
      <c r="B151" t="s">
        <v>1758</v>
      </c>
      <c r="C151" t="s">
        <v>5043</v>
      </c>
      <c r="D151" t="s">
        <v>8401</v>
      </c>
    </row>
    <row r="152" spans="1:4" x14ac:dyDescent="0.25">
      <c r="A152" s="63" t="s">
        <v>7349</v>
      </c>
      <c r="B152" t="s">
        <v>1758</v>
      </c>
      <c r="C152" t="s">
        <v>5043</v>
      </c>
      <c r="D152" t="s">
        <v>8401</v>
      </c>
    </row>
    <row r="153" spans="1:4" x14ac:dyDescent="0.25">
      <c r="A153" s="63" t="s">
        <v>2751</v>
      </c>
      <c r="B153" t="s">
        <v>1758</v>
      </c>
      <c r="C153" t="s">
        <v>5043</v>
      </c>
      <c r="D153" t="s">
        <v>8401</v>
      </c>
    </row>
    <row r="154" spans="1:4" x14ac:dyDescent="0.25">
      <c r="A154" s="63" t="s">
        <v>2752</v>
      </c>
      <c r="B154" t="s">
        <v>1758</v>
      </c>
      <c r="C154" t="s">
        <v>5043</v>
      </c>
      <c r="D154" t="s">
        <v>8401</v>
      </c>
    </row>
    <row r="155" spans="1:4" x14ac:dyDescent="0.25">
      <c r="A155" s="63" t="s">
        <v>2753</v>
      </c>
      <c r="B155" t="s">
        <v>1758</v>
      </c>
      <c r="C155" t="s">
        <v>5043</v>
      </c>
      <c r="D155" t="s">
        <v>8401</v>
      </c>
    </row>
    <row r="156" spans="1:4" x14ac:dyDescent="0.25">
      <c r="A156" s="63" t="s">
        <v>2754</v>
      </c>
      <c r="B156" t="s">
        <v>1758</v>
      </c>
      <c r="C156" t="s">
        <v>5043</v>
      </c>
      <c r="D156" t="s">
        <v>8401</v>
      </c>
    </row>
    <row r="157" spans="1:4" x14ac:dyDescent="0.25">
      <c r="A157" s="63" t="s">
        <v>2755</v>
      </c>
      <c r="B157" t="s">
        <v>1758</v>
      </c>
      <c r="C157" t="s">
        <v>5043</v>
      </c>
      <c r="D157" t="s">
        <v>8401</v>
      </c>
    </row>
    <row r="158" spans="1:4" x14ac:dyDescent="0.25">
      <c r="A158" s="63" t="s">
        <v>2756</v>
      </c>
      <c r="B158" t="s">
        <v>1758</v>
      </c>
      <c r="C158" t="s">
        <v>5043</v>
      </c>
      <c r="D158" t="s">
        <v>8401</v>
      </c>
    </row>
    <row r="159" spans="1:4" x14ac:dyDescent="0.25">
      <c r="A159" s="63" t="s">
        <v>2757</v>
      </c>
      <c r="B159" t="s">
        <v>1758</v>
      </c>
      <c r="C159" t="s">
        <v>5043</v>
      </c>
      <c r="D159" t="s">
        <v>8401</v>
      </c>
    </row>
    <row r="160" spans="1:4" x14ac:dyDescent="0.25">
      <c r="A160" s="63" t="s">
        <v>2758</v>
      </c>
      <c r="B160" t="s">
        <v>1758</v>
      </c>
      <c r="C160" t="s">
        <v>5043</v>
      </c>
      <c r="D160" t="s">
        <v>8401</v>
      </c>
    </row>
    <row r="161" spans="1:4" x14ac:dyDescent="0.25">
      <c r="A161" s="63" t="s">
        <v>2759</v>
      </c>
      <c r="B161" t="s">
        <v>1758</v>
      </c>
      <c r="C161" t="s">
        <v>5043</v>
      </c>
      <c r="D161" t="s">
        <v>8401</v>
      </c>
    </row>
    <row r="162" spans="1:4" x14ac:dyDescent="0.25">
      <c r="A162" s="63" t="s">
        <v>2760</v>
      </c>
      <c r="B162" t="s">
        <v>1758</v>
      </c>
      <c r="C162" t="s">
        <v>5043</v>
      </c>
      <c r="D162" t="s">
        <v>8401</v>
      </c>
    </row>
    <row r="163" spans="1:4" x14ac:dyDescent="0.25">
      <c r="A163" s="63" t="s">
        <v>7350</v>
      </c>
      <c r="B163" t="s">
        <v>1758</v>
      </c>
      <c r="C163" t="s">
        <v>5043</v>
      </c>
      <c r="D163" t="s">
        <v>8401</v>
      </c>
    </row>
    <row r="164" spans="1:4" x14ac:dyDescent="0.25">
      <c r="A164" s="63" t="s">
        <v>7351</v>
      </c>
      <c r="B164" t="s">
        <v>1758</v>
      </c>
      <c r="C164" t="s">
        <v>5043</v>
      </c>
      <c r="D164" t="s">
        <v>8401</v>
      </c>
    </row>
    <row r="165" spans="1:4" x14ac:dyDescent="0.25">
      <c r="A165" s="63" t="s">
        <v>7352</v>
      </c>
      <c r="B165" t="s">
        <v>1758</v>
      </c>
      <c r="C165" t="s">
        <v>5043</v>
      </c>
      <c r="D165" t="s">
        <v>8401</v>
      </c>
    </row>
    <row r="166" spans="1:4" x14ac:dyDescent="0.25">
      <c r="A166" s="63" t="s">
        <v>7353</v>
      </c>
      <c r="B166" t="s">
        <v>2372</v>
      </c>
      <c r="C166" t="s">
        <v>5043</v>
      </c>
      <c r="D166" t="s">
        <v>8401</v>
      </c>
    </row>
    <row r="167" spans="1:4" x14ac:dyDescent="0.25">
      <c r="A167" s="63" t="s">
        <v>2761</v>
      </c>
      <c r="B167" t="s">
        <v>1499</v>
      </c>
      <c r="C167" t="s">
        <v>5043</v>
      </c>
      <c r="D167" t="s">
        <v>8401</v>
      </c>
    </row>
    <row r="168" spans="1:4" x14ac:dyDescent="0.25">
      <c r="A168" s="63" t="s">
        <v>2762</v>
      </c>
      <c r="B168" t="s">
        <v>1499</v>
      </c>
      <c r="C168" t="s">
        <v>5043</v>
      </c>
      <c r="D168" t="s">
        <v>8401</v>
      </c>
    </row>
    <row r="169" spans="1:4" x14ac:dyDescent="0.25">
      <c r="A169" s="63" t="s">
        <v>2763</v>
      </c>
      <c r="B169" t="s">
        <v>1541</v>
      </c>
      <c r="C169" t="s">
        <v>5043</v>
      </c>
      <c r="D169" t="s">
        <v>8401</v>
      </c>
    </row>
    <row r="170" spans="1:4" x14ac:dyDescent="0.25">
      <c r="A170" s="63" t="s">
        <v>2764</v>
      </c>
      <c r="B170" t="s">
        <v>1541</v>
      </c>
      <c r="C170" t="s">
        <v>5043</v>
      </c>
      <c r="D170" t="s">
        <v>8401</v>
      </c>
    </row>
    <row r="171" spans="1:4" x14ac:dyDescent="0.25">
      <c r="A171" s="63" t="s">
        <v>2765</v>
      </c>
      <c r="B171" t="s">
        <v>1460</v>
      </c>
      <c r="C171" t="s">
        <v>5043</v>
      </c>
      <c r="D171" t="s">
        <v>8401</v>
      </c>
    </row>
    <row r="172" spans="1:4" x14ac:dyDescent="0.25">
      <c r="A172" s="63" t="s">
        <v>2766</v>
      </c>
      <c r="B172" t="s">
        <v>1461</v>
      </c>
      <c r="C172" t="s">
        <v>5043</v>
      </c>
      <c r="D172" t="s">
        <v>8401</v>
      </c>
    </row>
    <row r="173" spans="1:4" x14ac:dyDescent="0.25">
      <c r="A173" s="63" t="s">
        <v>2767</v>
      </c>
      <c r="B173" t="s">
        <v>1461</v>
      </c>
      <c r="C173" t="s">
        <v>5043</v>
      </c>
      <c r="D173" t="s">
        <v>8401</v>
      </c>
    </row>
    <row r="174" spans="1:4" x14ac:dyDescent="0.25">
      <c r="A174" s="63" t="s">
        <v>2768</v>
      </c>
      <c r="B174" t="s">
        <v>2202</v>
      </c>
      <c r="C174" t="s">
        <v>5043</v>
      </c>
      <c r="D174" t="s">
        <v>8401</v>
      </c>
    </row>
    <row r="175" spans="1:4" x14ac:dyDescent="0.25">
      <c r="A175" s="63" t="s">
        <v>7354</v>
      </c>
      <c r="B175" t="s">
        <v>1924</v>
      </c>
      <c r="C175" t="s">
        <v>5043</v>
      </c>
      <c r="D175" t="s">
        <v>8401</v>
      </c>
    </row>
    <row r="176" spans="1:4" x14ac:dyDescent="0.25">
      <c r="A176" s="63" t="s">
        <v>2769</v>
      </c>
      <c r="B176" t="s">
        <v>1343</v>
      </c>
      <c r="C176" t="s">
        <v>5043</v>
      </c>
      <c r="D176" t="s">
        <v>8401</v>
      </c>
    </row>
    <row r="177" spans="1:4" x14ac:dyDescent="0.25">
      <c r="A177" s="63" t="s">
        <v>2770</v>
      </c>
      <c r="B177" t="s">
        <v>1343</v>
      </c>
      <c r="C177" t="s">
        <v>5043</v>
      </c>
      <c r="D177" t="s">
        <v>8401</v>
      </c>
    </row>
    <row r="178" spans="1:4" x14ac:dyDescent="0.25">
      <c r="A178" s="63" t="s">
        <v>2771</v>
      </c>
      <c r="B178" t="s">
        <v>1343</v>
      </c>
      <c r="C178" t="s">
        <v>5043</v>
      </c>
      <c r="D178" t="s">
        <v>8401</v>
      </c>
    </row>
    <row r="179" spans="1:4" x14ac:dyDescent="0.25">
      <c r="A179" s="63" t="s">
        <v>7355</v>
      </c>
      <c r="B179" t="s">
        <v>1344</v>
      </c>
      <c r="C179" t="s">
        <v>5043</v>
      </c>
      <c r="D179" t="s">
        <v>8401</v>
      </c>
    </row>
    <row r="180" spans="1:4" x14ac:dyDescent="0.25">
      <c r="A180" s="63" t="s">
        <v>7356</v>
      </c>
      <c r="B180" t="s">
        <v>1344</v>
      </c>
      <c r="C180" t="s">
        <v>5043</v>
      </c>
      <c r="D180" t="s">
        <v>8401</v>
      </c>
    </row>
    <row r="181" spans="1:4" x14ac:dyDescent="0.25">
      <c r="A181" s="63" t="s">
        <v>7357</v>
      </c>
      <c r="B181" t="s">
        <v>1490</v>
      </c>
      <c r="C181" t="s">
        <v>5043</v>
      </c>
      <c r="D181" t="s">
        <v>8401</v>
      </c>
    </row>
    <row r="182" spans="1:4" x14ac:dyDescent="0.25">
      <c r="A182" s="63" t="s">
        <v>7358</v>
      </c>
      <c r="B182" t="s">
        <v>1490</v>
      </c>
      <c r="C182" t="s">
        <v>5043</v>
      </c>
      <c r="D182" t="s">
        <v>8401</v>
      </c>
    </row>
    <row r="183" spans="1:4" x14ac:dyDescent="0.25">
      <c r="A183" s="63" t="s">
        <v>7359</v>
      </c>
      <c r="B183" t="s">
        <v>2454</v>
      </c>
      <c r="C183" t="s">
        <v>5043</v>
      </c>
      <c r="D183" t="s">
        <v>8401</v>
      </c>
    </row>
    <row r="184" spans="1:4" x14ac:dyDescent="0.25">
      <c r="A184" s="63" t="s">
        <v>2772</v>
      </c>
      <c r="B184" t="s">
        <v>1432</v>
      </c>
      <c r="C184" t="s">
        <v>5043</v>
      </c>
      <c r="D184" t="s">
        <v>8401</v>
      </c>
    </row>
    <row r="185" spans="1:4" x14ac:dyDescent="0.25">
      <c r="A185" s="63" t="s">
        <v>2773</v>
      </c>
      <c r="B185" t="s">
        <v>1432</v>
      </c>
      <c r="C185" t="s">
        <v>5043</v>
      </c>
      <c r="D185" t="s">
        <v>8401</v>
      </c>
    </row>
    <row r="186" spans="1:4" x14ac:dyDescent="0.25">
      <c r="A186" s="63" t="s">
        <v>2774</v>
      </c>
      <c r="B186" t="s">
        <v>1432</v>
      </c>
      <c r="C186" t="s">
        <v>5043</v>
      </c>
      <c r="D186" t="s">
        <v>8401</v>
      </c>
    </row>
    <row r="187" spans="1:4" x14ac:dyDescent="0.25">
      <c r="A187" s="63" t="s">
        <v>2775</v>
      </c>
      <c r="B187" t="s">
        <v>1933</v>
      </c>
      <c r="C187" t="s">
        <v>5083</v>
      </c>
      <c r="D187" t="s">
        <v>8401</v>
      </c>
    </row>
    <row r="188" spans="1:4" x14ac:dyDescent="0.25">
      <c r="A188" s="63" t="s">
        <v>2776</v>
      </c>
      <c r="B188" t="s">
        <v>2498</v>
      </c>
      <c r="C188" t="s">
        <v>5043</v>
      </c>
      <c r="D188" t="s">
        <v>8401</v>
      </c>
    </row>
    <row r="189" spans="1:4" x14ac:dyDescent="0.25">
      <c r="A189" s="63" t="s">
        <v>2777</v>
      </c>
      <c r="B189" t="s">
        <v>2498</v>
      </c>
      <c r="C189" t="s">
        <v>5083</v>
      </c>
      <c r="D189" t="s">
        <v>8401</v>
      </c>
    </row>
    <row r="190" spans="1:4" x14ac:dyDescent="0.25">
      <c r="A190" s="63" t="s">
        <v>2778</v>
      </c>
      <c r="B190" t="s">
        <v>1358</v>
      </c>
      <c r="C190" t="s">
        <v>5083</v>
      </c>
      <c r="D190" t="s">
        <v>8401</v>
      </c>
    </row>
    <row r="191" spans="1:4" x14ac:dyDescent="0.25">
      <c r="A191" s="63" t="s">
        <v>7360</v>
      </c>
      <c r="B191" t="s">
        <v>1794</v>
      </c>
      <c r="C191" t="s">
        <v>5083</v>
      </c>
      <c r="D191" t="s">
        <v>8401</v>
      </c>
    </row>
    <row r="192" spans="1:4" x14ac:dyDescent="0.25">
      <c r="A192" s="63" t="s">
        <v>7361</v>
      </c>
      <c r="B192" t="s">
        <v>1347</v>
      </c>
      <c r="C192" t="s">
        <v>5043</v>
      </c>
      <c r="D192" t="s">
        <v>8401</v>
      </c>
    </row>
    <row r="193" spans="1:4" x14ac:dyDescent="0.25">
      <c r="A193" s="63" t="s">
        <v>7362</v>
      </c>
      <c r="B193" t="s">
        <v>2424</v>
      </c>
      <c r="C193" t="s">
        <v>5083</v>
      </c>
      <c r="D193" t="s">
        <v>8401</v>
      </c>
    </row>
    <row r="194" spans="1:4" x14ac:dyDescent="0.25">
      <c r="A194" s="63" t="s">
        <v>7363</v>
      </c>
      <c r="B194" t="s">
        <v>2424</v>
      </c>
      <c r="C194" t="s">
        <v>5083</v>
      </c>
      <c r="D194" t="s">
        <v>8401</v>
      </c>
    </row>
    <row r="195" spans="1:4" x14ac:dyDescent="0.25">
      <c r="A195" s="63" t="s">
        <v>7364</v>
      </c>
      <c r="B195" t="s">
        <v>1639</v>
      </c>
      <c r="C195" t="s">
        <v>5043</v>
      </c>
      <c r="D195" t="s">
        <v>8401</v>
      </c>
    </row>
    <row r="196" spans="1:4" x14ac:dyDescent="0.25">
      <c r="A196" s="63" t="s">
        <v>7365</v>
      </c>
      <c r="B196" t="s">
        <v>1639</v>
      </c>
      <c r="C196" t="s">
        <v>5083</v>
      </c>
      <c r="D196" t="s">
        <v>8401</v>
      </c>
    </row>
    <row r="197" spans="1:4" x14ac:dyDescent="0.25">
      <c r="A197" s="63" t="s">
        <v>2779</v>
      </c>
      <c r="B197" t="s">
        <v>1250</v>
      </c>
      <c r="C197" t="s">
        <v>5083</v>
      </c>
      <c r="D197" t="s">
        <v>8401</v>
      </c>
    </row>
    <row r="198" spans="1:4" x14ac:dyDescent="0.25">
      <c r="A198" s="63" t="s">
        <v>7366</v>
      </c>
      <c r="B198" t="s">
        <v>2473</v>
      </c>
      <c r="C198" t="s">
        <v>5083</v>
      </c>
      <c r="D198" t="s">
        <v>8401</v>
      </c>
    </row>
    <row r="199" spans="1:4" x14ac:dyDescent="0.25">
      <c r="A199" s="63" t="s">
        <v>7367</v>
      </c>
      <c r="B199" t="s">
        <v>2473</v>
      </c>
      <c r="C199" t="s">
        <v>5083</v>
      </c>
      <c r="D199" t="s">
        <v>8401</v>
      </c>
    </row>
    <row r="200" spans="1:4" x14ac:dyDescent="0.25">
      <c r="A200" s="63" t="s">
        <v>2780</v>
      </c>
      <c r="B200" t="s">
        <v>2044</v>
      </c>
      <c r="C200" t="s">
        <v>5043</v>
      </c>
      <c r="D200" t="s">
        <v>8401</v>
      </c>
    </row>
    <row r="201" spans="1:4" x14ac:dyDescent="0.25">
      <c r="A201" s="63" t="s">
        <v>2781</v>
      </c>
      <c r="B201" t="s">
        <v>2044</v>
      </c>
      <c r="C201" t="s">
        <v>5043</v>
      </c>
      <c r="D201" t="s">
        <v>8401</v>
      </c>
    </row>
    <row r="202" spans="1:4" x14ac:dyDescent="0.25">
      <c r="A202" s="63" t="s">
        <v>2782</v>
      </c>
      <c r="B202" t="s">
        <v>2044</v>
      </c>
      <c r="C202" t="s">
        <v>5043</v>
      </c>
      <c r="D202" t="s">
        <v>8401</v>
      </c>
    </row>
    <row r="203" spans="1:4" x14ac:dyDescent="0.25">
      <c r="A203" s="63" t="s">
        <v>2783</v>
      </c>
      <c r="B203" t="s">
        <v>1312</v>
      </c>
      <c r="C203" t="s">
        <v>5043</v>
      </c>
      <c r="D203" t="s">
        <v>8401</v>
      </c>
    </row>
    <row r="204" spans="1:4" x14ac:dyDescent="0.25">
      <c r="A204" s="63" t="s">
        <v>7368</v>
      </c>
      <c r="B204" t="s">
        <v>1313</v>
      </c>
      <c r="C204" t="s">
        <v>5043</v>
      </c>
      <c r="D204" t="s">
        <v>8401</v>
      </c>
    </row>
    <row r="205" spans="1:4" x14ac:dyDescent="0.25">
      <c r="A205" s="63" t="s">
        <v>7369</v>
      </c>
      <c r="B205" t="s">
        <v>1314</v>
      </c>
      <c r="C205" t="s">
        <v>5043</v>
      </c>
      <c r="D205" t="s">
        <v>8401</v>
      </c>
    </row>
    <row r="206" spans="1:4" x14ac:dyDescent="0.25">
      <c r="A206" s="63" t="s">
        <v>2784</v>
      </c>
      <c r="B206" t="s">
        <v>1956</v>
      </c>
      <c r="C206" t="s">
        <v>5043</v>
      </c>
      <c r="D206" t="s">
        <v>8401</v>
      </c>
    </row>
    <row r="207" spans="1:4" x14ac:dyDescent="0.25">
      <c r="A207" s="63" t="s">
        <v>2785</v>
      </c>
      <c r="B207" t="s">
        <v>1956</v>
      </c>
      <c r="C207" t="s">
        <v>5043</v>
      </c>
      <c r="D207" t="s">
        <v>8401</v>
      </c>
    </row>
    <row r="208" spans="1:4" x14ac:dyDescent="0.25">
      <c r="A208" s="63" t="s">
        <v>6387</v>
      </c>
      <c r="B208" t="s">
        <v>1956</v>
      </c>
      <c r="C208" t="s">
        <v>5043</v>
      </c>
      <c r="D208" t="s">
        <v>8401</v>
      </c>
    </row>
    <row r="209" spans="1:4" x14ac:dyDescent="0.25">
      <c r="A209" s="63" t="s">
        <v>7370</v>
      </c>
      <c r="B209" t="s">
        <v>1956</v>
      </c>
      <c r="C209" t="s">
        <v>5043</v>
      </c>
      <c r="D209" t="s">
        <v>8401</v>
      </c>
    </row>
    <row r="210" spans="1:4" x14ac:dyDescent="0.25">
      <c r="A210" s="63" t="s">
        <v>5674</v>
      </c>
      <c r="B210" t="s">
        <v>1503</v>
      </c>
      <c r="C210" t="s">
        <v>5043</v>
      </c>
      <c r="D210" t="s">
        <v>8401</v>
      </c>
    </row>
    <row r="211" spans="1:4" x14ac:dyDescent="0.25">
      <c r="A211" s="63" t="s">
        <v>5675</v>
      </c>
      <c r="B211" t="s">
        <v>1503</v>
      </c>
      <c r="C211" t="s">
        <v>5043</v>
      </c>
      <c r="D211" t="s">
        <v>8401</v>
      </c>
    </row>
    <row r="212" spans="1:4" x14ac:dyDescent="0.25">
      <c r="A212" s="63" t="s">
        <v>5676</v>
      </c>
      <c r="B212" t="s">
        <v>1502</v>
      </c>
      <c r="C212" t="s">
        <v>5043</v>
      </c>
      <c r="D212" t="s">
        <v>8401</v>
      </c>
    </row>
    <row r="213" spans="1:4" x14ac:dyDescent="0.25">
      <c r="A213" s="63" t="s">
        <v>5677</v>
      </c>
      <c r="B213" t="s">
        <v>1502</v>
      </c>
      <c r="C213" t="s">
        <v>5043</v>
      </c>
      <c r="D213" t="s">
        <v>8401</v>
      </c>
    </row>
    <row r="214" spans="1:4" x14ac:dyDescent="0.25">
      <c r="A214" s="63" t="s">
        <v>6961</v>
      </c>
      <c r="B214" t="s">
        <v>1303</v>
      </c>
      <c r="C214" t="s">
        <v>5043</v>
      </c>
      <c r="D214" t="s">
        <v>8401</v>
      </c>
    </row>
    <row r="215" spans="1:4" x14ac:dyDescent="0.25">
      <c r="A215" s="63" t="s">
        <v>2786</v>
      </c>
      <c r="B215" t="s">
        <v>1977</v>
      </c>
      <c r="C215" t="s">
        <v>5043</v>
      </c>
      <c r="D215" t="s">
        <v>8401</v>
      </c>
    </row>
    <row r="216" spans="1:4" x14ac:dyDescent="0.25">
      <c r="A216" s="63" t="s">
        <v>2787</v>
      </c>
      <c r="B216" t="s">
        <v>1977</v>
      </c>
      <c r="C216" t="s">
        <v>5043</v>
      </c>
      <c r="D216" t="s">
        <v>8401</v>
      </c>
    </row>
    <row r="217" spans="1:4" x14ac:dyDescent="0.25">
      <c r="A217" s="63" t="s">
        <v>4610</v>
      </c>
      <c r="B217" t="s">
        <v>4611</v>
      </c>
      <c r="C217" t="s">
        <v>5043</v>
      </c>
      <c r="D217" t="s">
        <v>8401</v>
      </c>
    </row>
    <row r="218" spans="1:4" x14ac:dyDescent="0.25">
      <c r="A218" s="63" t="s">
        <v>4612</v>
      </c>
      <c r="B218" t="s">
        <v>4611</v>
      </c>
      <c r="C218" t="s">
        <v>5043</v>
      </c>
      <c r="D218" t="s">
        <v>8401</v>
      </c>
    </row>
    <row r="219" spans="1:4" x14ac:dyDescent="0.25">
      <c r="A219" s="63" t="s">
        <v>4613</v>
      </c>
      <c r="B219" t="s">
        <v>4611</v>
      </c>
      <c r="C219" t="s">
        <v>5043</v>
      </c>
      <c r="D219" t="s">
        <v>8401</v>
      </c>
    </row>
    <row r="220" spans="1:4" x14ac:dyDescent="0.25">
      <c r="A220" s="63" t="s">
        <v>4614</v>
      </c>
      <c r="B220" t="s">
        <v>4611</v>
      </c>
      <c r="C220" t="s">
        <v>5043</v>
      </c>
      <c r="D220" t="s">
        <v>8401</v>
      </c>
    </row>
    <row r="221" spans="1:4" x14ac:dyDescent="0.25">
      <c r="A221" s="63" t="s">
        <v>4615</v>
      </c>
      <c r="B221" t="s">
        <v>4611</v>
      </c>
      <c r="C221" t="s">
        <v>5043</v>
      </c>
      <c r="D221" t="s">
        <v>8401</v>
      </c>
    </row>
    <row r="222" spans="1:4" x14ac:dyDescent="0.25">
      <c r="A222" s="63" t="s">
        <v>4616</v>
      </c>
      <c r="B222" t="s">
        <v>4611</v>
      </c>
      <c r="C222" t="s">
        <v>5043</v>
      </c>
      <c r="D222" t="s">
        <v>8401</v>
      </c>
    </row>
    <row r="223" spans="1:4" x14ac:dyDescent="0.25">
      <c r="A223" s="63" t="s">
        <v>4617</v>
      </c>
      <c r="B223" t="s">
        <v>4611</v>
      </c>
      <c r="C223" t="s">
        <v>5043</v>
      </c>
      <c r="D223" t="s">
        <v>8401</v>
      </c>
    </row>
    <row r="224" spans="1:4" x14ac:dyDescent="0.25">
      <c r="A224" s="63" t="s">
        <v>4618</v>
      </c>
      <c r="B224" t="s">
        <v>4611</v>
      </c>
      <c r="C224" t="s">
        <v>5043</v>
      </c>
      <c r="D224" t="s">
        <v>8401</v>
      </c>
    </row>
    <row r="225" spans="1:4" x14ac:dyDescent="0.25">
      <c r="A225" s="63" t="s">
        <v>4619</v>
      </c>
      <c r="B225" t="s">
        <v>4611</v>
      </c>
      <c r="C225" t="s">
        <v>5043</v>
      </c>
      <c r="D225" t="s">
        <v>8401</v>
      </c>
    </row>
    <row r="226" spans="1:4" x14ac:dyDescent="0.25">
      <c r="A226" s="63" t="s">
        <v>2788</v>
      </c>
      <c r="B226" t="s">
        <v>1306</v>
      </c>
      <c r="C226" t="s">
        <v>5043</v>
      </c>
      <c r="D226" t="s">
        <v>8401</v>
      </c>
    </row>
    <row r="227" spans="1:4" x14ac:dyDescent="0.25">
      <c r="A227" s="63" t="s">
        <v>2789</v>
      </c>
      <c r="B227" t="s">
        <v>1306</v>
      </c>
      <c r="C227" t="s">
        <v>5043</v>
      </c>
      <c r="D227" t="s">
        <v>8401</v>
      </c>
    </row>
    <row r="228" spans="1:4" x14ac:dyDescent="0.25">
      <c r="A228" s="63" t="s">
        <v>2790</v>
      </c>
      <c r="B228" t="s">
        <v>1306</v>
      </c>
      <c r="C228" t="s">
        <v>5043</v>
      </c>
      <c r="D228" t="s">
        <v>8401</v>
      </c>
    </row>
    <row r="229" spans="1:4" x14ac:dyDescent="0.25">
      <c r="A229" s="63" t="s">
        <v>2791</v>
      </c>
      <c r="B229" t="s">
        <v>1198</v>
      </c>
      <c r="C229" t="s">
        <v>5043</v>
      </c>
      <c r="D229" t="s">
        <v>8401</v>
      </c>
    </row>
    <row r="230" spans="1:4" x14ac:dyDescent="0.25">
      <c r="A230" s="63" t="s">
        <v>2792</v>
      </c>
      <c r="B230" t="s">
        <v>1197</v>
      </c>
      <c r="C230" t="s">
        <v>5043</v>
      </c>
      <c r="D230" t="s">
        <v>8401</v>
      </c>
    </row>
    <row r="231" spans="1:4" x14ac:dyDescent="0.25">
      <c r="A231" s="63" t="s">
        <v>2793</v>
      </c>
      <c r="B231" t="s">
        <v>1197</v>
      </c>
      <c r="C231" t="s">
        <v>5043</v>
      </c>
      <c r="D231" t="s">
        <v>8401</v>
      </c>
    </row>
    <row r="232" spans="1:4" x14ac:dyDescent="0.25">
      <c r="A232" s="63" t="s">
        <v>2794</v>
      </c>
      <c r="B232" t="s">
        <v>1197</v>
      </c>
      <c r="C232" t="s">
        <v>5043</v>
      </c>
      <c r="D232" t="s">
        <v>8401</v>
      </c>
    </row>
    <row r="233" spans="1:4" x14ac:dyDescent="0.25">
      <c r="A233" s="63" t="s">
        <v>2795</v>
      </c>
      <c r="B233" t="s">
        <v>1197</v>
      </c>
      <c r="C233" t="s">
        <v>5043</v>
      </c>
      <c r="D233" t="s">
        <v>8401</v>
      </c>
    </row>
    <row r="234" spans="1:4" x14ac:dyDescent="0.25">
      <c r="A234" s="63" t="s">
        <v>5317</v>
      </c>
      <c r="B234" t="s">
        <v>2280</v>
      </c>
      <c r="C234" t="s">
        <v>5043</v>
      </c>
      <c r="D234" t="s">
        <v>8401</v>
      </c>
    </row>
    <row r="235" spans="1:4" x14ac:dyDescent="0.25">
      <c r="A235" s="63" t="s">
        <v>5318</v>
      </c>
      <c r="B235" t="s">
        <v>2280</v>
      </c>
      <c r="C235" t="s">
        <v>5043</v>
      </c>
      <c r="D235" t="s">
        <v>8401</v>
      </c>
    </row>
    <row r="236" spans="1:4" x14ac:dyDescent="0.25">
      <c r="A236" s="63" t="s">
        <v>2796</v>
      </c>
      <c r="B236" t="s">
        <v>2280</v>
      </c>
      <c r="C236" t="s">
        <v>5043</v>
      </c>
      <c r="D236" t="s">
        <v>8401</v>
      </c>
    </row>
    <row r="237" spans="1:4" x14ac:dyDescent="0.25">
      <c r="A237" s="63" t="s">
        <v>2797</v>
      </c>
      <c r="B237" t="s">
        <v>2280</v>
      </c>
      <c r="C237" t="s">
        <v>5043</v>
      </c>
      <c r="D237" t="s">
        <v>8401</v>
      </c>
    </row>
    <row r="238" spans="1:4" x14ac:dyDescent="0.25">
      <c r="A238" s="63" t="s">
        <v>2798</v>
      </c>
      <c r="B238" t="s">
        <v>2280</v>
      </c>
      <c r="C238" t="s">
        <v>5043</v>
      </c>
      <c r="D238" t="s">
        <v>8401</v>
      </c>
    </row>
    <row r="239" spans="1:4" x14ac:dyDescent="0.25">
      <c r="A239" s="63" t="s">
        <v>2799</v>
      </c>
      <c r="B239" t="s">
        <v>2280</v>
      </c>
      <c r="C239" t="s">
        <v>5043</v>
      </c>
      <c r="D239" t="s">
        <v>8401</v>
      </c>
    </row>
    <row r="240" spans="1:4" x14ac:dyDescent="0.25">
      <c r="A240" s="63" t="s">
        <v>2800</v>
      </c>
      <c r="B240" t="s">
        <v>1953</v>
      </c>
      <c r="C240" t="s">
        <v>5043</v>
      </c>
      <c r="D240" t="s">
        <v>8401</v>
      </c>
    </row>
    <row r="241" spans="1:4" x14ac:dyDescent="0.25">
      <c r="A241" s="63" t="s">
        <v>2801</v>
      </c>
      <c r="B241" t="s">
        <v>1341</v>
      </c>
      <c r="C241" t="s">
        <v>5043</v>
      </c>
      <c r="D241" t="s">
        <v>8401</v>
      </c>
    </row>
    <row r="242" spans="1:4" x14ac:dyDescent="0.25">
      <c r="A242" s="63" t="s">
        <v>2802</v>
      </c>
      <c r="B242" t="s">
        <v>1341</v>
      </c>
      <c r="C242" t="s">
        <v>5043</v>
      </c>
      <c r="D242" t="s">
        <v>8401</v>
      </c>
    </row>
    <row r="243" spans="1:4" x14ac:dyDescent="0.25">
      <c r="A243" s="63" t="s">
        <v>2803</v>
      </c>
      <c r="B243" t="s">
        <v>1447</v>
      </c>
      <c r="C243" t="s">
        <v>5043</v>
      </c>
      <c r="D243" t="s">
        <v>8401</v>
      </c>
    </row>
    <row r="244" spans="1:4" x14ac:dyDescent="0.25">
      <c r="A244" s="63" t="s">
        <v>2804</v>
      </c>
      <c r="B244" t="s">
        <v>1447</v>
      </c>
      <c r="C244" t="s">
        <v>5043</v>
      </c>
      <c r="D244" t="s">
        <v>8401</v>
      </c>
    </row>
    <row r="245" spans="1:4" x14ac:dyDescent="0.25">
      <c r="A245" s="63" t="s">
        <v>2805</v>
      </c>
      <c r="B245" t="s">
        <v>1447</v>
      </c>
      <c r="C245" t="s">
        <v>5043</v>
      </c>
      <c r="D245" t="s">
        <v>8401</v>
      </c>
    </row>
    <row r="246" spans="1:4" x14ac:dyDescent="0.25">
      <c r="A246" s="63" t="s">
        <v>7371</v>
      </c>
      <c r="B246" t="s">
        <v>2403</v>
      </c>
      <c r="C246" t="s">
        <v>5043</v>
      </c>
      <c r="D246" t="s">
        <v>8401</v>
      </c>
    </row>
    <row r="247" spans="1:4" x14ac:dyDescent="0.25">
      <c r="A247" s="63" t="s">
        <v>2806</v>
      </c>
      <c r="B247" t="s">
        <v>2352</v>
      </c>
      <c r="C247" t="s">
        <v>5043</v>
      </c>
      <c r="D247" t="s">
        <v>8401</v>
      </c>
    </row>
    <row r="248" spans="1:4" x14ac:dyDescent="0.25">
      <c r="A248" s="63" t="s">
        <v>2807</v>
      </c>
      <c r="B248" t="s">
        <v>2352</v>
      </c>
      <c r="C248" t="s">
        <v>5043</v>
      </c>
      <c r="D248" t="s">
        <v>8401</v>
      </c>
    </row>
    <row r="249" spans="1:4" x14ac:dyDescent="0.25">
      <c r="A249" s="63" t="s">
        <v>2808</v>
      </c>
      <c r="B249" t="s">
        <v>2352</v>
      </c>
      <c r="C249" t="s">
        <v>5043</v>
      </c>
      <c r="D249" t="s">
        <v>8401</v>
      </c>
    </row>
    <row r="250" spans="1:4" x14ac:dyDescent="0.25">
      <c r="A250" s="63" t="s">
        <v>2809</v>
      </c>
      <c r="B250" t="s">
        <v>1342</v>
      </c>
      <c r="C250" t="s">
        <v>5043</v>
      </c>
      <c r="D250" t="s">
        <v>8401</v>
      </c>
    </row>
    <row r="251" spans="1:4" x14ac:dyDescent="0.25">
      <c r="A251" s="63" t="s">
        <v>2810</v>
      </c>
      <c r="B251" t="s">
        <v>1342</v>
      </c>
      <c r="C251" t="s">
        <v>5043</v>
      </c>
      <c r="D251" t="s">
        <v>8401</v>
      </c>
    </row>
    <row r="252" spans="1:4" x14ac:dyDescent="0.25">
      <c r="A252" s="63" t="s">
        <v>2811</v>
      </c>
      <c r="B252" t="s">
        <v>2080</v>
      </c>
      <c r="C252" t="s">
        <v>5043</v>
      </c>
      <c r="D252" t="s">
        <v>8401</v>
      </c>
    </row>
    <row r="253" spans="1:4" x14ac:dyDescent="0.25">
      <c r="A253" s="63" t="s">
        <v>7372</v>
      </c>
      <c r="B253" t="s">
        <v>1512</v>
      </c>
      <c r="C253" t="s">
        <v>5043</v>
      </c>
      <c r="D253" t="s">
        <v>8401</v>
      </c>
    </row>
    <row r="254" spans="1:4" x14ac:dyDescent="0.25">
      <c r="A254" s="63" t="s">
        <v>7373</v>
      </c>
      <c r="B254" t="s">
        <v>1512</v>
      </c>
      <c r="C254" t="s">
        <v>5043</v>
      </c>
      <c r="D254" t="s">
        <v>8401</v>
      </c>
    </row>
    <row r="255" spans="1:4" x14ac:dyDescent="0.25">
      <c r="A255" s="63" t="s">
        <v>7374</v>
      </c>
      <c r="B255" t="s">
        <v>1194</v>
      </c>
      <c r="C255" t="s">
        <v>5043</v>
      </c>
      <c r="D255" t="s">
        <v>8401</v>
      </c>
    </row>
    <row r="256" spans="1:4" x14ac:dyDescent="0.25">
      <c r="A256" s="63" t="s">
        <v>7375</v>
      </c>
      <c r="B256" t="s">
        <v>1194</v>
      </c>
      <c r="C256" t="s">
        <v>5043</v>
      </c>
      <c r="D256" t="s">
        <v>8401</v>
      </c>
    </row>
    <row r="257" spans="1:4" x14ac:dyDescent="0.25">
      <c r="A257" s="63" t="s">
        <v>6200</v>
      </c>
      <c r="B257" t="s">
        <v>1457</v>
      </c>
      <c r="C257" t="s">
        <v>5043</v>
      </c>
      <c r="D257" t="s">
        <v>8401</v>
      </c>
    </row>
    <row r="258" spans="1:4" x14ac:dyDescent="0.25">
      <c r="A258" s="63" t="s">
        <v>2812</v>
      </c>
      <c r="B258" t="s">
        <v>1281</v>
      </c>
      <c r="C258" t="s">
        <v>5043</v>
      </c>
      <c r="D258" t="s">
        <v>8401</v>
      </c>
    </row>
    <row r="259" spans="1:4" x14ac:dyDescent="0.25">
      <c r="A259" s="63" t="s">
        <v>2813</v>
      </c>
      <c r="B259" t="s">
        <v>1323</v>
      </c>
      <c r="C259" t="s">
        <v>5043</v>
      </c>
      <c r="D259" t="s">
        <v>8401</v>
      </c>
    </row>
    <row r="260" spans="1:4" x14ac:dyDescent="0.25">
      <c r="A260" s="63" t="s">
        <v>2814</v>
      </c>
      <c r="B260" t="s">
        <v>1323</v>
      </c>
      <c r="C260" t="s">
        <v>5043</v>
      </c>
      <c r="D260" t="s">
        <v>8401</v>
      </c>
    </row>
    <row r="261" spans="1:4" x14ac:dyDescent="0.25">
      <c r="A261" s="63" t="s">
        <v>2815</v>
      </c>
      <c r="B261" t="s">
        <v>1323</v>
      </c>
      <c r="C261" t="s">
        <v>5043</v>
      </c>
      <c r="D261" t="s">
        <v>8401</v>
      </c>
    </row>
    <row r="262" spans="1:4" x14ac:dyDescent="0.25">
      <c r="A262" s="63" t="s">
        <v>2816</v>
      </c>
      <c r="B262" t="s">
        <v>1323</v>
      </c>
      <c r="C262" t="s">
        <v>5043</v>
      </c>
      <c r="D262" t="s">
        <v>8401</v>
      </c>
    </row>
    <row r="263" spans="1:4" x14ac:dyDescent="0.25">
      <c r="A263" s="63" t="s">
        <v>2817</v>
      </c>
      <c r="B263" t="s">
        <v>1323</v>
      </c>
      <c r="C263" t="s">
        <v>5043</v>
      </c>
      <c r="D263" t="s">
        <v>8401</v>
      </c>
    </row>
    <row r="264" spans="1:4" x14ac:dyDescent="0.25">
      <c r="A264" s="63" t="s">
        <v>2818</v>
      </c>
      <c r="B264" t="s">
        <v>2165</v>
      </c>
      <c r="C264" t="s">
        <v>5043</v>
      </c>
      <c r="D264" t="s">
        <v>8401</v>
      </c>
    </row>
    <row r="265" spans="1:4" x14ac:dyDescent="0.25">
      <c r="A265" s="63" t="s">
        <v>2819</v>
      </c>
      <c r="B265" t="s">
        <v>2165</v>
      </c>
      <c r="C265" t="s">
        <v>5043</v>
      </c>
      <c r="D265" t="s">
        <v>8401</v>
      </c>
    </row>
    <row r="266" spans="1:4" x14ac:dyDescent="0.25">
      <c r="A266" s="63" t="s">
        <v>2820</v>
      </c>
      <c r="B266" t="s">
        <v>2164</v>
      </c>
      <c r="C266" t="s">
        <v>5043</v>
      </c>
      <c r="D266" t="s">
        <v>8401</v>
      </c>
    </row>
    <row r="267" spans="1:4" x14ac:dyDescent="0.25">
      <c r="A267" s="63" t="s">
        <v>2821</v>
      </c>
      <c r="B267" t="s">
        <v>2504</v>
      </c>
      <c r="C267" t="s">
        <v>5043</v>
      </c>
      <c r="D267" t="s">
        <v>8401</v>
      </c>
    </row>
    <row r="268" spans="1:4" x14ac:dyDescent="0.25">
      <c r="A268" s="63" t="s">
        <v>6916</v>
      </c>
      <c r="B268" t="s">
        <v>1960</v>
      </c>
      <c r="C268" t="s">
        <v>5043</v>
      </c>
      <c r="D268" t="s">
        <v>8401</v>
      </c>
    </row>
    <row r="269" spans="1:4" x14ac:dyDescent="0.25">
      <c r="A269" s="63" t="s">
        <v>2822</v>
      </c>
      <c r="B269" t="s">
        <v>1960</v>
      </c>
      <c r="C269" t="s">
        <v>5043</v>
      </c>
      <c r="D269" t="s">
        <v>8401</v>
      </c>
    </row>
    <row r="270" spans="1:4" x14ac:dyDescent="0.25">
      <c r="A270" s="63" t="s">
        <v>2823</v>
      </c>
      <c r="B270" t="s">
        <v>1960</v>
      </c>
      <c r="C270" t="s">
        <v>5043</v>
      </c>
      <c r="D270" t="s">
        <v>8401</v>
      </c>
    </row>
    <row r="271" spans="1:4" x14ac:dyDescent="0.25">
      <c r="A271" s="63" t="s">
        <v>2824</v>
      </c>
      <c r="B271" t="s">
        <v>2503</v>
      </c>
      <c r="C271" t="s">
        <v>5043</v>
      </c>
      <c r="D271" t="s">
        <v>8401</v>
      </c>
    </row>
    <row r="272" spans="1:4" x14ac:dyDescent="0.25">
      <c r="A272" s="63" t="s">
        <v>2825</v>
      </c>
      <c r="B272" t="s">
        <v>2503</v>
      </c>
      <c r="C272" t="s">
        <v>5043</v>
      </c>
      <c r="D272" t="s">
        <v>8401</v>
      </c>
    </row>
    <row r="273" spans="1:4" x14ac:dyDescent="0.25">
      <c r="A273" s="63" t="s">
        <v>2826</v>
      </c>
      <c r="B273" t="s">
        <v>2503</v>
      </c>
      <c r="C273" t="s">
        <v>5043</v>
      </c>
      <c r="D273" t="s">
        <v>8401</v>
      </c>
    </row>
    <row r="274" spans="1:4" x14ac:dyDescent="0.25">
      <c r="A274" s="63" t="s">
        <v>2827</v>
      </c>
      <c r="B274" t="s">
        <v>1514</v>
      </c>
      <c r="C274" t="s">
        <v>5043</v>
      </c>
      <c r="D274" t="s">
        <v>8401</v>
      </c>
    </row>
    <row r="275" spans="1:4" x14ac:dyDescent="0.25">
      <c r="A275" s="63" t="s">
        <v>2828</v>
      </c>
      <c r="B275" t="s">
        <v>1514</v>
      </c>
      <c r="C275" t="s">
        <v>5043</v>
      </c>
      <c r="D275" t="s">
        <v>8401</v>
      </c>
    </row>
    <row r="276" spans="1:4" x14ac:dyDescent="0.25">
      <c r="A276" s="63" t="s">
        <v>5442</v>
      </c>
      <c r="B276" t="s">
        <v>1514</v>
      </c>
      <c r="C276" t="s">
        <v>5043</v>
      </c>
      <c r="D276" t="s">
        <v>8401</v>
      </c>
    </row>
    <row r="277" spans="1:4" x14ac:dyDescent="0.25">
      <c r="A277" s="63" t="s">
        <v>5912</v>
      </c>
      <c r="B277" t="s">
        <v>1514</v>
      </c>
      <c r="C277" t="s">
        <v>5043</v>
      </c>
      <c r="D277" t="s">
        <v>8401</v>
      </c>
    </row>
    <row r="278" spans="1:4" x14ac:dyDescent="0.25">
      <c r="A278" s="63" t="s">
        <v>5913</v>
      </c>
      <c r="B278" t="s">
        <v>1514</v>
      </c>
      <c r="C278" t="s">
        <v>5043</v>
      </c>
      <c r="D278" t="s">
        <v>8401</v>
      </c>
    </row>
    <row r="279" spans="1:4" x14ac:dyDescent="0.25">
      <c r="A279" s="63" t="s">
        <v>5914</v>
      </c>
      <c r="B279" t="s">
        <v>1514</v>
      </c>
      <c r="C279" t="s">
        <v>5043</v>
      </c>
      <c r="D279" t="s">
        <v>8401</v>
      </c>
    </row>
    <row r="280" spans="1:4" x14ac:dyDescent="0.25">
      <c r="A280" s="63" t="s">
        <v>2829</v>
      </c>
      <c r="B280" t="s">
        <v>1704</v>
      </c>
      <c r="C280" t="s">
        <v>5043</v>
      </c>
      <c r="D280" t="s">
        <v>8401</v>
      </c>
    </row>
    <row r="281" spans="1:4" x14ac:dyDescent="0.25">
      <c r="A281" s="63" t="s">
        <v>2830</v>
      </c>
      <c r="B281" t="s">
        <v>1704</v>
      </c>
      <c r="C281" t="s">
        <v>5043</v>
      </c>
      <c r="D281" t="s">
        <v>8401</v>
      </c>
    </row>
    <row r="282" spans="1:4" x14ac:dyDescent="0.25">
      <c r="A282" s="63" t="s">
        <v>2831</v>
      </c>
      <c r="B282" t="s">
        <v>1704</v>
      </c>
      <c r="C282" t="s">
        <v>5043</v>
      </c>
      <c r="D282" t="s">
        <v>8401</v>
      </c>
    </row>
    <row r="283" spans="1:4" x14ac:dyDescent="0.25">
      <c r="A283" s="63" t="s">
        <v>2832</v>
      </c>
      <c r="B283" t="s">
        <v>1704</v>
      </c>
      <c r="C283" t="s">
        <v>5043</v>
      </c>
      <c r="D283" t="s">
        <v>8401</v>
      </c>
    </row>
    <row r="284" spans="1:4" x14ac:dyDescent="0.25">
      <c r="A284" s="63" t="s">
        <v>2833</v>
      </c>
      <c r="B284" t="s">
        <v>1704</v>
      </c>
      <c r="C284" t="s">
        <v>5043</v>
      </c>
      <c r="D284" t="s">
        <v>8401</v>
      </c>
    </row>
    <row r="285" spans="1:4" x14ac:dyDescent="0.25">
      <c r="A285" s="63" t="s">
        <v>7376</v>
      </c>
      <c r="B285" t="s">
        <v>1704</v>
      </c>
      <c r="C285" t="s">
        <v>5043</v>
      </c>
      <c r="D285" t="s">
        <v>8401</v>
      </c>
    </row>
    <row r="286" spans="1:4" x14ac:dyDescent="0.25">
      <c r="A286" s="63" t="s">
        <v>7377</v>
      </c>
      <c r="B286" t="s">
        <v>1704</v>
      </c>
      <c r="C286" t="s">
        <v>5043</v>
      </c>
      <c r="D286" t="s">
        <v>8401</v>
      </c>
    </row>
    <row r="287" spans="1:4" x14ac:dyDescent="0.25">
      <c r="A287" s="63" t="s">
        <v>7179</v>
      </c>
      <c r="B287" t="s">
        <v>1704</v>
      </c>
      <c r="C287" t="s">
        <v>5043</v>
      </c>
      <c r="D287" t="s">
        <v>8401</v>
      </c>
    </row>
    <row r="288" spans="1:4" x14ac:dyDescent="0.25">
      <c r="A288" s="63" t="s">
        <v>7378</v>
      </c>
      <c r="B288" t="s">
        <v>1704</v>
      </c>
      <c r="C288" t="s">
        <v>5043</v>
      </c>
      <c r="D288" t="s">
        <v>8401</v>
      </c>
    </row>
    <row r="289" spans="1:4" x14ac:dyDescent="0.25">
      <c r="A289" s="63" t="s">
        <v>6060</v>
      </c>
      <c r="B289" t="s">
        <v>1704</v>
      </c>
      <c r="C289" t="s">
        <v>5043</v>
      </c>
      <c r="D289" t="s">
        <v>8401</v>
      </c>
    </row>
    <row r="290" spans="1:4" x14ac:dyDescent="0.25">
      <c r="A290" s="63" t="s">
        <v>7379</v>
      </c>
      <c r="B290" t="s">
        <v>1704</v>
      </c>
      <c r="C290" t="s">
        <v>5043</v>
      </c>
      <c r="D290" t="s">
        <v>8401</v>
      </c>
    </row>
    <row r="291" spans="1:4" x14ac:dyDescent="0.25">
      <c r="A291" s="63" t="s">
        <v>2834</v>
      </c>
      <c r="B291" t="s">
        <v>2506</v>
      </c>
      <c r="C291" t="s">
        <v>5043</v>
      </c>
      <c r="D291" t="s">
        <v>8401</v>
      </c>
    </row>
    <row r="292" spans="1:4" x14ac:dyDescent="0.25">
      <c r="A292" s="63" t="s">
        <v>2835</v>
      </c>
      <c r="B292" t="s">
        <v>2505</v>
      </c>
      <c r="C292" t="s">
        <v>5043</v>
      </c>
      <c r="D292" t="s">
        <v>8401</v>
      </c>
    </row>
    <row r="293" spans="1:4" x14ac:dyDescent="0.25">
      <c r="A293" s="63" t="s">
        <v>2836</v>
      </c>
      <c r="B293" t="s">
        <v>2505</v>
      </c>
      <c r="C293" t="s">
        <v>5043</v>
      </c>
      <c r="D293" t="s">
        <v>8401</v>
      </c>
    </row>
    <row r="294" spans="1:4" x14ac:dyDescent="0.25">
      <c r="A294" s="63" t="s">
        <v>2837</v>
      </c>
      <c r="B294" t="s">
        <v>1920</v>
      </c>
      <c r="C294" t="s">
        <v>5043</v>
      </c>
      <c r="D294" t="s">
        <v>8401</v>
      </c>
    </row>
    <row r="295" spans="1:4" x14ac:dyDescent="0.25">
      <c r="A295" s="63" t="s">
        <v>2838</v>
      </c>
      <c r="B295" t="s">
        <v>1920</v>
      </c>
      <c r="C295" t="s">
        <v>5043</v>
      </c>
      <c r="D295" t="s">
        <v>8401</v>
      </c>
    </row>
    <row r="296" spans="1:4" x14ac:dyDescent="0.25">
      <c r="A296" s="63" t="s">
        <v>2839</v>
      </c>
      <c r="B296" t="s">
        <v>2502</v>
      </c>
      <c r="C296" t="s">
        <v>5043</v>
      </c>
      <c r="D296" t="s">
        <v>8401</v>
      </c>
    </row>
    <row r="297" spans="1:4" x14ac:dyDescent="0.25">
      <c r="A297" s="63" t="s">
        <v>2840</v>
      </c>
      <c r="B297" t="s">
        <v>2502</v>
      </c>
      <c r="C297" t="s">
        <v>5043</v>
      </c>
      <c r="D297" t="s">
        <v>8401</v>
      </c>
    </row>
    <row r="298" spans="1:4" x14ac:dyDescent="0.25">
      <c r="A298" s="63" t="s">
        <v>2841</v>
      </c>
      <c r="B298" t="s">
        <v>2501</v>
      </c>
      <c r="C298" t="s">
        <v>5043</v>
      </c>
      <c r="D298" t="s">
        <v>8401</v>
      </c>
    </row>
    <row r="299" spans="1:4" x14ac:dyDescent="0.25">
      <c r="A299" s="63" t="s">
        <v>5571</v>
      </c>
      <c r="B299" t="s">
        <v>2210</v>
      </c>
      <c r="C299" t="s">
        <v>5043</v>
      </c>
      <c r="D299" t="s">
        <v>8401</v>
      </c>
    </row>
    <row r="300" spans="1:4" x14ac:dyDescent="0.25">
      <c r="A300" s="63" t="s">
        <v>5753</v>
      </c>
      <c r="B300" t="s">
        <v>1221</v>
      </c>
      <c r="C300" t="s">
        <v>5043</v>
      </c>
      <c r="D300" t="s">
        <v>8401</v>
      </c>
    </row>
    <row r="301" spans="1:4" x14ac:dyDescent="0.25">
      <c r="A301" s="63" t="s">
        <v>5754</v>
      </c>
      <c r="B301" t="s">
        <v>1220</v>
      </c>
      <c r="C301" t="s">
        <v>5043</v>
      </c>
      <c r="D301" t="s">
        <v>8401</v>
      </c>
    </row>
    <row r="302" spans="1:4" x14ac:dyDescent="0.25">
      <c r="A302" s="63" t="s">
        <v>5393</v>
      </c>
      <c r="B302" t="s">
        <v>1963</v>
      </c>
      <c r="C302" t="s">
        <v>5043</v>
      </c>
      <c r="D302" t="s">
        <v>8401</v>
      </c>
    </row>
    <row r="303" spans="1:4" x14ac:dyDescent="0.25">
      <c r="A303" s="63" t="s">
        <v>5394</v>
      </c>
      <c r="B303" t="s">
        <v>1963</v>
      </c>
      <c r="C303" t="s">
        <v>5043</v>
      </c>
      <c r="D303" t="s">
        <v>8401</v>
      </c>
    </row>
    <row r="304" spans="1:4" x14ac:dyDescent="0.25">
      <c r="A304" s="63" t="s">
        <v>5818</v>
      </c>
      <c r="B304" t="s">
        <v>2092</v>
      </c>
      <c r="C304" t="s">
        <v>5043</v>
      </c>
      <c r="D304" t="s">
        <v>8401</v>
      </c>
    </row>
    <row r="305" spans="1:4" x14ac:dyDescent="0.25">
      <c r="A305" s="63" t="s">
        <v>7380</v>
      </c>
      <c r="B305" t="s">
        <v>2092</v>
      </c>
      <c r="C305" t="s">
        <v>5043</v>
      </c>
      <c r="D305" t="s">
        <v>8401</v>
      </c>
    </row>
    <row r="306" spans="1:4" x14ac:dyDescent="0.25">
      <c r="A306" s="63" t="s">
        <v>2842</v>
      </c>
      <c r="B306" t="s">
        <v>2450</v>
      </c>
      <c r="C306" t="s">
        <v>5043</v>
      </c>
      <c r="D306" t="s">
        <v>8401</v>
      </c>
    </row>
    <row r="307" spans="1:4" x14ac:dyDescent="0.25">
      <c r="A307" s="63" t="s">
        <v>2843</v>
      </c>
      <c r="B307" t="s">
        <v>2451</v>
      </c>
      <c r="C307" t="s">
        <v>5043</v>
      </c>
      <c r="D307" t="s">
        <v>8401</v>
      </c>
    </row>
    <row r="308" spans="1:4" x14ac:dyDescent="0.25">
      <c r="A308" s="63" t="s">
        <v>5389</v>
      </c>
      <c r="B308" t="s">
        <v>1962</v>
      </c>
      <c r="C308" t="s">
        <v>5043</v>
      </c>
      <c r="D308" t="s">
        <v>8401</v>
      </c>
    </row>
    <row r="309" spans="1:4" x14ac:dyDescent="0.25">
      <c r="A309" s="63" t="s">
        <v>2844</v>
      </c>
      <c r="B309" t="s">
        <v>1962</v>
      </c>
      <c r="C309" t="s">
        <v>5043</v>
      </c>
      <c r="D309" t="s">
        <v>8401</v>
      </c>
    </row>
    <row r="310" spans="1:4" x14ac:dyDescent="0.25">
      <c r="A310" s="63" t="s">
        <v>2845</v>
      </c>
      <c r="B310" t="s">
        <v>1962</v>
      </c>
      <c r="C310" t="s">
        <v>5043</v>
      </c>
      <c r="D310" t="s">
        <v>8401</v>
      </c>
    </row>
    <row r="311" spans="1:4" x14ac:dyDescent="0.25">
      <c r="A311" s="63" t="s">
        <v>2846</v>
      </c>
      <c r="B311" t="s">
        <v>1962</v>
      </c>
      <c r="C311" t="s">
        <v>5043</v>
      </c>
      <c r="D311" t="s">
        <v>8401</v>
      </c>
    </row>
    <row r="312" spans="1:4" x14ac:dyDescent="0.25">
      <c r="A312" s="63" t="s">
        <v>7381</v>
      </c>
      <c r="B312" t="s">
        <v>2163</v>
      </c>
      <c r="C312" t="s">
        <v>5043</v>
      </c>
      <c r="D312" t="s">
        <v>8401</v>
      </c>
    </row>
    <row r="313" spans="1:4" x14ac:dyDescent="0.25">
      <c r="A313" s="63" t="s">
        <v>7382</v>
      </c>
      <c r="B313" t="s">
        <v>2163</v>
      </c>
      <c r="C313" t="s">
        <v>5043</v>
      </c>
      <c r="D313" t="s">
        <v>8401</v>
      </c>
    </row>
    <row r="314" spans="1:4" x14ac:dyDescent="0.25">
      <c r="A314" s="63" t="s">
        <v>7383</v>
      </c>
      <c r="B314" t="s">
        <v>2162</v>
      </c>
      <c r="C314" t="s">
        <v>5043</v>
      </c>
      <c r="D314" t="s">
        <v>8401</v>
      </c>
    </row>
    <row r="315" spans="1:4" x14ac:dyDescent="0.25">
      <c r="A315" s="63" t="s">
        <v>2847</v>
      </c>
      <c r="B315" t="s">
        <v>2162</v>
      </c>
      <c r="C315" t="s">
        <v>5043</v>
      </c>
      <c r="D315" t="s">
        <v>8401</v>
      </c>
    </row>
    <row r="316" spans="1:4" x14ac:dyDescent="0.25">
      <c r="A316" s="63" t="s">
        <v>2848</v>
      </c>
      <c r="B316" t="s">
        <v>2162</v>
      </c>
      <c r="C316" t="s">
        <v>5043</v>
      </c>
      <c r="D316" t="s">
        <v>8401</v>
      </c>
    </row>
    <row r="317" spans="1:4" x14ac:dyDescent="0.25">
      <c r="A317" s="63" t="s">
        <v>7384</v>
      </c>
      <c r="B317" t="s">
        <v>2167</v>
      </c>
      <c r="C317" t="s">
        <v>5043</v>
      </c>
      <c r="D317" t="s">
        <v>8401</v>
      </c>
    </row>
    <row r="318" spans="1:4" x14ac:dyDescent="0.25">
      <c r="A318" s="63" t="s">
        <v>7385</v>
      </c>
      <c r="B318" t="s">
        <v>1450</v>
      </c>
      <c r="C318" t="s">
        <v>5043</v>
      </c>
      <c r="D318" t="s">
        <v>8401</v>
      </c>
    </row>
    <row r="319" spans="1:4" x14ac:dyDescent="0.25">
      <c r="A319" s="63" t="s">
        <v>2849</v>
      </c>
      <c r="B319" t="s">
        <v>1450</v>
      </c>
      <c r="C319" t="s">
        <v>5043</v>
      </c>
      <c r="D319" t="s">
        <v>8401</v>
      </c>
    </row>
    <row r="320" spans="1:4" x14ac:dyDescent="0.25">
      <c r="A320" s="63" t="s">
        <v>2850</v>
      </c>
      <c r="B320" t="s">
        <v>1450</v>
      </c>
      <c r="C320" t="s">
        <v>5043</v>
      </c>
      <c r="D320" t="s">
        <v>8401</v>
      </c>
    </row>
    <row r="321" spans="1:4" x14ac:dyDescent="0.25">
      <c r="A321" s="63" t="s">
        <v>2851</v>
      </c>
      <c r="B321" t="s">
        <v>1451</v>
      </c>
      <c r="C321" t="s">
        <v>5043</v>
      </c>
      <c r="D321" t="s">
        <v>8401</v>
      </c>
    </row>
    <row r="322" spans="1:4" x14ac:dyDescent="0.25">
      <c r="A322" s="63" t="s">
        <v>7386</v>
      </c>
      <c r="B322" t="s">
        <v>1455</v>
      </c>
      <c r="C322" t="s">
        <v>5043</v>
      </c>
      <c r="D322" t="s">
        <v>8401</v>
      </c>
    </row>
    <row r="323" spans="1:4" x14ac:dyDescent="0.25">
      <c r="A323" s="63" t="s">
        <v>7387</v>
      </c>
      <c r="B323" t="s">
        <v>1455</v>
      </c>
      <c r="C323" t="s">
        <v>5043</v>
      </c>
      <c r="D323" t="s">
        <v>8401</v>
      </c>
    </row>
    <row r="324" spans="1:4" x14ac:dyDescent="0.25">
      <c r="A324" s="63" t="s">
        <v>7388</v>
      </c>
      <c r="B324" t="s">
        <v>1452</v>
      </c>
      <c r="C324" t="s">
        <v>5043</v>
      </c>
      <c r="D324" t="s">
        <v>8401</v>
      </c>
    </row>
    <row r="325" spans="1:4" x14ac:dyDescent="0.25">
      <c r="A325" s="63" t="s">
        <v>7389</v>
      </c>
      <c r="B325" t="s">
        <v>1452</v>
      </c>
      <c r="C325" t="s">
        <v>5043</v>
      </c>
      <c r="D325" t="s">
        <v>8401</v>
      </c>
    </row>
    <row r="326" spans="1:4" x14ac:dyDescent="0.25">
      <c r="A326" s="63" t="s">
        <v>7390</v>
      </c>
      <c r="B326" t="s">
        <v>1454</v>
      </c>
      <c r="C326" t="s">
        <v>5043</v>
      </c>
      <c r="D326" t="s">
        <v>8401</v>
      </c>
    </row>
    <row r="327" spans="1:4" x14ac:dyDescent="0.25">
      <c r="A327" s="63" t="s">
        <v>7391</v>
      </c>
      <c r="B327" t="s">
        <v>1453</v>
      </c>
      <c r="C327" t="s">
        <v>5043</v>
      </c>
      <c r="D327" t="s">
        <v>8401</v>
      </c>
    </row>
    <row r="328" spans="1:4" x14ac:dyDescent="0.25">
      <c r="A328" s="63" t="s">
        <v>7392</v>
      </c>
      <c r="B328" t="s">
        <v>2130</v>
      </c>
      <c r="C328" t="s">
        <v>5043</v>
      </c>
      <c r="D328" t="s">
        <v>8401</v>
      </c>
    </row>
    <row r="329" spans="1:4" x14ac:dyDescent="0.25">
      <c r="A329" s="63" t="s">
        <v>7192</v>
      </c>
      <c r="B329" t="s">
        <v>2131</v>
      </c>
      <c r="C329" t="s">
        <v>5043</v>
      </c>
      <c r="D329" t="s">
        <v>8401</v>
      </c>
    </row>
    <row r="330" spans="1:4" x14ac:dyDescent="0.25">
      <c r="A330" s="63" t="s">
        <v>7193</v>
      </c>
      <c r="B330" t="s">
        <v>2132</v>
      </c>
      <c r="C330" t="s">
        <v>5043</v>
      </c>
      <c r="D330" t="s">
        <v>8401</v>
      </c>
    </row>
    <row r="331" spans="1:4" x14ac:dyDescent="0.25">
      <c r="A331" s="63" t="s">
        <v>6450</v>
      </c>
      <c r="B331" t="s">
        <v>2133</v>
      </c>
      <c r="C331" t="s">
        <v>5043</v>
      </c>
      <c r="D331" t="s">
        <v>8401</v>
      </c>
    </row>
    <row r="332" spans="1:4" x14ac:dyDescent="0.25">
      <c r="A332" s="63" t="s">
        <v>7393</v>
      </c>
      <c r="B332" t="s">
        <v>1648</v>
      </c>
      <c r="C332" t="s">
        <v>5043</v>
      </c>
      <c r="D332" t="s">
        <v>8401</v>
      </c>
    </row>
    <row r="333" spans="1:4" x14ac:dyDescent="0.25">
      <c r="A333" s="63" t="s">
        <v>6811</v>
      </c>
      <c r="B333" t="s">
        <v>2134</v>
      </c>
      <c r="C333" t="s">
        <v>5043</v>
      </c>
      <c r="D333" t="s">
        <v>8401</v>
      </c>
    </row>
    <row r="334" spans="1:4" x14ac:dyDescent="0.25">
      <c r="A334" s="63" t="s">
        <v>6812</v>
      </c>
      <c r="B334" t="s">
        <v>2135</v>
      </c>
      <c r="C334" t="s">
        <v>5043</v>
      </c>
      <c r="D334" t="s">
        <v>8401</v>
      </c>
    </row>
    <row r="335" spans="1:4" x14ac:dyDescent="0.25">
      <c r="A335" s="63" t="s">
        <v>7394</v>
      </c>
      <c r="B335" t="s">
        <v>1387</v>
      </c>
      <c r="C335" t="s">
        <v>5043</v>
      </c>
      <c r="D335" t="s">
        <v>8401</v>
      </c>
    </row>
    <row r="336" spans="1:4" x14ac:dyDescent="0.25">
      <c r="A336" s="63" t="s">
        <v>7395</v>
      </c>
      <c r="B336" t="s">
        <v>1387</v>
      </c>
      <c r="C336" t="s">
        <v>5043</v>
      </c>
      <c r="D336" t="s">
        <v>8401</v>
      </c>
    </row>
    <row r="337" spans="1:4" x14ac:dyDescent="0.25">
      <c r="A337" s="63" t="s">
        <v>7396</v>
      </c>
      <c r="B337" t="s">
        <v>2129</v>
      </c>
      <c r="C337" t="s">
        <v>5043</v>
      </c>
      <c r="D337" t="s">
        <v>8401</v>
      </c>
    </row>
    <row r="338" spans="1:4" x14ac:dyDescent="0.25">
      <c r="A338" s="63" t="s">
        <v>7397</v>
      </c>
      <c r="B338" t="s">
        <v>2129</v>
      </c>
      <c r="C338" t="s">
        <v>5043</v>
      </c>
      <c r="D338" t="s">
        <v>8401</v>
      </c>
    </row>
    <row r="339" spans="1:4" x14ac:dyDescent="0.25">
      <c r="A339" s="63" t="s">
        <v>7398</v>
      </c>
      <c r="B339" t="s">
        <v>1389</v>
      </c>
      <c r="C339" t="s">
        <v>5043</v>
      </c>
      <c r="D339" t="s">
        <v>8401</v>
      </c>
    </row>
    <row r="340" spans="1:4" x14ac:dyDescent="0.25">
      <c r="A340" s="63" t="s">
        <v>7399</v>
      </c>
      <c r="B340" t="s">
        <v>1388</v>
      </c>
      <c r="C340" t="s">
        <v>5043</v>
      </c>
      <c r="D340" t="s">
        <v>8401</v>
      </c>
    </row>
    <row r="341" spans="1:4" x14ac:dyDescent="0.25">
      <c r="A341" s="63" t="s">
        <v>7400</v>
      </c>
      <c r="B341" t="s">
        <v>1393</v>
      </c>
      <c r="C341" t="s">
        <v>5043</v>
      </c>
      <c r="D341" t="s">
        <v>8401</v>
      </c>
    </row>
    <row r="342" spans="1:4" x14ac:dyDescent="0.25">
      <c r="A342" s="63" t="s">
        <v>7401</v>
      </c>
      <c r="B342" t="s">
        <v>1392</v>
      </c>
      <c r="C342" t="s">
        <v>5043</v>
      </c>
      <c r="D342" t="s">
        <v>8401</v>
      </c>
    </row>
    <row r="343" spans="1:4" x14ac:dyDescent="0.25">
      <c r="A343" s="63" t="s">
        <v>7402</v>
      </c>
      <c r="B343" t="s">
        <v>1391</v>
      </c>
      <c r="C343" t="s">
        <v>5043</v>
      </c>
      <c r="D343" t="s">
        <v>8401</v>
      </c>
    </row>
    <row r="344" spans="1:4" x14ac:dyDescent="0.25">
      <c r="A344" s="63" t="s">
        <v>2852</v>
      </c>
      <c r="B344" t="s">
        <v>1935</v>
      </c>
      <c r="C344" t="s">
        <v>5043</v>
      </c>
      <c r="D344" t="s">
        <v>8401</v>
      </c>
    </row>
    <row r="345" spans="1:4" x14ac:dyDescent="0.25">
      <c r="A345" s="63" t="s">
        <v>5678</v>
      </c>
      <c r="B345" t="s">
        <v>1501</v>
      </c>
      <c r="C345" t="s">
        <v>5043</v>
      </c>
      <c r="D345" t="s">
        <v>8401</v>
      </c>
    </row>
    <row r="346" spans="1:4" x14ac:dyDescent="0.25">
      <c r="A346" s="63" t="s">
        <v>5679</v>
      </c>
      <c r="B346" t="s">
        <v>1501</v>
      </c>
      <c r="C346" t="s">
        <v>5043</v>
      </c>
      <c r="D346" t="s">
        <v>8401</v>
      </c>
    </row>
    <row r="347" spans="1:4" x14ac:dyDescent="0.25">
      <c r="A347" s="63" t="s">
        <v>5680</v>
      </c>
      <c r="B347" t="s">
        <v>2195</v>
      </c>
      <c r="C347" t="s">
        <v>5043</v>
      </c>
      <c r="D347" t="s">
        <v>8401</v>
      </c>
    </row>
    <row r="348" spans="1:4" x14ac:dyDescent="0.25">
      <c r="A348" s="63" t="s">
        <v>5681</v>
      </c>
      <c r="B348" t="s">
        <v>2195</v>
      </c>
      <c r="C348" t="s">
        <v>5043</v>
      </c>
      <c r="D348" t="s">
        <v>8401</v>
      </c>
    </row>
    <row r="349" spans="1:4" x14ac:dyDescent="0.25">
      <c r="A349" s="63" t="s">
        <v>5682</v>
      </c>
      <c r="B349" t="s">
        <v>2193</v>
      </c>
      <c r="C349" t="s">
        <v>5043</v>
      </c>
      <c r="D349" t="s">
        <v>8401</v>
      </c>
    </row>
    <row r="350" spans="1:4" x14ac:dyDescent="0.25">
      <c r="A350" s="63" t="s">
        <v>5683</v>
      </c>
      <c r="B350" t="s">
        <v>2193</v>
      </c>
      <c r="C350" t="s">
        <v>5043</v>
      </c>
      <c r="D350" t="s">
        <v>8401</v>
      </c>
    </row>
    <row r="351" spans="1:4" x14ac:dyDescent="0.25">
      <c r="A351" s="63" t="s">
        <v>5684</v>
      </c>
      <c r="B351" t="s">
        <v>2194</v>
      </c>
      <c r="C351" t="s">
        <v>5043</v>
      </c>
      <c r="D351" t="s">
        <v>8401</v>
      </c>
    </row>
    <row r="352" spans="1:4" x14ac:dyDescent="0.25">
      <c r="A352" s="63" t="s">
        <v>5685</v>
      </c>
      <c r="B352" t="s">
        <v>2194</v>
      </c>
      <c r="C352" t="s">
        <v>5043</v>
      </c>
      <c r="D352" t="s">
        <v>8401</v>
      </c>
    </row>
    <row r="353" spans="1:4" x14ac:dyDescent="0.25">
      <c r="A353" s="63" t="s">
        <v>5686</v>
      </c>
      <c r="B353" t="s">
        <v>2192</v>
      </c>
      <c r="C353" t="s">
        <v>5043</v>
      </c>
      <c r="D353" t="s">
        <v>8401</v>
      </c>
    </row>
    <row r="354" spans="1:4" x14ac:dyDescent="0.25">
      <c r="A354" s="63" t="s">
        <v>5687</v>
      </c>
      <c r="B354" t="s">
        <v>2192</v>
      </c>
      <c r="C354" t="s">
        <v>5043</v>
      </c>
      <c r="D354" t="s">
        <v>8401</v>
      </c>
    </row>
    <row r="355" spans="1:4" x14ac:dyDescent="0.25">
      <c r="A355" s="63" t="s">
        <v>2855</v>
      </c>
      <c r="B355" t="s">
        <v>2201</v>
      </c>
      <c r="C355" t="s">
        <v>5043</v>
      </c>
      <c r="D355" t="s">
        <v>8401</v>
      </c>
    </row>
    <row r="356" spans="1:4" x14ac:dyDescent="0.25">
      <c r="A356" s="63" t="s">
        <v>2856</v>
      </c>
      <c r="B356" t="s">
        <v>2201</v>
      </c>
      <c r="C356" t="s">
        <v>5043</v>
      </c>
      <c r="D356" t="s">
        <v>8401</v>
      </c>
    </row>
    <row r="357" spans="1:4" x14ac:dyDescent="0.25">
      <c r="A357" s="63" t="s">
        <v>2857</v>
      </c>
      <c r="B357" t="s">
        <v>1390</v>
      </c>
      <c r="C357" t="s">
        <v>5043</v>
      </c>
      <c r="D357" t="s">
        <v>8401</v>
      </c>
    </row>
    <row r="358" spans="1:4" x14ac:dyDescent="0.25">
      <c r="A358" s="63" t="s">
        <v>2858</v>
      </c>
      <c r="B358" t="s">
        <v>2297</v>
      </c>
      <c r="C358" t="s">
        <v>5043</v>
      </c>
      <c r="D358" t="s">
        <v>8401</v>
      </c>
    </row>
    <row r="359" spans="1:4" x14ac:dyDescent="0.25">
      <c r="A359" s="63" t="s">
        <v>2859</v>
      </c>
      <c r="B359" t="s">
        <v>2297</v>
      </c>
      <c r="C359" t="s">
        <v>5043</v>
      </c>
      <c r="D359" t="s">
        <v>8401</v>
      </c>
    </row>
    <row r="360" spans="1:4" x14ac:dyDescent="0.25">
      <c r="A360" s="63" t="s">
        <v>2860</v>
      </c>
      <c r="B360" t="s">
        <v>1936</v>
      </c>
      <c r="C360" t="s">
        <v>5043</v>
      </c>
      <c r="D360" t="s">
        <v>8401</v>
      </c>
    </row>
    <row r="361" spans="1:4" x14ac:dyDescent="0.25">
      <c r="A361" s="63" t="s">
        <v>2861</v>
      </c>
      <c r="B361" t="s">
        <v>1936</v>
      </c>
      <c r="C361" t="s">
        <v>5043</v>
      </c>
      <c r="D361" t="s">
        <v>8401</v>
      </c>
    </row>
    <row r="362" spans="1:4" x14ac:dyDescent="0.25">
      <c r="A362" s="63" t="s">
        <v>2862</v>
      </c>
      <c r="B362" t="s">
        <v>1936</v>
      </c>
      <c r="C362" t="s">
        <v>5043</v>
      </c>
      <c r="D362" t="s">
        <v>8401</v>
      </c>
    </row>
    <row r="363" spans="1:4" x14ac:dyDescent="0.25">
      <c r="A363" s="63" t="s">
        <v>2863</v>
      </c>
      <c r="B363" t="s">
        <v>1936</v>
      </c>
      <c r="C363" t="s">
        <v>5043</v>
      </c>
      <c r="D363" t="s">
        <v>8401</v>
      </c>
    </row>
    <row r="364" spans="1:4" x14ac:dyDescent="0.25">
      <c r="A364" s="63" t="s">
        <v>8394</v>
      </c>
      <c r="B364" t="s">
        <v>1367</v>
      </c>
      <c r="C364" t="s">
        <v>5043</v>
      </c>
      <c r="D364" t="s">
        <v>8401</v>
      </c>
    </row>
    <row r="365" spans="1:4" x14ac:dyDescent="0.25">
      <c r="A365" s="63" t="s">
        <v>8395</v>
      </c>
      <c r="B365" t="s">
        <v>1367</v>
      </c>
      <c r="C365" t="s">
        <v>5043</v>
      </c>
      <c r="D365" t="s">
        <v>8401</v>
      </c>
    </row>
    <row r="366" spans="1:4" x14ac:dyDescent="0.25">
      <c r="A366" s="63" t="s">
        <v>2641</v>
      </c>
      <c r="B366" t="s">
        <v>2642</v>
      </c>
      <c r="C366" t="s">
        <v>5043</v>
      </c>
      <c r="D366" t="s">
        <v>8401</v>
      </c>
    </row>
    <row r="367" spans="1:4" x14ac:dyDescent="0.25">
      <c r="A367" s="63" t="s">
        <v>2643</v>
      </c>
      <c r="B367" t="s">
        <v>2642</v>
      </c>
      <c r="C367" t="s">
        <v>5043</v>
      </c>
      <c r="D367" t="s">
        <v>8401</v>
      </c>
    </row>
    <row r="368" spans="1:4" x14ac:dyDescent="0.25">
      <c r="A368" s="63" t="s">
        <v>2864</v>
      </c>
      <c r="B368" t="s">
        <v>2492</v>
      </c>
      <c r="C368" t="s">
        <v>5043</v>
      </c>
      <c r="D368" t="s">
        <v>8401</v>
      </c>
    </row>
    <row r="369" spans="1:4" x14ac:dyDescent="0.25">
      <c r="A369" s="63" t="s">
        <v>7403</v>
      </c>
      <c r="B369" t="s">
        <v>1576</v>
      </c>
      <c r="C369" t="s">
        <v>5043</v>
      </c>
      <c r="D369" t="s">
        <v>8401</v>
      </c>
    </row>
    <row r="370" spans="1:4" x14ac:dyDescent="0.25">
      <c r="A370" s="63" t="s">
        <v>2865</v>
      </c>
      <c r="B370" t="s">
        <v>1575</v>
      </c>
      <c r="C370" t="s">
        <v>5043</v>
      </c>
      <c r="D370" t="s">
        <v>8401</v>
      </c>
    </row>
    <row r="371" spans="1:4" x14ac:dyDescent="0.25">
      <c r="A371" s="63" t="s">
        <v>2866</v>
      </c>
      <c r="B371" t="s">
        <v>1614</v>
      </c>
      <c r="C371" t="s">
        <v>5043</v>
      </c>
      <c r="D371" t="s">
        <v>8401</v>
      </c>
    </row>
    <row r="372" spans="1:4" x14ac:dyDescent="0.25">
      <c r="A372" s="63" t="s">
        <v>7404</v>
      </c>
      <c r="B372" t="s">
        <v>1840</v>
      </c>
      <c r="C372" t="s">
        <v>5043</v>
      </c>
      <c r="D372" t="s">
        <v>8401</v>
      </c>
    </row>
    <row r="373" spans="1:4" x14ac:dyDescent="0.25">
      <c r="A373" s="63" t="s">
        <v>7405</v>
      </c>
      <c r="B373" t="s">
        <v>1840</v>
      </c>
      <c r="C373" t="s">
        <v>5043</v>
      </c>
      <c r="D373" t="s">
        <v>8401</v>
      </c>
    </row>
    <row r="374" spans="1:4" x14ac:dyDescent="0.25">
      <c r="A374" s="63" t="s">
        <v>7406</v>
      </c>
      <c r="B374" t="s">
        <v>1840</v>
      </c>
      <c r="C374" t="s">
        <v>5043</v>
      </c>
      <c r="D374" t="s">
        <v>8401</v>
      </c>
    </row>
    <row r="375" spans="1:4" x14ac:dyDescent="0.25">
      <c r="A375" s="63" t="s">
        <v>7407</v>
      </c>
      <c r="B375" t="s">
        <v>1841</v>
      </c>
      <c r="C375" t="s">
        <v>5043</v>
      </c>
      <c r="D375" t="s">
        <v>8401</v>
      </c>
    </row>
    <row r="376" spans="1:4" x14ac:dyDescent="0.25">
      <c r="A376" s="63" t="s">
        <v>7408</v>
      </c>
      <c r="B376" t="s">
        <v>1841</v>
      </c>
      <c r="C376" t="s">
        <v>5043</v>
      </c>
      <c r="D376" t="s">
        <v>8401</v>
      </c>
    </row>
    <row r="377" spans="1:4" x14ac:dyDescent="0.25">
      <c r="A377" s="63" t="s">
        <v>7409</v>
      </c>
      <c r="B377" t="s">
        <v>1841</v>
      </c>
      <c r="C377" t="s">
        <v>5043</v>
      </c>
      <c r="D377" t="s">
        <v>8401</v>
      </c>
    </row>
    <row r="378" spans="1:4" x14ac:dyDescent="0.25">
      <c r="A378" s="63" t="s">
        <v>5689</v>
      </c>
      <c r="B378" t="s">
        <v>1559</v>
      </c>
      <c r="C378" t="s">
        <v>5043</v>
      </c>
      <c r="D378" t="s">
        <v>8401</v>
      </c>
    </row>
    <row r="379" spans="1:4" x14ac:dyDescent="0.25">
      <c r="A379" s="63" t="s">
        <v>2867</v>
      </c>
      <c r="B379" t="s">
        <v>2463</v>
      </c>
      <c r="C379" t="s">
        <v>5043</v>
      </c>
      <c r="D379" t="s">
        <v>8401</v>
      </c>
    </row>
    <row r="380" spans="1:4" x14ac:dyDescent="0.25">
      <c r="A380" s="63" t="s">
        <v>2868</v>
      </c>
      <c r="B380" t="s">
        <v>1208</v>
      </c>
      <c r="C380" t="s">
        <v>5043</v>
      </c>
      <c r="D380" t="s">
        <v>8401</v>
      </c>
    </row>
    <row r="381" spans="1:4" x14ac:dyDescent="0.25">
      <c r="A381" s="63" t="s">
        <v>2869</v>
      </c>
      <c r="B381" t="s">
        <v>1208</v>
      </c>
      <c r="C381" t="s">
        <v>5043</v>
      </c>
      <c r="D381" t="s">
        <v>8401</v>
      </c>
    </row>
    <row r="382" spans="1:4" x14ac:dyDescent="0.25">
      <c r="A382" s="63" t="s">
        <v>2870</v>
      </c>
      <c r="B382" t="s">
        <v>1208</v>
      </c>
      <c r="C382" t="s">
        <v>5043</v>
      </c>
      <c r="D382" t="s">
        <v>8401</v>
      </c>
    </row>
    <row r="383" spans="1:4" x14ac:dyDescent="0.25">
      <c r="A383" s="63" t="s">
        <v>2871</v>
      </c>
      <c r="B383" t="s">
        <v>1208</v>
      </c>
      <c r="C383" t="s">
        <v>5043</v>
      </c>
      <c r="D383" t="s">
        <v>8401</v>
      </c>
    </row>
    <row r="384" spans="1:4" x14ac:dyDescent="0.25">
      <c r="A384" s="63" t="s">
        <v>2872</v>
      </c>
      <c r="B384" t="s">
        <v>1208</v>
      </c>
      <c r="C384" t="s">
        <v>5043</v>
      </c>
      <c r="D384" t="s">
        <v>8401</v>
      </c>
    </row>
    <row r="385" spans="1:4" x14ac:dyDescent="0.25">
      <c r="A385" s="63" t="s">
        <v>2873</v>
      </c>
      <c r="B385" t="s">
        <v>1208</v>
      </c>
      <c r="C385" t="s">
        <v>5043</v>
      </c>
      <c r="D385" t="s">
        <v>8401</v>
      </c>
    </row>
    <row r="386" spans="1:4" x14ac:dyDescent="0.25">
      <c r="A386" s="63" t="s">
        <v>2874</v>
      </c>
      <c r="B386" t="s">
        <v>1208</v>
      </c>
      <c r="C386" t="s">
        <v>5043</v>
      </c>
      <c r="D386" t="s">
        <v>8401</v>
      </c>
    </row>
    <row r="387" spans="1:4" x14ac:dyDescent="0.25">
      <c r="A387" s="63" t="s">
        <v>2875</v>
      </c>
      <c r="B387" t="s">
        <v>1208</v>
      </c>
      <c r="C387" t="s">
        <v>5043</v>
      </c>
      <c r="D387" t="s">
        <v>8401</v>
      </c>
    </row>
    <row r="388" spans="1:4" x14ac:dyDescent="0.25">
      <c r="A388" s="63" t="s">
        <v>2876</v>
      </c>
      <c r="B388" t="s">
        <v>1208</v>
      </c>
      <c r="C388" t="s">
        <v>5043</v>
      </c>
      <c r="D388" t="s">
        <v>8401</v>
      </c>
    </row>
    <row r="389" spans="1:4" x14ac:dyDescent="0.25">
      <c r="A389" s="63" t="s">
        <v>2877</v>
      </c>
      <c r="B389" t="s">
        <v>1208</v>
      </c>
      <c r="C389" t="s">
        <v>5043</v>
      </c>
      <c r="D389" t="s">
        <v>8401</v>
      </c>
    </row>
    <row r="390" spans="1:4" x14ac:dyDescent="0.25">
      <c r="A390" s="63" t="s">
        <v>2878</v>
      </c>
      <c r="B390" t="s">
        <v>1208</v>
      </c>
      <c r="C390" t="s">
        <v>5043</v>
      </c>
      <c r="D390" t="s">
        <v>8401</v>
      </c>
    </row>
    <row r="391" spans="1:4" x14ac:dyDescent="0.25">
      <c r="A391" s="63" t="s">
        <v>2879</v>
      </c>
      <c r="B391" t="s">
        <v>2462</v>
      </c>
      <c r="C391" t="s">
        <v>5043</v>
      </c>
      <c r="D391" t="s">
        <v>8401</v>
      </c>
    </row>
    <row r="392" spans="1:4" x14ac:dyDescent="0.25">
      <c r="A392" s="63" t="s">
        <v>2880</v>
      </c>
      <c r="B392" t="s">
        <v>2466</v>
      </c>
      <c r="C392" t="s">
        <v>5043</v>
      </c>
      <c r="D392" t="s">
        <v>8401</v>
      </c>
    </row>
    <row r="393" spans="1:4" x14ac:dyDescent="0.25">
      <c r="A393" s="63" t="s">
        <v>2881</v>
      </c>
      <c r="B393" t="s">
        <v>2466</v>
      </c>
      <c r="C393" t="s">
        <v>5043</v>
      </c>
      <c r="D393" t="s">
        <v>8401</v>
      </c>
    </row>
    <row r="394" spans="1:4" x14ac:dyDescent="0.25">
      <c r="A394" s="63" t="s">
        <v>7410</v>
      </c>
      <c r="B394" t="s">
        <v>1903</v>
      </c>
      <c r="C394" t="s">
        <v>5043</v>
      </c>
      <c r="D394" t="s">
        <v>8401</v>
      </c>
    </row>
    <row r="395" spans="1:4" x14ac:dyDescent="0.25">
      <c r="A395" s="63" t="s">
        <v>7411</v>
      </c>
      <c r="B395" t="s">
        <v>1903</v>
      </c>
      <c r="C395" t="s">
        <v>5043</v>
      </c>
      <c r="D395" t="s">
        <v>8401</v>
      </c>
    </row>
    <row r="396" spans="1:4" x14ac:dyDescent="0.25">
      <c r="A396" s="63" t="s">
        <v>7412</v>
      </c>
      <c r="B396" t="s">
        <v>1903</v>
      </c>
      <c r="C396" t="s">
        <v>5043</v>
      </c>
      <c r="D396" t="s">
        <v>8401</v>
      </c>
    </row>
    <row r="397" spans="1:4" x14ac:dyDescent="0.25">
      <c r="A397" s="63" t="s">
        <v>7413</v>
      </c>
      <c r="B397" t="s">
        <v>1903</v>
      </c>
      <c r="C397" t="s">
        <v>5043</v>
      </c>
      <c r="D397" t="s">
        <v>8401</v>
      </c>
    </row>
    <row r="398" spans="1:4" x14ac:dyDescent="0.25">
      <c r="A398" s="63" t="s">
        <v>7414</v>
      </c>
      <c r="B398" t="s">
        <v>1903</v>
      </c>
      <c r="C398" t="s">
        <v>5043</v>
      </c>
      <c r="D398" t="s">
        <v>8401</v>
      </c>
    </row>
    <row r="399" spans="1:4" x14ac:dyDescent="0.25">
      <c r="A399" s="63" t="s">
        <v>2882</v>
      </c>
      <c r="B399" t="s">
        <v>1903</v>
      </c>
      <c r="C399" t="s">
        <v>5043</v>
      </c>
      <c r="D399" t="s">
        <v>8401</v>
      </c>
    </row>
    <row r="400" spans="1:4" x14ac:dyDescent="0.25">
      <c r="A400" s="63" t="s">
        <v>2883</v>
      </c>
      <c r="B400" t="s">
        <v>1903</v>
      </c>
      <c r="C400" t="s">
        <v>5043</v>
      </c>
      <c r="D400" t="s">
        <v>8401</v>
      </c>
    </row>
    <row r="401" spans="1:4" x14ac:dyDescent="0.25">
      <c r="A401" s="63" t="s">
        <v>2884</v>
      </c>
      <c r="B401" t="s">
        <v>1903</v>
      </c>
      <c r="C401" t="s">
        <v>5043</v>
      </c>
      <c r="D401" t="s">
        <v>8401</v>
      </c>
    </row>
    <row r="402" spans="1:4" x14ac:dyDescent="0.25">
      <c r="A402" s="63" t="s">
        <v>2885</v>
      </c>
      <c r="B402" t="s">
        <v>2465</v>
      </c>
      <c r="C402" t="s">
        <v>5043</v>
      </c>
      <c r="D402" t="s">
        <v>8401</v>
      </c>
    </row>
    <row r="403" spans="1:4" x14ac:dyDescent="0.25">
      <c r="A403" s="63" t="s">
        <v>2886</v>
      </c>
      <c r="B403" t="s">
        <v>1902</v>
      </c>
      <c r="C403" t="s">
        <v>5043</v>
      </c>
      <c r="D403" t="s">
        <v>8401</v>
      </c>
    </row>
    <row r="404" spans="1:4" x14ac:dyDescent="0.25">
      <c r="A404" s="63" t="s">
        <v>2887</v>
      </c>
      <c r="B404" t="s">
        <v>1902</v>
      </c>
      <c r="C404" t="s">
        <v>5043</v>
      </c>
      <c r="D404" t="s">
        <v>8401</v>
      </c>
    </row>
    <row r="405" spans="1:4" x14ac:dyDescent="0.25">
      <c r="A405" s="63" t="s">
        <v>2888</v>
      </c>
      <c r="B405" t="s">
        <v>1902</v>
      </c>
      <c r="C405" t="s">
        <v>5043</v>
      </c>
      <c r="D405" t="s">
        <v>8401</v>
      </c>
    </row>
    <row r="406" spans="1:4" x14ac:dyDescent="0.25">
      <c r="A406" s="63" t="s">
        <v>7415</v>
      </c>
      <c r="B406" t="s">
        <v>1902</v>
      </c>
      <c r="C406" t="s">
        <v>5043</v>
      </c>
      <c r="D406" t="s">
        <v>8401</v>
      </c>
    </row>
    <row r="407" spans="1:4" x14ac:dyDescent="0.25">
      <c r="A407" s="63" t="s">
        <v>7416</v>
      </c>
      <c r="B407" t="s">
        <v>1902</v>
      </c>
      <c r="C407" t="s">
        <v>5043</v>
      </c>
      <c r="D407" t="s">
        <v>8401</v>
      </c>
    </row>
    <row r="408" spans="1:4" x14ac:dyDescent="0.25">
      <c r="A408" s="63" t="s">
        <v>7417</v>
      </c>
      <c r="B408" t="s">
        <v>1902</v>
      </c>
      <c r="C408" t="s">
        <v>5043</v>
      </c>
      <c r="D408" t="s">
        <v>8401</v>
      </c>
    </row>
    <row r="409" spans="1:4" x14ac:dyDescent="0.25">
      <c r="A409" s="63" t="s">
        <v>2889</v>
      </c>
      <c r="B409" t="s">
        <v>2464</v>
      </c>
      <c r="C409" t="s">
        <v>5043</v>
      </c>
      <c r="D409" t="s">
        <v>8401</v>
      </c>
    </row>
    <row r="410" spans="1:4" x14ac:dyDescent="0.25">
      <c r="A410" s="63" t="s">
        <v>2890</v>
      </c>
      <c r="B410" t="s">
        <v>1724</v>
      </c>
      <c r="C410" t="s">
        <v>5043</v>
      </c>
      <c r="D410" t="s">
        <v>8401</v>
      </c>
    </row>
    <row r="411" spans="1:4" x14ac:dyDescent="0.25">
      <c r="A411" s="63" t="s">
        <v>2891</v>
      </c>
      <c r="B411" t="s">
        <v>1724</v>
      </c>
      <c r="C411" t="s">
        <v>5043</v>
      </c>
      <c r="D411" t="s">
        <v>8401</v>
      </c>
    </row>
    <row r="412" spans="1:4" x14ac:dyDescent="0.25">
      <c r="A412" s="63" t="s">
        <v>2892</v>
      </c>
      <c r="B412" t="s">
        <v>1724</v>
      </c>
      <c r="C412" t="s">
        <v>5043</v>
      </c>
      <c r="D412" t="s">
        <v>8401</v>
      </c>
    </row>
    <row r="413" spans="1:4" x14ac:dyDescent="0.25">
      <c r="A413" s="63" t="s">
        <v>7418</v>
      </c>
      <c r="B413" t="s">
        <v>1724</v>
      </c>
      <c r="C413" t="s">
        <v>5043</v>
      </c>
      <c r="D413" t="s">
        <v>8401</v>
      </c>
    </row>
    <row r="414" spans="1:4" x14ac:dyDescent="0.25">
      <c r="A414" s="63" t="s">
        <v>5556</v>
      </c>
      <c r="B414" t="s">
        <v>1724</v>
      </c>
      <c r="C414" t="s">
        <v>5043</v>
      </c>
      <c r="D414" t="s">
        <v>8401</v>
      </c>
    </row>
    <row r="415" spans="1:4" x14ac:dyDescent="0.25">
      <c r="A415" s="63" t="s">
        <v>7419</v>
      </c>
      <c r="B415" t="s">
        <v>1724</v>
      </c>
      <c r="C415" t="s">
        <v>5043</v>
      </c>
      <c r="D415" t="s">
        <v>8401</v>
      </c>
    </row>
    <row r="416" spans="1:4" x14ac:dyDescent="0.25">
      <c r="A416" s="63" t="s">
        <v>7420</v>
      </c>
      <c r="B416" t="s">
        <v>1724</v>
      </c>
      <c r="C416" t="s">
        <v>5043</v>
      </c>
      <c r="D416" t="s">
        <v>8401</v>
      </c>
    </row>
    <row r="417" spans="1:4" x14ac:dyDescent="0.25">
      <c r="A417" s="63" t="s">
        <v>7421</v>
      </c>
      <c r="B417" t="s">
        <v>1724</v>
      </c>
      <c r="C417" t="s">
        <v>5043</v>
      </c>
      <c r="D417" t="s">
        <v>8401</v>
      </c>
    </row>
    <row r="418" spans="1:4" x14ac:dyDescent="0.25">
      <c r="A418" s="63" t="s">
        <v>2893</v>
      </c>
      <c r="B418" t="s">
        <v>2467</v>
      </c>
      <c r="C418" t="s">
        <v>5043</v>
      </c>
      <c r="D418" t="s">
        <v>8401</v>
      </c>
    </row>
    <row r="419" spans="1:4" x14ac:dyDescent="0.25">
      <c r="A419" s="63" t="s">
        <v>7422</v>
      </c>
      <c r="B419" t="s">
        <v>1723</v>
      </c>
      <c r="C419" t="s">
        <v>5043</v>
      </c>
      <c r="D419" t="s">
        <v>8401</v>
      </c>
    </row>
    <row r="420" spans="1:4" x14ac:dyDescent="0.25">
      <c r="A420" s="63" t="s">
        <v>7423</v>
      </c>
      <c r="B420" t="s">
        <v>1723</v>
      </c>
      <c r="C420" t="s">
        <v>5043</v>
      </c>
      <c r="D420" t="s">
        <v>8401</v>
      </c>
    </row>
    <row r="421" spans="1:4" x14ac:dyDescent="0.25">
      <c r="A421" s="63" t="s">
        <v>7424</v>
      </c>
      <c r="B421" t="s">
        <v>1723</v>
      </c>
      <c r="C421" t="s">
        <v>5043</v>
      </c>
      <c r="D421" t="s">
        <v>8401</v>
      </c>
    </row>
    <row r="422" spans="1:4" x14ac:dyDescent="0.25">
      <c r="A422" s="63" t="s">
        <v>5527</v>
      </c>
      <c r="B422" t="s">
        <v>1723</v>
      </c>
      <c r="C422" t="s">
        <v>5043</v>
      </c>
      <c r="D422" t="s">
        <v>8401</v>
      </c>
    </row>
    <row r="423" spans="1:4" x14ac:dyDescent="0.25">
      <c r="A423" s="63" t="s">
        <v>7425</v>
      </c>
      <c r="B423" t="s">
        <v>1723</v>
      </c>
      <c r="C423" t="s">
        <v>5043</v>
      </c>
      <c r="D423" t="s">
        <v>8401</v>
      </c>
    </row>
    <row r="424" spans="1:4" x14ac:dyDescent="0.25">
      <c r="A424" s="63" t="s">
        <v>2894</v>
      </c>
      <c r="B424" t="s">
        <v>1723</v>
      </c>
      <c r="C424" t="s">
        <v>5043</v>
      </c>
      <c r="D424" t="s">
        <v>8401</v>
      </c>
    </row>
    <row r="425" spans="1:4" x14ac:dyDescent="0.25">
      <c r="A425" s="63" t="s">
        <v>2895</v>
      </c>
      <c r="B425" t="s">
        <v>1723</v>
      </c>
      <c r="C425" t="s">
        <v>5043</v>
      </c>
      <c r="D425" t="s">
        <v>8401</v>
      </c>
    </row>
    <row r="426" spans="1:4" x14ac:dyDescent="0.25">
      <c r="A426" s="63" t="s">
        <v>2896</v>
      </c>
      <c r="B426" t="s">
        <v>1723</v>
      </c>
      <c r="C426" t="s">
        <v>5043</v>
      </c>
      <c r="D426" t="s">
        <v>8401</v>
      </c>
    </row>
    <row r="427" spans="1:4" x14ac:dyDescent="0.25">
      <c r="A427" s="63" t="s">
        <v>7426</v>
      </c>
      <c r="B427" t="s">
        <v>1771</v>
      </c>
      <c r="C427" t="s">
        <v>5043</v>
      </c>
      <c r="D427" t="s">
        <v>8401</v>
      </c>
    </row>
    <row r="428" spans="1:4" x14ac:dyDescent="0.25">
      <c r="A428" s="63" t="s">
        <v>2897</v>
      </c>
      <c r="B428" t="s">
        <v>1771</v>
      </c>
      <c r="C428" t="s">
        <v>5043</v>
      </c>
      <c r="D428" t="s">
        <v>8401</v>
      </c>
    </row>
    <row r="429" spans="1:4" x14ac:dyDescent="0.25">
      <c r="A429" s="63" t="s">
        <v>2898</v>
      </c>
      <c r="B429" t="s">
        <v>1771</v>
      </c>
      <c r="C429" t="s">
        <v>5043</v>
      </c>
      <c r="D429" t="s">
        <v>8401</v>
      </c>
    </row>
    <row r="430" spans="1:4" x14ac:dyDescent="0.25">
      <c r="A430" s="63" t="s">
        <v>2899</v>
      </c>
      <c r="B430" t="s">
        <v>1771</v>
      </c>
      <c r="C430" t="s">
        <v>5043</v>
      </c>
      <c r="D430" t="s">
        <v>8401</v>
      </c>
    </row>
    <row r="431" spans="1:4" x14ac:dyDescent="0.25">
      <c r="A431" s="63" t="s">
        <v>7427</v>
      </c>
      <c r="B431" t="s">
        <v>1771</v>
      </c>
      <c r="C431" t="s">
        <v>5043</v>
      </c>
      <c r="D431" t="s">
        <v>8401</v>
      </c>
    </row>
    <row r="432" spans="1:4" x14ac:dyDescent="0.25">
      <c r="A432" s="63" t="s">
        <v>7428</v>
      </c>
      <c r="B432" t="s">
        <v>1771</v>
      </c>
      <c r="C432" t="s">
        <v>5043</v>
      </c>
      <c r="D432" t="s">
        <v>8401</v>
      </c>
    </row>
    <row r="433" spans="1:4" x14ac:dyDescent="0.25">
      <c r="A433" s="63" t="s">
        <v>7429</v>
      </c>
      <c r="B433" t="s">
        <v>1771</v>
      </c>
      <c r="C433" t="s">
        <v>5043</v>
      </c>
      <c r="D433" t="s">
        <v>8401</v>
      </c>
    </row>
    <row r="434" spans="1:4" x14ac:dyDescent="0.25">
      <c r="A434" s="63" t="s">
        <v>7430</v>
      </c>
      <c r="B434" t="s">
        <v>1771</v>
      </c>
      <c r="C434" t="s">
        <v>5043</v>
      </c>
      <c r="D434" t="s">
        <v>8401</v>
      </c>
    </row>
    <row r="435" spans="1:4" x14ac:dyDescent="0.25">
      <c r="A435" s="63" t="s">
        <v>2900</v>
      </c>
      <c r="B435" t="s">
        <v>1907</v>
      </c>
      <c r="C435" t="s">
        <v>5043</v>
      </c>
      <c r="D435" t="s">
        <v>8401</v>
      </c>
    </row>
    <row r="436" spans="1:4" x14ac:dyDescent="0.25">
      <c r="A436" s="63" t="s">
        <v>2901</v>
      </c>
      <c r="B436" t="s">
        <v>1504</v>
      </c>
      <c r="C436" t="s">
        <v>5043</v>
      </c>
      <c r="D436" t="s">
        <v>8401</v>
      </c>
    </row>
    <row r="437" spans="1:4" x14ac:dyDescent="0.25">
      <c r="A437" s="63" t="s">
        <v>2902</v>
      </c>
      <c r="B437" t="s">
        <v>1504</v>
      </c>
      <c r="C437" t="s">
        <v>5043</v>
      </c>
      <c r="D437" t="s">
        <v>8401</v>
      </c>
    </row>
    <row r="438" spans="1:4" x14ac:dyDescent="0.25">
      <c r="A438" s="63" t="s">
        <v>2903</v>
      </c>
      <c r="B438" t="s">
        <v>1504</v>
      </c>
      <c r="C438" t="s">
        <v>5043</v>
      </c>
      <c r="D438" t="s">
        <v>8401</v>
      </c>
    </row>
    <row r="439" spans="1:4" x14ac:dyDescent="0.25">
      <c r="A439" s="63" t="s">
        <v>5878</v>
      </c>
      <c r="B439" t="s">
        <v>1504</v>
      </c>
      <c r="C439" t="s">
        <v>5043</v>
      </c>
      <c r="D439" t="s">
        <v>8401</v>
      </c>
    </row>
    <row r="440" spans="1:4" x14ac:dyDescent="0.25">
      <c r="A440" s="63" t="s">
        <v>7431</v>
      </c>
      <c r="B440" t="s">
        <v>1504</v>
      </c>
      <c r="C440" t="s">
        <v>5043</v>
      </c>
      <c r="D440" t="s">
        <v>8401</v>
      </c>
    </row>
    <row r="441" spans="1:4" x14ac:dyDescent="0.25">
      <c r="A441" s="63" t="s">
        <v>7432</v>
      </c>
      <c r="B441" t="s">
        <v>1504</v>
      </c>
      <c r="C441" t="s">
        <v>5043</v>
      </c>
      <c r="D441" t="s">
        <v>8401</v>
      </c>
    </row>
    <row r="442" spans="1:4" x14ac:dyDescent="0.25">
      <c r="A442" s="63" t="s">
        <v>7433</v>
      </c>
      <c r="B442" t="s">
        <v>1504</v>
      </c>
      <c r="C442" t="s">
        <v>5043</v>
      </c>
      <c r="D442" t="s">
        <v>8401</v>
      </c>
    </row>
    <row r="443" spans="1:4" x14ac:dyDescent="0.25">
      <c r="A443" s="63" t="s">
        <v>7434</v>
      </c>
      <c r="B443" t="s">
        <v>1504</v>
      </c>
      <c r="C443" t="s">
        <v>5043</v>
      </c>
      <c r="D443" t="s">
        <v>8401</v>
      </c>
    </row>
    <row r="444" spans="1:4" x14ac:dyDescent="0.25">
      <c r="A444" s="63" t="s">
        <v>7435</v>
      </c>
      <c r="B444" t="s">
        <v>1504</v>
      </c>
      <c r="C444" t="s">
        <v>5043</v>
      </c>
      <c r="D444" t="s">
        <v>8401</v>
      </c>
    </row>
    <row r="445" spans="1:4" x14ac:dyDescent="0.25">
      <c r="A445" s="63" t="s">
        <v>2904</v>
      </c>
      <c r="B445" t="s">
        <v>1914</v>
      </c>
      <c r="C445" t="s">
        <v>5043</v>
      </c>
      <c r="D445" t="s">
        <v>8401</v>
      </c>
    </row>
    <row r="446" spans="1:4" x14ac:dyDescent="0.25">
      <c r="A446" s="63" t="s">
        <v>2905</v>
      </c>
      <c r="B446" t="s">
        <v>2208</v>
      </c>
      <c r="C446" t="s">
        <v>5043</v>
      </c>
      <c r="D446" t="s">
        <v>8401</v>
      </c>
    </row>
    <row r="447" spans="1:4" x14ac:dyDescent="0.25">
      <c r="A447" s="63" t="s">
        <v>2906</v>
      </c>
      <c r="B447" t="s">
        <v>2208</v>
      </c>
      <c r="C447" t="s">
        <v>5043</v>
      </c>
      <c r="D447" t="s">
        <v>8401</v>
      </c>
    </row>
    <row r="448" spans="1:4" x14ac:dyDescent="0.25">
      <c r="A448" s="63" t="s">
        <v>2907</v>
      </c>
      <c r="B448" t="s">
        <v>2208</v>
      </c>
      <c r="C448" t="s">
        <v>5043</v>
      </c>
      <c r="D448" t="s">
        <v>8401</v>
      </c>
    </row>
    <row r="449" spans="1:4" x14ac:dyDescent="0.25">
      <c r="A449" s="63" t="s">
        <v>5766</v>
      </c>
      <c r="B449" t="s">
        <v>2208</v>
      </c>
      <c r="C449" t="s">
        <v>5043</v>
      </c>
      <c r="D449" t="s">
        <v>8401</v>
      </c>
    </row>
    <row r="450" spans="1:4" x14ac:dyDescent="0.25">
      <c r="A450" s="63" t="s">
        <v>4565</v>
      </c>
      <c r="B450" t="s">
        <v>2208</v>
      </c>
      <c r="C450" t="s">
        <v>5043</v>
      </c>
      <c r="D450" t="s">
        <v>8401</v>
      </c>
    </row>
    <row r="451" spans="1:4" x14ac:dyDescent="0.25">
      <c r="A451" s="63" t="s">
        <v>7436</v>
      </c>
      <c r="B451" t="s">
        <v>2208</v>
      </c>
      <c r="C451" t="s">
        <v>5043</v>
      </c>
      <c r="D451" t="s">
        <v>8401</v>
      </c>
    </row>
    <row r="452" spans="1:4" x14ac:dyDescent="0.25">
      <c r="A452" s="63" t="s">
        <v>7437</v>
      </c>
      <c r="B452" t="s">
        <v>2208</v>
      </c>
      <c r="C452" t="s">
        <v>5043</v>
      </c>
      <c r="D452" t="s">
        <v>8401</v>
      </c>
    </row>
    <row r="453" spans="1:4" x14ac:dyDescent="0.25">
      <c r="A453" s="63" t="s">
        <v>7438</v>
      </c>
      <c r="B453" t="s">
        <v>2208</v>
      </c>
      <c r="C453" t="s">
        <v>5043</v>
      </c>
      <c r="D453" t="s">
        <v>8401</v>
      </c>
    </row>
    <row r="454" spans="1:4" x14ac:dyDescent="0.25">
      <c r="A454" s="63" t="s">
        <v>7439</v>
      </c>
      <c r="B454" t="s">
        <v>1770</v>
      </c>
      <c r="C454" t="s">
        <v>5043</v>
      </c>
      <c r="D454" t="s">
        <v>8401</v>
      </c>
    </row>
    <row r="455" spans="1:4" x14ac:dyDescent="0.25">
      <c r="A455" s="63" t="s">
        <v>7440</v>
      </c>
      <c r="B455" t="s">
        <v>1770</v>
      </c>
      <c r="C455" t="s">
        <v>5043</v>
      </c>
      <c r="D455" t="s">
        <v>8401</v>
      </c>
    </row>
    <row r="456" spans="1:4" x14ac:dyDescent="0.25">
      <c r="A456" s="63" t="s">
        <v>7441</v>
      </c>
      <c r="B456" t="s">
        <v>1770</v>
      </c>
      <c r="C456" t="s">
        <v>5043</v>
      </c>
      <c r="D456" t="s">
        <v>8401</v>
      </c>
    </row>
    <row r="457" spans="1:4" x14ac:dyDescent="0.25">
      <c r="A457" s="63" t="s">
        <v>7442</v>
      </c>
      <c r="B457" t="s">
        <v>1770</v>
      </c>
      <c r="C457" t="s">
        <v>5043</v>
      </c>
      <c r="D457" t="s">
        <v>8401</v>
      </c>
    </row>
    <row r="458" spans="1:4" x14ac:dyDescent="0.25">
      <c r="A458" s="63" t="s">
        <v>7443</v>
      </c>
      <c r="B458" t="s">
        <v>1770</v>
      </c>
      <c r="C458" t="s">
        <v>5043</v>
      </c>
      <c r="D458" t="s">
        <v>8401</v>
      </c>
    </row>
    <row r="459" spans="1:4" x14ac:dyDescent="0.25">
      <c r="A459" s="63" t="s">
        <v>2908</v>
      </c>
      <c r="B459" t="s">
        <v>1770</v>
      </c>
      <c r="C459" t="s">
        <v>5043</v>
      </c>
      <c r="D459" t="s">
        <v>8401</v>
      </c>
    </row>
    <row r="460" spans="1:4" x14ac:dyDescent="0.25">
      <c r="A460" s="63" t="s">
        <v>2909</v>
      </c>
      <c r="B460" t="s">
        <v>1770</v>
      </c>
      <c r="C460" t="s">
        <v>5043</v>
      </c>
      <c r="D460" t="s">
        <v>8401</v>
      </c>
    </row>
    <row r="461" spans="1:4" x14ac:dyDescent="0.25">
      <c r="A461" s="63" t="s">
        <v>2910</v>
      </c>
      <c r="B461" t="s">
        <v>1770</v>
      </c>
      <c r="C461" t="s">
        <v>5043</v>
      </c>
      <c r="D461" t="s">
        <v>8401</v>
      </c>
    </row>
    <row r="462" spans="1:4" x14ac:dyDescent="0.25">
      <c r="A462" s="63" t="s">
        <v>2911</v>
      </c>
      <c r="B462" t="s">
        <v>1904</v>
      </c>
      <c r="C462" t="s">
        <v>5043</v>
      </c>
      <c r="D462" t="s">
        <v>8401</v>
      </c>
    </row>
    <row r="463" spans="1:4" x14ac:dyDescent="0.25">
      <c r="A463" s="63" t="s">
        <v>2912</v>
      </c>
      <c r="B463" t="s">
        <v>1581</v>
      </c>
      <c r="C463" t="s">
        <v>5043</v>
      </c>
      <c r="D463" t="s">
        <v>8401</v>
      </c>
    </row>
    <row r="464" spans="1:4" x14ac:dyDescent="0.25">
      <c r="A464" s="63" t="s">
        <v>2913</v>
      </c>
      <c r="B464" t="s">
        <v>1581</v>
      </c>
      <c r="C464" t="s">
        <v>5043</v>
      </c>
      <c r="D464" t="s">
        <v>8401</v>
      </c>
    </row>
    <row r="465" spans="1:4" x14ac:dyDescent="0.25">
      <c r="A465" s="63" t="s">
        <v>2914</v>
      </c>
      <c r="B465" t="s">
        <v>1581</v>
      </c>
      <c r="C465" t="s">
        <v>5043</v>
      </c>
      <c r="D465" t="s">
        <v>8401</v>
      </c>
    </row>
    <row r="466" spans="1:4" x14ac:dyDescent="0.25">
      <c r="A466" s="63" t="s">
        <v>6705</v>
      </c>
      <c r="B466" t="s">
        <v>1581</v>
      </c>
      <c r="C466" t="s">
        <v>5043</v>
      </c>
      <c r="D466" t="s">
        <v>8401</v>
      </c>
    </row>
    <row r="467" spans="1:4" x14ac:dyDescent="0.25">
      <c r="A467" s="63" t="s">
        <v>6706</v>
      </c>
      <c r="B467" t="s">
        <v>1581</v>
      </c>
      <c r="C467" t="s">
        <v>5043</v>
      </c>
      <c r="D467" t="s">
        <v>8401</v>
      </c>
    </row>
    <row r="468" spans="1:4" x14ac:dyDescent="0.25">
      <c r="A468" s="63" t="s">
        <v>6707</v>
      </c>
      <c r="B468" t="s">
        <v>1581</v>
      </c>
      <c r="C468" t="s">
        <v>5043</v>
      </c>
      <c r="D468" t="s">
        <v>8401</v>
      </c>
    </row>
    <row r="469" spans="1:4" x14ac:dyDescent="0.25">
      <c r="A469" s="63" t="s">
        <v>6708</v>
      </c>
      <c r="B469" t="s">
        <v>1581</v>
      </c>
      <c r="C469" t="s">
        <v>5043</v>
      </c>
      <c r="D469" t="s">
        <v>8401</v>
      </c>
    </row>
    <row r="470" spans="1:4" x14ac:dyDescent="0.25">
      <c r="A470" s="63" t="s">
        <v>6709</v>
      </c>
      <c r="B470" t="s">
        <v>1581</v>
      </c>
      <c r="C470" t="s">
        <v>5043</v>
      </c>
      <c r="D470" t="s">
        <v>8401</v>
      </c>
    </row>
    <row r="471" spans="1:4" x14ac:dyDescent="0.25">
      <c r="A471" s="63" t="s">
        <v>5690</v>
      </c>
      <c r="B471" t="s">
        <v>1558</v>
      </c>
      <c r="C471" t="s">
        <v>5043</v>
      </c>
      <c r="D471" t="s">
        <v>8401</v>
      </c>
    </row>
    <row r="472" spans="1:4" x14ac:dyDescent="0.25">
      <c r="A472" s="63" t="s">
        <v>2915</v>
      </c>
      <c r="B472" t="s">
        <v>1906</v>
      </c>
      <c r="C472" t="s">
        <v>5043</v>
      </c>
      <c r="D472" t="s">
        <v>8401</v>
      </c>
    </row>
    <row r="473" spans="1:4" x14ac:dyDescent="0.25">
      <c r="A473" s="63" t="s">
        <v>5691</v>
      </c>
      <c r="B473" t="s">
        <v>1560</v>
      </c>
      <c r="C473" t="s">
        <v>5043</v>
      </c>
      <c r="D473" t="s">
        <v>8401</v>
      </c>
    </row>
    <row r="474" spans="1:4" x14ac:dyDescent="0.25">
      <c r="A474" s="63" t="s">
        <v>2916</v>
      </c>
      <c r="B474" t="s">
        <v>1922</v>
      </c>
      <c r="C474" t="s">
        <v>5043</v>
      </c>
      <c r="D474" t="s">
        <v>8401</v>
      </c>
    </row>
    <row r="475" spans="1:4" x14ac:dyDescent="0.25">
      <c r="A475" s="63" t="s">
        <v>2917</v>
      </c>
      <c r="B475" t="s">
        <v>2066</v>
      </c>
      <c r="C475" t="s">
        <v>5043</v>
      </c>
      <c r="D475" t="s">
        <v>8401</v>
      </c>
    </row>
    <row r="476" spans="1:4" x14ac:dyDescent="0.25">
      <c r="A476" s="63" t="s">
        <v>2918</v>
      </c>
      <c r="B476" t="s">
        <v>2066</v>
      </c>
      <c r="C476" t="s">
        <v>5043</v>
      </c>
      <c r="D476" t="s">
        <v>8401</v>
      </c>
    </row>
    <row r="477" spans="1:4" x14ac:dyDescent="0.25">
      <c r="A477" s="63" t="s">
        <v>2919</v>
      </c>
      <c r="B477" t="s">
        <v>2066</v>
      </c>
      <c r="C477" t="s">
        <v>5043</v>
      </c>
      <c r="D477" t="s">
        <v>8401</v>
      </c>
    </row>
    <row r="478" spans="1:4" x14ac:dyDescent="0.25">
      <c r="A478" s="63" t="s">
        <v>7444</v>
      </c>
      <c r="B478" t="s">
        <v>2252</v>
      </c>
      <c r="C478" t="s">
        <v>5043</v>
      </c>
      <c r="D478" t="s">
        <v>8401</v>
      </c>
    </row>
    <row r="479" spans="1:4" x14ac:dyDescent="0.25">
      <c r="A479" s="63" t="s">
        <v>7445</v>
      </c>
      <c r="B479" t="s">
        <v>2252</v>
      </c>
      <c r="C479" t="s">
        <v>5043</v>
      </c>
      <c r="D479" t="s">
        <v>8401</v>
      </c>
    </row>
    <row r="480" spans="1:4" x14ac:dyDescent="0.25">
      <c r="A480" s="63" t="s">
        <v>7446</v>
      </c>
      <c r="B480" t="s">
        <v>2252</v>
      </c>
      <c r="C480" t="s">
        <v>5043</v>
      </c>
      <c r="D480" t="s">
        <v>8401</v>
      </c>
    </row>
    <row r="481" spans="1:4" x14ac:dyDescent="0.25">
      <c r="A481" s="63" t="s">
        <v>7447</v>
      </c>
      <c r="B481" t="s">
        <v>2252</v>
      </c>
      <c r="C481" t="s">
        <v>5043</v>
      </c>
      <c r="D481" t="s">
        <v>8401</v>
      </c>
    </row>
    <row r="482" spans="1:4" x14ac:dyDescent="0.25">
      <c r="A482" s="63" t="s">
        <v>2920</v>
      </c>
      <c r="B482" t="s">
        <v>1915</v>
      </c>
      <c r="C482" t="s">
        <v>5043</v>
      </c>
      <c r="D482" t="s">
        <v>8401</v>
      </c>
    </row>
    <row r="483" spans="1:4" x14ac:dyDescent="0.25">
      <c r="A483" s="63" t="s">
        <v>2921</v>
      </c>
      <c r="B483" t="s">
        <v>1915</v>
      </c>
      <c r="C483" t="s">
        <v>5043</v>
      </c>
      <c r="D483" t="s">
        <v>8401</v>
      </c>
    </row>
    <row r="484" spans="1:4" x14ac:dyDescent="0.25">
      <c r="A484" s="63" t="s">
        <v>2922</v>
      </c>
      <c r="B484" t="s">
        <v>1915</v>
      </c>
      <c r="C484" t="s">
        <v>5043</v>
      </c>
      <c r="D484" t="s">
        <v>8401</v>
      </c>
    </row>
    <row r="485" spans="1:4" x14ac:dyDescent="0.25">
      <c r="A485" s="63" t="s">
        <v>2923</v>
      </c>
      <c r="B485" t="s">
        <v>1290</v>
      </c>
      <c r="C485" t="s">
        <v>5043</v>
      </c>
      <c r="D485" t="s">
        <v>8401</v>
      </c>
    </row>
    <row r="486" spans="1:4" x14ac:dyDescent="0.25">
      <c r="A486" s="63" t="s">
        <v>2924</v>
      </c>
      <c r="B486" t="s">
        <v>2071</v>
      </c>
      <c r="C486" t="s">
        <v>5043</v>
      </c>
      <c r="D486" t="s">
        <v>8401</v>
      </c>
    </row>
    <row r="487" spans="1:4" x14ac:dyDescent="0.25">
      <c r="A487" s="63" t="s">
        <v>2925</v>
      </c>
      <c r="B487" t="s">
        <v>2071</v>
      </c>
      <c r="C487" t="s">
        <v>5043</v>
      </c>
      <c r="D487" t="s">
        <v>8401</v>
      </c>
    </row>
    <row r="488" spans="1:4" x14ac:dyDescent="0.25">
      <c r="A488" s="63" t="s">
        <v>2926</v>
      </c>
      <c r="B488" t="s">
        <v>2071</v>
      </c>
      <c r="C488" t="s">
        <v>5043</v>
      </c>
      <c r="D488" t="s">
        <v>8401</v>
      </c>
    </row>
    <row r="489" spans="1:4" x14ac:dyDescent="0.25">
      <c r="A489" s="63" t="s">
        <v>2927</v>
      </c>
      <c r="B489" t="s">
        <v>2071</v>
      </c>
      <c r="C489" t="s">
        <v>5043</v>
      </c>
      <c r="D489" t="s">
        <v>8401</v>
      </c>
    </row>
    <row r="490" spans="1:4" x14ac:dyDescent="0.25">
      <c r="A490" s="63" t="s">
        <v>2928</v>
      </c>
      <c r="B490" t="s">
        <v>2071</v>
      </c>
      <c r="C490" t="s">
        <v>5043</v>
      </c>
      <c r="D490" t="s">
        <v>8401</v>
      </c>
    </row>
    <row r="491" spans="1:4" x14ac:dyDescent="0.25">
      <c r="A491" s="63" t="s">
        <v>2929</v>
      </c>
      <c r="B491" t="s">
        <v>2071</v>
      </c>
      <c r="C491" t="s">
        <v>5043</v>
      </c>
      <c r="D491" t="s">
        <v>8401</v>
      </c>
    </row>
    <row r="492" spans="1:4" x14ac:dyDescent="0.25">
      <c r="A492" s="63" t="s">
        <v>2930</v>
      </c>
      <c r="B492" t="s">
        <v>2071</v>
      </c>
      <c r="C492" t="s">
        <v>5043</v>
      </c>
      <c r="D492" t="s">
        <v>8401</v>
      </c>
    </row>
    <row r="493" spans="1:4" x14ac:dyDescent="0.25">
      <c r="A493" s="63" t="s">
        <v>2931</v>
      </c>
      <c r="B493" t="s">
        <v>2071</v>
      </c>
      <c r="C493" t="s">
        <v>5043</v>
      </c>
      <c r="D493" t="s">
        <v>8401</v>
      </c>
    </row>
    <row r="494" spans="1:4" x14ac:dyDescent="0.25">
      <c r="A494" s="63" t="s">
        <v>2932</v>
      </c>
      <c r="B494" t="s">
        <v>2071</v>
      </c>
      <c r="C494" t="s">
        <v>5043</v>
      </c>
      <c r="D494" t="s">
        <v>8401</v>
      </c>
    </row>
    <row r="495" spans="1:4" x14ac:dyDescent="0.25">
      <c r="A495" s="63" t="s">
        <v>2933</v>
      </c>
      <c r="B495" t="s">
        <v>2071</v>
      </c>
      <c r="C495" t="s">
        <v>5043</v>
      </c>
      <c r="D495" t="s">
        <v>8401</v>
      </c>
    </row>
    <row r="496" spans="1:4" x14ac:dyDescent="0.25">
      <c r="A496" s="63" t="s">
        <v>2934</v>
      </c>
      <c r="B496" t="s">
        <v>2071</v>
      </c>
      <c r="C496" t="s">
        <v>5043</v>
      </c>
      <c r="D496" t="s">
        <v>8401</v>
      </c>
    </row>
    <row r="497" spans="1:4" x14ac:dyDescent="0.25">
      <c r="A497" s="63" t="s">
        <v>2935</v>
      </c>
      <c r="B497" t="s">
        <v>2071</v>
      </c>
      <c r="C497" t="s">
        <v>5043</v>
      </c>
      <c r="D497" t="s">
        <v>8401</v>
      </c>
    </row>
    <row r="498" spans="1:4" x14ac:dyDescent="0.25">
      <c r="A498" s="63" t="s">
        <v>2936</v>
      </c>
      <c r="B498" t="s">
        <v>1441</v>
      </c>
      <c r="C498" t="s">
        <v>5043</v>
      </c>
      <c r="D498" t="s">
        <v>8401</v>
      </c>
    </row>
    <row r="499" spans="1:4" x14ac:dyDescent="0.25">
      <c r="A499" s="63" t="s">
        <v>2937</v>
      </c>
      <c r="B499" t="s">
        <v>1441</v>
      </c>
      <c r="C499" t="s">
        <v>5043</v>
      </c>
      <c r="D499" t="s">
        <v>8401</v>
      </c>
    </row>
    <row r="500" spans="1:4" x14ac:dyDescent="0.25">
      <c r="A500" s="63" t="s">
        <v>2938</v>
      </c>
      <c r="B500" t="s">
        <v>1441</v>
      </c>
      <c r="C500" t="s">
        <v>5043</v>
      </c>
      <c r="D500" t="s">
        <v>8401</v>
      </c>
    </row>
    <row r="501" spans="1:4" x14ac:dyDescent="0.25">
      <c r="A501" s="63" t="s">
        <v>2939</v>
      </c>
      <c r="B501" t="s">
        <v>1441</v>
      </c>
      <c r="C501" t="s">
        <v>5043</v>
      </c>
      <c r="D501" t="s">
        <v>8401</v>
      </c>
    </row>
    <row r="502" spans="1:4" x14ac:dyDescent="0.25">
      <c r="A502" s="63" t="s">
        <v>2940</v>
      </c>
      <c r="B502" t="s">
        <v>1442</v>
      </c>
      <c r="C502" t="s">
        <v>5043</v>
      </c>
      <c r="D502" t="s">
        <v>8401</v>
      </c>
    </row>
    <row r="503" spans="1:4" x14ac:dyDescent="0.25">
      <c r="A503" s="63" t="s">
        <v>2941</v>
      </c>
      <c r="B503" t="s">
        <v>1442</v>
      </c>
      <c r="C503" t="s">
        <v>5043</v>
      </c>
      <c r="D503" t="s">
        <v>8401</v>
      </c>
    </row>
    <row r="504" spans="1:4" x14ac:dyDescent="0.25">
      <c r="A504" s="63" t="s">
        <v>2942</v>
      </c>
      <c r="B504" t="s">
        <v>1442</v>
      </c>
      <c r="C504" t="s">
        <v>5043</v>
      </c>
      <c r="D504" t="s">
        <v>8401</v>
      </c>
    </row>
    <row r="505" spans="1:4" x14ac:dyDescent="0.25">
      <c r="A505" s="63" t="s">
        <v>2943</v>
      </c>
      <c r="B505" t="s">
        <v>1442</v>
      </c>
      <c r="C505" t="s">
        <v>5043</v>
      </c>
      <c r="D505" t="s">
        <v>8401</v>
      </c>
    </row>
    <row r="506" spans="1:4" x14ac:dyDescent="0.25">
      <c r="A506" s="63" t="s">
        <v>2944</v>
      </c>
      <c r="B506" t="s">
        <v>1442</v>
      </c>
      <c r="C506" t="s">
        <v>5043</v>
      </c>
      <c r="D506" t="s">
        <v>8401</v>
      </c>
    </row>
    <row r="507" spans="1:4" x14ac:dyDescent="0.25">
      <c r="A507" s="63" t="s">
        <v>2945</v>
      </c>
      <c r="B507" t="s">
        <v>1442</v>
      </c>
      <c r="C507" t="s">
        <v>5043</v>
      </c>
      <c r="D507" t="s">
        <v>8401</v>
      </c>
    </row>
    <row r="508" spans="1:4" x14ac:dyDescent="0.25">
      <c r="A508" s="63" t="s">
        <v>2946</v>
      </c>
      <c r="B508" t="s">
        <v>1442</v>
      </c>
      <c r="C508" t="s">
        <v>5043</v>
      </c>
      <c r="D508" t="s">
        <v>8401</v>
      </c>
    </row>
    <row r="509" spans="1:4" x14ac:dyDescent="0.25">
      <c r="A509" s="63" t="s">
        <v>2947</v>
      </c>
      <c r="B509" t="s">
        <v>1442</v>
      </c>
      <c r="C509" t="s">
        <v>5043</v>
      </c>
      <c r="D509" t="s">
        <v>8401</v>
      </c>
    </row>
    <row r="510" spans="1:4" x14ac:dyDescent="0.25">
      <c r="A510" s="63" t="s">
        <v>2948</v>
      </c>
      <c r="B510" t="s">
        <v>1442</v>
      </c>
      <c r="C510" t="s">
        <v>5043</v>
      </c>
      <c r="D510" t="s">
        <v>8401</v>
      </c>
    </row>
    <row r="511" spans="1:4" x14ac:dyDescent="0.25">
      <c r="A511" s="63" t="s">
        <v>2949</v>
      </c>
      <c r="B511" t="s">
        <v>1442</v>
      </c>
      <c r="C511" t="s">
        <v>5043</v>
      </c>
      <c r="D511" t="s">
        <v>8401</v>
      </c>
    </row>
    <row r="512" spans="1:4" x14ac:dyDescent="0.25">
      <c r="A512" s="63" t="s">
        <v>2950</v>
      </c>
      <c r="B512" t="s">
        <v>2157</v>
      </c>
      <c r="C512" t="s">
        <v>5043</v>
      </c>
      <c r="D512" t="s">
        <v>8401</v>
      </c>
    </row>
    <row r="513" spans="1:4" x14ac:dyDescent="0.25">
      <c r="A513" s="63" t="s">
        <v>2951</v>
      </c>
      <c r="B513" t="s">
        <v>2157</v>
      </c>
      <c r="C513" t="s">
        <v>5043</v>
      </c>
      <c r="D513" t="s">
        <v>8401</v>
      </c>
    </row>
    <row r="514" spans="1:4" x14ac:dyDescent="0.25">
      <c r="A514" s="63" t="s">
        <v>2952</v>
      </c>
      <c r="B514" t="s">
        <v>2157</v>
      </c>
      <c r="C514" t="s">
        <v>5043</v>
      </c>
      <c r="D514" t="s">
        <v>8401</v>
      </c>
    </row>
    <row r="515" spans="1:4" x14ac:dyDescent="0.25">
      <c r="A515" s="63" t="s">
        <v>2953</v>
      </c>
      <c r="B515" t="s">
        <v>2157</v>
      </c>
      <c r="C515" t="s">
        <v>5043</v>
      </c>
      <c r="D515" t="s">
        <v>8401</v>
      </c>
    </row>
    <row r="516" spans="1:4" x14ac:dyDescent="0.25">
      <c r="A516" s="63" t="s">
        <v>2954</v>
      </c>
      <c r="B516" t="s">
        <v>2158</v>
      </c>
      <c r="C516" t="s">
        <v>5043</v>
      </c>
      <c r="D516" t="s">
        <v>8401</v>
      </c>
    </row>
    <row r="517" spans="1:4" x14ac:dyDescent="0.25">
      <c r="A517" s="63" t="s">
        <v>2955</v>
      </c>
      <c r="B517" t="s">
        <v>1258</v>
      </c>
      <c r="C517" t="s">
        <v>5043</v>
      </c>
      <c r="D517" t="s">
        <v>8401</v>
      </c>
    </row>
    <row r="518" spans="1:4" x14ac:dyDescent="0.25">
      <c r="A518" s="63" t="s">
        <v>2956</v>
      </c>
      <c r="B518" t="s">
        <v>1258</v>
      </c>
      <c r="C518" t="s">
        <v>5043</v>
      </c>
      <c r="D518" t="s">
        <v>8401</v>
      </c>
    </row>
    <row r="519" spans="1:4" x14ac:dyDescent="0.25">
      <c r="A519" s="63" t="s">
        <v>2957</v>
      </c>
      <c r="B519" t="s">
        <v>1258</v>
      </c>
      <c r="C519" t="s">
        <v>5043</v>
      </c>
      <c r="D519" t="s">
        <v>8401</v>
      </c>
    </row>
    <row r="520" spans="1:4" x14ac:dyDescent="0.25">
      <c r="A520" s="63" t="s">
        <v>7448</v>
      </c>
      <c r="B520" t="s">
        <v>1258</v>
      </c>
      <c r="C520" t="s">
        <v>5043</v>
      </c>
      <c r="D520" t="s">
        <v>8401</v>
      </c>
    </row>
    <row r="521" spans="1:4" x14ac:dyDescent="0.25">
      <c r="A521" s="63" t="s">
        <v>7449</v>
      </c>
      <c r="B521" t="s">
        <v>1258</v>
      </c>
      <c r="C521" t="s">
        <v>5043</v>
      </c>
      <c r="D521" t="s">
        <v>8401</v>
      </c>
    </row>
    <row r="522" spans="1:4" x14ac:dyDescent="0.25">
      <c r="A522" s="63" t="s">
        <v>7450</v>
      </c>
      <c r="B522" t="s">
        <v>1258</v>
      </c>
      <c r="C522" t="s">
        <v>5043</v>
      </c>
      <c r="D522" t="s">
        <v>8401</v>
      </c>
    </row>
    <row r="523" spans="1:4" x14ac:dyDescent="0.25">
      <c r="A523" s="63" t="s">
        <v>2958</v>
      </c>
      <c r="B523" t="s">
        <v>2159</v>
      </c>
      <c r="C523" t="s">
        <v>5043</v>
      </c>
      <c r="D523" t="s">
        <v>8401</v>
      </c>
    </row>
    <row r="524" spans="1:4" x14ac:dyDescent="0.25">
      <c r="A524" s="63" t="s">
        <v>7451</v>
      </c>
      <c r="B524" t="s">
        <v>1478</v>
      </c>
      <c r="C524" t="s">
        <v>5043</v>
      </c>
      <c r="D524" t="s">
        <v>8401</v>
      </c>
    </row>
    <row r="525" spans="1:4" x14ac:dyDescent="0.25">
      <c r="A525" s="63" t="s">
        <v>7452</v>
      </c>
      <c r="B525" t="s">
        <v>1478</v>
      </c>
      <c r="C525" t="s">
        <v>5043</v>
      </c>
      <c r="D525" t="s">
        <v>8401</v>
      </c>
    </row>
    <row r="526" spans="1:4" x14ac:dyDescent="0.25">
      <c r="A526" s="63" t="s">
        <v>2959</v>
      </c>
      <c r="B526" t="s">
        <v>1478</v>
      </c>
      <c r="C526" t="s">
        <v>5043</v>
      </c>
      <c r="D526" t="s">
        <v>8401</v>
      </c>
    </row>
    <row r="527" spans="1:4" x14ac:dyDescent="0.25">
      <c r="A527" s="63" t="s">
        <v>2960</v>
      </c>
      <c r="B527" t="s">
        <v>1378</v>
      </c>
      <c r="C527" t="s">
        <v>5043</v>
      </c>
      <c r="D527" t="s">
        <v>8401</v>
      </c>
    </row>
    <row r="528" spans="1:4" x14ac:dyDescent="0.25">
      <c r="A528" s="63" t="s">
        <v>2961</v>
      </c>
      <c r="B528" t="s">
        <v>1378</v>
      </c>
      <c r="C528" t="s">
        <v>5043</v>
      </c>
      <c r="D528" t="s">
        <v>8401</v>
      </c>
    </row>
    <row r="529" spans="1:4" x14ac:dyDescent="0.25">
      <c r="A529" s="63" t="s">
        <v>2962</v>
      </c>
      <c r="B529" t="s">
        <v>1377</v>
      </c>
      <c r="C529" t="s">
        <v>5043</v>
      </c>
      <c r="D529" t="s">
        <v>8401</v>
      </c>
    </row>
    <row r="530" spans="1:4" x14ac:dyDescent="0.25">
      <c r="A530" s="63" t="s">
        <v>2963</v>
      </c>
      <c r="B530" t="s">
        <v>2364</v>
      </c>
      <c r="C530" t="s">
        <v>5043</v>
      </c>
      <c r="D530" t="s">
        <v>8401</v>
      </c>
    </row>
    <row r="531" spans="1:4" x14ac:dyDescent="0.25">
      <c r="A531" s="63" t="s">
        <v>2964</v>
      </c>
      <c r="B531" t="s">
        <v>2364</v>
      </c>
      <c r="C531" t="s">
        <v>5043</v>
      </c>
      <c r="D531" t="s">
        <v>8401</v>
      </c>
    </row>
    <row r="532" spans="1:4" x14ac:dyDescent="0.25">
      <c r="A532" s="63" t="s">
        <v>2965</v>
      </c>
      <c r="B532" t="s">
        <v>2364</v>
      </c>
      <c r="C532" t="s">
        <v>5043</v>
      </c>
      <c r="D532" t="s">
        <v>8401</v>
      </c>
    </row>
    <row r="533" spans="1:4" x14ac:dyDescent="0.25">
      <c r="A533" s="63" t="s">
        <v>2966</v>
      </c>
      <c r="B533" t="s">
        <v>1376</v>
      </c>
      <c r="C533" t="s">
        <v>5043</v>
      </c>
      <c r="D533" t="s">
        <v>8401</v>
      </c>
    </row>
    <row r="534" spans="1:4" x14ac:dyDescent="0.25">
      <c r="A534" s="63" t="s">
        <v>2967</v>
      </c>
      <c r="B534" t="s">
        <v>1866</v>
      </c>
      <c r="C534" t="s">
        <v>5043</v>
      </c>
      <c r="D534" t="s">
        <v>8401</v>
      </c>
    </row>
    <row r="535" spans="1:4" x14ac:dyDescent="0.25">
      <c r="A535" s="63" t="s">
        <v>2968</v>
      </c>
      <c r="B535" t="s">
        <v>1866</v>
      </c>
      <c r="C535" t="s">
        <v>5043</v>
      </c>
      <c r="D535" t="s">
        <v>8401</v>
      </c>
    </row>
    <row r="536" spans="1:4" x14ac:dyDescent="0.25">
      <c r="A536" s="63" t="s">
        <v>2969</v>
      </c>
      <c r="B536" t="s">
        <v>1866</v>
      </c>
      <c r="C536" t="s">
        <v>5043</v>
      </c>
      <c r="D536" t="s">
        <v>8401</v>
      </c>
    </row>
    <row r="537" spans="1:4" x14ac:dyDescent="0.25">
      <c r="A537" s="63" t="s">
        <v>2970</v>
      </c>
      <c r="B537" t="s">
        <v>1379</v>
      </c>
      <c r="C537" t="s">
        <v>5043</v>
      </c>
      <c r="D537" t="s">
        <v>8401</v>
      </c>
    </row>
    <row r="538" spans="1:4" x14ac:dyDescent="0.25">
      <c r="A538" s="63" t="s">
        <v>2971</v>
      </c>
      <c r="B538" t="s">
        <v>1375</v>
      </c>
      <c r="C538" t="s">
        <v>5043</v>
      </c>
      <c r="D538" t="s">
        <v>8401</v>
      </c>
    </row>
    <row r="539" spans="1:4" x14ac:dyDescent="0.25">
      <c r="A539" s="63" t="s">
        <v>2972</v>
      </c>
      <c r="B539" t="s">
        <v>1375</v>
      </c>
      <c r="C539" t="s">
        <v>5043</v>
      </c>
      <c r="D539" t="s">
        <v>8401</v>
      </c>
    </row>
    <row r="540" spans="1:4" x14ac:dyDescent="0.25">
      <c r="A540" s="63" t="s">
        <v>2973</v>
      </c>
      <c r="B540" t="s">
        <v>1375</v>
      </c>
      <c r="C540" t="s">
        <v>5043</v>
      </c>
      <c r="D540" t="s">
        <v>8401</v>
      </c>
    </row>
    <row r="541" spans="1:4" x14ac:dyDescent="0.25">
      <c r="A541" s="63" t="s">
        <v>2974</v>
      </c>
      <c r="B541" t="s">
        <v>1375</v>
      </c>
      <c r="C541" t="s">
        <v>5043</v>
      </c>
      <c r="D541" t="s">
        <v>8401</v>
      </c>
    </row>
    <row r="542" spans="1:4" x14ac:dyDescent="0.25">
      <c r="A542" s="63" t="s">
        <v>2975</v>
      </c>
      <c r="B542" t="s">
        <v>1374</v>
      </c>
      <c r="C542" t="s">
        <v>5043</v>
      </c>
      <c r="D542" t="s">
        <v>8401</v>
      </c>
    </row>
    <row r="543" spans="1:4" x14ac:dyDescent="0.25">
      <c r="A543" s="63" t="s">
        <v>2976</v>
      </c>
      <c r="B543" t="s">
        <v>1374</v>
      </c>
      <c r="C543" t="s">
        <v>5043</v>
      </c>
      <c r="D543" t="s">
        <v>8401</v>
      </c>
    </row>
    <row r="544" spans="1:4" x14ac:dyDescent="0.25">
      <c r="A544" s="63" t="s">
        <v>2977</v>
      </c>
      <c r="B544" t="s">
        <v>1976</v>
      </c>
      <c r="C544" t="s">
        <v>5043</v>
      </c>
      <c r="D544" t="s">
        <v>8401</v>
      </c>
    </row>
    <row r="545" spans="1:4" x14ac:dyDescent="0.25">
      <c r="A545" s="63" t="s">
        <v>2978</v>
      </c>
      <c r="B545" t="s">
        <v>1976</v>
      </c>
      <c r="C545" t="s">
        <v>5043</v>
      </c>
      <c r="D545" t="s">
        <v>8401</v>
      </c>
    </row>
    <row r="546" spans="1:4" x14ac:dyDescent="0.25">
      <c r="A546" s="63" t="s">
        <v>2979</v>
      </c>
      <c r="B546" t="s">
        <v>1976</v>
      </c>
      <c r="C546" t="s">
        <v>5043</v>
      </c>
      <c r="D546" t="s">
        <v>8401</v>
      </c>
    </row>
    <row r="547" spans="1:4" x14ac:dyDescent="0.25">
      <c r="A547" s="63" t="s">
        <v>7453</v>
      </c>
      <c r="B547" t="s">
        <v>1976</v>
      </c>
      <c r="C547" t="s">
        <v>5043</v>
      </c>
      <c r="D547" t="s">
        <v>8401</v>
      </c>
    </row>
    <row r="548" spans="1:4" x14ac:dyDescent="0.25">
      <c r="A548" s="63" t="s">
        <v>7454</v>
      </c>
      <c r="B548" t="s">
        <v>1976</v>
      </c>
      <c r="C548" t="s">
        <v>5043</v>
      </c>
      <c r="D548" t="s">
        <v>8401</v>
      </c>
    </row>
    <row r="549" spans="1:4" x14ac:dyDescent="0.25">
      <c r="A549" s="63" t="s">
        <v>2980</v>
      </c>
      <c r="B549" t="s">
        <v>2209</v>
      </c>
      <c r="C549" t="s">
        <v>5043</v>
      </c>
      <c r="D549" t="s">
        <v>8401</v>
      </c>
    </row>
    <row r="550" spans="1:4" x14ac:dyDescent="0.25">
      <c r="A550" s="63" t="s">
        <v>2981</v>
      </c>
      <c r="B550" t="s">
        <v>2119</v>
      </c>
      <c r="C550" t="s">
        <v>5043</v>
      </c>
      <c r="D550" t="s">
        <v>8401</v>
      </c>
    </row>
    <row r="551" spans="1:4" x14ac:dyDescent="0.25">
      <c r="A551" s="63" t="s">
        <v>2982</v>
      </c>
      <c r="B551" t="s">
        <v>2119</v>
      </c>
      <c r="C551" t="s">
        <v>5043</v>
      </c>
      <c r="D551" t="s">
        <v>8401</v>
      </c>
    </row>
    <row r="552" spans="1:4" x14ac:dyDescent="0.25">
      <c r="A552" s="63" t="s">
        <v>2983</v>
      </c>
      <c r="B552" t="s">
        <v>2120</v>
      </c>
      <c r="C552" t="s">
        <v>5043</v>
      </c>
      <c r="D552" t="s">
        <v>8401</v>
      </c>
    </row>
    <row r="553" spans="1:4" x14ac:dyDescent="0.25">
      <c r="A553" s="63" t="s">
        <v>2984</v>
      </c>
      <c r="B553" t="s">
        <v>2120</v>
      </c>
      <c r="C553" t="s">
        <v>5043</v>
      </c>
      <c r="D553" t="s">
        <v>8401</v>
      </c>
    </row>
    <row r="554" spans="1:4" x14ac:dyDescent="0.25">
      <c r="A554" s="63" t="s">
        <v>2985</v>
      </c>
      <c r="B554" t="s">
        <v>2211</v>
      </c>
      <c r="C554" t="s">
        <v>5043</v>
      </c>
      <c r="D554" t="s">
        <v>8401</v>
      </c>
    </row>
    <row r="555" spans="1:4" x14ac:dyDescent="0.25">
      <c r="A555" s="63" t="s">
        <v>2986</v>
      </c>
      <c r="B555" t="s">
        <v>2211</v>
      </c>
      <c r="C555" t="s">
        <v>5043</v>
      </c>
      <c r="D555" t="s">
        <v>8401</v>
      </c>
    </row>
    <row r="556" spans="1:4" x14ac:dyDescent="0.25">
      <c r="A556" s="63" t="s">
        <v>2987</v>
      </c>
      <c r="B556" t="s">
        <v>2206</v>
      </c>
      <c r="C556" t="s">
        <v>5043</v>
      </c>
      <c r="D556" t="s">
        <v>8401</v>
      </c>
    </row>
    <row r="557" spans="1:4" x14ac:dyDescent="0.25">
      <c r="A557" s="63" t="s">
        <v>2988</v>
      </c>
      <c r="B557" t="s">
        <v>2206</v>
      </c>
      <c r="C557" t="s">
        <v>5043</v>
      </c>
      <c r="D557" t="s">
        <v>8401</v>
      </c>
    </row>
    <row r="558" spans="1:4" x14ac:dyDescent="0.25">
      <c r="A558" s="63" t="s">
        <v>2989</v>
      </c>
      <c r="B558" t="s">
        <v>2110</v>
      </c>
      <c r="C558" t="s">
        <v>5043</v>
      </c>
      <c r="D558" t="s">
        <v>8401</v>
      </c>
    </row>
    <row r="559" spans="1:4" x14ac:dyDescent="0.25">
      <c r="A559" s="63" t="s">
        <v>2990</v>
      </c>
      <c r="B559" t="s">
        <v>2110</v>
      </c>
      <c r="C559" t="s">
        <v>5043</v>
      </c>
      <c r="D559" t="s">
        <v>8401</v>
      </c>
    </row>
    <row r="560" spans="1:4" x14ac:dyDescent="0.25">
      <c r="A560" s="63" t="s">
        <v>2991</v>
      </c>
      <c r="B560" t="s">
        <v>2111</v>
      </c>
      <c r="C560" t="s">
        <v>5043</v>
      </c>
      <c r="D560" t="s">
        <v>8401</v>
      </c>
    </row>
    <row r="561" spans="1:4" x14ac:dyDescent="0.25">
      <c r="A561" s="63" t="s">
        <v>2992</v>
      </c>
      <c r="B561" t="s">
        <v>2111</v>
      </c>
      <c r="C561" t="s">
        <v>5043</v>
      </c>
      <c r="D561" t="s">
        <v>8401</v>
      </c>
    </row>
    <row r="562" spans="1:4" x14ac:dyDescent="0.25">
      <c r="A562" s="63" t="s">
        <v>2993</v>
      </c>
      <c r="B562" t="s">
        <v>1333</v>
      </c>
      <c r="C562" t="s">
        <v>5043</v>
      </c>
      <c r="D562" t="s">
        <v>8401</v>
      </c>
    </row>
    <row r="563" spans="1:4" x14ac:dyDescent="0.25">
      <c r="A563" s="63" t="s">
        <v>2994</v>
      </c>
      <c r="B563" t="s">
        <v>1333</v>
      </c>
      <c r="C563" t="s">
        <v>5043</v>
      </c>
      <c r="D563" t="s">
        <v>8401</v>
      </c>
    </row>
    <row r="564" spans="1:4" x14ac:dyDescent="0.25">
      <c r="A564" s="63" t="s">
        <v>2995</v>
      </c>
      <c r="B564" t="s">
        <v>1331</v>
      </c>
      <c r="C564" t="s">
        <v>5043</v>
      </c>
      <c r="D564" t="s">
        <v>8401</v>
      </c>
    </row>
    <row r="565" spans="1:4" x14ac:dyDescent="0.25">
      <c r="A565" s="63" t="s">
        <v>2996</v>
      </c>
      <c r="B565" t="s">
        <v>1331</v>
      </c>
      <c r="C565" t="s">
        <v>5043</v>
      </c>
      <c r="D565" t="s">
        <v>8401</v>
      </c>
    </row>
    <row r="566" spans="1:4" x14ac:dyDescent="0.25">
      <c r="A566" s="63" t="s">
        <v>2997</v>
      </c>
      <c r="B566" t="s">
        <v>1331</v>
      </c>
      <c r="C566" t="s">
        <v>5043</v>
      </c>
      <c r="D566" t="s">
        <v>8401</v>
      </c>
    </row>
    <row r="567" spans="1:4" x14ac:dyDescent="0.25">
      <c r="A567" s="63" t="s">
        <v>2998</v>
      </c>
      <c r="B567" t="s">
        <v>1330</v>
      </c>
      <c r="C567" t="s">
        <v>5043</v>
      </c>
      <c r="D567" t="s">
        <v>8401</v>
      </c>
    </row>
    <row r="568" spans="1:4" x14ac:dyDescent="0.25">
      <c r="A568" s="63" t="s">
        <v>2999</v>
      </c>
      <c r="B568" t="s">
        <v>1330</v>
      </c>
      <c r="C568" t="s">
        <v>5043</v>
      </c>
      <c r="D568" t="s">
        <v>8401</v>
      </c>
    </row>
    <row r="569" spans="1:4" x14ac:dyDescent="0.25">
      <c r="A569" s="63" t="s">
        <v>3000</v>
      </c>
      <c r="B569" t="s">
        <v>1330</v>
      </c>
      <c r="C569" t="s">
        <v>5043</v>
      </c>
      <c r="D569" t="s">
        <v>8401</v>
      </c>
    </row>
    <row r="570" spans="1:4" x14ac:dyDescent="0.25">
      <c r="A570" s="63" t="s">
        <v>5573</v>
      </c>
      <c r="B570" t="s">
        <v>1625</v>
      </c>
      <c r="C570" t="s">
        <v>5043</v>
      </c>
      <c r="D570" t="s">
        <v>8401</v>
      </c>
    </row>
    <row r="571" spans="1:4" x14ac:dyDescent="0.25">
      <c r="A571" s="63" t="s">
        <v>3001</v>
      </c>
      <c r="B571" t="s">
        <v>2081</v>
      </c>
      <c r="C571" t="s">
        <v>5043</v>
      </c>
      <c r="D571" t="s">
        <v>8401</v>
      </c>
    </row>
    <row r="572" spans="1:4" x14ac:dyDescent="0.25">
      <c r="A572" s="63" t="s">
        <v>3002</v>
      </c>
      <c r="B572" t="s">
        <v>2081</v>
      </c>
      <c r="C572" t="s">
        <v>5043</v>
      </c>
      <c r="D572" t="s">
        <v>8401</v>
      </c>
    </row>
    <row r="573" spans="1:4" x14ac:dyDescent="0.25">
      <c r="A573" s="63" t="s">
        <v>6418</v>
      </c>
      <c r="B573" t="s">
        <v>2342</v>
      </c>
      <c r="C573" t="s">
        <v>5043</v>
      </c>
      <c r="D573" t="s">
        <v>8401</v>
      </c>
    </row>
    <row r="574" spans="1:4" x14ac:dyDescent="0.25">
      <c r="A574" s="63" t="s">
        <v>3003</v>
      </c>
      <c r="B574" t="s">
        <v>2082</v>
      </c>
      <c r="C574" t="s">
        <v>5043</v>
      </c>
      <c r="D574" t="s">
        <v>8401</v>
      </c>
    </row>
    <row r="575" spans="1:4" x14ac:dyDescent="0.25">
      <c r="A575" s="63" t="s">
        <v>3004</v>
      </c>
      <c r="B575" t="s">
        <v>2083</v>
      </c>
      <c r="C575" t="s">
        <v>5043</v>
      </c>
      <c r="D575" t="s">
        <v>8401</v>
      </c>
    </row>
    <row r="576" spans="1:4" x14ac:dyDescent="0.25">
      <c r="A576" s="63" t="s">
        <v>3005</v>
      </c>
      <c r="B576" t="s">
        <v>2338</v>
      </c>
      <c r="C576" t="s">
        <v>5043</v>
      </c>
      <c r="D576" t="s">
        <v>8401</v>
      </c>
    </row>
    <row r="577" spans="1:4" x14ac:dyDescent="0.25">
      <c r="A577" s="63" t="s">
        <v>7455</v>
      </c>
      <c r="B577" t="s">
        <v>1236</v>
      </c>
      <c r="C577" t="s">
        <v>5043</v>
      </c>
      <c r="D577" t="s">
        <v>8401</v>
      </c>
    </row>
    <row r="578" spans="1:4" x14ac:dyDescent="0.25">
      <c r="A578" s="63" t="s">
        <v>7456</v>
      </c>
      <c r="B578" t="s">
        <v>1236</v>
      </c>
      <c r="C578" t="s">
        <v>5043</v>
      </c>
      <c r="D578" t="s">
        <v>8401</v>
      </c>
    </row>
    <row r="579" spans="1:4" x14ac:dyDescent="0.25">
      <c r="A579" s="63" t="s">
        <v>7457</v>
      </c>
      <c r="B579" t="s">
        <v>1236</v>
      </c>
      <c r="C579" t="s">
        <v>5043</v>
      </c>
      <c r="D579" t="s">
        <v>8401</v>
      </c>
    </row>
    <row r="580" spans="1:4" x14ac:dyDescent="0.25">
      <c r="A580" s="63" t="s">
        <v>7458</v>
      </c>
      <c r="B580" t="s">
        <v>1236</v>
      </c>
      <c r="C580" t="s">
        <v>5043</v>
      </c>
      <c r="D580" t="s">
        <v>8401</v>
      </c>
    </row>
    <row r="581" spans="1:4" x14ac:dyDescent="0.25">
      <c r="A581" s="63" t="s">
        <v>3006</v>
      </c>
      <c r="B581" t="s">
        <v>1579</v>
      </c>
      <c r="C581" t="s">
        <v>5043</v>
      </c>
      <c r="D581" t="s">
        <v>8401</v>
      </c>
    </row>
    <row r="582" spans="1:4" x14ac:dyDescent="0.25">
      <c r="A582" s="63" t="s">
        <v>3007</v>
      </c>
      <c r="B582" t="s">
        <v>2084</v>
      </c>
      <c r="C582" t="s">
        <v>5043</v>
      </c>
      <c r="D582" t="s">
        <v>8401</v>
      </c>
    </row>
    <row r="583" spans="1:4" x14ac:dyDescent="0.25">
      <c r="A583" s="63" t="s">
        <v>3008</v>
      </c>
      <c r="B583" t="s">
        <v>1848</v>
      </c>
      <c r="C583" t="s">
        <v>5043</v>
      </c>
      <c r="D583" t="s">
        <v>8401</v>
      </c>
    </row>
    <row r="584" spans="1:4" x14ac:dyDescent="0.25">
      <c r="A584" s="63" t="s">
        <v>5227</v>
      </c>
      <c r="B584" t="s">
        <v>1984</v>
      </c>
      <c r="C584" t="s">
        <v>5043</v>
      </c>
      <c r="D584" t="s">
        <v>8401</v>
      </c>
    </row>
    <row r="585" spans="1:4" x14ac:dyDescent="0.25">
      <c r="A585" s="63" t="s">
        <v>5228</v>
      </c>
      <c r="B585" t="s">
        <v>1986</v>
      </c>
      <c r="C585" t="s">
        <v>5043</v>
      </c>
      <c r="D585" t="s">
        <v>8401</v>
      </c>
    </row>
    <row r="586" spans="1:4" x14ac:dyDescent="0.25">
      <c r="A586" s="63" t="s">
        <v>7459</v>
      </c>
      <c r="B586" t="s">
        <v>2402</v>
      </c>
      <c r="C586" t="s">
        <v>5043</v>
      </c>
      <c r="D586" t="s">
        <v>8401</v>
      </c>
    </row>
    <row r="587" spans="1:4" x14ac:dyDescent="0.25">
      <c r="A587" s="63" t="s">
        <v>7460</v>
      </c>
      <c r="B587" t="s">
        <v>1985</v>
      </c>
      <c r="C587" t="s">
        <v>5043</v>
      </c>
      <c r="D587" t="s">
        <v>8401</v>
      </c>
    </row>
    <row r="588" spans="1:4" x14ac:dyDescent="0.25">
      <c r="A588" s="63" t="s">
        <v>6864</v>
      </c>
      <c r="B588" t="s">
        <v>1985</v>
      </c>
      <c r="C588" t="s">
        <v>5043</v>
      </c>
      <c r="D588" t="s">
        <v>8401</v>
      </c>
    </row>
    <row r="589" spans="1:4" x14ac:dyDescent="0.25">
      <c r="A589" s="63" t="s">
        <v>7461</v>
      </c>
      <c r="B589" t="s">
        <v>2331</v>
      </c>
      <c r="C589" t="s">
        <v>5043</v>
      </c>
      <c r="D589" t="s">
        <v>8401</v>
      </c>
    </row>
    <row r="590" spans="1:4" x14ac:dyDescent="0.25">
      <c r="A590" s="63" t="s">
        <v>7462</v>
      </c>
      <c r="B590" t="s">
        <v>1191</v>
      </c>
      <c r="C590" t="s">
        <v>5043</v>
      </c>
      <c r="D590" t="s">
        <v>8401</v>
      </c>
    </row>
    <row r="591" spans="1:4" x14ac:dyDescent="0.25">
      <c r="A591" s="63" t="s">
        <v>7463</v>
      </c>
      <c r="B591" t="s">
        <v>2363</v>
      </c>
      <c r="C591" t="s">
        <v>5043</v>
      </c>
      <c r="D591" t="s">
        <v>8401</v>
      </c>
    </row>
    <row r="592" spans="1:4" x14ac:dyDescent="0.25">
      <c r="A592" s="63" t="s">
        <v>6404</v>
      </c>
      <c r="B592" t="s">
        <v>1741</v>
      </c>
      <c r="C592" t="s">
        <v>5043</v>
      </c>
      <c r="D592" t="s">
        <v>8401</v>
      </c>
    </row>
    <row r="593" spans="1:4" x14ac:dyDescent="0.25">
      <c r="A593" s="63" t="s">
        <v>7464</v>
      </c>
      <c r="B593" t="s">
        <v>1742</v>
      </c>
      <c r="C593" t="s">
        <v>5043</v>
      </c>
      <c r="D593" t="s">
        <v>8401</v>
      </c>
    </row>
    <row r="594" spans="1:4" x14ac:dyDescent="0.25">
      <c r="A594" s="63" t="s">
        <v>7465</v>
      </c>
      <c r="B594" t="s">
        <v>1743</v>
      </c>
      <c r="C594" t="s">
        <v>5043</v>
      </c>
      <c r="D594" t="s">
        <v>8401</v>
      </c>
    </row>
    <row r="595" spans="1:4" x14ac:dyDescent="0.25">
      <c r="A595" s="63" t="s">
        <v>7466</v>
      </c>
      <c r="B595" t="s">
        <v>1745</v>
      </c>
      <c r="C595" t="s">
        <v>5043</v>
      </c>
      <c r="D595" t="s">
        <v>8401</v>
      </c>
    </row>
    <row r="596" spans="1:4" x14ac:dyDescent="0.25">
      <c r="A596" s="63" t="s">
        <v>7467</v>
      </c>
      <c r="B596" t="s">
        <v>1744</v>
      </c>
      <c r="C596" t="s">
        <v>5043</v>
      </c>
      <c r="D596" t="s">
        <v>8401</v>
      </c>
    </row>
    <row r="597" spans="1:4" x14ac:dyDescent="0.25">
      <c r="A597" s="63" t="s">
        <v>7468</v>
      </c>
      <c r="B597" t="s">
        <v>2327</v>
      </c>
      <c r="C597" t="s">
        <v>5043</v>
      </c>
      <c r="D597" t="s">
        <v>8401</v>
      </c>
    </row>
    <row r="598" spans="1:4" x14ac:dyDescent="0.25">
      <c r="A598" s="63" t="s">
        <v>4580</v>
      </c>
      <c r="B598" t="s">
        <v>1466</v>
      </c>
      <c r="C598" t="s">
        <v>5043</v>
      </c>
      <c r="D598" t="s">
        <v>8401</v>
      </c>
    </row>
    <row r="599" spans="1:4" x14ac:dyDescent="0.25">
      <c r="A599" s="63" t="s">
        <v>7469</v>
      </c>
      <c r="B599" t="s">
        <v>1466</v>
      </c>
      <c r="C599" t="s">
        <v>5043</v>
      </c>
      <c r="D599" t="s">
        <v>8401</v>
      </c>
    </row>
    <row r="600" spans="1:4" x14ac:dyDescent="0.25">
      <c r="A600" s="63" t="s">
        <v>7470</v>
      </c>
      <c r="B600" t="s">
        <v>1587</v>
      </c>
      <c r="C600" t="s">
        <v>5043</v>
      </c>
      <c r="D600" t="s">
        <v>8401</v>
      </c>
    </row>
    <row r="601" spans="1:4" x14ac:dyDescent="0.25">
      <c r="A601" s="63" t="s">
        <v>6244</v>
      </c>
      <c r="B601" t="s">
        <v>1645</v>
      </c>
      <c r="C601" t="s">
        <v>5043</v>
      </c>
      <c r="D601" t="s">
        <v>8401</v>
      </c>
    </row>
    <row r="602" spans="1:4" x14ac:dyDescent="0.25">
      <c r="A602" s="63" t="s">
        <v>6245</v>
      </c>
      <c r="B602" t="s">
        <v>1645</v>
      </c>
      <c r="C602" t="s">
        <v>5043</v>
      </c>
      <c r="D602" t="s">
        <v>8401</v>
      </c>
    </row>
    <row r="603" spans="1:4" x14ac:dyDescent="0.25">
      <c r="A603" s="63" t="s">
        <v>7471</v>
      </c>
      <c r="B603" t="s">
        <v>1349</v>
      </c>
      <c r="C603" t="s">
        <v>5043</v>
      </c>
      <c r="D603" t="s">
        <v>8401</v>
      </c>
    </row>
    <row r="604" spans="1:4" x14ac:dyDescent="0.25">
      <c r="A604" s="63" t="s">
        <v>7472</v>
      </c>
      <c r="B604" t="s">
        <v>1349</v>
      </c>
      <c r="C604" t="s">
        <v>5043</v>
      </c>
      <c r="D604" t="s">
        <v>8401</v>
      </c>
    </row>
    <row r="605" spans="1:4" x14ac:dyDescent="0.25">
      <c r="A605" s="63" t="s">
        <v>7473</v>
      </c>
      <c r="B605" t="s">
        <v>1349</v>
      </c>
      <c r="C605" t="s">
        <v>5043</v>
      </c>
      <c r="D605" t="s">
        <v>8401</v>
      </c>
    </row>
    <row r="606" spans="1:4" x14ac:dyDescent="0.25">
      <c r="A606" s="63" t="s">
        <v>7474</v>
      </c>
      <c r="B606" t="s">
        <v>2414</v>
      </c>
      <c r="C606" t="s">
        <v>5043</v>
      </c>
      <c r="D606" t="s">
        <v>8401</v>
      </c>
    </row>
    <row r="607" spans="1:4" x14ac:dyDescent="0.25">
      <c r="A607" s="63" t="s">
        <v>7475</v>
      </c>
      <c r="B607" t="s">
        <v>2415</v>
      </c>
      <c r="C607" t="s">
        <v>5043</v>
      </c>
      <c r="D607" t="s">
        <v>8401</v>
      </c>
    </row>
    <row r="608" spans="1:4" x14ac:dyDescent="0.25">
      <c r="A608" s="63" t="s">
        <v>7476</v>
      </c>
      <c r="B608" t="s">
        <v>2415</v>
      </c>
      <c r="C608" t="s">
        <v>5043</v>
      </c>
      <c r="D608" t="s">
        <v>8401</v>
      </c>
    </row>
    <row r="609" spans="1:4" x14ac:dyDescent="0.25">
      <c r="A609" s="63" t="s">
        <v>7477</v>
      </c>
      <c r="B609" t="s">
        <v>2332</v>
      </c>
      <c r="C609" t="s">
        <v>5043</v>
      </c>
      <c r="D609" t="s">
        <v>8401</v>
      </c>
    </row>
    <row r="610" spans="1:4" x14ac:dyDescent="0.25">
      <c r="A610" s="63" t="s">
        <v>7478</v>
      </c>
      <c r="B610" t="s">
        <v>2332</v>
      </c>
      <c r="C610" t="s">
        <v>5043</v>
      </c>
      <c r="D610" t="s">
        <v>8401</v>
      </c>
    </row>
    <row r="611" spans="1:4" x14ac:dyDescent="0.25">
      <c r="A611" s="63" t="s">
        <v>7164</v>
      </c>
      <c r="B611" t="s">
        <v>1264</v>
      </c>
      <c r="C611" t="s">
        <v>5043</v>
      </c>
      <c r="D611" t="s">
        <v>8401</v>
      </c>
    </row>
    <row r="612" spans="1:4" x14ac:dyDescent="0.25">
      <c r="A612" s="63" t="s">
        <v>7165</v>
      </c>
      <c r="B612" t="s">
        <v>1264</v>
      </c>
      <c r="C612" t="s">
        <v>5043</v>
      </c>
      <c r="D612" t="s">
        <v>8401</v>
      </c>
    </row>
    <row r="613" spans="1:4" x14ac:dyDescent="0.25">
      <c r="A613" s="63" t="s">
        <v>3009</v>
      </c>
      <c r="B613" t="s">
        <v>2049</v>
      </c>
      <c r="C613" t="s">
        <v>5043</v>
      </c>
      <c r="D613" t="s">
        <v>8401</v>
      </c>
    </row>
    <row r="614" spans="1:4" x14ac:dyDescent="0.25">
      <c r="A614" s="63" t="s">
        <v>8307</v>
      </c>
      <c r="B614" t="s">
        <v>8308</v>
      </c>
      <c r="C614" t="s">
        <v>5043</v>
      </c>
      <c r="D614" t="s">
        <v>8401</v>
      </c>
    </row>
    <row r="615" spans="1:4" x14ac:dyDescent="0.25">
      <c r="A615" s="63" t="s">
        <v>7479</v>
      </c>
      <c r="B615" t="s">
        <v>1695</v>
      </c>
      <c r="C615" t="s">
        <v>5043</v>
      </c>
      <c r="D615" t="s">
        <v>8401</v>
      </c>
    </row>
    <row r="616" spans="1:4" x14ac:dyDescent="0.25">
      <c r="A616" s="63" t="s">
        <v>7480</v>
      </c>
      <c r="B616" t="s">
        <v>1695</v>
      </c>
      <c r="C616" t="s">
        <v>5043</v>
      </c>
      <c r="D616" t="s">
        <v>8401</v>
      </c>
    </row>
    <row r="617" spans="1:4" x14ac:dyDescent="0.25">
      <c r="A617" s="63" t="s">
        <v>3010</v>
      </c>
      <c r="B617" t="s">
        <v>1847</v>
      </c>
      <c r="C617" t="s">
        <v>5043</v>
      </c>
      <c r="D617" t="s">
        <v>8401</v>
      </c>
    </row>
    <row r="618" spans="1:4" x14ac:dyDescent="0.25">
      <c r="A618" s="63" t="s">
        <v>3011</v>
      </c>
      <c r="B618" t="s">
        <v>2227</v>
      </c>
      <c r="C618" t="s">
        <v>5043</v>
      </c>
      <c r="D618" t="s">
        <v>8401</v>
      </c>
    </row>
    <row r="619" spans="1:4" x14ac:dyDescent="0.25">
      <c r="A619" s="63" t="s">
        <v>3012</v>
      </c>
      <c r="B619" t="s">
        <v>2227</v>
      </c>
      <c r="C619" t="s">
        <v>5043</v>
      </c>
      <c r="D619" t="s">
        <v>8401</v>
      </c>
    </row>
    <row r="620" spans="1:4" x14ac:dyDescent="0.25">
      <c r="A620" s="63" t="s">
        <v>3013</v>
      </c>
      <c r="B620" t="s">
        <v>1267</v>
      </c>
      <c r="C620" t="s">
        <v>5043</v>
      </c>
      <c r="D620" t="s">
        <v>8401</v>
      </c>
    </row>
    <row r="621" spans="1:4" x14ac:dyDescent="0.25">
      <c r="A621" s="63" t="s">
        <v>3014</v>
      </c>
      <c r="B621" t="s">
        <v>1267</v>
      </c>
      <c r="C621" t="s">
        <v>5043</v>
      </c>
      <c r="D621" t="s">
        <v>8401</v>
      </c>
    </row>
    <row r="622" spans="1:4" x14ac:dyDescent="0.25">
      <c r="A622" s="63" t="s">
        <v>7481</v>
      </c>
      <c r="B622" t="s">
        <v>1394</v>
      </c>
      <c r="C622" t="s">
        <v>5043</v>
      </c>
      <c r="D622" t="s">
        <v>8401</v>
      </c>
    </row>
    <row r="623" spans="1:4" x14ac:dyDescent="0.25">
      <c r="A623" s="63" t="s">
        <v>3015</v>
      </c>
      <c r="B623" t="s">
        <v>2190</v>
      </c>
      <c r="C623" t="s">
        <v>5043</v>
      </c>
      <c r="D623" t="s">
        <v>8401</v>
      </c>
    </row>
    <row r="624" spans="1:4" x14ac:dyDescent="0.25">
      <c r="A624" s="63" t="s">
        <v>3016</v>
      </c>
      <c r="B624" t="s">
        <v>2190</v>
      </c>
      <c r="C624" t="s">
        <v>5043</v>
      </c>
      <c r="D624" t="s">
        <v>8401</v>
      </c>
    </row>
    <row r="625" spans="1:4" x14ac:dyDescent="0.25">
      <c r="A625" s="63" t="s">
        <v>3017</v>
      </c>
      <c r="B625" t="s">
        <v>2190</v>
      </c>
      <c r="C625" t="s">
        <v>5043</v>
      </c>
      <c r="D625" t="s">
        <v>8401</v>
      </c>
    </row>
    <row r="626" spans="1:4" x14ac:dyDescent="0.25">
      <c r="A626" s="63" t="s">
        <v>7482</v>
      </c>
      <c r="B626" t="s">
        <v>2190</v>
      </c>
      <c r="C626" t="s">
        <v>5043</v>
      </c>
      <c r="D626" t="s">
        <v>8401</v>
      </c>
    </row>
    <row r="627" spans="1:4" x14ac:dyDescent="0.25">
      <c r="A627" s="63" t="s">
        <v>7483</v>
      </c>
      <c r="B627" t="s">
        <v>2190</v>
      </c>
      <c r="C627" t="s">
        <v>5043</v>
      </c>
      <c r="D627" t="s">
        <v>8401</v>
      </c>
    </row>
    <row r="628" spans="1:4" x14ac:dyDescent="0.25">
      <c r="A628" s="63" t="s">
        <v>3018</v>
      </c>
      <c r="B628" t="s">
        <v>1772</v>
      </c>
      <c r="C628" t="s">
        <v>5043</v>
      </c>
      <c r="D628" t="s">
        <v>8401</v>
      </c>
    </row>
    <row r="629" spans="1:4" x14ac:dyDescent="0.25">
      <c r="A629" s="63" t="s">
        <v>7484</v>
      </c>
      <c r="B629" t="s">
        <v>2298</v>
      </c>
      <c r="C629" t="s">
        <v>5043</v>
      </c>
      <c r="D629" t="s">
        <v>8401</v>
      </c>
    </row>
    <row r="630" spans="1:4" x14ac:dyDescent="0.25">
      <c r="A630" s="63" t="s">
        <v>3019</v>
      </c>
      <c r="B630" t="s">
        <v>1696</v>
      </c>
      <c r="C630" t="s">
        <v>5043</v>
      </c>
      <c r="D630" t="s">
        <v>8401</v>
      </c>
    </row>
    <row r="631" spans="1:4" x14ac:dyDescent="0.25">
      <c r="A631" s="63" t="s">
        <v>3020</v>
      </c>
      <c r="B631" t="s">
        <v>1697</v>
      </c>
      <c r="C631" t="s">
        <v>5043</v>
      </c>
      <c r="D631" t="s">
        <v>8401</v>
      </c>
    </row>
    <row r="632" spans="1:4" x14ac:dyDescent="0.25">
      <c r="A632" s="63" t="s">
        <v>3021</v>
      </c>
      <c r="B632" t="s">
        <v>1698</v>
      </c>
      <c r="C632" t="s">
        <v>5043</v>
      </c>
      <c r="D632" t="s">
        <v>8401</v>
      </c>
    </row>
    <row r="633" spans="1:4" x14ac:dyDescent="0.25">
      <c r="A633" s="63" t="s">
        <v>3022</v>
      </c>
      <c r="B633" t="s">
        <v>1699</v>
      </c>
      <c r="C633" t="s">
        <v>5043</v>
      </c>
      <c r="D633" t="s">
        <v>8401</v>
      </c>
    </row>
    <row r="634" spans="1:4" x14ac:dyDescent="0.25">
      <c r="A634" s="63" t="s">
        <v>3023</v>
      </c>
      <c r="B634" t="s">
        <v>1700</v>
      </c>
      <c r="C634" t="s">
        <v>5043</v>
      </c>
      <c r="D634" t="s">
        <v>8401</v>
      </c>
    </row>
    <row r="635" spans="1:4" x14ac:dyDescent="0.25">
      <c r="A635" s="63" t="s">
        <v>3024</v>
      </c>
      <c r="B635" t="s">
        <v>2328</v>
      </c>
      <c r="C635" t="s">
        <v>5043</v>
      </c>
      <c r="D635" t="s">
        <v>8401</v>
      </c>
    </row>
    <row r="636" spans="1:4" x14ac:dyDescent="0.25">
      <c r="A636" s="63" t="s">
        <v>3025</v>
      </c>
      <c r="B636" t="s">
        <v>1692</v>
      </c>
      <c r="C636" t="s">
        <v>5043</v>
      </c>
      <c r="D636" t="s">
        <v>8401</v>
      </c>
    </row>
    <row r="637" spans="1:4" x14ac:dyDescent="0.25">
      <c r="A637" s="63" t="s">
        <v>7485</v>
      </c>
      <c r="B637" t="s">
        <v>2325</v>
      </c>
      <c r="C637" t="s">
        <v>5043</v>
      </c>
      <c r="D637" t="s">
        <v>8401</v>
      </c>
    </row>
    <row r="638" spans="1:4" x14ac:dyDescent="0.25">
      <c r="A638" s="63" t="s">
        <v>7486</v>
      </c>
      <c r="B638" t="s">
        <v>2325</v>
      </c>
      <c r="C638" t="s">
        <v>5043</v>
      </c>
      <c r="D638" t="s">
        <v>8401</v>
      </c>
    </row>
    <row r="639" spans="1:4" x14ac:dyDescent="0.25">
      <c r="A639" s="63" t="s">
        <v>3026</v>
      </c>
      <c r="B639" t="s">
        <v>1653</v>
      </c>
      <c r="C639" t="s">
        <v>5043</v>
      </c>
      <c r="D639" t="s">
        <v>8401</v>
      </c>
    </row>
    <row r="640" spans="1:4" x14ac:dyDescent="0.25">
      <c r="A640" s="63" t="s">
        <v>3027</v>
      </c>
      <c r="B640" t="s">
        <v>2057</v>
      </c>
      <c r="C640" t="s">
        <v>5043</v>
      </c>
      <c r="D640" t="s">
        <v>8401</v>
      </c>
    </row>
    <row r="641" spans="1:4" x14ac:dyDescent="0.25">
      <c r="A641" s="63" t="s">
        <v>3028</v>
      </c>
      <c r="B641" t="s">
        <v>1655</v>
      </c>
      <c r="C641" t="s">
        <v>5043</v>
      </c>
      <c r="D641" t="s">
        <v>8401</v>
      </c>
    </row>
    <row r="642" spans="1:4" x14ac:dyDescent="0.25">
      <c r="A642" s="63" t="s">
        <v>3029</v>
      </c>
      <c r="B642" t="s">
        <v>1656</v>
      </c>
      <c r="C642" t="s">
        <v>5043</v>
      </c>
      <c r="D642" t="s">
        <v>8401</v>
      </c>
    </row>
    <row r="643" spans="1:4" x14ac:dyDescent="0.25">
      <c r="A643" s="63" t="s">
        <v>3030</v>
      </c>
      <c r="B643" t="s">
        <v>2054</v>
      </c>
      <c r="C643" t="s">
        <v>5043</v>
      </c>
      <c r="D643" t="s">
        <v>8401</v>
      </c>
    </row>
    <row r="644" spans="1:4" x14ac:dyDescent="0.25">
      <c r="A644" s="63" t="s">
        <v>3031</v>
      </c>
      <c r="B644" t="s">
        <v>2055</v>
      </c>
      <c r="C644" t="s">
        <v>5043</v>
      </c>
      <c r="D644" t="s">
        <v>8401</v>
      </c>
    </row>
    <row r="645" spans="1:4" x14ac:dyDescent="0.25">
      <c r="A645" s="63" t="s">
        <v>7487</v>
      </c>
      <c r="B645" t="s">
        <v>2326</v>
      </c>
      <c r="C645" t="s">
        <v>5043</v>
      </c>
      <c r="D645" t="s">
        <v>8401</v>
      </c>
    </row>
    <row r="646" spans="1:4" x14ac:dyDescent="0.25">
      <c r="A646" s="63" t="s">
        <v>7488</v>
      </c>
      <c r="B646" t="s">
        <v>2326</v>
      </c>
      <c r="C646" t="s">
        <v>5043</v>
      </c>
      <c r="D646" t="s">
        <v>8401</v>
      </c>
    </row>
    <row r="647" spans="1:4" x14ac:dyDescent="0.25">
      <c r="A647" s="63" t="s">
        <v>3032</v>
      </c>
      <c r="B647" t="s">
        <v>2056</v>
      </c>
      <c r="C647" t="s">
        <v>5043</v>
      </c>
      <c r="D647" t="s">
        <v>8401</v>
      </c>
    </row>
    <row r="648" spans="1:4" x14ac:dyDescent="0.25">
      <c r="A648" s="63" t="s">
        <v>5725</v>
      </c>
      <c r="B648" t="s">
        <v>2292</v>
      </c>
      <c r="C648" t="s">
        <v>5043</v>
      </c>
      <c r="D648" t="s">
        <v>8401</v>
      </c>
    </row>
    <row r="649" spans="1:4" x14ac:dyDescent="0.25">
      <c r="A649" s="63" t="s">
        <v>3033</v>
      </c>
      <c r="B649" t="s">
        <v>1652</v>
      </c>
      <c r="C649" t="s">
        <v>5043</v>
      </c>
      <c r="D649" t="s">
        <v>8401</v>
      </c>
    </row>
    <row r="650" spans="1:4" x14ac:dyDescent="0.25">
      <c r="A650" s="63" t="s">
        <v>3034</v>
      </c>
      <c r="B650" t="s">
        <v>1652</v>
      </c>
      <c r="C650" t="s">
        <v>5043</v>
      </c>
      <c r="D650" t="s">
        <v>8401</v>
      </c>
    </row>
    <row r="651" spans="1:4" x14ac:dyDescent="0.25">
      <c r="A651" s="63" t="s">
        <v>3035</v>
      </c>
      <c r="B651" t="s">
        <v>1657</v>
      </c>
      <c r="C651" t="s">
        <v>5043</v>
      </c>
      <c r="D651" t="s">
        <v>8401</v>
      </c>
    </row>
    <row r="652" spans="1:4" x14ac:dyDescent="0.25">
      <c r="A652" s="63" t="s">
        <v>3036</v>
      </c>
      <c r="B652" t="s">
        <v>1657</v>
      </c>
      <c r="C652" t="s">
        <v>5043</v>
      </c>
      <c r="D652" t="s">
        <v>8401</v>
      </c>
    </row>
    <row r="653" spans="1:4" x14ac:dyDescent="0.25">
      <c r="A653" s="63" t="s">
        <v>3037</v>
      </c>
      <c r="B653" t="s">
        <v>1716</v>
      </c>
      <c r="C653" t="s">
        <v>5043</v>
      </c>
      <c r="D653" t="s">
        <v>8401</v>
      </c>
    </row>
    <row r="654" spans="1:4" x14ac:dyDescent="0.25">
      <c r="A654" s="63" t="s">
        <v>7489</v>
      </c>
      <c r="B654" t="s">
        <v>1500</v>
      </c>
      <c r="C654" t="s">
        <v>5043</v>
      </c>
      <c r="D654" t="s">
        <v>8401</v>
      </c>
    </row>
    <row r="655" spans="1:4" x14ac:dyDescent="0.25">
      <c r="A655" s="63" t="s">
        <v>3038</v>
      </c>
      <c r="B655" t="s">
        <v>1500</v>
      </c>
      <c r="C655" t="s">
        <v>5043</v>
      </c>
      <c r="D655" t="s">
        <v>8401</v>
      </c>
    </row>
    <row r="656" spans="1:4" x14ac:dyDescent="0.25">
      <c r="A656" s="63" t="s">
        <v>3039</v>
      </c>
      <c r="B656" t="s">
        <v>1500</v>
      </c>
      <c r="C656" t="s">
        <v>5043</v>
      </c>
      <c r="D656" t="s">
        <v>8401</v>
      </c>
    </row>
    <row r="657" spans="1:4" x14ac:dyDescent="0.25">
      <c r="A657" s="63" t="s">
        <v>3040</v>
      </c>
      <c r="B657" t="s">
        <v>1500</v>
      </c>
      <c r="C657" t="s">
        <v>5043</v>
      </c>
      <c r="D657" t="s">
        <v>8401</v>
      </c>
    </row>
    <row r="658" spans="1:4" x14ac:dyDescent="0.25">
      <c r="A658" s="63" t="s">
        <v>3041</v>
      </c>
      <c r="B658" t="s">
        <v>1500</v>
      </c>
      <c r="C658" t="s">
        <v>5043</v>
      </c>
      <c r="D658" t="s">
        <v>8401</v>
      </c>
    </row>
    <row r="659" spans="1:4" x14ac:dyDescent="0.25">
      <c r="A659" s="63" t="s">
        <v>3042</v>
      </c>
      <c r="B659" t="s">
        <v>1717</v>
      </c>
      <c r="C659" t="s">
        <v>5043</v>
      </c>
      <c r="D659" t="s">
        <v>8401</v>
      </c>
    </row>
    <row r="660" spans="1:4" x14ac:dyDescent="0.25">
      <c r="A660" s="63" t="s">
        <v>3043</v>
      </c>
      <c r="B660" t="s">
        <v>1717</v>
      </c>
      <c r="C660" t="s">
        <v>5043</v>
      </c>
      <c r="D660" t="s">
        <v>8401</v>
      </c>
    </row>
    <row r="661" spans="1:4" x14ac:dyDescent="0.25">
      <c r="A661" s="63" t="s">
        <v>3044</v>
      </c>
      <c r="B661" t="s">
        <v>1718</v>
      </c>
      <c r="C661" t="s">
        <v>5043</v>
      </c>
      <c r="D661" t="s">
        <v>8401</v>
      </c>
    </row>
    <row r="662" spans="1:4" x14ac:dyDescent="0.25">
      <c r="A662" s="63" t="s">
        <v>3045</v>
      </c>
      <c r="B662" t="s">
        <v>1718</v>
      </c>
      <c r="C662" t="s">
        <v>5043</v>
      </c>
      <c r="D662" t="s">
        <v>8401</v>
      </c>
    </row>
    <row r="663" spans="1:4" x14ac:dyDescent="0.25">
      <c r="A663" s="63" t="s">
        <v>3046</v>
      </c>
      <c r="B663" t="s">
        <v>1719</v>
      </c>
      <c r="C663" t="s">
        <v>5043</v>
      </c>
      <c r="D663" t="s">
        <v>8401</v>
      </c>
    </row>
    <row r="664" spans="1:4" x14ac:dyDescent="0.25">
      <c r="A664" s="63" t="s">
        <v>3047</v>
      </c>
      <c r="B664" t="s">
        <v>1719</v>
      </c>
      <c r="C664" t="s">
        <v>5043</v>
      </c>
      <c r="D664" t="s">
        <v>8401</v>
      </c>
    </row>
    <row r="665" spans="1:4" x14ac:dyDescent="0.25">
      <c r="A665" s="63" t="s">
        <v>3048</v>
      </c>
      <c r="B665" t="s">
        <v>1715</v>
      </c>
      <c r="C665" t="s">
        <v>5043</v>
      </c>
      <c r="D665" t="s">
        <v>8401</v>
      </c>
    </row>
    <row r="666" spans="1:4" x14ac:dyDescent="0.25">
      <c r="A666" s="63" t="s">
        <v>3049</v>
      </c>
      <c r="B666" t="s">
        <v>1715</v>
      </c>
      <c r="C666" t="s">
        <v>5043</v>
      </c>
      <c r="D666" t="s">
        <v>8401</v>
      </c>
    </row>
    <row r="667" spans="1:4" x14ac:dyDescent="0.25">
      <c r="A667" s="63" t="s">
        <v>3050</v>
      </c>
      <c r="B667" t="s">
        <v>2341</v>
      </c>
      <c r="C667" t="s">
        <v>5043</v>
      </c>
      <c r="D667" t="s">
        <v>8401</v>
      </c>
    </row>
    <row r="668" spans="1:4" x14ac:dyDescent="0.25">
      <c r="A668" s="63" t="s">
        <v>3051</v>
      </c>
      <c r="B668" t="s">
        <v>2303</v>
      </c>
      <c r="C668" t="s">
        <v>5043</v>
      </c>
      <c r="D668" t="s">
        <v>8401</v>
      </c>
    </row>
    <row r="669" spans="1:4" x14ac:dyDescent="0.25">
      <c r="A669" s="63" t="s">
        <v>7490</v>
      </c>
      <c r="B669" t="s">
        <v>1693</v>
      </c>
      <c r="C669" t="s">
        <v>5043</v>
      </c>
      <c r="D669" t="s">
        <v>8401</v>
      </c>
    </row>
    <row r="670" spans="1:4" x14ac:dyDescent="0.25">
      <c r="A670" s="63" t="s">
        <v>5842</v>
      </c>
      <c r="B670" t="s">
        <v>2204</v>
      </c>
      <c r="C670" t="s">
        <v>5043</v>
      </c>
      <c r="D670" t="s">
        <v>8401</v>
      </c>
    </row>
    <row r="671" spans="1:4" x14ac:dyDescent="0.25">
      <c r="A671" s="63" t="s">
        <v>7491</v>
      </c>
      <c r="B671" t="s">
        <v>2204</v>
      </c>
      <c r="C671" t="s">
        <v>5043</v>
      </c>
      <c r="D671" t="s">
        <v>8401</v>
      </c>
    </row>
    <row r="672" spans="1:4" x14ac:dyDescent="0.25">
      <c r="A672" s="63" t="s">
        <v>7492</v>
      </c>
      <c r="B672" t="s">
        <v>1528</v>
      </c>
      <c r="C672" t="s">
        <v>5043</v>
      </c>
      <c r="D672" t="s">
        <v>8401</v>
      </c>
    </row>
    <row r="673" spans="1:4" x14ac:dyDescent="0.25">
      <c r="A673" s="63" t="s">
        <v>7493</v>
      </c>
      <c r="B673" t="s">
        <v>1528</v>
      </c>
      <c r="C673" t="s">
        <v>5043</v>
      </c>
      <c r="D673" t="s">
        <v>8401</v>
      </c>
    </row>
    <row r="674" spans="1:4" x14ac:dyDescent="0.25">
      <c r="A674" s="63" t="s">
        <v>7494</v>
      </c>
      <c r="B674" t="s">
        <v>1528</v>
      </c>
      <c r="C674" t="s">
        <v>5043</v>
      </c>
      <c r="D674" t="s">
        <v>8401</v>
      </c>
    </row>
    <row r="675" spans="1:4" x14ac:dyDescent="0.25">
      <c r="A675" s="63" t="s">
        <v>7495</v>
      </c>
      <c r="B675" t="s">
        <v>1528</v>
      </c>
      <c r="C675" t="s">
        <v>5043</v>
      </c>
      <c r="D675" t="s">
        <v>8401</v>
      </c>
    </row>
    <row r="676" spans="1:4" x14ac:dyDescent="0.25">
      <c r="A676" s="63" t="s">
        <v>7496</v>
      </c>
      <c r="B676" t="s">
        <v>1324</v>
      </c>
      <c r="C676" t="s">
        <v>5043</v>
      </c>
      <c r="D676" t="s">
        <v>8401</v>
      </c>
    </row>
    <row r="677" spans="1:4" x14ac:dyDescent="0.25">
      <c r="A677" s="63" t="s">
        <v>5512</v>
      </c>
      <c r="B677" t="s">
        <v>2224</v>
      </c>
      <c r="C677" t="s">
        <v>5043</v>
      </c>
      <c r="D677" t="s">
        <v>8401</v>
      </c>
    </row>
    <row r="678" spans="1:4" x14ac:dyDescent="0.25">
      <c r="A678" s="63" t="s">
        <v>7497</v>
      </c>
      <c r="B678" t="s">
        <v>1496</v>
      </c>
      <c r="C678" t="s">
        <v>5043</v>
      </c>
      <c r="D678" t="s">
        <v>8401</v>
      </c>
    </row>
    <row r="679" spans="1:4" x14ac:dyDescent="0.25">
      <c r="A679" s="63" t="s">
        <v>7498</v>
      </c>
      <c r="B679" t="s">
        <v>1497</v>
      </c>
      <c r="C679" t="s">
        <v>5043</v>
      </c>
      <c r="D679" t="s">
        <v>8401</v>
      </c>
    </row>
    <row r="680" spans="1:4" x14ac:dyDescent="0.25">
      <c r="A680" s="63" t="s">
        <v>7499</v>
      </c>
      <c r="B680" t="s">
        <v>1554</v>
      </c>
      <c r="C680" t="s">
        <v>5043</v>
      </c>
      <c r="D680" t="s">
        <v>8401</v>
      </c>
    </row>
    <row r="681" spans="1:4" x14ac:dyDescent="0.25">
      <c r="A681" s="63" t="s">
        <v>6901</v>
      </c>
      <c r="B681" t="s">
        <v>2153</v>
      </c>
      <c r="C681" t="s">
        <v>5043</v>
      </c>
      <c r="D681" t="s">
        <v>8401</v>
      </c>
    </row>
    <row r="682" spans="1:4" x14ac:dyDescent="0.25">
      <c r="A682" s="63" t="s">
        <v>6902</v>
      </c>
      <c r="B682" t="s">
        <v>2153</v>
      </c>
      <c r="C682" t="s">
        <v>5043</v>
      </c>
      <c r="D682" t="s">
        <v>8401</v>
      </c>
    </row>
    <row r="683" spans="1:4" x14ac:dyDescent="0.25">
      <c r="A683" s="63" t="s">
        <v>7210</v>
      </c>
      <c r="B683" t="s">
        <v>2151</v>
      </c>
      <c r="C683" t="s">
        <v>5043</v>
      </c>
      <c r="D683" t="s">
        <v>8401</v>
      </c>
    </row>
    <row r="684" spans="1:4" x14ac:dyDescent="0.25">
      <c r="A684" s="63" t="s">
        <v>6082</v>
      </c>
      <c r="B684" t="s">
        <v>2151</v>
      </c>
      <c r="C684" t="s">
        <v>5043</v>
      </c>
      <c r="D684" t="s">
        <v>8401</v>
      </c>
    </row>
    <row r="685" spans="1:4" x14ac:dyDescent="0.25">
      <c r="A685" s="63" t="s">
        <v>6144</v>
      </c>
      <c r="B685" t="s">
        <v>1436</v>
      </c>
      <c r="C685" t="s">
        <v>5043</v>
      </c>
      <c r="D685" t="s">
        <v>8401</v>
      </c>
    </row>
    <row r="686" spans="1:4" x14ac:dyDescent="0.25">
      <c r="A686" s="63" t="s">
        <v>6083</v>
      </c>
      <c r="B686" t="s">
        <v>1436</v>
      </c>
      <c r="C686" t="s">
        <v>5043</v>
      </c>
      <c r="D686" t="s">
        <v>8401</v>
      </c>
    </row>
    <row r="687" spans="1:4" x14ac:dyDescent="0.25">
      <c r="A687" s="63" t="s">
        <v>7132</v>
      </c>
      <c r="B687" t="s">
        <v>1435</v>
      </c>
      <c r="C687" t="s">
        <v>5043</v>
      </c>
      <c r="D687" t="s">
        <v>8401</v>
      </c>
    </row>
    <row r="688" spans="1:4" x14ac:dyDescent="0.25">
      <c r="A688" s="63" t="s">
        <v>6287</v>
      </c>
      <c r="B688" t="s">
        <v>1435</v>
      </c>
      <c r="C688" t="s">
        <v>5043</v>
      </c>
      <c r="D688" t="s">
        <v>8401</v>
      </c>
    </row>
    <row r="689" spans="1:4" x14ac:dyDescent="0.25">
      <c r="A689" s="63" t="s">
        <v>7500</v>
      </c>
      <c r="B689" t="s">
        <v>1553</v>
      </c>
      <c r="C689" t="s">
        <v>5043</v>
      </c>
      <c r="D689" t="s">
        <v>8401</v>
      </c>
    </row>
    <row r="690" spans="1:4" x14ac:dyDescent="0.25">
      <c r="A690" s="63" t="s">
        <v>5731</v>
      </c>
      <c r="B690" t="s">
        <v>1708</v>
      </c>
      <c r="C690" t="s">
        <v>5043</v>
      </c>
      <c r="D690" t="s">
        <v>8401</v>
      </c>
    </row>
    <row r="691" spans="1:4" x14ac:dyDescent="0.25">
      <c r="A691" s="63" t="s">
        <v>5732</v>
      </c>
      <c r="B691" t="s">
        <v>1708</v>
      </c>
      <c r="C691" t="s">
        <v>5043</v>
      </c>
      <c r="D691" t="s">
        <v>8401</v>
      </c>
    </row>
    <row r="692" spans="1:4" x14ac:dyDescent="0.25">
      <c r="A692" s="63" t="s">
        <v>6288</v>
      </c>
      <c r="B692" t="s">
        <v>1190</v>
      </c>
      <c r="C692" t="s">
        <v>5043</v>
      </c>
      <c r="D692" t="s">
        <v>8401</v>
      </c>
    </row>
    <row r="693" spans="1:4" x14ac:dyDescent="0.25">
      <c r="A693" s="63" t="s">
        <v>7501</v>
      </c>
      <c r="B693" t="s">
        <v>1190</v>
      </c>
      <c r="C693" t="s">
        <v>5043</v>
      </c>
      <c r="D693" t="s">
        <v>8401</v>
      </c>
    </row>
    <row r="694" spans="1:4" x14ac:dyDescent="0.25">
      <c r="A694" s="63" t="s">
        <v>5733</v>
      </c>
      <c r="B694" t="s">
        <v>1707</v>
      </c>
      <c r="C694" t="s">
        <v>5043</v>
      </c>
      <c r="D694" t="s">
        <v>8401</v>
      </c>
    </row>
    <row r="695" spans="1:4" x14ac:dyDescent="0.25">
      <c r="A695" s="63" t="s">
        <v>5734</v>
      </c>
      <c r="B695" t="s">
        <v>1707</v>
      </c>
      <c r="C695" t="s">
        <v>5043</v>
      </c>
      <c r="D695" t="s">
        <v>8401</v>
      </c>
    </row>
    <row r="696" spans="1:4" x14ac:dyDescent="0.25">
      <c r="A696" s="63" t="s">
        <v>5735</v>
      </c>
      <c r="B696" t="s">
        <v>1707</v>
      </c>
      <c r="C696" t="s">
        <v>5043</v>
      </c>
      <c r="D696" t="s">
        <v>8401</v>
      </c>
    </row>
    <row r="697" spans="1:4" x14ac:dyDescent="0.25">
      <c r="A697" s="63" t="s">
        <v>7502</v>
      </c>
      <c r="B697" t="s">
        <v>1434</v>
      </c>
      <c r="C697" t="s">
        <v>5043</v>
      </c>
      <c r="D697" t="s">
        <v>8401</v>
      </c>
    </row>
    <row r="698" spans="1:4" x14ac:dyDescent="0.25">
      <c r="A698" s="63" t="s">
        <v>7503</v>
      </c>
      <c r="B698" t="s">
        <v>1434</v>
      </c>
      <c r="C698" t="s">
        <v>5043</v>
      </c>
      <c r="D698" t="s">
        <v>8401</v>
      </c>
    </row>
    <row r="699" spans="1:4" x14ac:dyDescent="0.25">
      <c r="A699" s="63" t="s">
        <v>7504</v>
      </c>
      <c r="B699" t="s">
        <v>1433</v>
      </c>
      <c r="C699" t="s">
        <v>5043</v>
      </c>
      <c r="D699" t="s">
        <v>8401</v>
      </c>
    </row>
    <row r="700" spans="1:4" x14ac:dyDescent="0.25">
      <c r="A700" s="63" t="s">
        <v>6420</v>
      </c>
      <c r="B700" t="s">
        <v>1433</v>
      </c>
      <c r="C700" t="s">
        <v>5043</v>
      </c>
      <c r="D700" t="s">
        <v>8401</v>
      </c>
    </row>
    <row r="701" spans="1:4" x14ac:dyDescent="0.25">
      <c r="A701" s="63" t="s">
        <v>7505</v>
      </c>
      <c r="B701" t="s">
        <v>1556</v>
      </c>
      <c r="C701" t="s">
        <v>5043</v>
      </c>
      <c r="D701" t="s">
        <v>8401</v>
      </c>
    </row>
    <row r="702" spans="1:4" x14ac:dyDescent="0.25">
      <c r="A702" s="63" t="s">
        <v>7506</v>
      </c>
      <c r="B702" t="s">
        <v>1556</v>
      </c>
      <c r="C702" t="s">
        <v>5043</v>
      </c>
      <c r="D702" t="s">
        <v>8401</v>
      </c>
    </row>
    <row r="703" spans="1:4" x14ac:dyDescent="0.25">
      <c r="A703" s="63" t="s">
        <v>6421</v>
      </c>
      <c r="B703" t="s">
        <v>2241</v>
      </c>
      <c r="C703" t="s">
        <v>5043</v>
      </c>
      <c r="D703" t="s">
        <v>8401</v>
      </c>
    </row>
    <row r="704" spans="1:4" x14ac:dyDescent="0.25">
      <c r="A704" s="63" t="s">
        <v>6422</v>
      </c>
      <c r="B704" t="s">
        <v>2241</v>
      </c>
      <c r="C704" t="s">
        <v>5043</v>
      </c>
      <c r="D704" t="s">
        <v>8401</v>
      </c>
    </row>
    <row r="705" spans="1:4" x14ac:dyDescent="0.25">
      <c r="A705" s="63" t="s">
        <v>5696</v>
      </c>
      <c r="B705" t="s">
        <v>1557</v>
      </c>
      <c r="C705" t="s">
        <v>5043</v>
      </c>
      <c r="D705" t="s">
        <v>8401</v>
      </c>
    </row>
    <row r="706" spans="1:4" x14ac:dyDescent="0.25">
      <c r="A706" s="63" t="s">
        <v>3052</v>
      </c>
      <c r="B706" t="s">
        <v>2043</v>
      </c>
      <c r="C706" t="s">
        <v>5043</v>
      </c>
      <c r="D706" t="s">
        <v>8401</v>
      </c>
    </row>
    <row r="707" spans="1:4" x14ac:dyDescent="0.25">
      <c r="A707" s="63" t="s">
        <v>3053</v>
      </c>
      <c r="B707" t="s">
        <v>1767</v>
      </c>
      <c r="C707" t="s">
        <v>5043</v>
      </c>
      <c r="D707" t="s">
        <v>8401</v>
      </c>
    </row>
    <row r="708" spans="1:4" x14ac:dyDescent="0.25">
      <c r="A708" s="63" t="s">
        <v>3054</v>
      </c>
      <c r="B708" t="s">
        <v>1767</v>
      </c>
      <c r="C708" t="s">
        <v>5043</v>
      </c>
      <c r="D708" t="s">
        <v>8401</v>
      </c>
    </row>
    <row r="709" spans="1:4" x14ac:dyDescent="0.25">
      <c r="A709" s="63" t="s">
        <v>7507</v>
      </c>
      <c r="B709" t="s">
        <v>1412</v>
      </c>
      <c r="C709" t="s">
        <v>5043</v>
      </c>
      <c r="D709" t="s">
        <v>8401</v>
      </c>
    </row>
    <row r="710" spans="1:4" x14ac:dyDescent="0.25">
      <c r="A710" s="63" t="s">
        <v>7508</v>
      </c>
      <c r="B710" t="s">
        <v>1411</v>
      </c>
      <c r="C710" t="s">
        <v>5043</v>
      </c>
      <c r="D710" t="s">
        <v>8401</v>
      </c>
    </row>
    <row r="711" spans="1:4" x14ac:dyDescent="0.25">
      <c r="A711" s="63" t="s">
        <v>7509</v>
      </c>
      <c r="B711" t="s">
        <v>1898</v>
      </c>
      <c r="C711" t="s">
        <v>5043</v>
      </c>
      <c r="D711" t="s">
        <v>8401</v>
      </c>
    </row>
    <row r="712" spans="1:4" x14ac:dyDescent="0.25">
      <c r="A712" s="63" t="s">
        <v>7510</v>
      </c>
      <c r="B712" t="s">
        <v>1898</v>
      </c>
      <c r="C712" t="s">
        <v>5043</v>
      </c>
      <c r="D712" t="s">
        <v>8401</v>
      </c>
    </row>
    <row r="713" spans="1:4" x14ac:dyDescent="0.25">
      <c r="A713" s="63" t="s">
        <v>3055</v>
      </c>
      <c r="B713" t="s">
        <v>1773</v>
      </c>
      <c r="C713" t="s">
        <v>5043</v>
      </c>
      <c r="D713" t="s">
        <v>8401</v>
      </c>
    </row>
    <row r="714" spans="1:4" x14ac:dyDescent="0.25">
      <c r="A714" s="63" t="s">
        <v>6114</v>
      </c>
      <c r="B714" t="s">
        <v>1691</v>
      </c>
      <c r="C714" t="s">
        <v>5043</v>
      </c>
      <c r="D714" t="s">
        <v>8401</v>
      </c>
    </row>
    <row r="715" spans="1:4" x14ac:dyDescent="0.25">
      <c r="A715" s="63" t="s">
        <v>6115</v>
      </c>
      <c r="B715" t="s">
        <v>1691</v>
      </c>
      <c r="C715" t="s">
        <v>5043</v>
      </c>
      <c r="D715" t="s">
        <v>8401</v>
      </c>
    </row>
    <row r="716" spans="1:4" x14ac:dyDescent="0.25">
      <c r="A716" s="63" t="s">
        <v>6116</v>
      </c>
      <c r="B716" t="s">
        <v>1691</v>
      </c>
      <c r="C716" t="s">
        <v>5043</v>
      </c>
      <c r="D716" t="s">
        <v>8401</v>
      </c>
    </row>
    <row r="717" spans="1:4" x14ac:dyDescent="0.25">
      <c r="A717" s="63" t="s">
        <v>6117</v>
      </c>
      <c r="B717" t="s">
        <v>1691</v>
      </c>
      <c r="C717" t="s">
        <v>5043</v>
      </c>
      <c r="D717" t="s">
        <v>8401</v>
      </c>
    </row>
    <row r="718" spans="1:4" x14ac:dyDescent="0.25">
      <c r="A718" s="63" t="s">
        <v>6118</v>
      </c>
      <c r="B718" t="s">
        <v>1691</v>
      </c>
      <c r="C718" t="s">
        <v>5043</v>
      </c>
      <c r="D718" t="s">
        <v>8401</v>
      </c>
    </row>
    <row r="719" spans="1:4" x14ac:dyDescent="0.25">
      <c r="A719" s="63" t="s">
        <v>6120</v>
      </c>
      <c r="B719" t="s">
        <v>1752</v>
      </c>
      <c r="C719" t="s">
        <v>5043</v>
      </c>
      <c r="D719" t="s">
        <v>8401</v>
      </c>
    </row>
    <row r="720" spans="1:4" x14ac:dyDescent="0.25">
      <c r="A720" s="63" t="s">
        <v>3056</v>
      </c>
      <c r="B720" t="s">
        <v>1752</v>
      </c>
      <c r="C720" t="s">
        <v>5043</v>
      </c>
      <c r="D720" t="s">
        <v>8401</v>
      </c>
    </row>
    <row r="721" spans="1:4" x14ac:dyDescent="0.25">
      <c r="A721" s="63" t="s">
        <v>3057</v>
      </c>
      <c r="B721" t="s">
        <v>1768</v>
      </c>
      <c r="C721" t="s">
        <v>5043</v>
      </c>
      <c r="D721" t="s">
        <v>8401</v>
      </c>
    </row>
    <row r="722" spans="1:4" x14ac:dyDescent="0.25">
      <c r="A722" s="63" t="s">
        <v>3058</v>
      </c>
      <c r="B722" t="s">
        <v>1768</v>
      </c>
      <c r="C722" t="s">
        <v>5043</v>
      </c>
      <c r="D722" t="s">
        <v>8401</v>
      </c>
    </row>
    <row r="723" spans="1:4" x14ac:dyDescent="0.25">
      <c r="A723" s="63" t="s">
        <v>6121</v>
      </c>
      <c r="B723" t="s">
        <v>1750</v>
      </c>
      <c r="C723" t="s">
        <v>5043</v>
      </c>
      <c r="D723" t="s">
        <v>8401</v>
      </c>
    </row>
    <row r="724" spans="1:4" x14ac:dyDescent="0.25">
      <c r="A724" s="63" t="s">
        <v>6122</v>
      </c>
      <c r="B724" t="s">
        <v>1750</v>
      </c>
      <c r="C724" t="s">
        <v>5043</v>
      </c>
      <c r="D724" t="s">
        <v>8401</v>
      </c>
    </row>
    <row r="725" spans="1:4" x14ac:dyDescent="0.25">
      <c r="A725" s="63" t="s">
        <v>6123</v>
      </c>
      <c r="B725" t="s">
        <v>1750</v>
      </c>
      <c r="C725" t="s">
        <v>5043</v>
      </c>
      <c r="D725" t="s">
        <v>8401</v>
      </c>
    </row>
    <row r="726" spans="1:4" x14ac:dyDescent="0.25">
      <c r="A726" s="63" t="s">
        <v>6124</v>
      </c>
      <c r="B726" t="s">
        <v>1750</v>
      </c>
      <c r="C726" t="s">
        <v>5043</v>
      </c>
      <c r="D726" t="s">
        <v>8401</v>
      </c>
    </row>
    <row r="727" spans="1:4" x14ac:dyDescent="0.25">
      <c r="A727" s="63" t="s">
        <v>6125</v>
      </c>
      <c r="B727" t="s">
        <v>1751</v>
      </c>
      <c r="C727" t="s">
        <v>5043</v>
      </c>
      <c r="D727" t="s">
        <v>8401</v>
      </c>
    </row>
    <row r="728" spans="1:4" x14ac:dyDescent="0.25">
      <c r="A728" s="63" t="s">
        <v>3059</v>
      </c>
      <c r="B728" t="s">
        <v>1751</v>
      </c>
      <c r="C728" t="s">
        <v>5043</v>
      </c>
      <c r="D728" t="s">
        <v>8401</v>
      </c>
    </row>
    <row r="729" spans="1:4" x14ac:dyDescent="0.25">
      <c r="A729" s="63" t="s">
        <v>3060</v>
      </c>
      <c r="B729" t="s">
        <v>1996</v>
      </c>
      <c r="C729" t="s">
        <v>5043</v>
      </c>
      <c r="D729" t="s">
        <v>8401</v>
      </c>
    </row>
    <row r="730" spans="1:4" x14ac:dyDescent="0.25">
      <c r="A730" s="63" t="s">
        <v>3061</v>
      </c>
      <c r="B730" t="s">
        <v>2472</v>
      </c>
      <c r="C730" t="s">
        <v>5043</v>
      </c>
      <c r="D730" t="s">
        <v>8401</v>
      </c>
    </row>
    <row r="731" spans="1:4" x14ac:dyDescent="0.25">
      <c r="A731" s="63" t="s">
        <v>3062</v>
      </c>
      <c r="B731" t="s">
        <v>2394</v>
      </c>
      <c r="C731" t="s">
        <v>5043</v>
      </c>
      <c r="D731" t="s">
        <v>8401</v>
      </c>
    </row>
    <row r="732" spans="1:4" x14ac:dyDescent="0.25">
      <c r="A732" s="63" t="s">
        <v>3063</v>
      </c>
      <c r="B732" t="s">
        <v>1947</v>
      </c>
      <c r="C732" t="s">
        <v>5043</v>
      </c>
      <c r="D732" t="s">
        <v>8401</v>
      </c>
    </row>
    <row r="733" spans="1:4" x14ac:dyDescent="0.25">
      <c r="A733" s="63" t="s">
        <v>7056</v>
      </c>
      <c r="B733" t="s">
        <v>1820</v>
      </c>
      <c r="C733" t="s">
        <v>5043</v>
      </c>
      <c r="D733" t="s">
        <v>8401</v>
      </c>
    </row>
    <row r="734" spans="1:4" x14ac:dyDescent="0.25">
      <c r="A734" s="63" t="s">
        <v>6825</v>
      </c>
      <c r="B734" t="s">
        <v>7511</v>
      </c>
      <c r="C734" t="s">
        <v>5043</v>
      </c>
      <c r="D734" t="s">
        <v>8401</v>
      </c>
    </row>
    <row r="735" spans="1:4" x14ac:dyDescent="0.25">
      <c r="A735" s="63" t="s">
        <v>6292</v>
      </c>
      <c r="B735" t="s">
        <v>7511</v>
      </c>
      <c r="C735" t="s">
        <v>5043</v>
      </c>
      <c r="D735" t="s">
        <v>8401</v>
      </c>
    </row>
    <row r="736" spans="1:4" x14ac:dyDescent="0.25">
      <c r="A736" s="63" t="s">
        <v>6499</v>
      </c>
      <c r="B736" t="s">
        <v>7511</v>
      </c>
      <c r="C736" t="s">
        <v>5043</v>
      </c>
      <c r="D736" t="s">
        <v>8401</v>
      </c>
    </row>
    <row r="737" spans="1:4" x14ac:dyDescent="0.25">
      <c r="A737" s="63" t="s">
        <v>7512</v>
      </c>
      <c r="B737" t="s">
        <v>2104</v>
      </c>
      <c r="C737" t="s">
        <v>5043</v>
      </c>
      <c r="D737" t="s">
        <v>8401</v>
      </c>
    </row>
    <row r="738" spans="1:4" x14ac:dyDescent="0.25">
      <c r="A738" s="63" t="s">
        <v>3064</v>
      </c>
      <c r="B738" t="s">
        <v>2264</v>
      </c>
      <c r="C738" t="s">
        <v>5043</v>
      </c>
      <c r="D738" t="s">
        <v>8401</v>
      </c>
    </row>
    <row r="739" spans="1:4" x14ac:dyDescent="0.25">
      <c r="A739" s="63" t="s">
        <v>3065</v>
      </c>
      <c r="B739" t="s">
        <v>2264</v>
      </c>
      <c r="C739" t="s">
        <v>5043</v>
      </c>
      <c r="D739" t="s">
        <v>8401</v>
      </c>
    </row>
    <row r="740" spans="1:4" x14ac:dyDescent="0.25">
      <c r="A740" s="63" t="s">
        <v>3066</v>
      </c>
      <c r="B740" t="s">
        <v>2264</v>
      </c>
      <c r="C740" t="s">
        <v>5043</v>
      </c>
      <c r="D740" t="s">
        <v>8401</v>
      </c>
    </row>
    <row r="741" spans="1:4" x14ac:dyDescent="0.25">
      <c r="A741" s="63" t="s">
        <v>7513</v>
      </c>
      <c r="B741" t="s">
        <v>2306</v>
      </c>
      <c r="C741" t="s">
        <v>5043</v>
      </c>
      <c r="D741" t="s">
        <v>8401</v>
      </c>
    </row>
    <row r="742" spans="1:4" x14ac:dyDescent="0.25">
      <c r="A742" s="63" t="s">
        <v>3067</v>
      </c>
      <c r="B742" t="s">
        <v>2395</v>
      </c>
      <c r="C742" t="s">
        <v>5043</v>
      </c>
      <c r="D742" t="s">
        <v>8401</v>
      </c>
    </row>
    <row r="743" spans="1:4" x14ac:dyDescent="0.25">
      <c r="A743" s="63" t="s">
        <v>7514</v>
      </c>
      <c r="B743" t="s">
        <v>2381</v>
      </c>
      <c r="C743" t="s">
        <v>5043</v>
      </c>
      <c r="D743" t="s">
        <v>8401</v>
      </c>
    </row>
    <row r="744" spans="1:4" x14ac:dyDescent="0.25">
      <c r="A744" s="63" t="s">
        <v>7515</v>
      </c>
      <c r="B744" t="s">
        <v>2381</v>
      </c>
      <c r="C744" t="s">
        <v>5043</v>
      </c>
      <c r="D744" t="s">
        <v>8401</v>
      </c>
    </row>
    <row r="745" spans="1:4" x14ac:dyDescent="0.25">
      <c r="A745" s="63" t="s">
        <v>7516</v>
      </c>
      <c r="B745" t="s">
        <v>2034</v>
      </c>
      <c r="C745" t="s">
        <v>5043</v>
      </c>
      <c r="D745" t="s">
        <v>8401</v>
      </c>
    </row>
    <row r="746" spans="1:4" x14ac:dyDescent="0.25">
      <c r="A746" s="63" t="s">
        <v>7517</v>
      </c>
      <c r="B746" t="s">
        <v>1954</v>
      </c>
      <c r="C746" t="s">
        <v>5043</v>
      </c>
      <c r="D746" t="s">
        <v>8401</v>
      </c>
    </row>
    <row r="747" spans="1:4" x14ac:dyDescent="0.25">
      <c r="A747" s="63" t="s">
        <v>7518</v>
      </c>
      <c r="B747" t="s">
        <v>1955</v>
      </c>
      <c r="C747" t="s">
        <v>5043</v>
      </c>
      <c r="D747" t="s">
        <v>8401</v>
      </c>
    </row>
    <row r="748" spans="1:4" x14ac:dyDescent="0.25">
      <c r="A748" s="63" t="s">
        <v>5901</v>
      </c>
      <c r="B748" t="s">
        <v>1235</v>
      </c>
      <c r="C748" t="s">
        <v>5043</v>
      </c>
      <c r="D748" t="s">
        <v>8401</v>
      </c>
    </row>
    <row r="749" spans="1:4" x14ac:dyDescent="0.25">
      <c r="A749" s="63" t="s">
        <v>7519</v>
      </c>
      <c r="B749" t="s">
        <v>2274</v>
      </c>
      <c r="C749" t="s">
        <v>5043</v>
      </c>
      <c r="D749" t="s">
        <v>8401</v>
      </c>
    </row>
    <row r="750" spans="1:4" x14ac:dyDescent="0.25">
      <c r="A750" s="63" t="s">
        <v>3068</v>
      </c>
      <c r="B750" t="s">
        <v>2339</v>
      </c>
      <c r="C750" t="s">
        <v>5043</v>
      </c>
      <c r="D750" t="s">
        <v>8401</v>
      </c>
    </row>
    <row r="751" spans="1:4" x14ac:dyDescent="0.25">
      <c r="A751" s="63" t="s">
        <v>3069</v>
      </c>
      <c r="B751" t="s">
        <v>1549</v>
      </c>
      <c r="C751" t="s">
        <v>5043</v>
      </c>
      <c r="D751" t="s">
        <v>8401</v>
      </c>
    </row>
    <row r="752" spans="1:4" x14ac:dyDescent="0.25">
      <c r="A752" s="63" t="s">
        <v>7520</v>
      </c>
      <c r="B752" t="s">
        <v>1650</v>
      </c>
      <c r="C752" t="s">
        <v>5043</v>
      </c>
      <c r="D752" t="s">
        <v>8401</v>
      </c>
    </row>
    <row r="753" spans="1:4" x14ac:dyDescent="0.25">
      <c r="A753" s="63" t="s">
        <v>7521</v>
      </c>
      <c r="B753" t="s">
        <v>1649</v>
      </c>
      <c r="C753" t="s">
        <v>5043</v>
      </c>
      <c r="D753" t="s">
        <v>8401</v>
      </c>
    </row>
    <row r="754" spans="1:4" x14ac:dyDescent="0.25">
      <c r="A754" s="63" t="s">
        <v>7522</v>
      </c>
      <c r="B754" t="s">
        <v>1649</v>
      </c>
      <c r="C754" t="s">
        <v>5043</v>
      </c>
      <c r="D754" t="s">
        <v>8401</v>
      </c>
    </row>
    <row r="755" spans="1:4" x14ac:dyDescent="0.25">
      <c r="A755" s="63" t="s">
        <v>7523</v>
      </c>
      <c r="B755" t="s">
        <v>1410</v>
      </c>
      <c r="C755" t="s">
        <v>5043</v>
      </c>
      <c r="D755" t="s">
        <v>8401</v>
      </c>
    </row>
    <row r="756" spans="1:4" x14ac:dyDescent="0.25">
      <c r="A756" s="63" t="s">
        <v>7524</v>
      </c>
      <c r="B756" t="s">
        <v>1409</v>
      </c>
      <c r="C756" t="s">
        <v>5043</v>
      </c>
      <c r="D756" t="s">
        <v>8401</v>
      </c>
    </row>
    <row r="757" spans="1:4" x14ac:dyDescent="0.25">
      <c r="A757" s="63" t="s">
        <v>7525</v>
      </c>
      <c r="B757" t="s">
        <v>1408</v>
      </c>
      <c r="C757" t="s">
        <v>5043</v>
      </c>
      <c r="D757" t="s">
        <v>8401</v>
      </c>
    </row>
    <row r="758" spans="1:4" x14ac:dyDescent="0.25">
      <c r="A758" s="63" t="s">
        <v>3070</v>
      </c>
      <c r="B758" t="s">
        <v>1520</v>
      </c>
      <c r="C758" t="s">
        <v>5043</v>
      </c>
      <c r="D758" t="s">
        <v>8401</v>
      </c>
    </row>
    <row r="759" spans="1:4" x14ac:dyDescent="0.25">
      <c r="A759" s="63" t="s">
        <v>6409</v>
      </c>
      <c r="B759" t="s">
        <v>2069</v>
      </c>
      <c r="C759" t="s">
        <v>5043</v>
      </c>
      <c r="D759" t="s">
        <v>8401</v>
      </c>
    </row>
    <row r="760" spans="1:4" x14ac:dyDescent="0.25">
      <c r="A760" s="63" t="s">
        <v>7526</v>
      </c>
      <c r="B760" t="s">
        <v>2068</v>
      </c>
      <c r="C760" t="s">
        <v>5043</v>
      </c>
      <c r="D760" t="s">
        <v>8401</v>
      </c>
    </row>
    <row r="761" spans="1:4" x14ac:dyDescent="0.25">
      <c r="A761" s="63" t="s">
        <v>8385</v>
      </c>
      <c r="B761" t="s">
        <v>8386</v>
      </c>
      <c r="C761" t="s">
        <v>5043</v>
      </c>
      <c r="D761" t="s">
        <v>8401</v>
      </c>
    </row>
    <row r="762" spans="1:4" x14ac:dyDescent="0.25">
      <c r="A762" s="63" t="s">
        <v>3071</v>
      </c>
      <c r="B762" t="s">
        <v>1938</v>
      </c>
      <c r="C762" t="s">
        <v>5043</v>
      </c>
      <c r="D762" t="s">
        <v>8401</v>
      </c>
    </row>
    <row r="763" spans="1:4" x14ac:dyDescent="0.25">
      <c r="A763" s="63" t="s">
        <v>7527</v>
      </c>
      <c r="B763" t="s">
        <v>2067</v>
      </c>
      <c r="C763" t="s">
        <v>5043</v>
      </c>
      <c r="D763" t="s">
        <v>8401</v>
      </c>
    </row>
    <row r="764" spans="1:4" x14ac:dyDescent="0.25">
      <c r="A764" s="63" t="s">
        <v>3072</v>
      </c>
      <c r="B764" t="s">
        <v>1939</v>
      </c>
      <c r="C764" t="s">
        <v>5043</v>
      </c>
      <c r="D764" t="s">
        <v>8401</v>
      </c>
    </row>
    <row r="765" spans="1:4" x14ac:dyDescent="0.25">
      <c r="A765" s="63" t="s">
        <v>3073</v>
      </c>
      <c r="B765" t="s">
        <v>1941</v>
      </c>
      <c r="C765" t="s">
        <v>5043</v>
      </c>
      <c r="D765" t="s">
        <v>8401</v>
      </c>
    </row>
    <row r="766" spans="1:4" x14ac:dyDescent="0.25">
      <c r="A766" s="63" t="s">
        <v>3074</v>
      </c>
      <c r="B766" t="s">
        <v>2393</v>
      </c>
      <c r="C766" t="s">
        <v>5043</v>
      </c>
      <c r="D766" t="s">
        <v>8401</v>
      </c>
    </row>
    <row r="767" spans="1:4" x14ac:dyDescent="0.25">
      <c r="A767" s="63" t="s">
        <v>4581</v>
      </c>
      <c r="B767" t="s">
        <v>1469</v>
      </c>
      <c r="C767" t="s">
        <v>5043</v>
      </c>
      <c r="D767" t="s">
        <v>8401</v>
      </c>
    </row>
    <row r="768" spans="1:4" x14ac:dyDescent="0.25">
      <c r="A768" s="63" t="s">
        <v>4582</v>
      </c>
      <c r="B768" t="s">
        <v>1469</v>
      </c>
      <c r="C768" t="s">
        <v>5043</v>
      </c>
      <c r="D768" t="s">
        <v>8401</v>
      </c>
    </row>
    <row r="769" spans="1:4" x14ac:dyDescent="0.25">
      <c r="A769" s="63" t="s">
        <v>4583</v>
      </c>
      <c r="B769" t="s">
        <v>1468</v>
      </c>
      <c r="C769" t="s">
        <v>5043</v>
      </c>
      <c r="D769" t="s">
        <v>8401</v>
      </c>
    </row>
    <row r="770" spans="1:4" x14ac:dyDescent="0.25">
      <c r="A770" s="63" t="s">
        <v>7528</v>
      </c>
      <c r="B770" t="s">
        <v>1468</v>
      </c>
      <c r="C770" t="s">
        <v>5043</v>
      </c>
      <c r="D770" t="s">
        <v>8401</v>
      </c>
    </row>
    <row r="771" spans="1:4" x14ac:dyDescent="0.25">
      <c r="A771" s="63" t="s">
        <v>4579</v>
      </c>
      <c r="B771" t="s">
        <v>1467</v>
      </c>
      <c r="C771" t="s">
        <v>5043</v>
      </c>
      <c r="D771" t="s">
        <v>8401</v>
      </c>
    </row>
    <row r="772" spans="1:4" x14ac:dyDescent="0.25">
      <c r="A772" s="63" t="s">
        <v>7529</v>
      </c>
      <c r="B772" t="s">
        <v>1467</v>
      </c>
      <c r="C772" t="s">
        <v>5043</v>
      </c>
      <c r="D772" t="s">
        <v>8401</v>
      </c>
    </row>
    <row r="773" spans="1:4" x14ac:dyDescent="0.25">
      <c r="A773" s="63" t="s">
        <v>7530</v>
      </c>
      <c r="B773" t="s">
        <v>1406</v>
      </c>
      <c r="C773" t="s">
        <v>5043</v>
      </c>
      <c r="D773" t="s">
        <v>8401</v>
      </c>
    </row>
    <row r="774" spans="1:4" x14ac:dyDescent="0.25">
      <c r="A774" s="63" t="s">
        <v>7531</v>
      </c>
      <c r="B774" t="s">
        <v>1406</v>
      </c>
      <c r="C774" t="s">
        <v>5043</v>
      </c>
      <c r="D774" t="s">
        <v>8401</v>
      </c>
    </row>
    <row r="775" spans="1:4" x14ac:dyDescent="0.25">
      <c r="A775" s="63" t="s">
        <v>7532</v>
      </c>
      <c r="B775" t="s">
        <v>1406</v>
      </c>
      <c r="C775" t="s">
        <v>5043</v>
      </c>
      <c r="D775" t="s">
        <v>8401</v>
      </c>
    </row>
    <row r="776" spans="1:4" x14ac:dyDescent="0.25">
      <c r="A776" s="63" t="s">
        <v>7533</v>
      </c>
      <c r="B776" t="s">
        <v>1406</v>
      </c>
      <c r="C776" t="s">
        <v>5043</v>
      </c>
      <c r="D776" t="s">
        <v>8401</v>
      </c>
    </row>
    <row r="777" spans="1:4" x14ac:dyDescent="0.25">
      <c r="A777" s="63" t="s">
        <v>7534</v>
      </c>
      <c r="B777" t="s">
        <v>1406</v>
      </c>
      <c r="C777" t="s">
        <v>5043</v>
      </c>
      <c r="D777" t="s">
        <v>8401</v>
      </c>
    </row>
    <row r="778" spans="1:4" x14ac:dyDescent="0.25">
      <c r="A778" s="63" t="s">
        <v>7535</v>
      </c>
      <c r="B778" t="s">
        <v>1406</v>
      </c>
      <c r="C778" t="s">
        <v>5043</v>
      </c>
      <c r="D778" t="s">
        <v>8401</v>
      </c>
    </row>
    <row r="779" spans="1:4" x14ac:dyDescent="0.25">
      <c r="A779" s="63" t="s">
        <v>7536</v>
      </c>
      <c r="B779" t="s">
        <v>1406</v>
      </c>
      <c r="C779" t="s">
        <v>5043</v>
      </c>
      <c r="D779" t="s">
        <v>8401</v>
      </c>
    </row>
    <row r="780" spans="1:4" x14ac:dyDescent="0.25">
      <c r="A780" s="63" t="s">
        <v>7537</v>
      </c>
      <c r="B780" t="s">
        <v>1406</v>
      </c>
      <c r="C780" t="s">
        <v>5043</v>
      </c>
      <c r="D780" t="s">
        <v>8401</v>
      </c>
    </row>
    <row r="781" spans="1:4" x14ac:dyDescent="0.25">
      <c r="A781" s="63" t="s">
        <v>5905</v>
      </c>
      <c r="B781" t="s">
        <v>1406</v>
      </c>
      <c r="C781" t="s">
        <v>5043</v>
      </c>
      <c r="D781" t="s">
        <v>8401</v>
      </c>
    </row>
    <row r="782" spans="1:4" x14ac:dyDescent="0.25">
      <c r="A782" s="63" t="s">
        <v>7538</v>
      </c>
      <c r="B782" t="s">
        <v>1406</v>
      </c>
      <c r="C782" t="s">
        <v>5043</v>
      </c>
      <c r="D782" t="s">
        <v>8401</v>
      </c>
    </row>
    <row r="783" spans="1:4" x14ac:dyDescent="0.25">
      <c r="A783" s="63" t="s">
        <v>8387</v>
      </c>
      <c r="B783" t="s">
        <v>1406</v>
      </c>
      <c r="C783" t="s">
        <v>5043</v>
      </c>
      <c r="D783" t="s">
        <v>8401</v>
      </c>
    </row>
    <row r="784" spans="1:4" x14ac:dyDescent="0.25">
      <c r="A784" s="63" t="s">
        <v>8388</v>
      </c>
      <c r="B784" t="s">
        <v>1406</v>
      </c>
      <c r="C784" t="s">
        <v>5043</v>
      </c>
      <c r="D784" t="s">
        <v>8401</v>
      </c>
    </row>
    <row r="785" spans="1:4" x14ac:dyDescent="0.25">
      <c r="A785" s="63" t="s">
        <v>7539</v>
      </c>
      <c r="B785" t="s">
        <v>2173</v>
      </c>
      <c r="C785" t="s">
        <v>5043</v>
      </c>
      <c r="D785" t="s">
        <v>8401</v>
      </c>
    </row>
    <row r="786" spans="1:4" x14ac:dyDescent="0.25">
      <c r="A786" s="63" t="s">
        <v>7540</v>
      </c>
      <c r="B786" t="s">
        <v>2173</v>
      </c>
      <c r="C786" t="s">
        <v>5043</v>
      </c>
      <c r="D786" t="s">
        <v>8401</v>
      </c>
    </row>
    <row r="787" spans="1:4" x14ac:dyDescent="0.25">
      <c r="A787" s="63" t="s">
        <v>7541</v>
      </c>
      <c r="B787" t="s">
        <v>1407</v>
      </c>
      <c r="C787" t="s">
        <v>5043</v>
      </c>
      <c r="D787" t="s">
        <v>8401</v>
      </c>
    </row>
    <row r="788" spans="1:4" x14ac:dyDescent="0.25">
      <c r="A788" s="63" t="s">
        <v>7542</v>
      </c>
      <c r="B788" t="s">
        <v>1407</v>
      </c>
      <c r="C788" t="s">
        <v>5043</v>
      </c>
      <c r="D788" t="s">
        <v>8401</v>
      </c>
    </row>
    <row r="789" spans="1:4" x14ac:dyDescent="0.25">
      <c r="A789" s="63" t="s">
        <v>6262</v>
      </c>
      <c r="B789" t="s">
        <v>1396</v>
      </c>
      <c r="C789" t="s">
        <v>5043</v>
      </c>
      <c r="D789" t="s">
        <v>8401</v>
      </c>
    </row>
    <row r="790" spans="1:4" x14ac:dyDescent="0.25">
      <c r="A790" s="63" t="s">
        <v>3075</v>
      </c>
      <c r="B790" t="s">
        <v>1774</v>
      </c>
      <c r="C790" t="s">
        <v>5043</v>
      </c>
      <c r="D790" t="s">
        <v>8401</v>
      </c>
    </row>
    <row r="791" spans="1:4" x14ac:dyDescent="0.25">
      <c r="A791" s="63" t="s">
        <v>6965</v>
      </c>
      <c r="B791" t="s">
        <v>1302</v>
      </c>
      <c r="C791" t="s">
        <v>5043</v>
      </c>
      <c r="D791" t="s">
        <v>8401</v>
      </c>
    </row>
    <row r="792" spans="1:4" x14ac:dyDescent="0.25">
      <c r="A792" s="63" t="s">
        <v>6966</v>
      </c>
      <c r="B792" t="s">
        <v>1302</v>
      </c>
      <c r="C792" t="s">
        <v>5043</v>
      </c>
      <c r="D792" t="s">
        <v>8401</v>
      </c>
    </row>
    <row r="793" spans="1:4" x14ac:dyDescent="0.25">
      <c r="A793" s="63" t="s">
        <v>6967</v>
      </c>
      <c r="B793" t="s">
        <v>2103</v>
      </c>
      <c r="C793" t="s">
        <v>5043</v>
      </c>
      <c r="D793" t="s">
        <v>8401</v>
      </c>
    </row>
    <row r="794" spans="1:4" x14ac:dyDescent="0.25">
      <c r="A794" s="63" t="s">
        <v>5204</v>
      </c>
      <c r="B794" t="s">
        <v>1443</v>
      </c>
      <c r="C794" t="s">
        <v>5043</v>
      </c>
      <c r="D794" t="s">
        <v>8401</v>
      </c>
    </row>
    <row r="795" spans="1:4" x14ac:dyDescent="0.25">
      <c r="A795" s="63" t="s">
        <v>5205</v>
      </c>
      <c r="B795" t="s">
        <v>1443</v>
      </c>
      <c r="C795" t="s">
        <v>5043</v>
      </c>
      <c r="D795" t="s">
        <v>8401</v>
      </c>
    </row>
    <row r="796" spans="1:4" x14ac:dyDescent="0.25">
      <c r="A796" s="63" t="s">
        <v>5206</v>
      </c>
      <c r="B796" t="s">
        <v>1443</v>
      </c>
      <c r="C796" t="s">
        <v>5043</v>
      </c>
      <c r="D796" t="s">
        <v>8401</v>
      </c>
    </row>
    <row r="797" spans="1:4" x14ac:dyDescent="0.25">
      <c r="A797" s="63" t="s">
        <v>5207</v>
      </c>
      <c r="B797" t="s">
        <v>1443</v>
      </c>
      <c r="C797" t="s">
        <v>5043</v>
      </c>
      <c r="D797" t="s">
        <v>8401</v>
      </c>
    </row>
    <row r="798" spans="1:4" x14ac:dyDescent="0.25">
      <c r="A798" s="63" t="s">
        <v>5208</v>
      </c>
      <c r="B798" t="s">
        <v>1443</v>
      </c>
      <c r="C798" t="s">
        <v>5043</v>
      </c>
      <c r="D798" t="s">
        <v>8401</v>
      </c>
    </row>
    <row r="799" spans="1:4" x14ac:dyDescent="0.25">
      <c r="A799" s="63" t="s">
        <v>5209</v>
      </c>
      <c r="B799" t="s">
        <v>1443</v>
      </c>
      <c r="C799" t="s">
        <v>5043</v>
      </c>
      <c r="D799" t="s">
        <v>8401</v>
      </c>
    </row>
    <row r="800" spans="1:4" x14ac:dyDescent="0.25">
      <c r="A800" s="63" t="s">
        <v>5210</v>
      </c>
      <c r="B800" t="s">
        <v>1443</v>
      </c>
      <c r="C800" t="s">
        <v>5043</v>
      </c>
      <c r="D800" t="s">
        <v>8401</v>
      </c>
    </row>
    <row r="801" spans="1:4" x14ac:dyDescent="0.25">
      <c r="A801" s="63" t="s">
        <v>7543</v>
      </c>
      <c r="B801" t="s">
        <v>1548</v>
      </c>
      <c r="C801" t="s">
        <v>5043</v>
      </c>
      <c r="D801" t="s">
        <v>8401</v>
      </c>
    </row>
    <row r="802" spans="1:4" x14ac:dyDescent="0.25">
      <c r="A802" s="63" t="s">
        <v>7544</v>
      </c>
      <c r="B802" t="s">
        <v>1548</v>
      </c>
      <c r="C802" t="s">
        <v>5043</v>
      </c>
      <c r="D802" t="s">
        <v>8401</v>
      </c>
    </row>
    <row r="803" spans="1:4" x14ac:dyDescent="0.25">
      <c r="A803" s="63" t="s">
        <v>7545</v>
      </c>
      <c r="B803" t="s">
        <v>1548</v>
      </c>
      <c r="C803" t="s">
        <v>5043</v>
      </c>
      <c r="D803" t="s">
        <v>8401</v>
      </c>
    </row>
    <row r="804" spans="1:4" x14ac:dyDescent="0.25">
      <c r="A804" s="63" t="s">
        <v>7546</v>
      </c>
      <c r="B804" t="s">
        <v>1548</v>
      </c>
      <c r="C804" t="s">
        <v>5043</v>
      </c>
      <c r="D804" t="s">
        <v>8401</v>
      </c>
    </row>
    <row r="805" spans="1:4" x14ac:dyDescent="0.25">
      <c r="A805" s="63" t="s">
        <v>7547</v>
      </c>
      <c r="B805" t="s">
        <v>1727</v>
      </c>
      <c r="C805" t="s">
        <v>5043</v>
      </c>
      <c r="D805" t="s">
        <v>8401</v>
      </c>
    </row>
    <row r="806" spans="1:4" x14ac:dyDescent="0.25">
      <c r="A806" s="63" t="s">
        <v>7548</v>
      </c>
      <c r="B806" t="s">
        <v>1726</v>
      </c>
      <c r="C806" t="s">
        <v>5043</v>
      </c>
      <c r="D806" t="s">
        <v>8401</v>
      </c>
    </row>
    <row r="807" spans="1:4" x14ac:dyDescent="0.25">
      <c r="A807" s="63" t="s">
        <v>7549</v>
      </c>
      <c r="B807" t="s">
        <v>1725</v>
      </c>
      <c r="C807" t="s">
        <v>5043</v>
      </c>
      <c r="D807" t="s">
        <v>8401</v>
      </c>
    </row>
    <row r="808" spans="1:4" x14ac:dyDescent="0.25">
      <c r="A808" s="63" t="s">
        <v>7550</v>
      </c>
      <c r="B808" t="s">
        <v>1431</v>
      </c>
      <c r="C808" t="s">
        <v>5043</v>
      </c>
      <c r="D808" t="s">
        <v>8401</v>
      </c>
    </row>
    <row r="809" spans="1:4" x14ac:dyDescent="0.25">
      <c r="A809" s="63" t="s">
        <v>5333</v>
      </c>
      <c r="B809" t="s">
        <v>1957</v>
      </c>
      <c r="C809" t="s">
        <v>5043</v>
      </c>
      <c r="D809" t="s">
        <v>8401</v>
      </c>
    </row>
    <row r="810" spans="1:4" x14ac:dyDescent="0.25">
      <c r="A810" s="63" t="s">
        <v>5334</v>
      </c>
      <c r="B810" t="s">
        <v>1957</v>
      </c>
      <c r="C810" t="s">
        <v>5043</v>
      </c>
      <c r="D810" t="s">
        <v>8401</v>
      </c>
    </row>
    <row r="811" spans="1:4" x14ac:dyDescent="0.25">
      <c r="A811" s="63" t="s">
        <v>7551</v>
      </c>
      <c r="B811" t="s">
        <v>1610</v>
      </c>
      <c r="C811" t="s">
        <v>5043</v>
      </c>
      <c r="D811" t="s">
        <v>8401</v>
      </c>
    </row>
    <row r="812" spans="1:4" x14ac:dyDescent="0.25">
      <c r="A812" s="63" t="s">
        <v>5569</v>
      </c>
      <c r="B812" t="s">
        <v>1610</v>
      </c>
      <c r="C812" t="s">
        <v>5043</v>
      </c>
      <c r="D812" t="s">
        <v>8401</v>
      </c>
    </row>
    <row r="813" spans="1:4" x14ac:dyDescent="0.25">
      <c r="A813" s="63" t="s">
        <v>3076</v>
      </c>
      <c r="B813" t="s">
        <v>1405</v>
      </c>
      <c r="C813" t="s">
        <v>5043</v>
      </c>
      <c r="D813" t="s">
        <v>8401</v>
      </c>
    </row>
    <row r="814" spans="1:4" x14ac:dyDescent="0.25">
      <c r="A814" s="63" t="s">
        <v>7552</v>
      </c>
      <c r="B814" t="s">
        <v>1405</v>
      </c>
      <c r="C814" t="s">
        <v>5043</v>
      </c>
      <c r="D814" t="s">
        <v>8401</v>
      </c>
    </row>
    <row r="815" spans="1:4" x14ac:dyDescent="0.25">
      <c r="A815" s="63" t="s">
        <v>7553</v>
      </c>
      <c r="B815" t="s">
        <v>1405</v>
      </c>
      <c r="C815" t="s">
        <v>5043</v>
      </c>
      <c r="D815" t="s">
        <v>8401</v>
      </c>
    </row>
    <row r="816" spans="1:4" x14ac:dyDescent="0.25">
      <c r="A816" s="63" t="s">
        <v>3077</v>
      </c>
      <c r="B816" t="s">
        <v>1523</v>
      </c>
      <c r="C816" t="s">
        <v>5043</v>
      </c>
      <c r="D816" t="s">
        <v>8401</v>
      </c>
    </row>
    <row r="817" spans="1:4" x14ac:dyDescent="0.25">
      <c r="A817" s="63" t="s">
        <v>3078</v>
      </c>
      <c r="B817" t="s">
        <v>1524</v>
      </c>
      <c r="C817" t="s">
        <v>5043</v>
      </c>
      <c r="D817" t="s">
        <v>8401</v>
      </c>
    </row>
    <row r="818" spans="1:4" x14ac:dyDescent="0.25">
      <c r="A818" s="63" t="s">
        <v>3079</v>
      </c>
      <c r="B818" t="s">
        <v>1837</v>
      </c>
      <c r="C818" t="s">
        <v>5043</v>
      </c>
      <c r="D818" t="s">
        <v>8401</v>
      </c>
    </row>
    <row r="819" spans="1:4" x14ac:dyDescent="0.25">
      <c r="A819" s="63" t="s">
        <v>3080</v>
      </c>
      <c r="B819" t="s">
        <v>1836</v>
      </c>
      <c r="C819" t="s">
        <v>5043</v>
      </c>
      <c r="D819" t="s">
        <v>8401</v>
      </c>
    </row>
    <row r="820" spans="1:4" x14ac:dyDescent="0.25">
      <c r="A820" s="63" t="s">
        <v>3081</v>
      </c>
      <c r="B820" t="s">
        <v>1835</v>
      </c>
      <c r="C820" t="s">
        <v>5043</v>
      </c>
      <c r="D820" t="s">
        <v>8401</v>
      </c>
    </row>
    <row r="821" spans="1:4" x14ac:dyDescent="0.25">
      <c r="A821" s="63" t="s">
        <v>3082</v>
      </c>
      <c r="B821" t="s">
        <v>1628</v>
      </c>
      <c r="C821" t="s">
        <v>5043</v>
      </c>
      <c r="D821" t="s">
        <v>8401</v>
      </c>
    </row>
    <row r="822" spans="1:4" x14ac:dyDescent="0.25">
      <c r="A822" s="63" t="s">
        <v>3083</v>
      </c>
      <c r="B822" t="s">
        <v>1630</v>
      </c>
      <c r="C822" t="s">
        <v>5043</v>
      </c>
      <c r="D822" t="s">
        <v>8401</v>
      </c>
    </row>
    <row r="823" spans="1:4" x14ac:dyDescent="0.25">
      <c r="A823" s="63" t="s">
        <v>3084</v>
      </c>
      <c r="B823" t="s">
        <v>1527</v>
      </c>
      <c r="C823" t="s">
        <v>5043</v>
      </c>
      <c r="D823" t="s">
        <v>8401</v>
      </c>
    </row>
    <row r="824" spans="1:4" x14ac:dyDescent="0.25">
      <c r="A824" s="63" t="s">
        <v>3085</v>
      </c>
      <c r="B824" t="s">
        <v>1527</v>
      </c>
      <c r="C824" t="s">
        <v>5043</v>
      </c>
      <c r="D824" t="s">
        <v>8401</v>
      </c>
    </row>
    <row r="825" spans="1:4" x14ac:dyDescent="0.25">
      <c r="A825" s="63" t="s">
        <v>3086</v>
      </c>
      <c r="B825" t="s">
        <v>1527</v>
      </c>
      <c r="C825" t="s">
        <v>5043</v>
      </c>
      <c r="D825" t="s">
        <v>8401</v>
      </c>
    </row>
    <row r="826" spans="1:4" x14ac:dyDescent="0.25">
      <c r="A826" s="63" t="s">
        <v>5431</v>
      </c>
      <c r="B826" t="s">
        <v>1527</v>
      </c>
      <c r="C826" t="s">
        <v>5043</v>
      </c>
      <c r="D826" t="s">
        <v>8401</v>
      </c>
    </row>
    <row r="827" spans="1:4" x14ac:dyDescent="0.25">
      <c r="A827" s="63" t="s">
        <v>5864</v>
      </c>
      <c r="B827" t="s">
        <v>1527</v>
      </c>
      <c r="C827" t="s">
        <v>5043</v>
      </c>
      <c r="D827" t="s">
        <v>8401</v>
      </c>
    </row>
    <row r="828" spans="1:4" x14ac:dyDescent="0.25">
      <c r="A828" s="63" t="s">
        <v>7554</v>
      </c>
      <c r="B828" t="s">
        <v>1527</v>
      </c>
      <c r="C828" t="s">
        <v>5043</v>
      </c>
      <c r="D828" t="s">
        <v>8401</v>
      </c>
    </row>
    <row r="829" spans="1:4" x14ac:dyDescent="0.25">
      <c r="A829" s="63" t="s">
        <v>7555</v>
      </c>
      <c r="B829" t="s">
        <v>1527</v>
      </c>
      <c r="C829" t="s">
        <v>5043</v>
      </c>
      <c r="D829" t="s">
        <v>8401</v>
      </c>
    </row>
    <row r="830" spans="1:4" x14ac:dyDescent="0.25">
      <c r="A830" s="63" t="s">
        <v>7556</v>
      </c>
      <c r="B830" t="s">
        <v>1527</v>
      </c>
      <c r="C830" t="s">
        <v>5043</v>
      </c>
      <c r="D830" t="s">
        <v>8401</v>
      </c>
    </row>
    <row r="831" spans="1:4" x14ac:dyDescent="0.25">
      <c r="A831" s="63" t="s">
        <v>7557</v>
      </c>
      <c r="B831" t="s">
        <v>1527</v>
      </c>
      <c r="C831" t="s">
        <v>5043</v>
      </c>
      <c r="D831" t="s">
        <v>8401</v>
      </c>
    </row>
    <row r="832" spans="1:4" x14ac:dyDescent="0.25">
      <c r="A832" s="63" t="s">
        <v>3087</v>
      </c>
      <c r="B832" t="s">
        <v>1736</v>
      </c>
      <c r="C832" t="s">
        <v>5043</v>
      </c>
      <c r="D832" t="s">
        <v>8401</v>
      </c>
    </row>
    <row r="833" spans="1:4" x14ac:dyDescent="0.25">
      <c r="A833" s="63" t="s">
        <v>3088</v>
      </c>
      <c r="B833" t="s">
        <v>1736</v>
      </c>
      <c r="C833" t="s">
        <v>5043</v>
      </c>
      <c r="D833" t="s">
        <v>8401</v>
      </c>
    </row>
    <row r="834" spans="1:4" x14ac:dyDescent="0.25">
      <c r="A834" s="63" t="s">
        <v>3089</v>
      </c>
      <c r="B834" t="s">
        <v>1834</v>
      </c>
      <c r="C834" t="s">
        <v>5043</v>
      </c>
      <c r="D834" t="s">
        <v>8401</v>
      </c>
    </row>
    <row r="835" spans="1:4" x14ac:dyDescent="0.25">
      <c r="A835" s="63" t="s">
        <v>7558</v>
      </c>
      <c r="B835" t="s">
        <v>1242</v>
      </c>
      <c r="C835" t="s">
        <v>5043</v>
      </c>
      <c r="D835" t="s">
        <v>8401</v>
      </c>
    </row>
    <row r="836" spans="1:4" x14ac:dyDescent="0.25">
      <c r="A836" s="63" t="s">
        <v>3090</v>
      </c>
      <c r="B836" t="s">
        <v>1833</v>
      </c>
      <c r="C836" t="s">
        <v>5043</v>
      </c>
      <c r="D836" t="s">
        <v>8401</v>
      </c>
    </row>
    <row r="837" spans="1:4" x14ac:dyDescent="0.25">
      <c r="A837" s="63" t="s">
        <v>3091</v>
      </c>
      <c r="B837" t="s">
        <v>1838</v>
      </c>
      <c r="C837" t="s">
        <v>5043</v>
      </c>
      <c r="D837" t="s">
        <v>8401</v>
      </c>
    </row>
    <row r="838" spans="1:4" x14ac:dyDescent="0.25">
      <c r="A838" s="63" t="s">
        <v>3092</v>
      </c>
      <c r="B838" t="s">
        <v>1838</v>
      </c>
      <c r="C838" t="s">
        <v>5043</v>
      </c>
      <c r="D838" t="s">
        <v>8401</v>
      </c>
    </row>
    <row r="839" spans="1:4" x14ac:dyDescent="0.25">
      <c r="A839" s="63" t="s">
        <v>3093</v>
      </c>
      <c r="B839" t="s">
        <v>1925</v>
      </c>
      <c r="C839" t="s">
        <v>5043</v>
      </c>
      <c r="D839" t="s">
        <v>8401</v>
      </c>
    </row>
    <row r="840" spans="1:4" x14ac:dyDescent="0.25">
      <c r="A840" s="63" t="s">
        <v>3094</v>
      </c>
      <c r="B840" t="s">
        <v>1624</v>
      </c>
      <c r="C840" t="s">
        <v>5043</v>
      </c>
      <c r="D840" t="s">
        <v>8401</v>
      </c>
    </row>
    <row r="841" spans="1:4" x14ac:dyDescent="0.25">
      <c r="A841" s="63" t="s">
        <v>3095</v>
      </c>
      <c r="B841" t="s">
        <v>1923</v>
      </c>
      <c r="C841" t="s">
        <v>5043</v>
      </c>
      <c r="D841" t="s">
        <v>8401</v>
      </c>
    </row>
    <row r="842" spans="1:4" x14ac:dyDescent="0.25">
      <c r="A842" s="63" t="s">
        <v>3096</v>
      </c>
      <c r="B842" t="s">
        <v>1805</v>
      </c>
      <c r="C842" t="s">
        <v>5043</v>
      </c>
      <c r="D842" t="s">
        <v>8401</v>
      </c>
    </row>
    <row r="843" spans="1:4" x14ac:dyDescent="0.25">
      <c r="A843" s="63" t="s">
        <v>3097</v>
      </c>
      <c r="B843" t="s">
        <v>2425</v>
      </c>
      <c r="C843" t="s">
        <v>5043</v>
      </c>
      <c r="D843" t="s">
        <v>8401</v>
      </c>
    </row>
    <row r="844" spans="1:4" x14ac:dyDescent="0.25">
      <c r="A844" s="63" t="s">
        <v>7559</v>
      </c>
      <c r="B844" t="s">
        <v>1262</v>
      </c>
      <c r="C844" t="s">
        <v>5043</v>
      </c>
      <c r="D844" t="s">
        <v>8401</v>
      </c>
    </row>
    <row r="845" spans="1:4" x14ac:dyDescent="0.25">
      <c r="A845" s="63" t="s">
        <v>3098</v>
      </c>
      <c r="B845" t="s">
        <v>1928</v>
      </c>
      <c r="C845" t="s">
        <v>5043</v>
      </c>
      <c r="D845" t="s">
        <v>8401</v>
      </c>
    </row>
    <row r="846" spans="1:4" x14ac:dyDescent="0.25">
      <c r="A846" s="63" t="s">
        <v>3099</v>
      </c>
      <c r="B846" t="s">
        <v>1806</v>
      </c>
      <c r="C846" t="s">
        <v>5043</v>
      </c>
      <c r="D846" t="s">
        <v>8401</v>
      </c>
    </row>
    <row r="847" spans="1:4" x14ac:dyDescent="0.25">
      <c r="A847" s="63" t="s">
        <v>3100</v>
      </c>
      <c r="B847" t="s">
        <v>1806</v>
      </c>
      <c r="C847" t="s">
        <v>5043</v>
      </c>
      <c r="D847" t="s">
        <v>8401</v>
      </c>
    </row>
    <row r="848" spans="1:4" x14ac:dyDescent="0.25">
      <c r="A848" s="63" t="s">
        <v>3101</v>
      </c>
      <c r="B848" t="s">
        <v>1806</v>
      </c>
      <c r="C848" t="s">
        <v>5043</v>
      </c>
      <c r="D848" t="s">
        <v>8401</v>
      </c>
    </row>
    <row r="849" spans="1:4" x14ac:dyDescent="0.25">
      <c r="A849" s="63" t="s">
        <v>7560</v>
      </c>
      <c r="B849" t="s">
        <v>2417</v>
      </c>
      <c r="C849" t="s">
        <v>5043</v>
      </c>
      <c r="D849" t="s">
        <v>8401</v>
      </c>
    </row>
    <row r="850" spans="1:4" x14ac:dyDescent="0.25">
      <c r="A850" s="63" t="s">
        <v>3102</v>
      </c>
      <c r="B850" t="s">
        <v>1370</v>
      </c>
      <c r="C850" t="s">
        <v>5043</v>
      </c>
      <c r="D850" t="s">
        <v>8401</v>
      </c>
    </row>
    <row r="851" spans="1:4" x14ac:dyDescent="0.25">
      <c r="A851" s="63" t="s">
        <v>3103</v>
      </c>
      <c r="B851" t="s">
        <v>1370</v>
      </c>
      <c r="C851" t="s">
        <v>5043</v>
      </c>
      <c r="D851" t="s">
        <v>8401</v>
      </c>
    </row>
    <row r="852" spans="1:4" x14ac:dyDescent="0.25">
      <c r="A852" s="63" t="s">
        <v>7130</v>
      </c>
      <c r="B852" t="s">
        <v>1280</v>
      </c>
      <c r="C852" t="s">
        <v>5043</v>
      </c>
      <c r="D852" t="s">
        <v>8401</v>
      </c>
    </row>
    <row r="853" spans="1:4" x14ac:dyDescent="0.25">
      <c r="A853" s="63" t="s">
        <v>7131</v>
      </c>
      <c r="B853" t="s">
        <v>1280</v>
      </c>
      <c r="C853" t="s">
        <v>5043</v>
      </c>
      <c r="D853" t="s">
        <v>8401</v>
      </c>
    </row>
    <row r="854" spans="1:4" x14ac:dyDescent="0.25">
      <c r="A854" s="63" t="s">
        <v>3104</v>
      </c>
      <c r="B854" t="s">
        <v>2105</v>
      </c>
      <c r="C854" t="s">
        <v>5043</v>
      </c>
      <c r="D854" t="s">
        <v>8401</v>
      </c>
    </row>
    <row r="855" spans="1:4" x14ac:dyDescent="0.25">
      <c r="A855" s="63" t="s">
        <v>3105</v>
      </c>
      <c r="B855" t="s">
        <v>2105</v>
      </c>
      <c r="C855" t="s">
        <v>5043</v>
      </c>
      <c r="D855" t="s">
        <v>8401</v>
      </c>
    </row>
    <row r="856" spans="1:4" x14ac:dyDescent="0.25">
      <c r="A856" s="63" t="s">
        <v>3106</v>
      </c>
      <c r="B856" t="s">
        <v>2679</v>
      </c>
      <c r="C856" t="s">
        <v>5043</v>
      </c>
      <c r="D856" t="s">
        <v>8401</v>
      </c>
    </row>
    <row r="857" spans="1:4" x14ac:dyDescent="0.25">
      <c r="A857" s="63" t="s">
        <v>3107</v>
      </c>
      <c r="B857" t="s">
        <v>1926</v>
      </c>
      <c r="C857" t="s">
        <v>5043</v>
      </c>
      <c r="D857" t="s">
        <v>8401</v>
      </c>
    </row>
    <row r="858" spans="1:4" x14ac:dyDescent="0.25">
      <c r="A858" s="63" t="s">
        <v>3108</v>
      </c>
      <c r="B858" t="s">
        <v>1926</v>
      </c>
      <c r="C858" t="s">
        <v>5043</v>
      </c>
      <c r="D858" t="s">
        <v>8401</v>
      </c>
    </row>
    <row r="859" spans="1:4" x14ac:dyDescent="0.25">
      <c r="A859" s="63" t="s">
        <v>6869</v>
      </c>
      <c r="B859" t="s">
        <v>7561</v>
      </c>
      <c r="C859" t="s">
        <v>5043</v>
      </c>
      <c r="D859" t="s">
        <v>8401</v>
      </c>
    </row>
    <row r="860" spans="1:4" x14ac:dyDescent="0.25">
      <c r="A860" s="63" t="s">
        <v>7118</v>
      </c>
      <c r="B860" t="s">
        <v>2389</v>
      </c>
      <c r="C860" t="s">
        <v>5043</v>
      </c>
      <c r="D860" t="s">
        <v>8401</v>
      </c>
    </row>
    <row r="861" spans="1:4" x14ac:dyDescent="0.25">
      <c r="A861" s="63" t="s">
        <v>7562</v>
      </c>
      <c r="B861" t="s">
        <v>2387</v>
      </c>
      <c r="C861" t="s">
        <v>5043</v>
      </c>
      <c r="D861" t="s">
        <v>8401</v>
      </c>
    </row>
    <row r="862" spans="1:4" x14ac:dyDescent="0.25">
      <c r="A862" s="63" t="s">
        <v>7563</v>
      </c>
      <c r="B862" t="s">
        <v>1386</v>
      </c>
      <c r="C862" t="s">
        <v>5043</v>
      </c>
      <c r="D862" t="s">
        <v>8401</v>
      </c>
    </row>
    <row r="863" spans="1:4" x14ac:dyDescent="0.25">
      <c r="A863" s="63" t="s">
        <v>7564</v>
      </c>
      <c r="B863" t="s">
        <v>1386</v>
      </c>
      <c r="C863" t="s">
        <v>5043</v>
      </c>
      <c r="D863" t="s">
        <v>8401</v>
      </c>
    </row>
    <row r="864" spans="1:4" x14ac:dyDescent="0.25">
      <c r="A864" s="63" t="s">
        <v>3109</v>
      </c>
      <c r="B864" t="s">
        <v>2336</v>
      </c>
      <c r="C864" t="s">
        <v>5043</v>
      </c>
      <c r="D864" t="s">
        <v>8401</v>
      </c>
    </row>
    <row r="865" spans="1:4" x14ac:dyDescent="0.25">
      <c r="A865" s="63" t="s">
        <v>6980</v>
      </c>
      <c r="B865" t="s">
        <v>2140</v>
      </c>
      <c r="C865" t="s">
        <v>5043</v>
      </c>
      <c r="D865" t="s">
        <v>8401</v>
      </c>
    </row>
    <row r="866" spans="1:4" x14ac:dyDescent="0.25">
      <c r="A866" s="63" t="s">
        <v>3110</v>
      </c>
      <c r="B866" t="s">
        <v>2283</v>
      </c>
      <c r="C866" t="s">
        <v>5043</v>
      </c>
      <c r="D866" t="s">
        <v>8401</v>
      </c>
    </row>
    <row r="867" spans="1:4" x14ac:dyDescent="0.25">
      <c r="A867" s="63" t="s">
        <v>3111</v>
      </c>
      <c r="B867" t="s">
        <v>2283</v>
      </c>
      <c r="C867" t="s">
        <v>5043</v>
      </c>
      <c r="D867" t="s">
        <v>8401</v>
      </c>
    </row>
    <row r="868" spans="1:4" x14ac:dyDescent="0.25">
      <c r="A868" s="63" t="s">
        <v>7047</v>
      </c>
      <c r="B868" t="s">
        <v>2166</v>
      </c>
      <c r="C868" t="s">
        <v>5043</v>
      </c>
      <c r="D868" t="s">
        <v>8401</v>
      </c>
    </row>
    <row r="869" spans="1:4" x14ac:dyDescent="0.25">
      <c r="A869" s="63" t="s">
        <v>6442</v>
      </c>
      <c r="B869" t="s">
        <v>2166</v>
      </c>
      <c r="C869" t="s">
        <v>5043</v>
      </c>
      <c r="D869" t="s">
        <v>8401</v>
      </c>
    </row>
    <row r="870" spans="1:4" x14ac:dyDescent="0.25">
      <c r="A870" s="63" t="s">
        <v>3112</v>
      </c>
      <c r="B870" t="s">
        <v>1308</v>
      </c>
      <c r="C870" t="s">
        <v>5043</v>
      </c>
      <c r="D870" t="s">
        <v>8401</v>
      </c>
    </row>
    <row r="871" spans="1:4" x14ac:dyDescent="0.25">
      <c r="A871" s="63" t="s">
        <v>3113</v>
      </c>
      <c r="B871" t="s">
        <v>1308</v>
      </c>
      <c r="C871" t="s">
        <v>5043</v>
      </c>
      <c r="D871" t="s">
        <v>8401</v>
      </c>
    </row>
    <row r="872" spans="1:4" x14ac:dyDescent="0.25">
      <c r="A872" s="63" t="s">
        <v>6127</v>
      </c>
      <c r="B872" t="s">
        <v>2369</v>
      </c>
      <c r="C872" t="s">
        <v>5043</v>
      </c>
      <c r="D872" t="s">
        <v>8401</v>
      </c>
    </row>
    <row r="873" spans="1:4" x14ac:dyDescent="0.25">
      <c r="A873" s="63" t="s">
        <v>6128</v>
      </c>
      <c r="B873" t="s">
        <v>2369</v>
      </c>
      <c r="C873" t="s">
        <v>5043</v>
      </c>
      <c r="D873" t="s">
        <v>8401</v>
      </c>
    </row>
    <row r="874" spans="1:4" x14ac:dyDescent="0.25">
      <c r="A874" s="63" t="s">
        <v>3114</v>
      </c>
      <c r="B874" t="s">
        <v>2369</v>
      </c>
      <c r="C874" t="s">
        <v>5043</v>
      </c>
      <c r="D874" t="s">
        <v>8401</v>
      </c>
    </row>
    <row r="875" spans="1:4" x14ac:dyDescent="0.25">
      <c r="A875" s="63" t="s">
        <v>7565</v>
      </c>
      <c r="B875" t="s">
        <v>1444</v>
      </c>
      <c r="C875" t="s">
        <v>5043</v>
      </c>
      <c r="D875" t="s">
        <v>8401</v>
      </c>
    </row>
    <row r="876" spans="1:4" x14ac:dyDescent="0.25">
      <c r="A876" s="63" t="s">
        <v>3115</v>
      </c>
      <c r="B876" t="s">
        <v>2370</v>
      </c>
      <c r="C876" t="s">
        <v>5043</v>
      </c>
      <c r="D876" t="s">
        <v>8401</v>
      </c>
    </row>
    <row r="877" spans="1:4" x14ac:dyDescent="0.25">
      <c r="A877" s="63" t="s">
        <v>5946</v>
      </c>
      <c r="B877" t="s">
        <v>2370</v>
      </c>
      <c r="C877" t="s">
        <v>5043</v>
      </c>
      <c r="D877" t="s">
        <v>8401</v>
      </c>
    </row>
    <row r="878" spans="1:4" x14ac:dyDescent="0.25">
      <c r="A878" s="63" t="s">
        <v>7566</v>
      </c>
      <c r="B878" t="s">
        <v>1602</v>
      </c>
      <c r="C878" t="s">
        <v>5043</v>
      </c>
      <c r="D878" t="s">
        <v>8401</v>
      </c>
    </row>
    <row r="879" spans="1:4" x14ac:dyDescent="0.25">
      <c r="A879" s="63" t="s">
        <v>7567</v>
      </c>
      <c r="B879" t="s">
        <v>1602</v>
      </c>
      <c r="C879" t="s">
        <v>5043</v>
      </c>
      <c r="D879" t="s">
        <v>8401</v>
      </c>
    </row>
    <row r="880" spans="1:4" x14ac:dyDescent="0.25">
      <c r="A880" s="63" t="s">
        <v>6006</v>
      </c>
      <c r="B880" t="s">
        <v>1602</v>
      </c>
      <c r="C880" t="s">
        <v>5043</v>
      </c>
      <c r="D880" t="s">
        <v>8401</v>
      </c>
    </row>
    <row r="881" spans="1:4" x14ac:dyDescent="0.25">
      <c r="A881" s="63" t="s">
        <v>6052</v>
      </c>
      <c r="B881" t="s">
        <v>1602</v>
      </c>
      <c r="C881" t="s">
        <v>5043</v>
      </c>
      <c r="D881" t="s">
        <v>8401</v>
      </c>
    </row>
    <row r="882" spans="1:4" x14ac:dyDescent="0.25">
      <c r="A882" s="63" t="s">
        <v>6053</v>
      </c>
      <c r="B882" t="s">
        <v>1602</v>
      </c>
      <c r="C882" t="s">
        <v>5043</v>
      </c>
      <c r="D882" t="s">
        <v>8401</v>
      </c>
    </row>
    <row r="883" spans="1:4" x14ac:dyDescent="0.25">
      <c r="A883" s="63" t="s">
        <v>6054</v>
      </c>
      <c r="B883" t="s">
        <v>1570</v>
      </c>
      <c r="C883" t="s">
        <v>5043</v>
      </c>
      <c r="D883" t="s">
        <v>8401</v>
      </c>
    </row>
    <row r="884" spans="1:4" x14ac:dyDescent="0.25">
      <c r="A884" s="63" t="s">
        <v>7568</v>
      </c>
      <c r="B884" t="s">
        <v>1570</v>
      </c>
      <c r="C884" t="s">
        <v>5043</v>
      </c>
      <c r="D884" t="s">
        <v>8401</v>
      </c>
    </row>
    <row r="885" spans="1:4" x14ac:dyDescent="0.25">
      <c r="A885" s="63" t="s">
        <v>7569</v>
      </c>
      <c r="B885" t="s">
        <v>1570</v>
      </c>
      <c r="C885" t="s">
        <v>5043</v>
      </c>
      <c r="D885" t="s">
        <v>8401</v>
      </c>
    </row>
    <row r="886" spans="1:4" x14ac:dyDescent="0.25">
      <c r="A886" s="63" t="s">
        <v>5802</v>
      </c>
      <c r="B886" t="s">
        <v>1561</v>
      </c>
      <c r="C886" t="s">
        <v>5043</v>
      </c>
      <c r="D886" t="s">
        <v>8401</v>
      </c>
    </row>
    <row r="887" spans="1:4" x14ac:dyDescent="0.25">
      <c r="A887" s="63" t="s">
        <v>5803</v>
      </c>
      <c r="B887" t="s">
        <v>1561</v>
      </c>
      <c r="C887" t="s">
        <v>5043</v>
      </c>
      <c r="D887" t="s">
        <v>8401</v>
      </c>
    </row>
    <row r="888" spans="1:4" x14ac:dyDescent="0.25">
      <c r="A888" s="63" t="s">
        <v>5804</v>
      </c>
      <c r="B888" t="s">
        <v>1561</v>
      </c>
      <c r="C888" t="s">
        <v>5043</v>
      </c>
      <c r="D888" t="s">
        <v>8401</v>
      </c>
    </row>
    <row r="889" spans="1:4" x14ac:dyDescent="0.25">
      <c r="A889" s="63" t="s">
        <v>5805</v>
      </c>
      <c r="B889" t="s">
        <v>1561</v>
      </c>
      <c r="C889" t="s">
        <v>5043</v>
      </c>
      <c r="D889" t="s">
        <v>8401</v>
      </c>
    </row>
    <row r="890" spans="1:4" x14ac:dyDescent="0.25">
      <c r="A890" s="63" t="s">
        <v>5806</v>
      </c>
      <c r="B890" t="s">
        <v>1561</v>
      </c>
      <c r="C890" t="s">
        <v>5043</v>
      </c>
      <c r="D890" t="s">
        <v>8401</v>
      </c>
    </row>
    <row r="891" spans="1:4" x14ac:dyDescent="0.25">
      <c r="A891" s="63" t="s">
        <v>7570</v>
      </c>
      <c r="B891" t="s">
        <v>1561</v>
      </c>
      <c r="C891" t="s">
        <v>5043</v>
      </c>
      <c r="D891" t="s">
        <v>8401</v>
      </c>
    </row>
    <row r="892" spans="1:4" x14ac:dyDescent="0.25">
      <c r="A892" s="63" t="s">
        <v>5807</v>
      </c>
      <c r="B892" t="s">
        <v>1561</v>
      </c>
      <c r="C892" t="s">
        <v>5043</v>
      </c>
      <c r="D892" t="s">
        <v>8401</v>
      </c>
    </row>
    <row r="893" spans="1:4" x14ac:dyDescent="0.25">
      <c r="A893" s="63" t="s">
        <v>5808</v>
      </c>
      <c r="B893" t="s">
        <v>1561</v>
      </c>
      <c r="C893" t="s">
        <v>5043</v>
      </c>
      <c r="D893" t="s">
        <v>8401</v>
      </c>
    </row>
    <row r="894" spans="1:4" x14ac:dyDescent="0.25">
      <c r="A894" s="63" t="s">
        <v>5809</v>
      </c>
      <c r="B894" t="s">
        <v>1561</v>
      </c>
      <c r="C894" t="s">
        <v>5043</v>
      </c>
      <c r="D894" t="s">
        <v>8401</v>
      </c>
    </row>
    <row r="895" spans="1:4" x14ac:dyDescent="0.25">
      <c r="A895" s="63" t="s">
        <v>7571</v>
      </c>
      <c r="B895" t="s">
        <v>1561</v>
      </c>
      <c r="C895" t="s">
        <v>5043</v>
      </c>
      <c r="D895" t="s">
        <v>8401</v>
      </c>
    </row>
    <row r="896" spans="1:4" x14ac:dyDescent="0.25">
      <c r="A896" s="63" t="s">
        <v>7572</v>
      </c>
      <c r="B896" t="s">
        <v>1561</v>
      </c>
      <c r="C896" t="s">
        <v>5043</v>
      </c>
      <c r="D896" t="s">
        <v>8401</v>
      </c>
    </row>
    <row r="897" spans="1:4" x14ac:dyDescent="0.25">
      <c r="A897" s="63" t="s">
        <v>7573</v>
      </c>
      <c r="B897" t="s">
        <v>1561</v>
      </c>
      <c r="C897" t="s">
        <v>5043</v>
      </c>
      <c r="D897" t="s">
        <v>8401</v>
      </c>
    </row>
    <row r="898" spans="1:4" x14ac:dyDescent="0.25">
      <c r="A898" s="63" t="s">
        <v>7574</v>
      </c>
      <c r="B898" t="s">
        <v>1561</v>
      </c>
      <c r="C898" t="s">
        <v>5043</v>
      </c>
      <c r="D898" t="s">
        <v>8401</v>
      </c>
    </row>
    <row r="899" spans="1:4" x14ac:dyDescent="0.25">
      <c r="A899" s="63" t="s">
        <v>7575</v>
      </c>
      <c r="B899" t="s">
        <v>1561</v>
      </c>
      <c r="C899" t="s">
        <v>5043</v>
      </c>
      <c r="D899" t="s">
        <v>8401</v>
      </c>
    </row>
    <row r="900" spans="1:4" x14ac:dyDescent="0.25">
      <c r="A900" s="63" t="s">
        <v>7576</v>
      </c>
      <c r="B900" t="s">
        <v>1561</v>
      </c>
      <c r="C900" t="s">
        <v>5043</v>
      </c>
      <c r="D900" t="s">
        <v>8401</v>
      </c>
    </row>
    <row r="901" spans="1:4" x14ac:dyDescent="0.25">
      <c r="A901" s="63" t="s">
        <v>7577</v>
      </c>
      <c r="B901" t="s">
        <v>1561</v>
      </c>
      <c r="C901" t="s">
        <v>5043</v>
      </c>
      <c r="D901" t="s">
        <v>8401</v>
      </c>
    </row>
    <row r="902" spans="1:4" x14ac:dyDescent="0.25">
      <c r="A902" s="63" t="s">
        <v>3116</v>
      </c>
      <c r="B902" t="s">
        <v>2335</v>
      </c>
      <c r="C902" t="s">
        <v>5043</v>
      </c>
      <c r="D902" t="s">
        <v>8401</v>
      </c>
    </row>
    <row r="903" spans="1:4" x14ac:dyDescent="0.25">
      <c r="A903" s="63" t="s">
        <v>7578</v>
      </c>
      <c r="B903" t="s">
        <v>1749</v>
      </c>
      <c r="C903" t="s">
        <v>5043</v>
      </c>
      <c r="D903" t="s">
        <v>8401</v>
      </c>
    </row>
    <row r="904" spans="1:4" x14ac:dyDescent="0.25">
      <c r="A904" s="63" t="s">
        <v>7579</v>
      </c>
      <c r="B904" t="s">
        <v>1749</v>
      </c>
      <c r="C904" t="s">
        <v>5043</v>
      </c>
      <c r="D904" t="s">
        <v>8401</v>
      </c>
    </row>
    <row r="905" spans="1:4" x14ac:dyDescent="0.25">
      <c r="A905" s="63" t="s">
        <v>7580</v>
      </c>
      <c r="B905" t="s">
        <v>1749</v>
      </c>
      <c r="C905" t="s">
        <v>5043</v>
      </c>
      <c r="D905" t="s">
        <v>8401</v>
      </c>
    </row>
    <row r="906" spans="1:4" x14ac:dyDescent="0.25">
      <c r="A906" s="63" t="s">
        <v>7581</v>
      </c>
      <c r="B906" t="s">
        <v>1749</v>
      </c>
      <c r="C906" t="s">
        <v>5043</v>
      </c>
      <c r="D906" t="s">
        <v>8401</v>
      </c>
    </row>
    <row r="907" spans="1:4" x14ac:dyDescent="0.25">
      <c r="A907" s="63" t="s">
        <v>7582</v>
      </c>
      <c r="B907" t="s">
        <v>1749</v>
      </c>
      <c r="C907" t="s">
        <v>5043</v>
      </c>
      <c r="D907" t="s">
        <v>8401</v>
      </c>
    </row>
    <row r="908" spans="1:4" x14ac:dyDescent="0.25">
      <c r="A908" s="63" t="s">
        <v>7583</v>
      </c>
      <c r="B908" t="s">
        <v>1749</v>
      </c>
      <c r="C908" t="s">
        <v>5043</v>
      </c>
      <c r="D908" t="s">
        <v>8401</v>
      </c>
    </row>
    <row r="909" spans="1:4" x14ac:dyDescent="0.25">
      <c r="A909" s="63" t="s">
        <v>7584</v>
      </c>
      <c r="B909" t="s">
        <v>1749</v>
      </c>
      <c r="C909" t="s">
        <v>5043</v>
      </c>
      <c r="D909" t="s">
        <v>8401</v>
      </c>
    </row>
    <row r="910" spans="1:4" x14ac:dyDescent="0.25">
      <c r="A910" s="63" t="s">
        <v>7585</v>
      </c>
      <c r="B910" t="s">
        <v>1749</v>
      </c>
      <c r="C910" t="s">
        <v>5043</v>
      </c>
      <c r="D910" t="s">
        <v>8401</v>
      </c>
    </row>
    <row r="911" spans="1:4" x14ac:dyDescent="0.25">
      <c r="A911" s="63" t="s">
        <v>7586</v>
      </c>
      <c r="B911" t="s">
        <v>1749</v>
      </c>
      <c r="C911" t="s">
        <v>5043</v>
      </c>
      <c r="D911" t="s">
        <v>8401</v>
      </c>
    </row>
    <row r="912" spans="1:4" x14ac:dyDescent="0.25">
      <c r="A912" s="63" t="s">
        <v>7587</v>
      </c>
      <c r="B912" t="s">
        <v>1749</v>
      </c>
      <c r="C912" t="s">
        <v>5043</v>
      </c>
      <c r="D912" t="s">
        <v>8401</v>
      </c>
    </row>
    <row r="913" spans="1:4" x14ac:dyDescent="0.25">
      <c r="A913" s="63" t="s">
        <v>7588</v>
      </c>
      <c r="B913" t="s">
        <v>1749</v>
      </c>
      <c r="C913" t="s">
        <v>5043</v>
      </c>
      <c r="D913" t="s">
        <v>8401</v>
      </c>
    </row>
    <row r="914" spans="1:4" x14ac:dyDescent="0.25">
      <c r="A914" s="63" t="s">
        <v>3117</v>
      </c>
      <c r="B914" t="s">
        <v>2337</v>
      </c>
      <c r="C914" t="s">
        <v>5043</v>
      </c>
      <c r="D914" t="s">
        <v>8401</v>
      </c>
    </row>
    <row r="915" spans="1:4" x14ac:dyDescent="0.25">
      <c r="A915" s="63" t="s">
        <v>7589</v>
      </c>
      <c r="B915" t="s">
        <v>1748</v>
      </c>
      <c r="C915" t="s">
        <v>5043</v>
      </c>
      <c r="D915" t="s">
        <v>8401</v>
      </c>
    </row>
    <row r="916" spans="1:4" x14ac:dyDescent="0.25">
      <c r="A916" s="63" t="s">
        <v>7590</v>
      </c>
      <c r="B916" t="s">
        <v>1748</v>
      </c>
      <c r="C916" t="s">
        <v>5043</v>
      </c>
      <c r="D916" t="s">
        <v>8401</v>
      </c>
    </row>
    <row r="917" spans="1:4" x14ac:dyDescent="0.25">
      <c r="A917" s="63" t="s">
        <v>7591</v>
      </c>
      <c r="B917" t="s">
        <v>1748</v>
      </c>
      <c r="C917" t="s">
        <v>5043</v>
      </c>
      <c r="D917" t="s">
        <v>8401</v>
      </c>
    </row>
    <row r="918" spans="1:4" x14ac:dyDescent="0.25">
      <c r="A918" s="63" t="s">
        <v>7592</v>
      </c>
      <c r="B918" t="s">
        <v>1492</v>
      </c>
      <c r="C918" t="s">
        <v>5043</v>
      </c>
      <c r="D918" t="s">
        <v>8401</v>
      </c>
    </row>
    <row r="919" spans="1:4" x14ac:dyDescent="0.25">
      <c r="A919" s="63" t="s">
        <v>7593</v>
      </c>
      <c r="B919" t="s">
        <v>1492</v>
      </c>
      <c r="C919" t="s">
        <v>5043</v>
      </c>
      <c r="D919" t="s">
        <v>8401</v>
      </c>
    </row>
    <row r="920" spans="1:4" x14ac:dyDescent="0.25">
      <c r="A920" s="63" t="s">
        <v>7594</v>
      </c>
      <c r="B920" t="s">
        <v>1492</v>
      </c>
      <c r="C920" t="s">
        <v>5043</v>
      </c>
      <c r="D920" t="s">
        <v>8401</v>
      </c>
    </row>
    <row r="921" spans="1:4" x14ac:dyDescent="0.25">
      <c r="A921" s="63" t="s">
        <v>3118</v>
      </c>
      <c r="B921" t="s">
        <v>1788</v>
      </c>
      <c r="C921" t="s">
        <v>5043</v>
      </c>
      <c r="D921" t="s">
        <v>8401</v>
      </c>
    </row>
    <row r="922" spans="1:4" x14ac:dyDescent="0.25">
      <c r="A922" s="63" t="s">
        <v>3119</v>
      </c>
      <c r="B922" t="s">
        <v>1788</v>
      </c>
      <c r="C922" t="s">
        <v>5043</v>
      </c>
      <c r="D922" t="s">
        <v>8401</v>
      </c>
    </row>
    <row r="923" spans="1:4" x14ac:dyDescent="0.25">
      <c r="A923" s="63" t="s">
        <v>7595</v>
      </c>
      <c r="B923" t="s">
        <v>1688</v>
      </c>
      <c r="C923" t="s">
        <v>5043</v>
      </c>
      <c r="D923" t="s">
        <v>8401</v>
      </c>
    </row>
    <row r="924" spans="1:4" x14ac:dyDescent="0.25">
      <c r="A924" s="63" t="s">
        <v>6571</v>
      </c>
      <c r="B924" t="s">
        <v>2334</v>
      </c>
      <c r="C924" t="s">
        <v>5043</v>
      </c>
      <c r="D924" t="s">
        <v>8401</v>
      </c>
    </row>
    <row r="925" spans="1:4" x14ac:dyDescent="0.25">
      <c r="A925" s="63" t="s">
        <v>3120</v>
      </c>
      <c r="B925" t="s">
        <v>2334</v>
      </c>
      <c r="C925" t="s">
        <v>5043</v>
      </c>
      <c r="D925" t="s">
        <v>8401</v>
      </c>
    </row>
    <row r="926" spans="1:4" x14ac:dyDescent="0.25">
      <c r="A926" s="63" t="s">
        <v>6298</v>
      </c>
      <c r="B926" t="s">
        <v>2269</v>
      </c>
      <c r="C926" t="s">
        <v>5043</v>
      </c>
      <c r="D926" t="s">
        <v>8401</v>
      </c>
    </row>
    <row r="927" spans="1:4" x14ac:dyDescent="0.25">
      <c r="A927" s="63" t="s">
        <v>3121</v>
      </c>
      <c r="B927" t="s">
        <v>1687</v>
      </c>
      <c r="C927" t="s">
        <v>5043</v>
      </c>
      <c r="D927" t="s">
        <v>8401</v>
      </c>
    </row>
    <row r="928" spans="1:4" x14ac:dyDescent="0.25">
      <c r="A928" s="63" t="s">
        <v>3122</v>
      </c>
      <c r="B928" t="s">
        <v>1687</v>
      </c>
      <c r="C928" t="s">
        <v>5043</v>
      </c>
      <c r="D928" t="s">
        <v>8401</v>
      </c>
    </row>
    <row r="929" spans="1:4" x14ac:dyDescent="0.25">
      <c r="A929" s="63" t="s">
        <v>3123</v>
      </c>
      <c r="B929" t="s">
        <v>1569</v>
      </c>
      <c r="C929" t="s">
        <v>5043</v>
      </c>
      <c r="D929" t="s">
        <v>8401</v>
      </c>
    </row>
    <row r="930" spans="1:4" x14ac:dyDescent="0.25">
      <c r="A930" s="63" t="s">
        <v>3124</v>
      </c>
      <c r="B930" t="s">
        <v>1686</v>
      </c>
      <c r="C930" t="s">
        <v>5043</v>
      </c>
      <c r="D930" t="s">
        <v>8401</v>
      </c>
    </row>
    <row r="931" spans="1:4" x14ac:dyDescent="0.25">
      <c r="A931" s="63" t="s">
        <v>3125</v>
      </c>
      <c r="B931" t="s">
        <v>1927</v>
      </c>
      <c r="C931" t="s">
        <v>5043</v>
      </c>
      <c r="D931" t="s">
        <v>8401</v>
      </c>
    </row>
    <row r="932" spans="1:4" x14ac:dyDescent="0.25">
      <c r="A932" s="63" t="s">
        <v>3126</v>
      </c>
      <c r="B932" t="s">
        <v>1689</v>
      </c>
      <c r="C932" t="s">
        <v>5043</v>
      </c>
      <c r="D932" t="s">
        <v>8401</v>
      </c>
    </row>
    <row r="933" spans="1:4" x14ac:dyDescent="0.25">
      <c r="A933" s="63" t="s">
        <v>6716</v>
      </c>
      <c r="B933" t="s">
        <v>2097</v>
      </c>
      <c r="C933" t="s">
        <v>5043</v>
      </c>
      <c r="D933" t="s">
        <v>8401</v>
      </c>
    </row>
    <row r="934" spans="1:4" x14ac:dyDescent="0.25">
      <c r="A934" s="63" t="s">
        <v>2567</v>
      </c>
      <c r="B934" t="s">
        <v>2097</v>
      </c>
      <c r="C934" t="s">
        <v>5043</v>
      </c>
      <c r="D934" t="s">
        <v>8401</v>
      </c>
    </row>
    <row r="935" spans="1:4" x14ac:dyDescent="0.25">
      <c r="A935" s="63" t="s">
        <v>2568</v>
      </c>
      <c r="B935" t="s">
        <v>2096</v>
      </c>
      <c r="C935" t="s">
        <v>5043</v>
      </c>
      <c r="D935" t="s">
        <v>8401</v>
      </c>
    </row>
    <row r="936" spans="1:4" x14ac:dyDescent="0.25">
      <c r="A936" s="63" t="s">
        <v>7596</v>
      </c>
      <c r="B936" t="s">
        <v>2198</v>
      </c>
      <c r="C936" t="s">
        <v>5043</v>
      </c>
      <c r="D936" t="s">
        <v>8401</v>
      </c>
    </row>
    <row r="937" spans="1:4" x14ac:dyDescent="0.25">
      <c r="A937" s="63" t="s">
        <v>7597</v>
      </c>
      <c r="B937" t="s">
        <v>1586</v>
      </c>
      <c r="C937" t="s">
        <v>5043</v>
      </c>
      <c r="D937" t="s">
        <v>8401</v>
      </c>
    </row>
    <row r="938" spans="1:4" x14ac:dyDescent="0.25">
      <c r="A938" s="63" t="s">
        <v>3127</v>
      </c>
      <c r="B938" t="s">
        <v>1775</v>
      </c>
      <c r="C938" t="s">
        <v>5043</v>
      </c>
      <c r="D938" t="s">
        <v>8401</v>
      </c>
    </row>
    <row r="939" spans="1:4" x14ac:dyDescent="0.25">
      <c r="A939" s="63" t="s">
        <v>7598</v>
      </c>
      <c r="B939" t="s">
        <v>1360</v>
      </c>
      <c r="C939" t="s">
        <v>5043</v>
      </c>
      <c r="D939" t="s">
        <v>8401</v>
      </c>
    </row>
    <row r="940" spans="1:4" x14ac:dyDescent="0.25">
      <c r="A940" s="63" t="s">
        <v>7599</v>
      </c>
      <c r="B940" t="s">
        <v>1667</v>
      </c>
      <c r="C940" t="s">
        <v>5043</v>
      </c>
      <c r="D940" t="s">
        <v>8401</v>
      </c>
    </row>
    <row r="941" spans="1:4" x14ac:dyDescent="0.25">
      <c r="A941" s="63" t="s">
        <v>7600</v>
      </c>
      <c r="B941" t="s">
        <v>1667</v>
      </c>
      <c r="C941" t="s">
        <v>5043</v>
      </c>
      <c r="D941" t="s">
        <v>8401</v>
      </c>
    </row>
    <row r="942" spans="1:4" x14ac:dyDescent="0.25">
      <c r="A942" s="63" t="s">
        <v>7601</v>
      </c>
      <c r="B942" t="s">
        <v>1245</v>
      </c>
      <c r="C942" t="s">
        <v>5043</v>
      </c>
      <c r="D942" t="s">
        <v>8401</v>
      </c>
    </row>
    <row r="943" spans="1:4" x14ac:dyDescent="0.25">
      <c r="A943" s="63" t="s">
        <v>3128</v>
      </c>
      <c r="B943" t="s">
        <v>2234</v>
      </c>
      <c r="C943" t="s">
        <v>5043</v>
      </c>
      <c r="D943" t="s">
        <v>8401</v>
      </c>
    </row>
    <row r="944" spans="1:4" x14ac:dyDescent="0.25">
      <c r="A944" s="63" t="s">
        <v>5856</v>
      </c>
      <c r="B944" t="s">
        <v>1665</v>
      </c>
      <c r="C944" t="s">
        <v>5043</v>
      </c>
      <c r="D944" t="s">
        <v>8401</v>
      </c>
    </row>
    <row r="945" spans="1:4" x14ac:dyDescent="0.25">
      <c r="A945" s="63" t="s">
        <v>7602</v>
      </c>
      <c r="B945" t="s">
        <v>1665</v>
      </c>
      <c r="C945" t="s">
        <v>5043</v>
      </c>
      <c r="D945" t="s">
        <v>8401</v>
      </c>
    </row>
    <row r="946" spans="1:4" x14ac:dyDescent="0.25">
      <c r="A946" s="63" t="s">
        <v>7603</v>
      </c>
      <c r="B946" t="s">
        <v>1607</v>
      </c>
      <c r="C946" t="s">
        <v>5043</v>
      </c>
      <c r="D946" t="s">
        <v>8401</v>
      </c>
    </row>
    <row r="947" spans="1:4" x14ac:dyDescent="0.25">
      <c r="A947" s="63" t="s">
        <v>7604</v>
      </c>
      <c r="B947" t="s">
        <v>1566</v>
      </c>
      <c r="C947" t="s">
        <v>5043</v>
      </c>
      <c r="D947" t="s">
        <v>8401</v>
      </c>
    </row>
    <row r="948" spans="1:4" x14ac:dyDescent="0.25">
      <c r="A948" s="63" t="s">
        <v>7605</v>
      </c>
      <c r="B948" t="s">
        <v>1566</v>
      </c>
      <c r="C948" t="s">
        <v>5043</v>
      </c>
      <c r="D948" t="s">
        <v>8401</v>
      </c>
    </row>
    <row r="949" spans="1:4" x14ac:dyDescent="0.25">
      <c r="A949" s="63" t="s">
        <v>7606</v>
      </c>
      <c r="B949" t="s">
        <v>1567</v>
      </c>
      <c r="C949" t="s">
        <v>5043</v>
      </c>
      <c r="D949" t="s">
        <v>8401</v>
      </c>
    </row>
    <row r="950" spans="1:4" x14ac:dyDescent="0.25">
      <c r="A950" s="63" t="s">
        <v>7607</v>
      </c>
      <c r="B950" t="s">
        <v>1567</v>
      </c>
      <c r="C950" t="s">
        <v>5043</v>
      </c>
      <c r="D950" t="s">
        <v>8401</v>
      </c>
    </row>
    <row r="951" spans="1:4" x14ac:dyDescent="0.25">
      <c r="A951" s="63" t="s">
        <v>7608</v>
      </c>
      <c r="B951" t="s">
        <v>1568</v>
      </c>
      <c r="C951" t="s">
        <v>5043</v>
      </c>
      <c r="D951" t="s">
        <v>8401</v>
      </c>
    </row>
    <row r="952" spans="1:4" x14ac:dyDescent="0.25">
      <c r="A952" s="63" t="s">
        <v>7609</v>
      </c>
      <c r="B952" t="s">
        <v>1568</v>
      </c>
      <c r="C952" t="s">
        <v>5043</v>
      </c>
      <c r="D952" t="s">
        <v>8401</v>
      </c>
    </row>
    <row r="953" spans="1:4" x14ac:dyDescent="0.25">
      <c r="A953" s="63" t="s">
        <v>6337</v>
      </c>
      <c r="B953" t="s">
        <v>1643</v>
      </c>
      <c r="C953" t="s">
        <v>5043</v>
      </c>
      <c r="D953" t="s">
        <v>8401</v>
      </c>
    </row>
    <row r="954" spans="1:4" x14ac:dyDescent="0.25">
      <c r="A954" s="63" t="s">
        <v>3129</v>
      </c>
      <c r="B954" t="s">
        <v>1350</v>
      </c>
      <c r="C954" t="s">
        <v>5043</v>
      </c>
      <c r="D954" t="s">
        <v>8401</v>
      </c>
    </row>
    <row r="955" spans="1:4" x14ac:dyDescent="0.25">
      <c r="A955" s="63" t="s">
        <v>3130</v>
      </c>
      <c r="B955" t="s">
        <v>1900</v>
      </c>
      <c r="C955" t="s">
        <v>5043</v>
      </c>
      <c r="D955" t="s">
        <v>8401</v>
      </c>
    </row>
    <row r="956" spans="1:4" x14ac:dyDescent="0.25">
      <c r="A956" s="63" t="s">
        <v>3131</v>
      </c>
      <c r="B956" t="s">
        <v>1900</v>
      </c>
      <c r="C956" t="s">
        <v>5043</v>
      </c>
      <c r="D956" t="s">
        <v>8401</v>
      </c>
    </row>
    <row r="957" spans="1:4" x14ac:dyDescent="0.25">
      <c r="A957" s="63" t="s">
        <v>3132</v>
      </c>
      <c r="B957" t="s">
        <v>1900</v>
      </c>
      <c r="C957" t="s">
        <v>5043</v>
      </c>
      <c r="D957" t="s">
        <v>8401</v>
      </c>
    </row>
    <row r="958" spans="1:4" x14ac:dyDescent="0.25">
      <c r="A958" s="63" t="s">
        <v>3133</v>
      </c>
      <c r="B958" t="s">
        <v>1900</v>
      </c>
      <c r="C958" t="s">
        <v>5043</v>
      </c>
      <c r="D958" t="s">
        <v>8401</v>
      </c>
    </row>
    <row r="959" spans="1:4" x14ac:dyDescent="0.25">
      <c r="A959" s="63" t="s">
        <v>3134</v>
      </c>
      <c r="B959" t="s">
        <v>1900</v>
      </c>
      <c r="C959" t="s">
        <v>5043</v>
      </c>
      <c r="D959" t="s">
        <v>8401</v>
      </c>
    </row>
    <row r="960" spans="1:4" x14ac:dyDescent="0.25">
      <c r="A960" s="63" t="s">
        <v>3135</v>
      </c>
      <c r="B960" t="s">
        <v>1900</v>
      </c>
      <c r="C960" t="s">
        <v>5043</v>
      </c>
      <c r="D960" t="s">
        <v>8401</v>
      </c>
    </row>
    <row r="961" spans="1:4" x14ac:dyDescent="0.25">
      <c r="A961" s="63" t="s">
        <v>3136</v>
      </c>
      <c r="B961" t="s">
        <v>1900</v>
      </c>
      <c r="C961" t="s">
        <v>5043</v>
      </c>
      <c r="D961" t="s">
        <v>8401</v>
      </c>
    </row>
    <row r="962" spans="1:4" x14ac:dyDescent="0.25">
      <c r="A962" s="63" t="s">
        <v>3137</v>
      </c>
      <c r="B962" t="s">
        <v>1900</v>
      </c>
      <c r="C962" t="s">
        <v>5043</v>
      </c>
      <c r="D962" t="s">
        <v>8401</v>
      </c>
    </row>
    <row r="963" spans="1:4" x14ac:dyDescent="0.25">
      <c r="A963" s="63" t="s">
        <v>3138</v>
      </c>
      <c r="B963" t="s">
        <v>1900</v>
      </c>
      <c r="C963" t="s">
        <v>5043</v>
      </c>
      <c r="D963" t="s">
        <v>8401</v>
      </c>
    </row>
    <row r="964" spans="1:4" x14ac:dyDescent="0.25">
      <c r="A964" s="63" t="s">
        <v>3139</v>
      </c>
      <c r="B964" t="s">
        <v>1900</v>
      </c>
      <c r="C964" t="s">
        <v>5043</v>
      </c>
      <c r="D964" t="s">
        <v>8401</v>
      </c>
    </row>
    <row r="965" spans="1:4" x14ac:dyDescent="0.25">
      <c r="A965" s="63" t="s">
        <v>3140</v>
      </c>
      <c r="B965" t="s">
        <v>1298</v>
      </c>
      <c r="C965" t="s">
        <v>5043</v>
      </c>
      <c r="D965" t="s">
        <v>8401</v>
      </c>
    </row>
    <row r="966" spans="1:4" x14ac:dyDescent="0.25">
      <c r="A966" s="63" t="s">
        <v>3141</v>
      </c>
      <c r="B966" t="s">
        <v>1298</v>
      </c>
      <c r="C966" t="s">
        <v>5043</v>
      </c>
      <c r="D966" t="s">
        <v>8401</v>
      </c>
    </row>
    <row r="967" spans="1:4" x14ac:dyDescent="0.25">
      <c r="A967" s="63" t="s">
        <v>3142</v>
      </c>
      <c r="B967" t="s">
        <v>1298</v>
      </c>
      <c r="C967" t="s">
        <v>5043</v>
      </c>
      <c r="D967" t="s">
        <v>8401</v>
      </c>
    </row>
    <row r="968" spans="1:4" x14ac:dyDescent="0.25">
      <c r="A968" s="63" t="s">
        <v>3143</v>
      </c>
      <c r="B968" t="s">
        <v>1298</v>
      </c>
      <c r="C968" t="s">
        <v>5043</v>
      </c>
      <c r="D968" t="s">
        <v>8401</v>
      </c>
    </row>
    <row r="969" spans="1:4" x14ac:dyDescent="0.25">
      <c r="A969" s="63" t="s">
        <v>3144</v>
      </c>
      <c r="B969" t="s">
        <v>1311</v>
      </c>
      <c r="C969" t="s">
        <v>5043</v>
      </c>
      <c r="D969" t="s">
        <v>8401</v>
      </c>
    </row>
    <row r="970" spans="1:4" x14ac:dyDescent="0.25">
      <c r="A970" s="63" t="s">
        <v>3145</v>
      </c>
      <c r="B970" t="s">
        <v>1311</v>
      </c>
      <c r="C970" t="s">
        <v>5043</v>
      </c>
      <c r="D970" t="s">
        <v>8401</v>
      </c>
    </row>
    <row r="971" spans="1:4" x14ac:dyDescent="0.25">
      <c r="A971" s="63" t="s">
        <v>7610</v>
      </c>
      <c r="B971" t="s">
        <v>1371</v>
      </c>
      <c r="C971" t="s">
        <v>5043</v>
      </c>
      <c r="D971" t="s">
        <v>8401</v>
      </c>
    </row>
    <row r="972" spans="1:4" x14ac:dyDescent="0.25">
      <c r="A972" s="63" t="s">
        <v>7611</v>
      </c>
      <c r="B972" t="s">
        <v>1371</v>
      </c>
      <c r="C972" t="s">
        <v>5043</v>
      </c>
      <c r="D972" t="s">
        <v>8401</v>
      </c>
    </row>
    <row r="973" spans="1:4" x14ac:dyDescent="0.25">
      <c r="A973" s="63" t="s">
        <v>7612</v>
      </c>
      <c r="B973" t="s">
        <v>1371</v>
      </c>
      <c r="C973" t="s">
        <v>5043</v>
      </c>
      <c r="D973" t="s">
        <v>8401</v>
      </c>
    </row>
    <row r="974" spans="1:4" x14ac:dyDescent="0.25">
      <c r="A974" s="63" t="s">
        <v>3146</v>
      </c>
      <c r="B974" t="s">
        <v>1371</v>
      </c>
      <c r="C974" t="s">
        <v>5043</v>
      </c>
      <c r="D974" t="s">
        <v>8401</v>
      </c>
    </row>
    <row r="975" spans="1:4" x14ac:dyDescent="0.25">
      <c r="A975" s="63" t="s">
        <v>3147</v>
      </c>
      <c r="B975" t="s">
        <v>1371</v>
      </c>
      <c r="C975" t="s">
        <v>5043</v>
      </c>
      <c r="D975" t="s">
        <v>8401</v>
      </c>
    </row>
    <row r="976" spans="1:4" x14ac:dyDescent="0.25">
      <c r="A976" s="63" t="s">
        <v>3148</v>
      </c>
      <c r="B976" t="s">
        <v>1371</v>
      </c>
      <c r="C976" t="s">
        <v>5043</v>
      </c>
      <c r="D976" t="s">
        <v>8401</v>
      </c>
    </row>
    <row r="977" spans="1:4" x14ac:dyDescent="0.25">
      <c r="A977" s="63" t="s">
        <v>3149</v>
      </c>
      <c r="B977" t="s">
        <v>1371</v>
      </c>
      <c r="C977" t="s">
        <v>5043</v>
      </c>
      <c r="D977" t="s">
        <v>8401</v>
      </c>
    </row>
    <row r="978" spans="1:4" x14ac:dyDescent="0.25">
      <c r="A978" s="63" t="s">
        <v>3150</v>
      </c>
      <c r="B978" t="s">
        <v>1371</v>
      </c>
      <c r="C978" t="s">
        <v>5043</v>
      </c>
      <c r="D978" t="s">
        <v>8401</v>
      </c>
    </row>
    <row r="979" spans="1:4" x14ac:dyDescent="0.25">
      <c r="A979" s="63" t="s">
        <v>3151</v>
      </c>
      <c r="B979" t="s">
        <v>1371</v>
      </c>
      <c r="C979" t="s">
        <v>5043</v>
      </c>
      <c r="D979" t="s">
        <v>8401</v>
      </c>
    </row>
    <row r="980" spans="1:4" x14ac:dyDescent="0.25">
      <c r="A980" s="63" t="s">
        <v>3152</v>
      </c>
      <c r="B980" t="s">
        <v>1371</v>
      </c>
      <c r="C980" t="s">
        <v>5043</v>
      </c>
      <c r="D980" t="s">
        <v>8401</v>
      </c>
    </row>
    <row r="981" spans="1:4" x14ac:dyDescent="0.25">
      <c r="A981" s="63" t="s">
        <v>3153</v>
      </c>
      <c r="B981" t="s">
        <v>1371</v>
      </c>
      <c r="C981" t="s">
        <v>5043</v>
      </c>
      <c r="D981" t="s">
        <v>8401</v>
      </c>
    </row>
    <row r="982" spans="1:4" x14ac:dyDescent="0.25">
      <c r="A982" s="63" t="s">
        <v>3154</v>
      </c>
      <c r="B982" t="s">
        <v>1371</v>
      </c>
      <c r="C982" t="s">
        <v>5043</v>
      </c>
      <c r="D982" t="s">
        <v>8401</v>
      </c>
    </row>
    <row r="983" spans="1:4" x14ac:dyDescent="0.25">
      <c r="A983" s="63" t="s">
        <v>7613</v>
      </c>
      <c r="B983" t="s">
        <v>1371</v>
      </c>
      <c r="C983" t="s">
        <v>5043</v>
      </c>
      <c r="D983" t="s">
        <v>8401</v>
      </c>
    </row>
    <row r="984" spans="1:4" x14ac:dyDescent="0.25">
      <c r="A984" s="63" t="s">
        <v>7614</v>
      </c>
      <c r="B984" t="s">
        <v>1246</v>
      </c>
      <c r="C984" t="s">
        <v>5043</v>
      </c>
      <c r="D984" t="s">
        <v>8401</v>
      </c>
    </row>
    <row r="985" spans="1:4" x14ac:dyDescent="0.25">
      <c r="A985" s="63" t="s">
        <v>3155</v>
      </c>
      <c r="B985" t="s">
        <v>2100</v>
      </c>
      <c r="C985" t="s">
        <v>5043</v>
      </c>
      <c r="D985" t="s">
        <v>8401</v>
      </c>
    </row>
    <row r="986" spans="1:4" x14ac:dyDescent="0.25">
      <c r="A986" s="63" t="s">
        <v>6423</v>
      </c>
      <c r="B986" t="s">
        <v>2239</v>
      </c>
      <c r="C986" t="s">
        <v>5043</v>
      </c>
      <c r="D986" t="s">
        <v>8401</v>
      </c>
    </row>
    <row r="987" spans="1:4" x14ac:dyDescent="0.25">
      <c r="A987" s="63" t="s">
        <v>6424</v>
      </c>
      <c r="B987" t="s">
        <v>2239</v>
      </c>
      <c r="C987" t="s">
        <v>5043</v>
      </c>
      <c r="D987" t="s">
        <v>8401</v>
      </c>
    </row>
    <row r="988" spans="1:4" x14ac:dyDescent="0.25">
      <c r="A988" s="63" t="s">
        <v>6425</v>
      </c>
      <c r="B988" t="s">
        <v>2239</v>
      </c>
      <c r="C988" t="s">
        <v>5043</v>
      </c>
      <c r="D988" t="s">
        <v>8401</v>
      </c>
    </row>
    <row r="989" spans="1:4" x14ac:dyDescent="0.25">
      <c r="A989" s="63" t="s">
        <v>7615</v>
      </c>
      <c r="B989" t="s">
        <v>2323</v>
      </c>
      <c r="C989" t="s">
        <v>5043</v>
      </c>
      <c r="D989" t="s">
        <v>8401</v>
      </c>
    </row>
    <row r="990" spans="1:4" x14ac:dyDescent="0.25">
      <c r="A990" s="63" t="s">
        <v>5850</v>
      </c>
      <c r="B990" t="s">
        <v>2322</v>
      </c>
      <c r="C990" t="s">
        <v>5043</v>
      </c>
      <c r="D990" t="s">
        <v>8401</v>
      </c>
    </row>
    <row r="991" spans="1:4" x14ac:dyDescent="0.25">
      <c r="A991" s="63" t="s">
        <v>6340</v>
      </c>
      <c r="B991" t="s">
        <v>1603</v>
      </c>
      <c r="C991" t="s">
        <v>5043</v>
      </c>
      <c r="D991" t="s">
        <v>8401</v>
      </c>
    </row>
    <row r="992" spans="1:4" x14ac:dyDescent="0.25">
      <c r="A992" s="63" t="s">
        <v>6344</v>
      </c>
      <c r="B992" t="s">
        <v>2095</v>
      </c>
      <c r="C992" t="s">
        <v>5043</v>
      </c>
      <c r="D992" t="s">
        <v>8401</v>
      </c>
    </row>
    <row r="993" spans="1:4" x14ac:dyDescent="0.25">
      <c r="A993" s="63" t="s">
        <v>3156</v>
      </c>
      <c r="B993" t="s">
        <v>2099</v>
      </c>
      <c r="C993" t="s">
        <v>5043</v>
      </c>
      <c r="D993" t="s">
        <v>8401</v>
      </c>
    </row>
    <row r="994" spans="1:4" x14ac:dyDescent="0.25">
      <c r="A994" s="63" t="s">
        <v>3157</v>
      </c>
      <c r="B994" t="s">
        <v>2099</v>
      </c>
      <c r="C994" t="s">
        <v>5043</v>
      </c>
      <c r="D994" t="s">
        <v>8401</v>
      </c>
    </row>
    <row r="995" spans="1:4" x14ac:dyDescent="0.25">
      <c r="A995" s="63" t="s">
        <v>3158</v>
      </c>
      <c r="B995" t="s">
        <v>2099</v>
      </c>
      <c r="C995" t="s">
        <v>5043</v>
      </c>
      <c r="D995" t="s">
        <v>8401</v>
      </c>
    </row>
    <row r="996" spans="1:4" x14ac:dyDescent="0.25">
      <c r="A996" s="63" t="s">
        <v>3159</v>
      </c>
      <c r="B996" t="s">
        <v>2099</v>
      </c>
      <c r="C996" t="s">
        <v>5043</v>
      </c>
      <c r="D996" t="s">
        <v>8401</v>
      </c>
    </row>
    <row r="997" spans="1:4" x14ac:dyDescent="0.25">
      <c r="A997" s="63" t="s">
        <v>6341</v>
      </c>
      <c r="B997" t="s">
        <v>2094</v>
      </c>
      <c r="C997" t="s">
        <v>5043</v>
      </c>
      <c r="D997" t="s">
        <v>8401</v>
      </c>
    </row>
    <row r="998" spans="1:4" x14ac:dyDescent="0.25">
      <c r="A998" s="63" t="s">
        <v>6342</v>
      </c>
      <c r="B998" t="s">
        <v>2094</v>
      </c>
      <c r="C998" t="s">
        <v>5043</v>
      </c>
      <c r="D998" t="s">
        <v>8401</v>
      </c>
    </row>
    <row r="999" spans="1:4" x14ac:dyDescent="0.25">
      <c r="A999" s="63" t="s">
        <v>7616</v>
      </c>
      <c r="B999" t="s">
        <v>2409</v>
      </c>
      <c r="C999" t="s">
        <v>5043</v>
      </c>
      <c r="D999" t="s">
        <v>8401</v>
      </c>
    </row>
    <row r="1000" spans="1:4" x14ac:dyDescent="0.25">
      <c r="A1000" s="63" t="s">
        <v>7617</v>
      </c>
      <c r="B1000" t="s">
        <v>2409</v>
      </c>
      <c r="C1000" t="s">
        <v>5043</v>
      </c>
      <c r="D1000" t="s">
        <v>8401</v>
      </c>
    </row>
    <row r="1001" spans="1:4" x14ac:dyDescent="0.25">
      <c r="A1001" s="63" t="s">
        <v>7618</v>
      </c>
      <c r="B1001" t="s">
        <v>1551</v>
      </c>
      <c r="C1001" t="s">
        <v>5043</v>
      </c>
      <c r="D1001" t="s">
        <v>8401</v>
      </c>
    </row>
    <row r="1002" spans="1:4" x14ac:dyDescent="0.25">
      <c r="A1002" s="63" t="s">
        <v>7619</v>
      </c>
      <c r="B1002" t="s">
        <v>1551</v>
      </c>
      <c r="C1002" t="s">
        <v>5043</v>
      </c>
      <c r="D1002" t="s">
        <v>8401</v>
      </c>
    </row>
    <row r="1003" spans="1:4" x14ac:dyDescent="0.25">
      <c r="A1003" s="63" t="s">
        <v>7620</v>
      </c>
      <c r="B1003" t="s">
        <v>1551</v>
      </c>
      <c r="C1003" t="s">
        <v>5043</v>
      </c>
      <c r="D1003" t="s">
        <v>8401</v>
      </c>
    </row>
    <row r="1004" spans="1:4" x14ac:dyDescent="0.25">
      <c r="A1004" s="63" t="s">
        <v>7621</v>
      </c>
      <c r="B1004" t="s">
        <v>1551</v>
      </c>
      <c r="C1004" t="s">
        <v>5043</v>
      </c>
      <c r="D1004" t="s">
        <v>8401</v>
      </c>
    </row>
    <row r="1005" spans="1:4" x14ac:dyDescent="0.25">
      <c r="A1005" s="63" t="s">
        <v>7622</v>
      </c>
      <c r="B1005" t="s">
        <v>2207</v>
      </c>
      <c r="C1005" t="s">
        <v>5043</v>
      </c>
      <c r="D1005" t="s">
        <v>8401</v>
      </c>
    </row>
    <row r="1006" spans="1:4" x14ac:dyDescent="0.25">
      <c r="A1006" s="63" t="s">
        <v>7623</v>
      </c>
      <c r="B1006" t="s">
        <v>1483</v>
      </c>
      <c r="C1006" t="s">
        <v>5043</v>
      </c>
      <c r="D1006" t="s">
        <v>8401</v>
      </c>
    </row>
    <row r="1007" spans="1:4" x14ac:dyDescent="0.25">
      <c r="A1007" s="63" t="s">
        <v>7624</v>
      </c>
      <c r="B1007" t="s">
        <v>2436</v>
      </c>
      <c r="C1007" t="s">
        <v>5043</v>
      </c>
      <c r="D1007" t="s">
        <v>8401</v>
      </c>
    </row>
    <row r="1008" spans="1:4" x14ac:dyDescent="0.25">
      <c r="A1008" s="63" t="s">
        <v>7625</v>
      </c>
      <c r="B1008" t="s">
        <v>2436</v>
      </c>
      <c r="C1008" t="s">
        <v>5043</v>
      </c>
      <c r="D1008" t="s">
        <v>8401</v>
      </c>
    </row>
    <row r="1009" spans="1:4" x14ac:dyDescent="0.25">
      <c r="A1009" s="63" t="s">
        <v>7626</v>
      </c>
      <c r="B1009" t="s">
        <v>2436</v>
      </c>
      <c r="C1009" t="s">
        <v>5043</v>
      </c>
      <c r="D1009" t="s">
        <v>8401</v>
      </c>
    </row>
    <row r="1010" spans="1:4" x14ac:dyDescent="0.25">
      <c r="A1010" s="63" t="s">
        <v>7627</v>
      </c>
      <c r="B1010" t="s">
        <v>2436</v>
      </c>
      <c r="C1010" t="s">
        <v>5043</v>
      </c>
      <c r="D1010" t="s">
        <v>8401</v>
      </c>
    </row>
    <row r="1011" spans="1:4" x14ac:dyDescent="0.25">
      <c r="A1011" s="63" t="s">
        <v>7628</v>
      </c>
      <c r="B1011" t="s">
        <v>2436</v>
      </c>
      <c r="C1011" t="s">
        <v>5043</v>
      </c>
      <c r="D1011" t="s">
        <v>8401</v>
      </c>
    </row>
    <row r="1012" spans="1:4" x14ac:dyDescent="0.25">
      <c r="A1012" s="63" t="s">
        <v>7629</v>
      </c>
      <c r="B1012" t="s">
        <v>1484</v>
      </c>
      <c r="C1012" t="s">
        <v>5043</v>
      </c>
      <c r="D1012" t="s">
        <v>8401</v>
      </c>
    </row>
    <row r="1013" spans="1:4" x14ac:dyDescent="0.25">
      <c r="A1013" s="63" t="s">
        <v>6898</v>
      </c>
      <c r="B1013" t="s">
        <v>1629</v>
      </c>
      <c r="C1013" t="s">
        <v>5043</v>
      </c>
      <c r="D1013" t="s">
        <v>8401</v>
      </c>
    </row>
    <row r="1014" spans="1:4" x14ac:dyDescent="0.25">
      <c r="A1014" s="63" t="s">
        <v>6899</v>
      </c>
      <c r="B1014" t="s">
        <v>1629</v>
      </c>
      <c r="C1014" t="s">
        <v>5043</v>
      </c>
      <c r="D1014" t="s">
        <v>8401</v>
      </c>
    </row>
    <row r="1015" spans="1:4" x14ac:dyDescent="0.25">
      <c r="A1015" s="63" t="s">
        <v>7630</v>
      </c>
      <c r="B1015" t="s">
        <v>1629</v>
      </c>
      <c r="C1015" t="s">
        <v>5043</v>
      </c>
      <c r="D1015" t="s">
        <v>8401</v>
      </c>
    </row>
    <row r="1016" spans="1:4" x14ac:dyDescent="0.25">
      <c r="A1016" s="63" t="s">
        <v>7631</v>
      </c>
      <c r="B1016" t="s">
        <v>1629</v>
      </c>
      <c r="C1016" t="s">
        <v>5043</v>
      </c>
      <c r="D1016" t="s">
        <v>8401</v>
      </c>
    </row>
    <row r="1017" spans="1:4" x14ac:dyDescent="0.25">
      <c r="A1017" s="63" t="s">
        <v>7632</v>
      </c>
      <c r="B1017" t="s">
        <v>1629</v>
      </c>
      <c r="C1017" t="s">
        <v>5043</v>
      </c>
      <c r="D1017" t="s">
        <v>8401</v>
      </c>
    </row>
    <row r="1018" spans="1:4" x14ac:dyDescent="0.25">
      <c r="A1018" s="63" t="s">
        <v>6062</v>
      </c>
      <c r="B1018" t="s">
        <v>1629</v>
      </c>
      <c r="C1018" t="s">
        <v>5043</v>
      </c>
      <c r="D1018" t="s">
        <v>8401</v>
      </c>
    </row>
    <row r="1019" spans="1:4" x14ac:dyDescent="0.25">
      <c r="A1019" s="63" t="s">
        <v>7633</v>
      </c>
      <c r="B1019" t="s">
        <v>1629</v>
      </c>
      <c r="C1019" t="s">
        <v>5043</v>
      </c>
      <c r="D1019" t="s">
        <v>8401</v>
      </c>
    </row>
    <row r="1020" spans="1:4" x14ac:dyDescent="0.25">
      <c r="A1020" s="63" t="s">
        <v>7634</v>
      </c>
      <c r="B1020" t="s">
        <v>1629</v>
      </c>
      <c r="C1020" t="s">
        <v>5043</v>
      </c>
      <c r="D1020" t="s">
        <v>8401</v>
      </c>
    </row>
    <row r="1021" spans="1:4" x14ac:dyDescent="0.25">
      <c r="A1021" s="63" t="s">
        <v>6063</v>
      </c>
      <c r="B1021" t="s">
        <v>1629</v>
      </c>
      <c r="C1021" t="s">
        <v>5043</v>
      </c>
      <c r="D1021" t="s">
        <v>8401</v>
      </c>
    </row>
    <row r="1022" spans="1:4" x14ac:dyDescent="0.25">
      <c r="A1022" s="63" t="s">
        <v>7635</v>
      </c>
      <c r="B1022" t="s">
        <v>1629</v>
      </c>
      <c r="C1022" t="s">
        <v>5043</v>
      </c>
      <c r="D1022" t="s">
        <v>8401</v>
      </c>
    </row>
    <row r="1023" spans="1:4" x14ac:dyDescent="0.25">
      <c r="A1023" s="63" t="s">
        <v>5224</v>
      </c>
      <c r="B1023" t="s">
        <v>1402</v>
      </c>
      <c r="C1023" t="s">
        <v>5043</v>
      </c>
      <c r="D1023" t="s">
        <v>8401</v>
      </c>
    </row>
    <row r="1024" spans="1:4" x14ac:dyDescent="0.25">
      <c r="A1024" s="63" t="s">
        <v>7239</v>
      </c>
      <c r="B1024" t="s">
        <v>1402</v>
      </c>
      <c r="C1024" t="s">
        <v>5043</v>
      </c>
      <c r="D1024" t="s">
        <v>8401</v>
      </c>
    </row>
    <row r="1025" spans="1:4" x14ac:dyDescent="0.25">
      <c r="A1025" s="63" t="s">
        <v>6272</v>
      </c>
      <c r="B1025" t="s">
        <v>1402</v>
      </c>
      <c r="C1025" t="s">
        <v>5043</v>
      </c>
      <c r="D1025" t="s">
        <v>8401</v>
      </c>
    </row>
    <row r="1026" spans="1:4" x14ac:dyDescent="0.25">
      <c r="A1026" s="63" t="s">
        <v>5976</v>
      </c>
      <c r="B1026" t="s">
        <v>1402</v>
      </c>
      <c r="C1026" t="s">
        <v>5043</v>
      </c>
      <c r="D1026" t="s">
        <v>8401</v>
      </c>
    </row>
    <row r="1027" spans="1:4" x14ac:dyDescent="0.25">
      <c r="A1027" s="63" t="s">
        <v>5977</v>
      </c>
      <c r="B1027" t="s">
        <v>1402</v>
      </c>
      <c r="C1027" t="s">
        <v>5043</v>
      </c>
      <c r="D1027" t="s">
        <v>8401</v>
      </c>
    </row>
    <row r="1028" spans="1:4" x14ac:dyDescent="0.25">
      <c r="A1028" s="63" t="s">
        <v>7636</v>
      </c>
      <c r="B1028" t="s">
        <v>1359</v>
      </c>
      <c r="C1028" t="s">
        <v>5043</v>
      </c>
      <c r="D1028" t="s">
        <v>8401</v>
      </c>
    </row>
    <row r="1029" spans="1:4" x14ac:dyDescent="0.25">
      <c r="A1029" s="63" t="s">
        <v>7637</v>
      </c>
      <c r="B1029" t="s">
        <v>2113</v>
      </c>
      <c r="C1029" t="s">
        <v>5043</v>
      </c>
      <c r="D1029" t="s">
        <v>8401</v>
      </c>
    </row>
    <row r="1030" spans="1:4" x14ac:dyDescent="0.25">
      <c r="A1030" s="63" t="s">
        <v>7638</v>
      </c>
      <c r="B1030" t="s">
        <v>1195</v>
      </c>
      <c r="C1030" t="s">
        <v>5043</v>
      </c>
      <c r="D1030" t="s">
        <v>8401</v>
      </c>
    </row>
    <row r="1031" spans="1:4" x14ac:dyDescent="0.25">
      <c r="A1031" s="63" t="s">
        <v>7639</v>
      </c>
      <c r="B1031" t="s">
        <v>1195</v>
      </c>
      <c r="C1031" t="s">
        <v>5043</v>
      </c>
      <c r="D1031" t="s">
        <v>8401</v>
      </c>
    </row>
    <row r="1032" spans="1:4" x14ac:dyDescent="0.25">
      <c r="A1032" s="63" t="s">
        <v>7640</v>
      </c>
      <c r="B1032" t="s">
        <v>1193</v>
      </c>
      <c r="C1032" t="s">
        <v>5043</v>
      </c>
      <c r="D1032" t="s">
        <v>8401</v>
      </c>
    </row>
    <row r="1033" spans="1:4" x14ac:dyDescent="0.25">
      <c r="A1033" s="63" t="s">
        <v>7641</v>
      </c>
      <c r="B1033" t="s">
        <v>1193</v>
      </c>
      <c r="C1033" t="s">
        <v>5043</v>
      </c>
      <c r="D1033" t="s">
        <v>8401</v>
      </c>
    </row>
    <row r="1034" spans="1:4" x14ac:dyDescent="0.25">
      <c r="A1034" s="63" t="s">
        <v>6252</v>
      </c>
      <c r="B1034" t="s">
        <v>2272</v>
      </c>
      <c r="C1034" t="s">
        <v>5043</v>
      </c>
      <c r="D1034" t="s">
        <v>8401</v>
      </c>
    </row>
    <row r="1035" spans="1:4" x14ac:dyDescent="0.25">
      <c r="A1035" s="63" t="s">
        <v>5612</v>
      </c>
      <c r="B1035" t="s">
        <v>2491</v>
      </c>
      <c r="C1035" t="s">
        <v>5043</v>
      </c>
      <c r="D1035" t="s">
        <v>8401</v>
      </c>
    </row>
    <row r="1036" spans="1:4" x14ac:dyDescent="0.25">
      <c r="A1036" s="63" t="s">
        <v>5604</v>
      </c>
      <c r="B1036" t="s">
        <v>2490</v>
      </c>
      <c r="C1036" t="s">
        <v>5043</v>
      </c>
      <c r="D1036" t="s">
        <v>8401</v>
      </c>
    </row>
    <row r="1037" spans="1:4" x14ac:dyDescent="0.25">
      <c r="A1037" s="63" t="s">
        <v>7642</v>
      </c>
      <c r="B1037" t="s">
        <v>1964</v>
      </c>
      <c r="C1037" t="s">
        <v>5043</v>
      </c>
      <c r="D1037" t="s">
        <v>8401</v>
      </c>
    </row>
    <row r="1038" spans="1:4" x14ac:dyDescent="0.25">
      <c r="A1038" s="63" t="s">
        <v>6815</v>
      </c>
      <c r="B1038" t="s">
        <v>1964</v>
      </c>
      <c r="C1038" t="s">
        <v>5043</v>
      </c>
      <c r="D1038" t="s">
        <v>8401</v>
      </c>
    </row>
    <row r="1039" spans="1:4" x14ac:dyDescent="0.25">
      <c r="A1039" s="63" t="s">
        <v>6173</v>
      </c>
      <c r="B1039" t="s">
        <v>1964</v>
      </c>
      <c r="C1039" t="s">
        <v>5043</v>
      </c>
      <c r="D1039" t="s">
        <v>8401</v>
      </c>
    </row>
    <row r="1040" spans="1:4" x14ac:dyDescent="0.25">
      <c r="A1040" s="63" t="s">
        <v>2543</v>
      </c>
      <c r="B1040" t="s">
        <v>2534</v>
      </c>
      <c r="C1040" t="s">
        <v>5043</v>
      </c>
      <c r="D1040" t="s">
        <v>8401</v>
      </c>
    </row>
    <row r="1041" spans="1:4" x14ac:dyDescent="0.25">
      <c r="A1041" s="63" t="s">
        <v>2573</v>
      </c>
      <c r="B1041" t="s">
        <v>2534</v>
      </c>
      <c r="C1041" t="s">
        <v>5043</v>
      </c>
      <c r="D1041" t="s">
        <v>8401</v>
      </c>
    </row>
    <row r="1042" spans="1:4" x14ac:dyDescent="0.25">
      <c r="A1042" s="63" t="s">
        <v>2544</v>
      </c>
      <c r="B1042" t="s">
        <v>2533</v>
      </c>
      <c r="C1042" t="s">
        <v>5043</v>
      </c>
      <c r="D1042" t="s">
        <v>8401</v>
      </c>
    </row>
    <row r="1043" spans="1:4" x14ac:dyDescent="0.25">
      <c r="A1043" s="63" t="s">
        <v>2545</v>
      </c>
      <c r="B1043" t="s">
        <v>2533</v>
      </c>
      <c r="C1043" t="s">
        <v>5043</v>
      </c>
      <c r="D1043" t="s">
        <v>8401</v>
      </c>
    </row>
    <row r="1044" spans="1:4" x14ac:dyDescent="0.25">
      <c r="A1044" s="63" t="s">
        <v>2574</v>
      </c>
      <c r="B1044" t="s">
        <v>2533</v>
      </c>
      <c r="C1044" t="s">
        <v>5043</v>
      </c>
      <c r="D1044" t="s">
        <v>8401</v>
      </c>
    </row>
    <row r="1045" spans="1:4" x14ac:dyDescent="0.25">
      <c r="A1045" s="63" t="s">
        <v>2575</v>
      </c>
      <c r="B1045" t="s">
        <v>2576</v>
      </c>
      <c r="C1045" t="s">
        <v>5043</v>
      </c>
      <c r="D1045" t="s">
        <v>8401</v>
      </c>
    </row>
    <row r="1046" spans="1:4" x14ac:dyDescent="0.25">
      <c r="A1046" s="63" t="s">
        <v>2577</v>
      </c>
      <c r="B1046" t="s">
        <v>2576</v>
      </c>
      <c r="C1046" t="s">
        <v>5043</v>
      </c>
      <c r="D1046" t="s">
        <v>8401</v>
      </c>
    </row>
    <row r="1047" spans="1:4" x14ac:dyDescent="0.25">
      <c r="A1047" s="63" t="s">
        <v>2578</v>
      </c>
      <c r="B1047" t="s">
        <v>2576</v>
      </c>
      <c r="C1047" t="s">
        <v>5043</v>
      </c>
      <c r="D1047" t="s">
        <v>8401</v>
      </c>
    </row>
    <row r="1048" spans="1:4" x14ac:dyDescent="0.25">
      <c r="A1048" s="63" t="s">
        <v>2579</v>
      </c>
      <c r="B1048" t="s">
        <v>2580</v>
      </c>
      <c r="C1048" t="s">
        <v>5043</v>
      </c>
      <c r="D1048" t="s">
        <v>8401</v>
      </c>
    </row>
    <row r="1049" spans="1:4" x14ac:dyDescent="0.25">
      <c r="A1049" s="63" t="s">
        <v>2581</v>
      </c>
      <c r="B1049" t="s">
        <v>2580</v>
      </c>
      <c r="C1049" t="s">
        <v>5043</v>
      </c>
      <c r="D1049" t="s">
        <v>8401</v>
      </c>
    </row>
    <row r="1050" spans="1:4" x14ac:dyDescent="0.25">
      <c r="A1050" s="63" t="s">
        <v>7643</v>
      </c>
      <c r="B1050" t="s">
        <v>1784</v>
      </c>
      <c r="C1050" t="s">
        <v>5043</v>
      </c>
      <c r="D1050" t="s">
        <v>8402</v>
      </c>
    </row>
    <row r="1051" spans="1:4" x14ac:dyDescent="0.25">
      <c r="A1051" s="63" t="s">
        <v>7046</v>
      </c>
      <c r="B1051" t="s">
        <v>2456</v>
      </c>
      <c r="C1051" t="s">
        <v>5043</v>
      </c>
      <c r="D1051" t="s">
        <v>8402</v>
      </c>
    </row>
    <row r="1052" spans="1:4" x14ac:dyDescent="0.25">
      <c r="A1052" s="63" t="s">
        <v>3160</v>
      </c>
      <c r="B1052" t="s">
        <v>2456</v>
      </c>
      <c r="C1052" t="s">
        <v>5043</v>
      </c>
      <c r="D1052" t="s">
        <v>8402</v>
      </c>
    </row>
    <row r="1053" spans="1:4" x14ac:dyDescent="0.25">
      <c r="A1053" s="63" t="s">
        <v>3161</v>
      </c>
      <c r="B1053" t="s">
        <v>2456</v>
      </c>
      <c r="C1053" t="s">
        <v>5043</v>
      </c>
      <c r="D1053" t="s">
        <v>8402</v>
      </c>
    </row>
    <row r="1054" spans="1:4" x14ac:dyDescent="0.25">
      <c r="A1054" s="63" t="s">
        <v>3162</v>
      </c>
      <c r="B1054" t="s">
        <v>2457</v>
      </c>
      <c r="C1054" t="s">
        <v>5043</v>
      </c>
      <c r="D1054" t="s">
        <v>8402</v>
      </c>
    </row>
    <row r="1055" spans="1:4" x14ac:dyDescent="0.25">
      <c r="A1055" s="63" t="s">
        <v>3163</v>
      </c>
      <c r="B1055" t="s">
        <v>1869</v>
      </c>
      <c r="C1055" t="s">
        <v>5043</v>
      </c>
      <c r="D1055" t="s">
        <v>8402</v>
      </c>
    </row>
    <row r="1056" spans="1:4" x14ac:dyDescent="0.25">
      <c r="A1056" s="63" t="s">
        <v>7084</v>
      </c>
      <c r="B1056" t="s">
        <v>1869</v>
      </c>
      <c r="C1056" t="s">
        <v>5043</v>
      </c>
      <c r="D1056" t="s">
        <v>8402</v>
      </c>
    </row>
    <row r="1057" spans="1:4" x14ac:dyDescent="0.25">
      <c r="A1057" s="63" t="s">
        <v>7085</v>
      </c>
      <c r="B1057" t="s">
        <v>1968</v>
      </c>
      <c r="C1057" t="s">
        <v>5043</v>
      </c>
      <c r="D1057" t="s">
        <v>8402</v>
      </c>
    </row>
    <row r="1058" spans="1:4" x14ac:dyDescent="0.25">
      <c r="A1058" s="63" t="s">
        <v>7086</v>
      </c>
      <c r="B1058" t="s">
        <v>1968</v>
      </c>
      <c r="C1058" t="s">
        <v>5043</v>
      </c>
      <c r="D1058" t="s">
        <v>8402</v>
      </c>
    </row>
    <row r="1059" spans="1:4" x14ac:dyDescent="0.25">
      <c r="A1059" s="63" t="s">
        <v>7087</v>
      </c>
      <c r="B1059" t="s">
        <v>1968</v>
      </c>
      <c r="C1059" t="s">
        <v>5043</v>
      </c>
      <c r="D1059" t="s">
        <v>8402</v>
      </c>
    </row>
    <row r="1060" spans="1:4" x14ac:dyDescent="0.25">
      <c r="A1060" s="63" t="s">
        <v>7644</v>
      </c>
      <c r="B1060" t="s">
        <v>2312</v>
      </c>
      <c r="C1060" t="s">
        <v>5043</v>
      </c>
      <c r="D1060" t="s">
        <v>8402</v>
      </c>
    </row>
    <row r="1061" spans="1:4" x14ac:dyDescent="0.25">
      <c r="A1061" s="63" t="s">
        <v>7645</v>
      </c>
      <c r="B1061" t="s">
        <v>2312</v>
      </c>
      <c r="C1061" t="s">
        <v>5043</v>
      </c>
      <c r="D1061" t="s">
        <v>8402</v>
      </c>
    </row>
    <row r="1062" spans="1:4" x14ac:dyDescent="0.25">
      <c r="A1062" s="63" t="s">
        <v>3164</v>
      </c>
      <c r="B1062" t="s">
        <v>1967</v>
      </c>
      <c r="C1062" t="s">
        <v>5043</v>
      </c>
      <c r="D1062" t="s">
        <v>8402</v>
      </c>
    </row>
    <row r="1063" spans="1:4" x14ac:dyDescent="0.25">
      <c r="A1063" s="63" t="s">
        <v>3165</v>
      </c>
      <c r="B1063" t="s">
        <v>1967</v>
      </c>
      <c r="C1063" t="s">
        <v>5043</v>
      </c>
      <c r="D1063" t="s">
        <v>8402</v>
      </c>
    </row>
    <row r="1064" spans="1:4" x14ac:dyDescent="0.25">
      <c r="A1064" s="63" t="s">
        <v>3166</v>
      </c>
      <c r="B1064" t="s">
        <v>1967</v>
      </c>
      <c r="C1064" t="s">
        <v>5043</v>
      </c>
      <c r="D1064" t="s">
        <v>8402</v>
      </c>
    </row>
    <row r="1065" spans="1:4" x14ac:dyDescent="0.25">
      <c r="A1065" s="63" t="s">
        <v>7133</v>
      </c>
      <c r="B1065" t="s">
        <v>1967</v>
      </c>
      <c r="C1065" t="s">
        <v>5043</v>
      </c>
      <c r="D1065" t="s">
        <v>8402</v>
      </c>
    </row>
    <row r="1066" spans="1:4" x14ac:dyDescent="0.25">
      <c r="A1066" s="63" t="s">
        <v>7134</v>
      </c>
      <c r="B1066" t="s">
        <v>1967</v>
      </c>
      <c r="C1066" t="s">
        <v>5043</v>
      </c>
      <c r="D1066" t="s">
        <v>8402</v>
      </c>
    </row>
    <row r="1067" spans="1:4" x14ac:dyDescent="0.25">
      <c r="A1067" s="63" t="s">
        <v>7178</v>
      </c>
      <c r="B1067" t="s">
        <v>1966</v>
      </c>
      <c r="C1067" t="s">
        <v>5043</v>
      </c>
      <c r="D1067" t="s">
        <v>8402</v>
      </c>
    </row>
    <row r="1068" spans="1:4" x14ac:dyDescent="0.25">
      <c r="A1068" s="63" t="s">
        <v>7646</v>
      </c>
      <c r="B1068" t="s">
        <v>1966</v>
      </c>
      <c r="C1068" t="s">
        <v>5043</v>
      </c>
      <c r="D1068" t="s">
        <v>8402</v>
      </c>
    </row>
    <row r="1069" spans="1:4" x14ac:dyDescent="0.25">
      <c r="A1069" s="63" t="s">
        <v>7647</v>
      </c>
      <c r="B1069" t="s">
        <v>1966</v>
      </c>
      <c r="C1069" t="s">
        <v>5043</v>
      </c>
      <c r="D1069" t="s">
        <v>8402</v>
      </c>
    </row>
    <row r="1070" spans="1:4" x14ac:dyDescent="0.25">
      <c r="A1070" s="63" t="s">
        <v>7648</v>
      </c>
      <c r="B1070" t="s">
        <v>1966</v>
      </c>
      <c r="C1070" t="s">
        <v>5043</v>
      </c>
      <c r="D1070" t="s">
        <v>8402</v>
      </c>
    </row>
    <row r="1071" spans="1:4" x14ac:dyDescent="0.25">
      <c r="A1071" s="63" t="s">
        <v>7649</v>
      </c>
      <c r="B1071" t="s">
        <v>2497</v>
      </c>
      <c r="C1071" t="s">
        <v>5043</v>
      </c>
      <c r="D1071" t="s">
        <v>8402</v>
      </c>
    </row>
    <row r="1072" spans="1:4" x14ac:dyDescent="0.25">
      <c r="A1072" s="63" t="s">
        <v>7650</v>
      </c>
      <c r="B1072" t="s">
        <v>2497</v>
      </c>
      <c r="C1072" t="s">
        <v>5043</v>
      </c>
      <c r="D1072" t="s">
        <v>8402</v>
      </c>
    </row>
    <row r="1073" spans="1:4" x14ac:dyDescent="0.25">
      <c r="A1073" s="63" t="s">
        <v>7651</v>
      </c>
      <c r="B1073" t="s">
        <v>2497</v>
      </c>
      <c r="C1073" t="s">
        <v>5043</v>
      </c>
      <c r="D1073" t="s">
        <v>8402</v>
      </c>
    </row>
    <row r="1074" spans="1:4" x14ac:dyDescent="0.25">
      <c r="A1074" s="63" t="s">
        <v>7652</v>
      </c>
      <c r="B1074" t="s">
        <v>2496</v>
      </c>
      <c r="C1074" t="s">
        <v>5043</v>
      </c>
      <c r="D1074" t="s">
        <v>8402</v>
      </c>
    </row>
    <row r="1075" spans="1:4" x14ac:dyDescent="0.25">
      <c r="A1075" s="63" t="s">
        <v>7653</v>
      </c>
      <c r="B1075" t="s">
        <v>2311</v>
      </c>
      <c r="C1075" t="s">
        <v>5043</v>
      </c>
      <c r="D1075" t="s">
        <v>8402</v>
      </c>
    </row>
    <row r="1076" spans="1:4" x14ac:dyDescent="0.25">
      <c r="A1076" s="63" t="s">
        <v>7654</v>
      </c>
      <c r="B1076" t="s">
        <v>2311</v>
      </c>
      <c r="C1076" t="s">
        <v>5043</v>
      </c>
      <c r="D1076" t="s">
        <v>8402</v>
      </c>
    </row>
    <row r="1077" spans="1:4" x14ac:dyDescent="0.25">
      <c r="A1077" s="63" t="s">
        <v>7655</v>
      </c>
      <c r="B1077" t="s">
        <v>1786</v>
      </c>
      <c r="C1077" t="s">
        <v>5043</v>
      </c>
      <c r="D1077" t="s">
        <v>8402</v>
      </c>
    </row>
    <row r="1078" spans="1:4" x14ac:dyDescent="0.25">
      <c r="A1078" s="63" t="s">
        <v>7656</v>
      </c>
      <c r="B1078" t="s">
        <v>1786</v>
      </c>
      <c r="C1078" t="s">
        <v>5043</v>
      </c>
      <c r="D1078" t="s">
        <v>8402</v>
      </c>
    </row>
    <row r="1079" spans="1:4" x14ac:dyDescent="0.25">
      <c r="A1079" s="63" t="s">
        <v>7657</v>
      </c>
      <c r="B1079" t="s">
        <v>1787</v>
      </c>
      <c r="C1079" t="s">
        <v>5043</v>
      </c>
      <c r="D1079" t="s">
        <v>8402</v>
      </c>
    </row>
    <row r="1080" spans="1:4" x14ac:dyDescent="0.25">
      <c r="A1080" s="63" t="s">
        <v>7658</v>
      </c>
      <c r="B1080" t="s">
        <v>1787</v>
      </c>
      <c r="C1080" t="s">
        <v>5043</v>
      </c>
      <c r="D1080" t="s">
        <v>8402</v>
      </c>
    </row>
    <row r="1081" spans="1:4" x14ac:dyDescent="0.25">
      <c r="A1081" s="63" t="s">
        <v>7659</v>
      </c>
      <c r="B1081" t="s">
        <v>1783</v>
      </c>
      <c r="C1081" t="s">
        <v>5043</v>
      </c>
      <c r="D1081" t="s">
        <v>8402</v>
      </c>
    </row>
    <row r="1082" spans="1:4" x14ac:dyDescent="0.25">
      <c r="A1082" s="63" t="s">
        <v>7660</v>
      </c>
      <c r="B1082" t="s">
        <v>1783</v>
      </c>
      <c r="C1082" t="s">
        <v>5043</v>
      </c>
      <c r="D1082" t="s">
        <v>8402</v>
      </c>
    </row>
    <row r="1083" spans="1:4" x14ac:dyDescent="0.25">
      <c r="A1083" s="63" t="s">
        <v>7661</v>
      </c>
      <c r="B1083" t="s">
        <v>1785</v>
      </c>
      <c r="C1083" t="s">
        <v>5043</v>
      </c>
      <c r="D1083" t="s">
        <v>8402</v>
      </c>
    </row>
    <row r="1084" spans="1:4" x14ac:dyDescent="0.25">
      <c r="A1084" s="63" t="s">
        <v>7662</v>
      </c>
      <c r="B1084" t="s">
        <v>1785</v>
      </c>
      <c r="C1084" t="s">
        <v>5043</v>
      </c>
      <c r="D1084" t="s">
        <v>8402</v>
      </c>
    </row>
    <row r="1085" spans="1:4" x14ac:dyDescent="0.25">
      <c r="A1085" s="63" t="s">
        <v>6605</v>
      </c>
      <c r="B1085" t="s">
        <v>2310</v>
      </c>
      <c r="C1085" t="s">
        <v>5043</v>
      </c>
      <c r="D1085" t="s">
        <v>8402</v>
      </c>
    </row>
    <row r="1086" spans="1:4" x14ac:dyDescent="0.25">
      <c r="A1086" s="63" t="s">
        <v>6823</v>
      </c>
      <c r="B1086" t="s">
        <v>2310</v>
      </c>
      <c r="C1086" t="s">
        <v>5043</v>
      </c>
      <c r="D1086" t="s">
        <v>8402</v>
      </c>
    </row>
    <row r="1087" spans="1:4" x14ac:dyDescent="0.25">
      <c r="A1087" s="63" t="s">
        <v>6756</v>
      </c>
      <c r="B1087" t="s">
        <v>2310</v>
      </c>
      <c r="C1087" t="s">
        <v>5043</v>
      </c>
      <c r="D1087" t="s">
        <v>8402</v>
      </c>
    </row>
    <row r="1088" spans="1:4" x14ac:dyDescent="0.25">
      <c r="A1088" s="63" t="s">
        <v>5193</v>
      </c>
      <c r="B1088" t="s">
        <v>1270</v>
      </c>
      <c r="C1088" t="s">
        <v>5043</v>
      </c>
      <c r="D1088" t="s">
        <v>8402</v>
      </c>
    </row>
    <row r="1089" spans="1:4" x14ac:dyDescent="0.25">
      <c r="A1089" s="63" t="s">
        <v>5194</v>
      </c>
      <c r="B1089" t="s">
        <v>1270</v>
      </c>
      <c r="C1089" t="s">
        <v>5043</v>
      </c>
      <c r="D1089" t="s">
        <v>8402</v>
      </c>
    </row>
    <row r="1090" spans="1:4" x14ac:dyDescent="0.25">
      <c r="A1090" s="63" t="s">
        <v>7663</v>
      </c>
      <c r="B1090" t="s">
        <v>2401</v>
      </c>
      <c r="C1090" t="s">
        <v>5043</v>
      </c>
      <c r="D1090" t="s">
        <v>8402</v>
      </c>
    </row>
    <row r="1091" spans="1:4" x14ac:dyDescent="0.25">
      <c r="A1091" s="63" t="s">
        <v>3167</v>
      </c>
      <c r="B1091" t="s">
        <v>2400</v>
      </c>
      <c r="C1091" t="s">
        <v>5043</v>
      </c>
      <c r="D1091" t="s">
        <v>8402</v>
      </c>
    </row>
    <row r="1092" spans="1:4" x14ac:dyDescent="0.25">
      <c r="A1092" s="63" t="s">
        <v>3168</v>
      </c>
      <c r="B1092" t="s">
        <v>2400</v>
      </c>
      <c r="C1092" t="s">
        <v>5043</v>
      </c>
      <c r="D1092" t="s">
        <v>8402</v>
      </c>
    </row>
    <row r="1093" spans="1:4" x14ac:dyDescent="0.25">
      <c r="A1093" s="63" t="s">
        <v>7664</v>
      </c>
      <c r="B1093" t="s">
        <v>2400</v>
      </c>
      <c r="C1093" t="s">
        <v>5043</v>
      </c>
      <c r="D1093" t="s">
        <v>8402</v>
      </c>
    </row>
    <row r="1094" spans="1:4" x14ac:dyDescent="0.25">
      <c r="A1094" s="63" t="s">
        <v>7665</v>
      </c>
      <c r="B1094" t="s">
        <v>2399</v>
      </c>
      <c r="C1094" t="s">
        <v>5043</v>
      </c>
      <c r="D1094" t="s">
        <v>8402</v>
      </c>
    </row>
    <row r="1095" spans="1:4" x14ac:dyDescent="0.25">
      <c r="A1095" s="63" t="s">
        <v>3169</v>
      </c>
      <c r="B1095" t="s">
        <v>2399</v>
      </c>
      <c r="C1095" t="s">
        <v>5043</v>
      </c>
      <c r="D1095" t="s">
        <v>8402</v>
      </c>
    </row>
    <row r="1096" spans="1:4" x14ac:dyDescent="0.25">
      <c r="A1096" s="63" t="s">
        <v>3170</v>
      </c>
      <c r="B1096" t="s">
        <v>2399</v>
      </c>
      <c r="C1096" t="s">
        <v>5043</v>
      </c>
      <c r="D1096" t="s">
        <v>8402</v>
      </c>
    </row>
    <row r="1097" spans="1:4" x14ac:dyDescent="0.25">
      <c r="A1097" s="63" t="s">
        <v>7666</v>
      </c>
      <c r="B1097" t="s">
        <v>1854</v>
      </c>
      <c r="C1097" t="s">
        <v>5043</v>
      </c>
      <c r="D1097" t="s">
        <v>8402</v>
      </c>
    </row>
    <row r="1098" spans="1:4" x14ac:dyDescent="0.25">
      <c r="A1098" s="63" t="s">
        <v>7667</v>
      </c>
      <c r="B1098" t="s">
        <v>1855</v>
      </c>
      <c r="C1098" t="s">
        <v>5043</v>
      </c>
      <c r="D1098" t="s">
        <v>8402</v>
      </c>
    </row>
    <row r="1099" spans="1:4" x14ac:dyDescent="0.25">
      <c r="A1099" s="63" t="s">
        <v>6757</v>
      </c>
      <c r="B1099" t="s">
        <v>1827</v>
      </c>
      <c r="C1099" t="s">
        <v>5043</v>
      </c>
      <c r="D1099" t="s">
        <v>8402</v>
      </c>
    </row>
    <row r="1100" spans="1:4" x14ac:dyDescent="0.25">
      <c r="A1100" s="63" t="s">
        <v>6758</v>
      </c>
      <c r="B1100" t="s">
        <v>1827</v>
      </c>
      <c r="C1100" t="s">
        <v>5043</v>
      </c>
      <c r="D1100" t="s">
        <v>8402</v>
      </c>
    </row>
    <row r="1101" spans="1:4" x14ac:dyDescent="0.25">
      <c r="A1101" s="63" t="s">
        <v>6764</v>
      </c>
      <c r="B1101" t="s">
        <v>1827</v>
      </c>
      <c r="C1101" t="s">
        <v>5043</v>
      </c>
      <c r="D1101" t="s">
        <v>8402</v>
      </c>
    </row>
    <row r="1102" spans="1:4" x14ac:dyDescent="0.25">
      <c r="A1102" s="63" t="s">
        <v>3171</v>
      </c>
      <c r="B1102" t="s">
        <v>1853</v>
      </c>
      <c r="C1102" t="s">
        <v>5043</v>
      </c>
      <c r="D1102" t="s">
        <v>8402</v>
      </c>
    </row>
    <row r="1103" spans="1:4" x14ac:dyDescent="0.25">
      <c r="A1103" s="63" t="s">
        <v>3172</v>
      </c>
      <c r="B1103" t="s">
        <v>1853</v>
      </c>
      <c r="C1103" t="s">
        <v>5043</v>
      </c>
      <c r="D1103" t="s">
        <v>8402</v>
      </c>
    </row>
    <row r="1104" spans="1:4" x14ac:dyDescent="0.25">
      <c r="A1104" s="63" t="s">
        <v>2546</v>
      </c>
      <c r="B1104" t="s">
        <v>2535</v>
      </c>
      <c r="C1104" t="s">
        <v>5043</v>
      </c>
      <c r="D1104" t="s">
        <v>8401</v>
      </c>
    </row>
    <row r="1105" spans="1:4" x14ac:dyDescent="0.25">
      <c r="A1105" s="63" t="s">
        <v>2547</v>
      </c>
      <c r="B1105" t="s">
        <v>2535</v>
      </c>
      <c r="C1105" t="s">
        <v>5043</v>
      </c>
      <c r="D1105" t="s">
        <v>8401</v>
      </c>
    </row>
    <row r="1106" spans="1:4" x14ac:dyDescent="0.25">
      <c r="A1106" s="63" t="s">
        <v>2548</v>
      </c>
      <c r="B1106" t="s">
        <v>2535</v>
      </c>
      <c r="C1106" t="s">
        <v>5043</v>
      </c>
      <c r="D1106" t="s">
        <v>8401</v>
      </c>
    </row>
    <row r="1107" spans="1:4" x14ac:dyDescent="0.25">
      <c r="A1107" s="63" t="s">
        <v>7668</v>
      </c>
      <c r="B1107" t="s">
        <v>1851</v>
      </c>
      <c r="C1107" t="s">
        <v>5043</v>
      </c>
      <c r="D1107" t="s">
        <v>8402</v>
      </c>
    </row>
    <row r="1108" spans="1:4" x14ac:dyDescent="0.25">
      <c r="A1108" s="63" t="s">
        <v>7669</v>
      </c>
      <c r="B1108" t="s">
        <v>1851</v>
      </c>
      <c r="C1108" t="s">
        <v>5043</v>
      </c>
      <c r="D1108" t="s">
        <v>8402</v>
      </c>
    </row>
    <row r="1109" spans="1:4" x14ac:dyDescent="0.25">
      <c r="A1109" s="63" t="s">
        <v>7670</v>
      </c>
      <c r="B1109" t="s">
        <v>1851</v>
      </c>
      <c r="C1109" t="s">
        <v>5043</v>
      </c>
      <c r="D1109" t="s">
        <v>8402</v>
      </c>
    </row>
    <row r="1110" spans="1:4" x14ac:dyDescent="0.25">
      <c r="A1110" s="63" t="s">
        <v>7671</v>
      </c>
      <c r="B1110" t="s">
        <v>1851</v>
      </c>
      <c r="C1110" t="s">
        <v>5043</v>
      </c>
      <c r="D1110" t="s">
        <v>8402</v>
      </c>
    </row>
    <row r="1111" spans="1:4" x14ac:dyDescent="0.25">
      <c r="A1111" s="63" t="s">
        <v>7672</v>
      </c>
      <c r="B1111" t="s">
        <v>1852</v>
      </c>
      <c r="C1111" t="s">
        <v>5043</v>
      </c>
      <c r="D1111" t="s">
        <v>8402</v>
      </c>
    </row>
    <row r="1112" spans="1:4" x14ac:dyDescent="0.25">
      <c r="A1112" s="63" t="s">
        <v>7673</v>
      </c>
      <c r="B1112" t="s">
        <v>1852</v>
      </c>
      <c r="C1112" t="s">
        <v>5043</v>
      </c>
      <c r="D1112" t="s">
        <v>8402</v>
      </c>
    </row>
    <row r="1113" spans="1:4" x14ac:dyDescent="0.25">
      <c r="A1113" s="63" t="s">
        <v>6552</v>
      </c>
      <c r="B1113" t="s">
        <v>1931</v>
      </c>
      <c r="C1113" t="s">
        <v>5043</v>
      </c>
      <c r="D1113" t="s">
        <v>8402</v>
      </c>
    </row>
    <row r="1114" spans="1:4" x14ac:dyDescent="0.25">
      <c r="A1114" s="63" t="s">
        <v>3173</v>
      </c>
      <c r="B1114" t="s">
        <v>1931</v>
      </c>
      <c r="C1114" t="s">
        <v>5043</v>
      </c>
      <c r="D1114" t="s">
        <v>8402</v>
      </c>
    </row>
    <row r="1115" spans="1:4" x14ac:dyDescent="0.25">
      <c r="A1115" s="63" t="s">
        <v>3174</v>
      </c>
      <c r="B1115" t="s">
        <v>1931</v>
      </c>
      <c r="C1115" t="s">
        <v>5043</v>
      </c>
      <c r="D1115" t="s">
        <v>8402</v>
      </c>
    </row>
    <row r="1116" spans="1:4" x14ac:dyDescent="0.25">
      <c r="A1116" s="63" t="s">
        <v>3175</v>
      </c>
      <c r="B1116" t="s">
        <v>1931</v>
      </c>
      <c r="C1116" t="s">
        <v>5043</v>
      </c>
      <c r="D1116" t="s">
        <v>8402</v>
      </c>
    </row>
    <row r="1117" spans="1:4" x14ac:dyDescent="0.25">
      <c r="A1117" s="63" t="s">
        <v>6553</v>
      </c>
      <c r="B1117" t="s">
        <v>1931</v>
      </c>
      <c r="C1117" t="s">
        <v>5043</v>
      </c>
      <c r="D1117" t="s">
        <v>8402</v>
      </c>
    </row>
    <row r="1118" spans="1:4" x14ac:dyDescent="0.25">
      <c r="A1118" s="63" t="s">
        <v>6554</v>
      </c>
      <c r="B1118" t="s">
        <v>1931</v>
      </c>
      <c r="C1118" t="s">
        <v>5043</v>
      </c>
      <c r="D1118" t="s">
        <v>8402</v>
      </c>
    </row>
    <row r="1119" spans="1:4" x14ac:dyDescent="0.25">
      <c r="A1119" s="63" t="s">
        <v>6556</v>
      </c>
      <c r="B1119" t="s">
        <v>1931</v>
      </c>
      <c r="C1119" t="s">
        <v>5043</v>
      </c>
      <c r="D1119" t="s">
        <v>8402</v>
      </c>
    </row>
    <row r="1120" spans="1:4" x14ac:dyDescent="0.25">
      <c r="A1120" s="63" t="s">
        <v>6557</v>
      </c>
      <c r="B1120" t="s">
        <v>1931</v>
      </c>
      <c r="C1120" t="s">
        <v>5043</v>
      </c>
      <c r="D1120" t="s">
        <v>8402</v>
      </c>
    </row>
    <row r="1121" spans="1:4" x14ac:dyDescent="0.25">
      <c r="A1121" s="63" t="s">
        <v>6558</v>
      </c>
      <c r="B1121" t="s">
        <v>1931</v>
      </c>
      <c r="C1121" t="s">
        <v>5043</v>
      </c>
      <c r="D1121" t="s">
        <v>8402</v>
      </c>
    </row>
    <row r="1122" spans="1:4" x14ac:dyDescent="0.25">
      <c r="A1122" s="63" t="s">
        <v>6559</v>
      </c>
      <c r="B1122" t="s">
        <v>1931</v>
      </c>
      <c r="C1122" t="s">
        <v>5043</v>
      </c>
      <c r="D1122" t="s">
        <v>8402</v>
      </c>
    </row>
    <row r="1123" spans="1:4" x14ac:dyDescent="0.25">
      <c r="A1123" s="63" t="s">
        <v>6350</v>
      </c>
      <c r="B1123" t="s">
        <v>1295</v>
      </c>
      <c r="C1123" t="s">
        <v>5043</v>
      </c>
      <c r="D1123" t="s">
        <v>8402</v>
      </c>
    </row>
    <row r="1124" spans="1:4" x14ac:dyDescent="0.25">
      <c r="A1124" s="63" t="s">
        <v>3176</v>
      </c>
      <c r="B1124" t="s">
        <v>1654</v>
      </c>
      <c r="C1124" t="s">
        <v>5043</v>
      </c>
      <c r="D1124" t="s">
        <v>8402</v>
      </c>
    </row>
    <row r="1125" spans="1:4" x14ac:dyDescent="0.25">
      <c r="A1125" s="63" t="s">
        <v>3177</v>
      </c>
      <c r="B1125" t="s">
        <v>1654</v>
      </c>
      <c r="C1125" t="s">
        <v>5043</v>
      </c>
      <c r="D1125" t="s">
        <v>8402</v>
      </c>
    </row>
    <row r="1126" spans="1:4" x14ac:dyDescent="0.25">
      <c r="A1126" s="63" t="s">
        <v>3178</v>
      </c>
      <c r="B1126" t="s">
        <v>1658</v>
      </c>
      <c r="C1126" t="s">
        <v>5043</v>
      </c>
      <c r="D1126" t="s">
        <v>8402</v>
      </c>
    </row>
    <row r="1127" spans="1:4" x14ac:dyDescent="0.25">
      <c r="A1127" s="63" t="s">
        <v>3179</v>
      </c>
      <c r="B1127" t="s">
        <v>1658</v>
      </c>
      <c r="C1127" t="s">
        <v>5043</v>
      </c>
      <c r="D1127" t="s">
        <v>8402</v>
      </c>
    </row>
    <row r="1128" spans="1:4" x14ac:dyDescent="0.25">
      <c r="A1128" s="63" t="s">
        <v>3180</v>
      </c>
      <c r="B1128" t="s">
        <v>1658</v>
      </c>
      <c r="C1128" t="s">
        <v>5043</v>
      </c>
      <c r="D1128" t="s">
        <v>8402</v>
      </c>
    </row>
    <row r="1129" spans="1:4" x14ac:dyDescent="0.25">
      <c r="A1129" s="63" t="s">
        <v>3181</v>
      </c>
      <c r="B1129" t="s">
        <v>1664</v>
      </c>
      <c r="C1129" t="s">
        <v>5043</v>
      </c>
      <c r="D1129" t="s">
        <v>8402</v>
      </c>
    </row>
    <row r="1130" spans="1:4" x14ac:dyDescent="0.25">
      <c r="A1130" s="63" t="s">
        <v>3182</v>
      </c>
      <c r="B1130" t="s">
        <v>1664</v>
      </c>
      <c r="C1130" t="s">
        <v>5043</v>
      </c>
      <c r="D1130" t="s">
        <v>8402</v>
      </c>
    </row>
    <row r="1131" spans="1:4" x14ac:dyDescent="0.25">
      <c r="A1131" s="63" t="s">
        <v>7068</v>
      </c>
      <c r="B1131" t="s">
        <v>1318</v>
      </c>
      <c r="C1131" t="s">
        <v>5043</v>
      </c>
      <c r="D1131" t="s">
        <v>8402</v>
      </c>
    </row>
    <row r="1132" spans="1:4" x14ac:dyDescent="0.25">
      <c r="A1132" s="63" t="s">
        <v>3183</v>
      </c>
      <c r="B1132" t="s">
        <v>1318</v>
      </c>
      <c r="C1132" t="s">
        <v>5043</v>
      </c>
      <c r="D1132" t="s">
        <v>8402</v>
      </c>
    </row>
    <row r="1133" spans="1:4" x14ac:dyDescent="0.25">
      <c r="A1133" s="63" t="s">
        <v>3184</v>
      </c>
      <c r="B1133" t="s">
        <v>1318</v>
      </c>
      <c r="C1133" t="s">
        <v>5043</v>
      </c>
      <c r="D1133" t="s">
        <v>8402</v>
      </c>
    </row>
    <row r="1134" spans="1:4" x14ac:dyDescent="0.25">
      <c r="A1134" s="63" t="s">
        <v>3185</v>
      </c>
      <c r="B1134" t="s">
        <v>1318</v>
      </c>
      <c r="C1134" t="s">
        <v>5043</v>
      </c>
      <c r="D1134" t="s">
        <v>8402</v>
      </c>
    </row>
    <row r="1135" spans="1:4" x14ac:dyDescent="0.25">
      <c r="A1135" s="63" t="s">
        <v>3186</v>
      </c>
      <c r="B1135" t="s">
        <v>1318</v>
      </c>
      <c r="C1135" t="s">
        <v>5043</v>
      </c>
      <c r="D1135" t="s">
        <v>8402</v>
      </c>
    </row>
    <row r="1136" spans="1:4" x14ac:dyDescent="0.25">
      <c r="A1136" s="63" t="s">
        <v>3187</v>
      </c>
      <c r="B1136" t="s">
        <v>1318</v>
      </c>
      <c r="C1136" t="s">
        <v>5043</v>
      </c>
      <c r="D1136" t="s">
        <v>8402</v>
      </c>
    </row>
    <row r="1137" spans="1:4" x14ac:dyDescent="0.25">
      <c r="A1137" s="63" t="s">
        <v>3188</v>
      </c>
      <c r="B1137" t="s">
        <v>1318</v>
      </c>
      <c r="C1137" t="s">
        <v>5043</v>
      </c>
      <c r="D1137" t="s">
        <v>8402</v>
      </c>
    </row>
    <row r="1138" spans="1:4" x14ac:dyDescent="0.25">
      <c r="A1138" s="63" t="s">
        <v>3189</v>
      </c>
      <c r="B1138" t="s">
        <v>1318</v>
      </c>
      <c r="C1138" t="s">
        <v>5043</v>
      </c>
      <c r="D1138" t="s">
        <v>8402</v>
      </c>
    </row>
    <row r="1139" spans="1:4" x14ac:dyDescent="0.25">
      <c r="A1139" s="63" t="s">
        <v>3190</v>
      </c>
      <c r="B1139" t="s">
        <v>1318</v>
      </c>
      <c r="C1139" t="s">
        <v>5043</v>
      </c>
      <c r="D1139" t="s">
        <v>8402</v>
      </c>
    </row>
    <row r="1140" spans="1:4" x14ac:dyDescent="0.25">
      <c r="A1140" s="63" t="s">
        <v>3191</v>
      </c>
      <c r="B1140" t="s">
        <v>1318</v>
      </c>
      <c r="C1140" t="s">
        <v>5043</v>
      </c>
      <c r="D1140" t="s">
        <v>8402</v>
      </c>
    </row>
    <row r="1141" spans="1:4" x14ac:dyDescent="0.25">
      <c r="A1141" s="63" t="s">
        <v>3192</v>
      </c>
      <c r="B1141" t="s">
        <v>2295</v>
      </c>
      <c r="C1141" t="s">
        <v>5043</v>
      </c>
      <c r="D1141" t="s">
        <v>8402</v>
      </c>
    </row>
    <row r="1142" spans="1:4" x14ac:dyDescent="0.25">
      <c r="A1142" s="63" t="s">
        <v>3193</v>
      </c>
      <c r="B1142" t="s">
        <v>2295</v>
      </c>
      <c r="C1142" t="s">
        <v>5043</v>
      </c>
      <c r="D1142" t="s">
        <v>8402</v>
      </c>
    </row>
    <row r="1143" spans="1:4" x14ac:dyDescent="0.25">
      <c r="A1143" s="63" t="s">
        <v>3194</v>
      </c>
      <c r="B1143" t="s">
        <v>2295</v>
      </c>
      <c r="C1143" t="s">
        <v>5043</v>
      </c>
      <c r="D1143" t="s">
        <v>8402</v>
      </c>
    </row>
    <row r="1144" spans="1:4" x14ac:dyDescent="0.25">
      <c r="A1144" s="63" t="s">
        <v>3195</v>
      </c>
      <c r="B1144" t="s">
        <v>2295</v>
      </c>
      <c r="C1144" t="s">
        <v>5043</v>
      </c>
      <c r="D1144" t="s">
        <v>8402</v>
      </c>
    </row>
    <row r="1145" spans="1:4" x14ac:dyDescent="0.25">
      <c r="A1145" s="63" t="s">
        <v>3196</v>
      </c>
      <c r="B1145" t="s">
        <v>2495</v>
      </c>
      <c r="C1145" t="s">
        <v>5043</v>
      </c>
      <c r="D1145" t="s">
        <v>8402</v>
      </c>
    </row>
    <row r="1146" spans="1:4" x14ac:dyDescent="0.25">
      <c r="A1146" s="63" t="s">
        <v>3197</v>
      </c>
      <c r="B1146" t="s">
        <v>2495</v>
      </c>
      <c r="C1146" t="s">
        <v>5043</v>
      </c>
      <c r="D1146" t="s">
        <v>8402</v>
      </c>
    </row>
    <row r="1147" spans="1:4" x14ac:dyDescent="0.25">
      <c r="A1147" s="63" t="s">
        <v>3198</v>
      </c>
      <c r="B1147" t="s">
        <v>2495</v>
      </c>
      <c r="C1147" t="s">
        <v>5043</v>
      </c>
      <c r="D1147" t="s">
        <v>8402</v>
      </c>
    </row>
    <row r="1148" spans="1:4" x14ac:dyDescent="0.25">
      <c r="A1148" s="63" t="s">
        <v>3199</v>
      </c>
      <c r="B1148" t="s">
        <v>2495</v>
      </c>
      <c r="C1148" t="s">
        <v>5043</v>
      </c>
      <c r="D1148" t="s">
        <v>8402</v>
      </c>
    </row>
    <row r="1149" spans="1:4" x14ac:dyDescent="0.25">
      <c r="A1149" s="63" t="s">
        <v>3200</v>
      </c>
      <c r="B1149" t="s">
        <v>2495</v>
      </c>
      <c r="C1149" t="s">
        <v>5043</v>
      </c>
      <c r="D1149" t="s">
        <v>8402</v>
      </c>
    </row>
    <row r="1150" spans="1:4" x14ac:dyDescent="0.25">
      <c r="A1150" s="63" t="s">
        <v>3201</v>
      </c>
      <c r="B1150" t="s">
        <v>2495</v>
      </c>
      <c r="C1150" t="s">
        <v>5043</v>
      </c>
      <c r="D1150" t="s">
        <v>8402</v>
      </c>
    </row>
    <row r="1151" spans="1:4" x14ac:dyDescent="0.25">
      <c r="A1151" s="63" t="s">
        <v>3202</v>
      </c>
      <c r="B1151" t="s">
        <v>1593</v>
      </c>
      <c r="C1151" t="s">
        <v>5043</v>
      </c>
      <c r="D1151" t="s">
        <v>8402</v>
      </c>
    </row>
    <row r="1152" spans="1:4" x14ac:dyDescent="0.25">
      <c r="A1152" s="63" t="s">
        <v>3203</v>
      </c>
      <c r="B1152" t="s">
        <v>1593</v>
      </c>
      <c r="C1152" t="s">
        <v>5043</v>
      </c>
      <c r="D1152" t="s">
        <v>8402</v>
      </c>
    </row>
    <row r="1153" spans="1:4" x14ac:dyDescent="0.25">
      <c r="A1153" s="63" t="s">
        <v>3204</v>
      </c>
      <c r="B1153" t="s">
        <v>2296</v>
      </c>
      <c r="C1153" t="s">
        <v>5043</v>
      </c>
      <c r="D1153" t="s">
        <v>8402</v>
      </c>
    </row>
    <row r="1154" spans="1:4" x14ac:dyDescent="0.25">
      <c r="A1154" s="63" t="s">
        <v>7674</v>
      </c>
      <c r="B1154" t="s">
        <v>1479</v>
      </c>
      <c r="C1154" t="s">
        <v>5043</v>
      </c>
      <c r="D1154" t="s">
        <v>8402</v>
      </c>
    </row>
    <row r="1155" spans="1:4" x14ac:dyDescent="0.25">
      <c r="A1155" s="63" t="s">
        <v>3205</v>
      </c>
      <c r="B1155" t="s">
        <v>2294</v>
      </c>
      <c r="C1155" t="s">
        <v>5043</v>
      </c>
      <c r="D1155" t="s">
        <v>8402</v>
      </c>
    </row>
    <row r="1156" spans="1:4" x14ac:dyDescent="0.25">
      <c r="A1156" s="63" t="s">
        <v>3206</v>
      </c>
      <c r="B1156" t="s">
        <v>2293</v>
      </c>
      <c r="C1156" t="s">
        <v>5043</v>
      </c>
      <c r="D1156" t="s">
        <v>8402</v>
      </c>
    </row>
    <row r="1157" spans="1:4" x14ac:dyDescent="0.25">
      <c r="A1157" s="63" t="s">
        <v>3207</v>
      </c>
      <c r="B1157" t="s">
        <v>2293</v>
      </c>
      <c r="C1157" t="s">
        <v>5043</v>
      </c>
      <c r="D1157" t="s">
        <v>8402</v>
      </c>
    </row>
    <row r="1158" spans="1:4" x14ac:dyDescent="0.25">
      <c r="A1158" s="63" t="s">
        <v>3208</v>
      </c>
      <c r="B1158" t="s">
        <v>1676</v>
      </c>
      <c r="C1158" t="s">
        <v>5043</v>
      </c>
      <c r="D1158" t="s">
        <v>8402</v>
      </c>
    </row>
    <row r="1159" spans="1:4" x14ac:dyDescent="0.25">
      <c r="A1159" s="63" t="s">
        <v>3209</v>
      </c>
      <c r="B1159" t="s">
        <v>1676</v>
      </c>
      <c r="C1159" t="s">
        <v>5043</v>
      </c>
      <c r="D1159" t="s">
        <v>8402</v>
      </c>
    </row>
    <row r="1160" spans="1:4" x14ac:dyDescent="0.25">
      <c r="A1160" s="63" t="s">
        <v>3210</v>
      </c>
      <c r="B1160" t="s">
        <v>1677</v>
      </c>
      <c r="C1160" t="s">
        <v>5043</v>
      </c>
      <c r="D1160" t="s">
        <v>8402</v>
      </c>
    </row>
    <row r="1161" spans="1:4" x14ac:dyDescent="0.25">
      <c r="A1161" s="63" t="s">
        <v>3211</v>
      </c>
      <c r="B1161" t="s">
        <v>1337</v>
      </c>
      <c r="C1161" t="s">
        <v>5043</v>
      </c>
      <c r="D1161" t="s">
        <v>8402</v>
      </c>
    </row>
    <row r="1162" spans="1:4" x14ac:dyDescent="0.25">
      <c r="A1162" s="63" t="s">
        <v>3212</v>
      </c>
      <c r="B1162" t="s">
        <v>1336</v>
      </c>
      <c r="C1162" t="s">
        <v>5043</v>
      </c>
      <c r="D1162" t="s">
        <v>8402</v>
      </c>
    </row>
    <row r="1163" spans="1:4" x14ac:dyDescent="0.25">
      <c r="A1163" s="63" t="s">
        <v>3213</v>
      </c>
      <c r="B1163" t="s">
        <v>1259</v>
      </c>
      <c r="C1163" t="s">
        <v>5043</v>
      </c>
      <c r="D1163" t="s">
        <v>8402</v>
      </c>
    </row>
    <row r="1164" spans="1:4" x14ac:dyDescent="0.25">
      <c r="A1164" s="63" t="s">
        <v>3214</v>
      </c>
      <c r="B1164" t="s">
        <v>1259</v>
      </c>
      <c r="C1164" t="s">
        <v>5043</v>
      </c>
      <c r="D1164" t="s">
        <v>8402</v>
      </c>
    </row>
    <row r="1165" spans="1:4" x14ac:dyDescent="0.25">
      <c r="A1165" s="63" t="s">
        <v>3215</v>
      </c>
      <c r="B1165" t="s">
        <v>1259</v>
      </c>
      <c r="C1165" t="s">
        <v>5043</v>
      </c>
      <c r="D1165" t="s">
        <v>8402</v>
      </c>
    </row>
    <row r="1166" spans="1:4" x14ac:dyDescent="0.25">
      <c r="A1166" s="63" t="s">
        <v>3216</v>
      </c>
      <c r="B1166" t="s">
        <v>1259</v>
      </c>
      <c r="C1166" t="s">
        <v>5043</v>
      </c>
      <c r="D1166" t="s">
        <v>8402</v>
      </c>
    </row>
    <row r="1167" spans="1:4" x14ac:dyDescent="0.25">
      <c r="A1167" s="63" t="s">
        <v>3217</v>
      </c>
      <c r="B1167" t="s">
        <v>1596</v>
      </c>
      <c r="C1167" t="s">
        <v>5043</v>
      </c>
      <c r="D1167" t="s">
        <v>8402</v>
      </c>
    </row>
    <row r="1168" spans="1:4" x14ac:dyDescent="0.25">
      <c r="A1168" s="63" t="s">
        <v>3218</v>
      </c>
      <c r="B1168" t="s">
        <v>1595</v>
      </c>
      <c r="C1168" t="s">
        <v>5043</v>
      </c>
      <c r="D1168" t="s">
        <v>8402</v>
      </c>
    </row>
    <row r="1169" spans="1:4" x14ac:dyDescent="0.25">
      <c r="A1169" s="63" t="s">
        <v>7675</v>
      </c>
      <c r="B1169" t="s">
        <v>1763</v>
      </c>
      <c r="C1169" t="s">
        <v>5043</v>
      </c>
      <c r="D1169" t="s">
        <v>8402</v>
      </c>
    </row>
    <row r="1170" spans="1:4" x14ac:dyDescent="0.25">
      <c r="A1170" s="63" t="s">
        <v>7676</v>
      </c>
      <c r="B1170" t="s">
        <v>2444</v>
      </c>
      <c r="C1170" t="s">
        <v>5043</v>
      </c>
      <c r="D1170" t="s">
        <v>8402</v>
      </c>
    </row>
    <row r="1171" spans="1:4" x14ac:dyDescent="0.25">
      <c r="A1171" s="63" t="s">
        <v>7677</v>
      </c>
      <c r="B1171" t="s">
        <v>2444</v>
      </c>
      <c r="C1171" t="s">
        <v>5043</v>
      </c>
      <c r="D1171" t="s">
        <v>8402</v>
      </c>
    </row>
    <row r="1172" spans="1:4" x14ac:dyDescent="0.25">
      <c r="A1172" s="63" t="s">
        <v>7678</v>
      </c>
      <c r="B1172" t="s">
        <v>2444</v>
      </c>
      <c r="C1172" t="s">
        <v>5043</v>
      </c>
      <c r="D1172" t="s">
        <v>8402</v>
      </c>
    </row>
    <row r="1173" spans="1:4" x14ac:dyDescent="0.25">
      <c r="A1173" s="63" t="s">
        <v>3219</v>
      </c>
      <c r="B1173" t="s">
        <v>1382</v>
      </c>
      <c r="C1173" t="s">
        <v>5043</v>
      </c>
      <c r="D1173" t="s">
        <v>8402</v>
      </c>
    </row>
    <row r="1174" spans="1:4" x14ac:dyDescent="0.25">
      <c r="A1174" s="63" t="s">
        <v>3220</v>
      </c>
      <c r="B1174" t="s">
        <v>1382</v>
      </c>
      <c r="C1174" t="s">
        <v>5043</v>
      </c>
      <c r="D1174" t="s">
        <v>8402</v>
      </c>
    </row>
    <row r="1175" spans="1:4" x14ac:dyDescent="0.25">
      <c r="A1175" s="63" t="s">
        <v>3221</v>
      </c>
      <c r="B1175" t="s">
        <v>1591</v>
      </c>
      <c r="C1175" t="s">
        <v>5043</v>
      </c>
      <c r="D1175" t="s">
        <v>8402</v>
      </c>
    </row>
    <row r="1176" spans="1:4" x14ac:dyDescent="0.25">
      <c r="A1176" s="63" t="s">
        <v>3222</v>
      </c>
      <c r="B1176" t="s">
        <v>1294</v>
      </c>
      <c r="C1176" t="s">
        <v>5043</v>
      </c>
      <c r="D1176" t="s">
        <v>8402</v>
      </c>
    </row>
    <row r="1177" spans="1:4" x14ac:dyDescent="0.25">
      <c r="A1177" s="63" t="s">
        <v>3223</v>
      </c>
      <c r="B1177" t="s">
        <v>1294</v>
      </c>
      <c r="C1177" t="s">
        <v>5043</v>
      </c>
      <c r="D1177" t="s">
        <v>8402</v>
      </c>
    </row>
    <row r="1178" spans="1:4" x14ac:dyDescent="0.25">
      <c r="A1178" s="63" t="s">
        <v>7679</v>
      </c>
      <c r="B1178" t="s">
        <v>1755</v>
      </c>
      <c r="C1178" t="s">
        <v>5043</v>
      </c>
      <c r="D1178" t="s">
        <v>8402</v>
      </c>
    </row>
    <row r="1179" spans="1:4" x14ac:dyDescent="0.25">
      <c r="A1179" s="63" t="s">
        <v>7680</v>
      </c>
      <c r="B1179" t="s">
        <v>1755</v>
      </c>
      <c r="C1179" t="s">
        <v>5043</v>
      </c>
      <c r="D1179" t="s">
        <v>8402</v>
      </c>
    </row>
    <row r="1180" spans="1:4" x14ac:dyDescent="0.25">
      <c r="A1180" s="63" t="s">
        <v>7681</v>
      </c>
      <c r="B1180" t="s">
        <v>1755</v>
      </c>
      <c r="C1180" t="s">
        <v>5043</v>
      </c>
      <c r="D1180" t="s">
        <v>8402</v>
      </c>
    </row>
    <row r="1181" spans="1:4" x14ac:dyDescent="0.25">
      <c r="A1181" s="63" t="s">
        <v>7682</v>
      </c>
      <c r="B1181" t="s">
        <v>1755</v>
      </c>
      <c r="C1181" t="s">
        <v>5043</v>
      </c>
      <c r="D1181" t="s">
        <v>8402</v>
      </c>
    </row>
    <row r="1182" spans="1:4" x14ac:dyDescent="0.25">
      <c r="A1182" s="63" t="s">
        <v>7683</v>
      </c>
      <c r="B1182" t="s">
        <v>1755</v>
      </c>
      <c r="C1182" t="s">
        <v>5043</v>
      </c>
      <c r="D1182" t="s">
        <v>8402</v>
      </c>
    </row>
    <row r="1183" spans="1:4" x14ac:dyDescent="0.25">
      <c r="A1183" s="63" t="s">
        <v>3224</v>
      </c>
      <c r="B1183" t="s">
        <v>1755</v>
      </c>
      <c r="C1183" t="s">
        <v>5043</v>
      </c>
      <c r="D1183" t="s">
        <v>8402</v>
      </c>
    </row>
    <row r="1184" spans="1:4" x14ac:dyDescent="0.25">
      <c r="A1184" s="63" t="s">
        <v>3225</v>
      </c>
      <c r="B1184" t="s">
        <v>1755</v>
      </c>
      <c r="C1184" t="s">
        <v>5043</v>
      </c>
      <c r="D1184" t="s">
        <v>8402</v>
      </c>
    </row>
    <row r="1185" spans="1:4" x14ac:dyDescent="0.25">
      <c r="A1185" s="63" t="s">
        <v>7684</v>
      </c>
      <c r="B1185" t="s">
        <v>1755</v>
      </c>
      <c r="C1185" t="s">
        <v>5043</v>
      </c>
      <c r="D1185" t="s">
        <v>8402</v>
      </c>
    </row>
    <row r="1186" spans="1:4" x14ac:dyDescent="0.25">
      <c r="A1186" s="63" t="s">
        <v>5822</v>
      </c>
      <c r="B1186" t="s">
        <v>1755</v>
      </c>
      <c r="C1186" t="s">
        <v>5043</v>
      </c>
      <c r="D1186" t="s">
        <v>8402</v>
      </c>
    </row>
    <row r="1187" spans="1:4" x14ac:dyDescent="0.25">
      <c r="A1187" s="63" t="s">
        <v>7685</v>
      </c>
      <c r="B1187" t="s">
        <v>1755</v>
      </c>
      <c r="C1187" t="s">
        <v>5043</v>
      </c>
      <c r="D1187" t="s">
        <v>8402</v>
      </c>
    </row>
    <row r="1188" spans="1:4" x14ac:dyDescent="0.25">
      <c r="A1188" s="63" t="s">
        <v>5415</v>
      </c>
      <c r="B1188" t="s">
        <v>1380</v>
      </c>
      <c r="C1188" t="s">
        <v>5043</v>
      </c>
      <c r="D1188" t="s">
        <v>8402</v>
      </c>
    </row>
    <row r="1189" spans="1:4" x14ac:dyDescent="0.25">
      <c r="A1189" s="63" t="s">
        <v>3226</v>
      </c>
      <c r="B1189" t="s">
        <v>1380</v>
      </c>
      <c r="C1189" t="s">
        <v>5043</v>
      </c>
      <c r="D1189" t="s">
        <v>8402</v>
      </c>
    </row>
    <row r="1190" spans="1:4" x14ac:dyDescent="0.25">
      <c r="A1190" s="63" t="s">
        <v>3227</v>
      </c>
      <c r="B1190" t="s">
        <v>1380</v>
      </c>
      <c r="C1190" t="s">
        <v>5043</v>
      </c>
      <c r="D1190" t="s">
        <v>8402</v>
      </c>
    </row>
    <row r="1191" spans="1:4" x14ac:dyDescent="0.25">
      <c r="A1191" s="63" t="s">
        <v>3228</v>
      </c>
      <c r="B1191" t="s">
        <v>1380</v>
      </c>
      <c r="C1191" t="s">
        <v>5043</v>
      </c>
      <c r="D1191" t="s">
        <v>8402</v>
      </c>
    </row>
    <row r="1192" spans="1:4" x14ac:dyDescent="0.25">
      <c r="A1192" s="63" t="s">
        <v>3229</v>
      </c>
      <c r="B1192" t="s">
        <v>1380</v>
      </c>
      <c r="C1192" t="s">
        <v>5043</v>
      </c>
      <c r="D1192" t="s">
        <v>8402</v>
      </c>
    </row>
    <row r="1193" spans="1:4" x14ac:dyDescent="0.25">
      <c r="A1193" s="63" t="s">
        <v>3230</v>
      </c>
      <c r="B1193" t="s">
        <v>1380</v>
      </c>
      <c r="C1193" t="s">
        <v>5043</v>
      </c>
      <c r="D1193" t="s">
        <v>8402</v>
      </c>
    </row>
    <row r="1194" spans="1:4" x14ac:dyDescent="0.25">
      <c r="A1194" s="63" t="s">
        <v>3231</v>
      </c>
      <c r="B1194" t="s">
        <v>1380</v>
      </c>
      <c r="C1194" t="s">
        <v>5043</v>
      </c>
      <c r="D1194" t="s">
        <v>8402</v>
      </c>
    </row>
    <row r="1195" spans="1:4" x14ac:dyDescent="0.25">
      <c r="A1195" s="63" t="s">
        <v>3232</v>
      </c>
      <c r="B1195" t="s">
        <v>1380</v>
      </c>
      <c r="C1195" t="s">
        <v>5043</v>
      </c>
      <c r="D1195" t="s">
        <v>8402</v>
      </c>
    </row>
    <row r="1196" spans="1:4" x14ac:dyDescent="0.25">
      <c r="A1196" s="63" t="s">
        <v>3233</v>
      </c>
      <c r="B1196" t="s">
        <v>1380</v>
      </c>
      <c r="C1196" t="s">
        <v>5043</v>
      </c>
      <c r="D1196" t="s">
        <v>8402</v>
      </c>
    </row>
    <row r="1197" spans="1:4" x14ac:dyDescent="0.25">
      <c r="A1197" s="63" t="s">
        <v>3234</v>
      </c>
      <c r="B1197" t="s">
        <v>1269</v>
      </c>
      <c r="C1197" t="s">
        <v>5043</v>
      </c>
      <c r="D1197" t="s">
        <v>8402</v>
      </c>
    </row>
    <row r="1198" spans="1:4" x14ac:dyDescent="0.25">
      <c r="A1198" s="63" t="s">
        <v>3235</v>
      </c>
      <c r="B1198" t="s">
        <v>1269</v>
      </c>
      <c r="C1198" t="s">
        <v>5043</v>
      </c>
      <c r="D1198" t="s">
        <v>8402</v>
      </c>
    </row>
    <row r="1199" spans="1:4" x14ac:dyDescent="0.25">
      <c r="A1199" s="63" t="s">
        <v>3236</v>
      </c>
      <c r="B1199" t="s">
        <v>1269</v>
      </c>
      <c r="C1199" t="s">
        <v>5043</v>
      </c>
      <c r="D1199" t="s">
        <v>8402</v>
      </c>
    </row>
    <row r="1200" spans="1:4" x14ac:dyDescent="0.25">
      <c r="A1200" s="63" t="s">
        <v>3237</v>
      </c>
      <c r="B1200" t="s">
        <v>1269</v>
      </c>
      <c r="C1200" t="s">
        <v>5043</v>
      </c>
      <c r="D1200" t="s">
        <v>8402</v>
      </c>
    </row>
    <row r="1201" spans="1:4" x14ac:dyDescent="0.25">
      <c r="A1201" s="63" t="s">
        <v>3238</v>
      </c>
      <c r="B1201" t="s">
        <v>1269</v>
      </c>
      <c r="C1201" t="s">
        <v>5043</v>
      </c>
      <c r="D1201" t="s">
        <v>8402</v>
      </c>
    </row>
    <row r="1202" spans="1:4" x14ac:dyDescent="0.25">
      <c r="A1202" s="63" t="s">
        <v>3239</v>
      </c>
      <c r="B1202" t="s">
        <v>1269</v>
      </c>
      <c r="C1202" t="s">
        <v>5043</v>
      </c>
      <c r="D1202" t="s">
        <v>8402</v>
      </c>
    </row>
    <row r="1203" spans="1:4" x14ac:dyDescent="0.25">
      <c r="A1203" s="63" t="s">
        <v>3240</v>
      </c>
      <c r="B1203" t="s">
        <v>1269</v>
      </c>
      <c r="C1203" t="s">
        <v>5043</v>
      </c>
      <c r="D1203" t="s">
        <v>8402</v>
      </c>
    </row>
    <row r="1204" spans="1:4" x14ac:dyDescent="0.25">
      <c r="A1204" s="63" t="s">
        <v>3241</v>
      </c>
      <c r="B1204" t="s">
        <v>1269</v>
      </c>
      <c r="C1204" t="s">
        <v>5043</v>
      </c>
      <c r="D1204" t="s">
        <v>8402</v>
      </c>
    </row>
    <row r="1205" spans="1:4" x14ac:dyDescent="0.25">
      <c r="A1205" s="63" t="s">
        <v>3242</v>
      </c>
      <c r="B1205" t="s">
        <v>1269</v>
      </c>
      <c r="C1205" t="s">
        <v>5043</v>
      </c>
      <c r="D1205" t="s">
        <v>8402</v>
      </c>
    </row>
    <row r="1206" spans="1:4" x14ac:dyDescent="0.25">
      <c r="A1206" s="63" t="s">
        <v>3243</v>
      </c>
      <c r="B1206" t="s">
        <v>1269</v>
      </c>
      <c r="C1206" t="s">
        <v>5043</v>
      </c>
      <c r="D1206" t="s">
        <v>8402</v>
      </c>
    </row>
    <row r="1207" spans="1:4" x14ac:dyDescent="0.25">
      <c r="A1207" s="63" t="s">
        <v>3244</v>
      </c>
      <c r="B1207" t="s">
        <v>1269</v>
      </c>
      <c r="C1207" t="s">
        <v>5043</v>
      </c>
      <c r="D1207" t="s">
        <v>8402</v>
      </c>
    </row>
    <row r="1208" spans="1:4" x14ac:dyDescent="0.25">
      <c r="A1208" s="63" t="s">
        <v>3245</v>
      </c>
      <c r="B1208" t="s">
        <v>1269</v>
      </c>
      <c r="C1208" t="s">
        <v>5043</v>
      </c>
      <c r="D1208" t="s">
        <v>8402</v>
      </c>
    </row>
    <row r="1209" spans="1:4" x14ac:dyDescent="0.25">
      <c r="A1209" s="63" t="s">
        <v>3246</v>
      </c>
      <c r="B1209" t="s">
        <v>1269</v>
      </c>
      <c r="C1209" t="s">
        <v>5043</v>
      </c>
      <c r="D1209" t="s">
        <v>8402</v>
      </c>
    </row>
    <row r="1210" spans="1:4" x14ac:dyDescent="0.25">
      <c r="A1210" s="63" t="s">
        <v>3247</v>
      </c>
      <c r="B1210" t="s">
        <v>1269</v>
      </c>
      <c r="C1210" t="s">
        <v>5043</v>
      </c>
      <c r="D1210" t="s">
        <v>8402</v>
      </c>
    </row>
    <row r="1211" spans="1:4" x14ac:dyDescent="0.25">
      <c r="A1211" s="63" t="s">
        <v>3248</v>
      </c>
      <c r="B1211" t="s">
        <v>1269</v>
      </c>
      <c r="C1211" t="s">
        <v>5043</v>
      </c>
      <c r="D1211" t="s">
        <v>8402</v>
      </c>
    </row>
    <row r="1212" spans="1:4" x14ac:dyDescent="0.25">
      <c r="A1212" s="63" t="s">
        <v>3249</v>
      </c>
      <c r="B1212" t="s">
        <v>1269</v>
      </c>
      <c r="C1212" t="s">
        <v>5043</v>
      </c>
      <c r="D1212" t="s">
        <v>8402</v>
      </c>
    </row>
    <row r="1213" spans="1:4" x14ac:dyDescent="0.25">
      <c r="A1213" s="63" t="s">
        <v>3250</v>
      </c>
      <c r="B1213" t="s">
        <v>1269</v>
      </c>
      <c r="C1213" t="s">
        <v>5043</v>
      </c>
      <c r="D1213" t="s">
        <v>8402</v>
      </c>
    </row>
    <row r="1214" spans="1:4" x14ac:dyDescent="0.25">
      <c r="A1214" s="63" t="s">
        <v>5169</v>
      </c>
      <c r="B1214" t="s">
        <v>1271</v>
      </c>
      <c r="C1214" t="s">
        <v>5043</v>
      </c>
      <c r="D1214" t="s">
        <v>8402</v>
      </c>
    </row>
    <row r="1215" spans="1:4" x14ac:dyDescent="0.25">
      <c r="A1215" s="63" t="s">
        <v>5170</v>
      </c>
      <c r="B1215" t="s">
        <v>1271</v>
      </c>
      <c r="C1215" t="s">
        <v>5043</v>
      </c>
      <c r="D1215" t="s">
        <v>8402</v>
      </c>
    </row>
    <row r="1216" spans="1:4" x14ac:dyDescent="0.25">
      <c r="A1216" s="63" t="s">
        <v>3251</v>
      </c>
      <c r="B1216" t="s">
        <v>1271</v>
      </c>
      <c r="C1216" t="s">
        <v>5043</v>
      </c>
      <c r="D1216" t="s">
        <v>8402</v>
      </c>
    </row>
    <row r="1217" spans="1:4" x14ac:dyDescent="0.25">
      <c r="A1217" s="63" t="s">
        <v>3252</v>
      </c>
      <c r="B1217" t="s">
        <v>1271</v>
      </c>
      <c r="C1217" t="s">
        <v>5043</v>
      </c>
      <c r="D1217" t="s">
        <v>8402</v>
      </c>
    </row>
    <row r="1218" spans="1:4" x14ac:dyDescent="0.25">
      <c r="A1218" s="63" t="s">
        <v>7686</v>
      </c>
      <c r="B1218" t="s">
        <v>1403</v>
      </c>
      <c r="C1218" t="s">
        <v>5043</v>
      </c>
      <c r="D1218" t="s">
        <v>8402</v>
      </c>
    </row>
    <row r="1219" spans="1:4" x14ac:dyDescent="0.25">
      <c r="A1219" s="63" t="s">
        <v>3253</v>
      </c>
      <c r="B1219" t="s">
        <v>1403</v>
      </c>
      <c r="C1219" t="s">
        <v>5043</v>
      </c>
      <c r="D1219" t="s">
        <v>8402</v>
      </c>
    </row>
    <row r="1220" spans="1:4" x14ac:dyDescent="0.25">
      <c r="A1220" s="63" t="s">
        <v>7687</v>
      </c>
      <c r="B1220" t="s">
        <v>2014</v>
      </c>
      <c r="C1220" t="s">
        <v>5043</v>
      </c>
      <c r="D1220" t="s">
        <v>8402</v>
      </c>
    </row>
    <row r="1221" spans="1:4" x14ac:dyDescent="0.25">
      <c r="A1221" s="63" t="s">
        <v>7688</v>
      </c>
      <c r="B1221" t="s">
        <v>2392</v>
      </c>
      <c r="C1221" t="s">
        <v>5043</v>
      </c>
      <c r="D1221" t="s">
        <v>8402</v>
      </c>
    </row>
    <row r="1222" spans="1:4" x14ac:dyDescent="0.25">
      <c r="A1222" s="63" t="s">
        <v>7689</v>
      </c>
      <c r="B1222" t="s">
        <v>2392</v>
      </c>
      <c r="C1222" t="s">
        <v>5043</v>
      </c>
      <c r="D1222" t="s">
        <v>8402</v>
      </c>
    </row>
    <row r="1223" spans="1:4" x14ac:dyDescent="0.25">
      <c r="A1223" s="63" t="s">
        <v>5615</v>
      </c>
      <c r="B1223" t="s">
        <v>2353</v>
      </c>
      <c r="C1223" t="s">
        <v>5043</v>
      </c>
      <c r="D1223" t="s">
        <v>8402</v>
      </c>
    </row>
    <row r="1224" spans="1:4" x14ac:dyDescent="0.25">
      <c r="A1224" s="63" t="s">
        <v>5592</v>
      </c>
      <c r="B1224" t="s">
        <v>2426</v>
      </c>
      <c r="C1224" t="s">
        <v>5043</v>
      </c>
      <c r="D1224" t="s">
        <v>8402</v>
      </c>
    </row>
    <row r="1225" spans="1:4" x14ac:dyDescent="0.25">
      <c r="A1225" s="63" t="s">
        <v>5593</v>
      </c>
      <c r="B1225" t="s">
        <v>2426</v>
      </c>
      <c r="C1225" t="s">
        <v>5043</v>
      </c>
      <c r="D1225" t="s">
        <v>8402</v>
      </c>
    </row>
    <row r="1226" spans="1:4" x14ac:dyDescent="0.25">
      <c r="A1226" s="63" t="s">
        <v>7690</v>
      </c>
      <c r="B1226" t="s">
        <v>1814</v>
      </c>
      <c r="C1226" t="s">
        <v>5043</v>
      </c>
      <c r="D1226" t="s">
        <v>8402</v>
      </c>
    </row>
    <row r="1227" spans="1:4" x14ac:dyDescent="0.25">
      <c r="A1227" s="63" t="s">
        <v>7691</v>
      </c>
      <c r="B1227" t="s">
        <v>1814</v>
      </c>
      <c r="C1227" t="s">
        <v>5043</v>
      </c>
      <c r="D1227" t="s">
        <v>8402</v>
      </c>
    </row>
    <row r="1228" spans="1:4" x14ac:dyDescent="0.25">
      <c r="A1228" s="63" t="s">
        <v>7692</v>
      </c>
      <c r="B1228" t="s">
        <v>1814</v>
      </c>
      <c r="C1228" t="s">
        <v>5043</v>
      </c>
      <c r="D1228" t="s">
        <v>8402</v>
      </c>
    </row>
    <row r="1229" spans="1:4" x14ac:dyDescent="0.25">
      <c r="A1229" s="63" t="s">
        <v>7693</v>
      </c>
      <c r="B1229" t="s">
        <v>1814</v>
      </c>
      <c r="C1229" t="s">
        <v>5043</v>
      </c>
      <c r="D1229" t="s">
        <v>8402</v>
      </c>
    </row>
    <row r="1230" spans="1:4" x14ac:dyDescent="0.25">
      <c r="A1230" s="63" t="s">
        <v>3254</v>
      </c>
      <c r="B1230" t="s">
        <v>1814</v>
      </c>
      <c r="C1230" t="s">
        <v>5043</v>
      </c>
      <c r="D1230" t="s">
        <v>8402</v>
      </c>
    </row>
    <row r="1231" spans="1:4" x14ac:dyDescent="0.25">
      <c r="A1231" s="63" t="s">
        <v>7694</v>
      </c>
      <c r="B1231" t="s">
        <v>1814</v>
      </c>
      <c r="C1231" t="s">
        <v>5043</v>
      </c>
      <c r="D1231" t="s">
        <v>8402</v>
      </c>
    </row>
    <row r="1232" spans="1:4" x14ac:dyDescent="0.25">
      <c r="A1232" s="63" t="s">
        <v>7695</v>
      </c>
      <c r="B1232" t="s">
        <v>1814</v>
      </c>
      <c r="C1232" t="s">
        <v>5043</v>
      </c>
      <c r="D1232" t="s">
        <v>8402</v>
      </c>
    </row>
    <row r="1233" spans="1:4" x14ac:dyDescent="0.25">
      <c r="A1233" s="63" t="s">
        <v>7696</v>
      </c>
      <c r="B1233" t="s">
        <v>1814</v>
      </c>
      <c r="C1233" t="s">
        <v>5043</v>
      </c>
      <c r="D1233" t="s">
        <v>8402</v>
      </c>
    </row>
    <row r="1234" spans="1:4" x14ac:dyDescent="0.25">
      <c r="A1234" s="63" t="s">
        <v>7697</v>
      </c>
      <c r="B1234" t="s">
        <v>2184</v>
      </c>
      <c r="C1234" t="s">
        <v>5043</v>
      </c>
      <c r="D1234" t="s">
        <v>8402</v>
      </c>
    </row>
    <row r="1235" spans="1:4" x14ac:dyDescent="0.25">
      <c r="A1235" s="63" t="s">
        <v>7698</v>
      </c>
      <c r="B1235" t="s">
        <v>2184</v>
      </c>
      <c r="C1235" t="s">
        <v>5043</v>
      </c>
      <c r="D1235" t="s">
        <v>8402</v>
      </c>
    </row>
    <row r="1236" spans="1:4" x14ac:dyDescent="0.25">
      <c r="A1236" s="63" t="s">
        <v>6335</v>
      </c>
      <c r="B1236" t="s">
        <v>2354</v>
      </c>
      <c r="C1236" t="s">
        <v>5043</v>
      </c>
      <c r="D1236" t="s">
        <v>8402</v>
      </c>
    </row>
    <row r="1237" spans="1:4" x14ac:dyDescent="0.25">
      <c r="A1237" s="63" t="s">
        <v>7699</v>
      </c>
      <c r="B1237" t="s">
        <v>1517</v>
      </c>
      <c r="C1237" t="s">
        <v>5043</v>
      </c>
      <c r="D1237" t="s">
        <v>8402</v>
      </c>
    </row>
    <row r="1238" spans="1:4" x14ac:dyDescent="0.25">
      <c r="A1238" s="63" t="s">
        <v>7700</v>
      </c>
      <c r="B1238" t="s">
        <v>1517</v>
      </c>
      <c r="C1238" t="s">
        <v>5043</v>
      </c>
      <c r="D1238" t="s">
        <v>8402</v>
      </c>
    </row>
    <row r="1239" spans="1:4" x14ac:dyDescent="0.25">
      <c r="A1239" s="63" t="s">
        <v>7701</v>
      </c>
      <c r="B1239" t="s">
        <v>1517</v>
      </c>
      <c r="C1239" t="s">
        <v>5043</v>
      </c>
      <c r="D1239" t="s">
        <v>8402</v>
      </c>
    </row>
    <row r="1240" spans="1:4" x14ac:dyDescent="0.25">
      <c r="A1240" s="63" t="s">
        <v>7702</v>
      </c>
      <c r="B1240" t="s">
        <v>1517</v>
      </c>
      <c r="C1240" t="s">
        <v>5043</v>
      </c>
      <c r="D1240" t="s">
        <v>8402</v>
      </c>
    </row>
    <row r="1241" spans="1:4" x14ac:dyDescent="0.25">
      <c r="A1241" s="63" t="s">
        <v>7703</v>
      </c>
      <c r="B1241" t="s">
        <v>1517</v>
      </c>
      <c r="C1241" t="s">
        <v>5043</v>
      </c>
      <c r="D1241" t="s">
        <v>8402</v>
      </c>
    </row>
    <row r="1242" spans="1:4" x14ac:dyDescent="0.25">
      <c r="A1242" s="63" t="s">
        <v>7704</v>
      </c>
      <c r="B1242" t="s">
        <v>1517</v>
      </c>
      <c r="C1242" t="s">
        <v>5043</v>
      </c>
      <c r="D1242" t="s">
        <v>8402</v>
      </c>
    </row>
    <row r="1243" spans="1:4" x14ac:dyDescent="0.25">
      <c r="A1243" s="63" t="s">
        <v>7705</v>
      </c>
      <c r="B1243" t="s">
        <v>1517</v>
      </c>
      <c r="C1243" t="s">
        <v>5043</v>
      </c>
      <c r="D1243" t="s">
        <v>8402</v>
      </c>
    </row>
    <row r="1244" spans="1:4" x14ac:dyDescent="0.25">
      <c r="A1244" s="63" t="s">
        <v>7706</v>
      </c>
      <c r="B1244" t="s">
        <v>1517</v>
      </c>
      <c r="C1244" t="s">
        <v>5043</v>
      </c>
      <c r="D1244" t="s">
        <v>8402</v>
      </c>
    </row>
    <row r="1245" spans="1:4" x14ac:dyDescent="0.25">
      <c r="A1245" s="63" t="s">
        <v>7707</v>
      </c>
      <c r="B1245" t="s">
        <v>1517</v>
      </c>
      <c r="C1245" t="s">
        <v>5043</v>
      </c>
      <c r="D1245" t="s">
        <v>8402</v>
      </c>
    </row>
    <row r="1246" spans="1:4" x14ac:dyDescent="0.25">
      <c r="A1246" s="63" t="s">
        <v>7708</v>
      </c>
      <c r="B1246" t="s">
        <v>1517</v>
      </c>
      <c r="C1246" t="s">
        <v>5043</v>
      </c>
      <c r="D1246" t="s">
        <v>8402</v>
      </c>
    </row>
    <row r="1247" spans="1:4" x14ac:dyDescent="0.25">
      <c r="A1247" s="63" t="s">
        <v>7709</v>
      </c>
      <c r="B1247" t="s">
        <v>1517</v>
      </c>
      <c r="C1247" t="s">
        <v>5043</v>
      </c>
      <c r="D1247" t="s">
        <v>8402</v>
      </c>
    </row>
    <row r="1248" spans="1:4" x14ac:dyDescent="0.25">
      <c r="A1248" s="63" t="s">
        <v>7710</v>
      </c>
      <c r="B1248" t="s">
        <v>1517</v>
      </c>
      <c r="C1248" t="s">
        <v>5043</v>
      </c>
      <c r="D1248" t="s">
        <v>8402</v>
      </c>
    </row>
    <row r="1249" spans="1:4" x14ac:dyDescent="0.25">
      <c r="A1249" s="63" t="s">
        <v>5551</v>
      </c>
      <c r="B1249" t="s">
        <v>1517</v>
      </c>
      <c r="C1249" t="s">
        <v>5043</v>
      </c>
      <c r="D1249" t="s">
        <v>8402</v>
      </c>
    </row>
    <row r="1250" spans="1:4" x14ac:dyDescent="0.25">
      <c r="A1250" s="63" t="s">
        <v>5552</v>
      </c>
      <c r="B1250" t="s">
        <v>1517</v>
      </c>
      <c r="C1250" t="s">
        <v>5043</v>
      </c>
      <c r="D1250" t="s">
        <v>8402</v>
      </c>
    </row>
    <row r="1251" spans="1:4" x14ac:dyDescent="0.25">
      <c r="A1251" s="63" t="s">
        <v>5553</v>
      </c>
      <c r="B1251" t="s">
        <v>1517</v>
      </c>
      <c r="C1251" t="s">
        <v>5043</v>
      </c>
      <c r="D1251" t="s">
        <v>8402</v>
      </c>
    </row>
    <row r="1252" spans="1:4" x14ac:dyDescent="0.25">
      <c r="A1252" s="63" t="s">
        <v>7711</v>
      </c>
      <c r="B1252" t="s">
        <v>1517</v>
      </c>
      <c r="C1252" t="s">
        <v>5043</v>
      </c>
      <c r="D1252" t="s">
        <v>8402</v>
      </c>
    </row>
    <row r="1253" spans="1:4" x14ac:dyDescent="0.25">
      <c r="A1253" s="63" t="s">
        <v>7712</v>
      </c>
      <c r="B1253" t="s">
        <v>1517</v>
      </c>
      <c r="C1253" t="s">
        <v>5043</v>
      </c>
      <c r="D1253" t="s">
        <v>8402</v>
      </c>
    </row>
    <row r="1254" spans="1:4" x14ac:dyDescent="0.25">
      <c r="A1254" s="63" t="s">
        <v>7713</v>
      </c>
      <c r="B1254" t="s">
        <v>1517</v>
      </c>
      <c r="C1254" t="s">
        <v>5043</v>
      </c>
      <c r="D1254" t="s">
        <v>8402</v>
      </c>
    </row>
    <row r="1255" spans="1:4" x14ac:dyDescent="0.25">
      <c r="A1255" s="63" t="s">
        <v>7714</v>
      </c>
      <c r="B1255" t="s">
        <v>1517</v>
      </c>
      <c r="C1255" t="s">
        <v>5043</v>
      </c>
      <c r="D1255" t="s">
        <v>8402</v>
      </c>
    </row>
    <row r="1256" spans="1:4" x14ac:dyDescent="0.25">
      <c r="A1256" s="63" t="s">
        <v>5435</v>
      </c>
      <c r="B1256" t="s">
        <v>1517</v>
      </c>
      <c r="C1256" t="s">
        <v>5043</v>
      </c>
      <c r="D1256" t="s">
        <v>8402</v>
      </c>
    </row>
    <row r="1257" spans="1:4" x14ac:dyDescent="0.25">
      <c r="A1257" s="63" t="s">
        <v>3255</v>
      </c>
      <c r="B1257" t="s">
        <v>1517</v>
      </c>
      <c r="C1257" t="s">
        <v>5043</v>
      </c>
      <c r="D1257" t="s">
        <v>8402</v>
      </c>
    </row>
    <row r="1258" spans="1:4" x14ac:dyDescent="0.25">
      <c r="A1258" s="63" t="s">
        <v>3256</v>
      </c>
      <c r="B1258" t="s">
        <v>1958</v>
      </c>
      <c r="C1258" t="s">
        <v>5043</v>
      </c>
      <c r="D1258" t="s">
        <v>8402</v>
      </c>
    </row>
    <row r="1259" spans="1:4" x14ac:dyDescent="0.25">
      <c r="A1259" s="63" t="s">
        <v>3257</v>
      </c>
      <c r="B1259" t="s">
        <v>1958</v>
      </c>
      <c r="C1259" t="s">
        <v>5043</v>
      </c>
      <c r="D1259" t="s">
        <v>8402</v>
      </c>
    </row>
    <row r="1260" spans="1:4" x14ac:dyDescent="0.25">
      <c r="A1260" s="63" t="s">
        <v>2646</v>
      </c>
      <c r="B1260" t="s">
        <v>1958</v>
      </c>
      <c r="C1260" t="s">
        <v>5043</v>
      </c>
      <c r="D1260" t="s">
        <v>8401</v>
      </c>
    </row>
    <row r="1261" spans="1:4" x14ac:dyDescent="0.25">
      <c r="A1261" s="63" t="s">
        <v>6426</v>
      </c>
      <c r="B1261" t="s">
        <v>1522</v>
      </c>
      <c r="C1261" t="s">
        <v>5043</v>
      </c>
      <c r="D1261" t="s">
        <v>8402</v>
      </c>
    </row>
    <row r="1262" spans="1:4" x14ac:dyDescent="0.25">
      <c r="A1262" s="63" t="s">
        <v>6427</v>
      </c>
      <c r="B1262" t="s">
        <v>1522</v>
      </c>
      <c r="C1262" t="s">
        <v>5043</v>
      </c>
      <c r="D1262" t="s">
        <v>8402</v>
      </c>
    </row>
    <row r="1263" spans="1:4" x14ac:dyDescent="0.25">
      <c r="A1263" s="63" t="s">
        <v>3258</v>
      </c>
      <c r="B1263" t="s">
        <v>1588</v>
      </c>
      <c r="C1263" t="s">
        <v>5043</v>
      </c>
      <c r="D1263" t="s">
        <v>8402</v>
      </c>
    </row>
    <row r="1264" spans="1:4" x14ac:dyDescent="0.25">
      <c r="A1264" s="63" t="s">
        <v>3259</v>
      </c>
      <c r="B1264" t="s">
        <v>1588</v>
      </c>
      <c r="C1264" t="s">
        <v>5043</v>
      </c>
      <c r="D1264" t="s">
        <v>8402</v>
      </c>
    </row>
    <row r="1265" spans="1:4" x14ac:dyDescent="0.25">
      <c r="A1265" s="63" t="s">
        <v>3260</v>
      </c>
      <c r="B1265" t="s">
        <v>1588</v>
      </c>
      <c r="C1265" t="s">
        <v>5043</v>
      </c>
      <c r="D1265" t="s">
        <v>8402</v>
      </c>
    </row>
    <row r="1266" spans="1:4" x14ac:dyDescent="0.25">
      <c r="A1266" s="63" t="s">
        <v>3261</v>
      </c>
      <c r="B1266" t="s">
        <v>1588</v>
      </c>
      <c r="C1266" t="s">
        <v>5043</v>
      </c>
      <c r="D1266" t="s">
        <v>8402</v>
      </c>
    </row>
    <row r="1267" spans="1:4" x14ac:dyDescent="0.25">
      <c r="A1267" s="63" t="s">
        <v>3262</v>
      </c>
      <c r="B1267" t="s">
        <v>1588</v>
      </c>
      <c r="C1267" t="s">
        <v>5043</v>
      </c>
      <c r="D1267" t="s">
        <v>8402</v>
      </c>
    </row>
    <row r="1268" spans="1:4" x14ac:dyDescent="0.25">
      <c r="A1268" s="63" t="s">
        <v>3263</v>
      </c>
      <c r="B1268" t="s">
        <v>1588</v>
      </c>
      <c r="C1268" t="s">
        <v>5043</v>
      </c>
      <c r="D1268" t="s">
        <v>8402</v>
      </c>
    </row>
    <row r="1269" spans="1:4" x14ac:dyDescent="0.25">
      <c r="A1269" s="63" t="s">
        <v>3264</v>
      </c>
      <c r="B1269" t="s">
        <v>1588</v>
      </c>
      <c r="C1269" t="s">
        <v>5043</v>
      </c>
      <c r="D1269" t="s">
        <v>8402</v>
      </c>
    </row>
    <row r="1270" spans="1:4" x14ac:dyDescent="0.25">
      <c r="A1270" s="63" t="s">
        <v>3265</v>
      </c>
      <c r="B1270" t="s">
        <v>1588</v>
      </c>
      <c r="C1270" t="s">
        <v>5043</v>
      </c>
      <c r="D1270" t="s">
        <v>8402</v>
      </c>
    </row>
    <row r="1271" spans="1:4" x14ac:dyDescent="0.25">
      <c r="A1271" s="63" t="s">
        <v>3266</v>
      </c>
      <c r="B1271" t="s">
        <v>2277</v>
      </c>
      <c r="C1271" t="s">
        <v>5043</v>
      </c>
      <c r="D1271" t="s">
        <v>8402</v>
      </c>
    </row>
    <row r="1272" spans="1:4" x14ac:dyDescent="0.25">
      <c r="A1272" s="63" t="s">
        <v>3267</v>
      </c>
      <c r="B1272" t="s">
        <v>2277</v>
      </c>
      <c r="C1272" t="s">
        <v>5043</v>
      </c>
      <c r="D1272" t="s">
        <v>8402</v>
      </c>
    </row>
    <row r="1273" spans="1:4" x14ac:dyDescent="0.25">
      <c r="A1273" s="63" t="s">
        <v>3268</v>
      </c>
      <c r="B1273" t="s">
        <v>2277</v>
      </c>
      <c r="C1273" t="s">
        <v>5043</v>
      </c>
      <c r="D1273" t="s">
        <v>8402</v>
      </c>
    </row>
    <row r="1274" spans="1:4" x14ac:dyDescent="0.25">
      <c r="A1274" s="63" t="s">
        <v>3269</v>
      </c>
      <c r="B1274" t="s">
        <v>2277</v>
      </c>
      <c r="C1274" t="s">
        <v>5043</v>
      </c>
      <c r="D1274" t="s">
        <v>8402</v>
      </c>
    </row>
    <row r="1275" spans="1:4" x14ac:dyDescent="0.25">
      <c r="A1275" s="63" t="s">
        <v>3270</v>
      </c>
      <c r="B1275" t="s">
        <v>2290</v>
      </c>
      <c r="C1275" t="s">
        <v>5043</v>
      </c>
      <c r="D1275" t="s">
        <v>8402</v>
      </c>
    </row>
    <row r="1276" spans="1:4" x14ac:dyDescent="0.25">
      <c r="A1276" s="63" t="s">
        <v>7715</v>
      </c>
      <c r="B1276" t="s">
        <v>1638</v>
      </c>
      <c r="C1276" t="s">
        <v>5043</v>
      </c>
      <c r="D1276" t="s">
        <v>8402</v>
      </c>
    </row>
    <row r="1277" spans="1:4" x14ac:dyDescent="0.25">
      <c r="A1277" s="63" t="s">
        <v>7716</v>
      </c>
      <c r="B1277" t="s">
        <v>1638</v>
      </c>
      <c r="C1277" t="s">
        <v>5043</v>
      </c>
      <c r="D1277" t="s">
        <v>8402</v>
      </c>
    </row>
    <row r="1278" spans="1:4" x14ac:dyDescent="0.25">
      <c r="A1278" s="63" t="s">
        <v>7717</v>
      </c>
      <c r="B1278" t="s">
        <v>1638</v>
      </c>
      <c r="C1278" t="s">
        <v>5043</v>
      </c>
      <c r="D1278" t="s">
        <v>8402</v>
      </c>
    </row>
    <row r="1279" spans="1:4" x14ac:dyDescent="0.25">
      <c r="A1279" s="63" t="s">
        <v>7202</v>
      </c>
      <c r="B1279" t="s">
        <v>1638</v>
      </c>
      <c r="C1279" t="s">
        <v>5043</v>
      </c>
      <c r="D1279" t="s">
        <v>8402</v>
      </c>
    </row>
    <row r="1280" spans="1:4" x14ac:dyDescent="0.25">
      <c r="A1280" s="63" t="s">
        <v>7203</v>
      </c>
      <c r="B1280" t="s">
        <v>1638</v>
      </c>
      <c r="C1280" t="s">
        <v>5043</v>
      </c>
      <c r="D1280" t="s">
        <v>8402</v>
      </c>
    </row>
    <row r="1281" spans="1:4" x14ac:dyDescent="0.25">
      <c r="A1281" s="63" t="s">
        <v>3271</v>
      </c>
      <c r="B1281" t="s">
        <v>2508</v>
      </c>
      <c r="C1281" t="s">
        <v>5043</v>
      </c>
      <c r="D1281" t="s">
        <v>8402</v>
      </c>
    </row>
    <row r="1282" spans="1:4" x14ac:dyDescent="0.25">
      <c r="A1282" s="63" t="s">
        <v>7227</v>
      </c>
      <c r="B1282" t="s">
        <v>1799</v>
      </c>
      <c r="C1282" t="s">
        <v>5043</v>
      </c>
      <c r="D1282" t="s">
        <v>8402</v>
      </c>
    </row>
    <row r="1283" spans="1:4" x14ac:dyDescent="0.25">
      <c r="A1283" s="63" t="s">
        <v>7718</v>
      </c>
      <c r="B1283" t="s">
        <v>1799</v>
      </c>
      <c r="C1283" t="s">
        <v>5043</v>
      </c>
      <c r="D1283" t="s">
        <v>8402</v>
      </c>
    </row>
    <row r="1284" spans="1:4" x14ac:dyDescent="0.25">
      <c r="A1284" s="63" t="s">
        <v>7719</v>
      </c>
      <c r="B1284" t="s">
        <v>2675</v>
      </c>
      <c r="C1284" t="s">
        <v>5043</v>
      </c>
      <c r="D1284" t="s">
        <v>8402</v>
      </c>
    </row>
    <row r="1285" spans="1:4" x14ac:dyDescent="0.25">
      <c r="A1285" s="63" t="s">
        <v>6286</v>
      </c>
      <c r="B1285" t="s">
        <v>2675</v>
      </c>
      <c r="C1285" t="s">
        <v>5043</v>
      </c>
      <c r="D1285" t="s">
        <v>8402</v>
      </c>
    </row>
    <row r="1286" spans="1:4" x14ac:dyDescent="0.25">
      <c r="A1286" s="63" t="s">
        <v>3272</v>
      </c>
      <c r="B1286" t="s">
        <v>2675</v>
      </c>
      <c r="C1286" t="s">
        <v>5043</v>
      </c>
      <c r="D1286" t="s">
        <v>8402</v>
      </c>
    </row>
    <row r="1287" spans="1:4" x14ac:dyDescent="0.25">
      <c r="A1287" s="63" t="s">
        <v>3273</v>
      </c>
      <c r="B1287" t="s">
        <v>2291</v>
      </c>
      <c r="C1287" t="s">
        <v>5043</v>
      </c>
      <c r="D1287" t="s">
        <v>8402</v>
      </c>
    </row>
    <row r="1288" spans="1:4" x14ac:dyDescent="0.25">
      <c r="A1288" s="63" t="s">
        <v>3274</v>
      </c>
      <c r="B1288" t="s">
        <v>2288</v>
      </c>
      <c r="C1288" t="s">
        <v>5043</v>
      </c>
      <c r="D1288" t="s">
        <v>8402</v>
      </c>
    </row>
    <row r="1289" spans="1:4" x14ac:dyDescent="0.25">
      <c r="A1289" s="63" t="s">
        <v>3275</v>
      </c>
      <c r="B1289" t="s">
        <v>2289</v>
      </c>
      <c r="C1289" t="s">
        <v>5043</v>
      </c>
      <c r="D1289" t="s">
        <v>8402</v>
      </c>
    </row>
    <row r="1290" spans="1:4" x14ac:dyDescent="0.25">
      <c r="A1290" s="63" t="s">
        <v>3276</v>
      </c>
      <c r="B1290" t="s">
        <v>2286</v>
      </c>
      <c r="C1290" t="s">
        <v>5043</v>
      </c>
      <c r="D1290" t="s">
        <v>8402</v>
      </c>
    </row>
    <row r="1291" spans="1:4" x14ac:dyDescent="0.25">
      <c r="A1291" s="63" t="s">
        <v>3277</v>
      </c>
      <c r="B1291" t="s">
        <v>2286</v>
      </c>
      <c r="C1291" t="s">
        <v>5043</v>
      </c>
      <c r="D1291" t="s">
        <v>8402</v>
      </c>
    </row>
    <row r="1292" spans="1:4" x14ac:dyDescent="0.25">
      <c r="A1292" s="63" t="s">
        <v>3278</v>
      </c>
      <c r="B1292" t="s">
        <v>2286</v>
      </c>
      <c r="C1292" t="s">
        <v>5043</v>
      </c>
      <c r="D1292" t="s">
        <v>8402</v>
      </c>
    </row>
    <row r="1293" spans="1:4" x14ac:dyDescent="0.25">
      <c r="A1293" s="63" t="s">
        <v>3279</v>
      </c>
      <c r="B1293" t="s">
        <v>2287</v>
      </c>
      <c r="C1293" t="s">
        <v>5043</v>
      </c>
      <c r="D1293" t="s">
        <v>8402</v>
      </c>
    </row>
    <row r="1294" spans="1:4" x14ac:dyDescent="0.25">
      <c r="A1294" s="63" t="s">
        <v>3280</v>
      </c>
      <c r="B1294" t="s">
        <v>2284</v>
      </c>
      <c r="C1294" t="s">
        <v>5043</v>
      </c>
      <c r="D1294" t="s">
        <v>8402</v>
      </c>
    </row>
    <row r="1295" spans="1:4" x14ac:dyDescent="0.25">
      <c r="A1295" s="63" t="s">
        <v>3281</v>
      </c>
      <c r="B1295" t="s">
        <v>2285</v>
      </c>
      <c r="C1295" t="s">
        <v>5043</v>
      </c>
      <c r="D1295" t="s">
        <v>8402</v>
      </c>
    </row>
    <row r="1296" spans="1:4" x14ac:dyDescent="0.25">
      <c r="A1296" s="63" t="s">
        <v>3282</v>
      </c>
      <c r="B1296" t="s">
        <v>2285</v>
      </c>
      <c r="C1296" t="s">
        <v>5043</v>
      </c>
      <c r="D1296" t="s">
        <v>8402</v>
      </c>
    </row>
    <row r="1297" spans="1:4" x14ac:dyDescent="0.25">
      <c r="A1297" s="63" t="s">
        <v>7720</v>
      </c>
      <c r="B1297" t="s">
        <v>1998</v>
      </c>
      <c r="C1297" t="s">
        <v>5043</v>
      </c>
      <c r="D1297" t="s">
        <v>8402</v>
      </c>
    </row>
    <row r="1298" spans="1:4" x14ac:dyDescent="0.25">
      <c r="A1298" s="63" t="s">
        <v>7721</v>
      </c>
      <c r="B1298" t="s">
        <v>1998</v>
      </c>
      <c r="C1298" t="s">
        <v>5043</v>
      </c>
      <c r="D1298" t="s">
        <v>8402</v>
      </c>
    </row>
    <row r="1299" spans="1:4" x14ac:dyDescent="0.25">
      <c r="A1299" s="63" t="s">
        <v>3283</v>
      </c>
      <c r="B1299" t="s">
        <v>1680</v>
      </c>
      <c r="C1299" t="s">
        <v>5043</v>
      </c>
      <c r="D1299" t="s">
        <v>8402</v>
      </c>
    </row>
    <row r="1300" spans="1:4" x14ac:dyDescent="0.25">
      <c r="A1300" s="63" t="s">
        <v>3284</v>
      </c>
      <c r="B1300" t="s">
        <v>1681</v>
      </c>
      <c r="C1300" t="s">
        <v>5043</v>
      </c>
      <c r="D1300" t="s">
        <v>8402</v>
      </c>
    </row>
    <row r="1301" spans="1:4" x14ac:dyDescent="0.25">
      <c r="A1301" s="63" t="s">
        <v>3285</v>
      </c>
      <c r="B1301" t="s">
        <v>1682</v>
      </c>
      <c r="C1301" t="s">
        <v>5043</v>
      </c>
      <c r="D1301" t="s">
        <v>8402</v>
      </c>
    </row>
    <row r="1302" spans="1:4" x14ac:dyDescent="0.25">
      <c r="A1302" s="63" t="s">
        <v>6352</v>
      </c>
      <c r="B1302" t="s">
        <v>1296</v>
      </c>
      <c r="C1302" t="s">
        <v>5043</v>
      </c>
      <c r="D1302" t="s">
        <v>8402</v>
      </c>
    </row>
    <row r="1303" spans="1:4" x14ac:dyDescent="0.25">
      <c r="A1303" s="63" t="s">
        <v>3286</v>
      </c>
      <c r="B1303" t="s">
        <v>1296</v>
      </c>
      <c r="C1303" t="s">
        <v>5043</v>
      </c>
      <c r="D1303" t="s">
        <v>8402</v>
      </c>
    </row>
    <row r="1304" spans="1:4" x14ac:dyDescent="0.25">
      <c r="A1304" s="63" t="s">
        <v>3287</v>
      </c>
      <c r="B1304" t="s">
        <v>1296</v>
      </c>
      <c r="C1304" t="s">
        <v>5043</v>
      </c>
      <c r="D1304" t="s">
        <v>8402</v>
      </c>
    </row>
    <row r="1305" spans="1:4" x14ac:dyDescent="0.25">
      <c r="A1305" s="63" t="s">
        <v>3288</v>
      </c>
      <c r="B1305" t="s">
        <v>1684</v>
      </c>
      <c r="C1305" t="s">
        <v>5043</v>
      </c>
      <c r="D1305" t="s">
        <v>8402</v>
      </c>
    </row>
    <row r="1306" spans="1:4" x14ac:dyDescent="0.25">
      <c r="A1306" s="63" t="s">
        <v>3289</v>
      </c>
      <c r="B1306" t="s">
        <v>1683</v>
      </c>
      <c r="C1306" t="s">
        <v>5043</v>
      </c>
      <c r="D1306" t="s">
        <v>8402</v>
      </c>
    </row>
    <row r="1307" spans="1:4" x14ac:dyDescent="0.25">
      <c r="A1307" s="63" t="s">
        <v>3290</v>
      </c>
      <c r="B1307" t="s">
        <v>2309</v>
      </c>
      <c r="C1307" t="s">
        <v>5043</v>
      </c>
      <c r="D1307" t="s">
        <v>8402</v>
      </c>
    </row>
    <row r="1308" spans="1:4" x14ac:dyDescent="0.25">
      <c r="A1308" s="63" t="s">
        <v>7722</v>
      </c>
      <c r="B1308" t="s">
        <v>2305</v>
      </c>
      <c r="C1308" t="s">
        <v>5043</v>
      </c>
      <c r="D1308" t="s">
        <v>8402</v>
      </c>
    </row>
    <row r="1309" spans="1:4" x14ac:dyDescent="0.25">
      <c r="A1309" s="63" t="s">
        <v>7723</v>
      </c>
      <c r="B1309" t="s">
        <v>2305</v>
      </c>
      <c r="C1309" t="s">
        <v>5043</v>
      </c>
      <c r="D1309" t="s">
        <v>8402</v>
      </c>
    </row>
    <row r="1310" spans="1:4" x14ac:dyDescent="0.25">
      <c r="A1310" s="63" t="s">
        <v>3291</v>
      </c>
      <c r="B1310" t="s">
        <v>1679</v>
      </c>
      <c r="C1310" t="s">
        <v>5043</v>
      </c>
      <c r="D1310" t="s">
        <v>8402</v>
      </c>
    </row>
    <row r="1311" spans="1:4" x14ac:dyDescent="0.25">
      <c r="A1311" s="63" t="s">
        <v>3292</v>
      </c>
      <c r="B1311" t="s">
        <v>1679</v>
      </c>
      <c r="C1311" t="s">
        <v>5043</v>
      </c>
      <c r="D1311" t="s">
        <v>8402</v>
      </c>
    </row>
    <row r="1312" spans="1:4" x14ac:dyDescent="0.25">
      <c r="A1312" s="63" t="s">
        <v>3293</v>
      </c>
      <c r="B1312" t="s">
        <v>1678</v>
      </c>
      <c r="C1312" t="s">
        <v>5043</v>
      </c>
      <c r="D1312" t="s">
        <v>8402</v>
      </c>
    </row>
    <row r="1313" spans="1:4" x14ac:dyDescent="0.25">
      <c r="A1313" s="63" t="s">
        <v>5358</v>
      </c>
      <c r="B1313" t="s">
        <v>1328</v>
      </c>
      <c r="C1313" t="s">
        <v>5043</v>
      </c>
      <c r="D1313" t="s">
        <v>8402</v>
      </c>
    </row>
    <row r="1314" spans="1:4" x14ac:dyDescent="0.25">
      <c r="A1314" s="63" t="s">
        <v>5359</v>
      </c>
      <c r="B1314" t="s">
        <v>1328</v>
      </c>
      <c r="C1314" t="s">
        <v>5043</v>
      </c>
      <c r="D1314" t="s">
        <v>8402</v>
      </c>
    </row>
    <row r="1315" spans="1:4" x14ac:dyDescent="0.25">
      <c r="A1315" s="63" t="s">
        <v>7724</v>
      </c>
      <c r="B1315" t="s">
        <v>1328</v>
      </c>
      <c r="C1315" t="s">
        <v>5043</v>
      </c>
      <c r="D1315" t="s">
        <v>8402</v>
      </c>
    </row>
    <row r="1316" spans="1:4" x14ac:dyDescent="0.25">
      <c r="A1316" s="63" t="s">
        <v>7725</v>
      </c>
      <c r="B1316" t="s">
        <v>1328</v>
      </c>
      <c r="C1316" t="s">
        <v>5043</v>
      </c>
      <c r="D1316" t="s">
        <v>8402</v>
      </c>
    </row>
    <row r="1317" spans="1:4" x14ac:dyDescent="0.25">
      <c r="A1317" s="63" t="s">
        <v>3294</v>
      </c>
      <c r="B1317" t="s">
        <v>2255</v>
      </c>
      <c r="C1317" t="s">
        <v>5043</v>
      </c>
      <c r="D1317" t="s">
        <v>8402</v>
      </c>
    </row>
    <row r="1318" spans="1:4" x14ac:dyDescent="0.25">
      <c r="A1318" s="63" t="s">
        <v>3295</v>
      </c>
      <c r="B1318" t="s">
        <v>2255</v>
      </c>
      <c r="C1318" t="s">
        <v>5043</v>
      </c>
      <c r="D1318" t="s">
        <v>8402</v>
      </c>
    </row>
    <row r="1319" spans="1:4" x14ac:dyDescent="0.25">
      <c r="A1319" s="63" t="s">
        <v>3296</v>
      </c>
      <c r="B1319" t="s">
        <v>2255</v>
      </c>
      <c r="C1319" t="s">
        <v>5043</v>
      </c>
      <c r="D1319" t="s">
        <v>8402</v>
      </c>
    </row>
    <row r="1320" spans="1:4" x14ac:dyDescent="0.25">
      <c r="A1320" s="63" t="s">
        <v>7726</v>
      </c>
      <c r="B1320" t="s">
        <v>1669</v>
      </c>
      <c r="C1320" t="s">
        <v>5043</v>
      </c>
      <c r="D1320" t="s">
        <v>8402</v>
      </c>
    </row>
    <row r="1321" spans="1:4" x14ac:dyDescent="0.25">
      <c r="A1321" s="63" t="s">
        <v>7727</v>
      </c>
      <c r="B1321" t="s">
        <v>1669</v>
      </c>
      <c r="C1321" t="s">
        <v>5043</v>
      </c>
      <c r="D1321" t="s">
        <v>8402</v>
      </c>
    </row>
    <row r="1322" spans="1:4" x14ac:dyDescent="0.25">
      <c r="A1322" s="63" t="s">
        <v>7728</v>
      </c>
      <c r="B1322" t="s">
        <v>1669</v>
      </c>
      <c r="C1322" t="s">
        <v>5043</v>
      </c>
      <c r="D1322" t="s">
        <v>8402</v>
      </c>
    </row>
    <row r="1323" spans="1:4" x14ac:dyDescent="0.25">
      <c r="A1323" s="63" t="s">
        <v>7729</v>
      </c>
      <c r="B1323" t="s">
        <v>1669</v>
      </c>
      <c r="C1323" t="s">
        <v>5043</v>
      </c>
      <c r="D1323" t="s">
        <v>8402</v>
      </c>
    </row>
    <row r="1324" spans="1:4" x14ac:dyDescent="0.25">
      <c r="A1324" s="63" t="s">
        <v>3297</v>
      </c>
      <c r="B1324" t="s">
        <v>2256</v>
      </c>
      <c r="C1324" t="s">
        <v>5043</v>
      </c>
      <c r="D1324" t="s">
        <v>8402</v>
      </c>
    </row>
    <row r="1325" spans="1:4" x14ac:dyDescent="0.25">
      <c r="A1325" s="63" t="s">
        <v>3298</v>
      </c>
      <c r="B1325" t="s">
        <v>2256</v>
      </c>
      <c r="C1325" t="s">
        <v>5043</v>
      </c>
      <c r="D1325" t="s">
        <v>8402</v>
      </c>
    </row>
    <row r="1326" spans="1:4" x14ac:dyDescent="0.25">
      <c r="A1326" s="63" t="s">
        <v>7730</v>
      </c>
      <c r="B1326" t="s">
        <v>1329</v>
      </c>
      <c r="C1326" t="s">
        <v>5043</v>
      </c>
      <c r="D1326" t="s">
        <v>8402</v>
      </c>
    </row>
    <row r="1327" spans="1:4" x14ac:dyDescent="0.25">
      <c r="A1327" s="63" t="s">
        <v>7731</v>
      </c>
      <c r="B1327" t="s">
        <v>1329</v>
      </c>
      <c r="C1327" t="s">
        <v>5043</v>
      </c>
      <c r="D1327" t="s">
        <v>8402</v>
      </c>
    </row>
    <row r="1328" spans="1:4" x14ac:dyDescent="0.25">
      <c r="A1328" s="63" t="s">
        <v>7732</v>
      </c>
      <c r="B1328" t="s">
        <v>2012</v>
      </c>
      <c r="C1328" t="s">
        <v>5043</v>
      </c>
      <c r="D1328" t="s">
        <v>8402</v>
      </c>
    </row>
    <row r="1329" spans="1:4" x14ac:dyDescent="0.25">
      <c r="A1329" s="63" t="s">
        <v>7733</v>
      </c>
      <c r="B1329" t="s">
        <v>2012</v>
      </c>
      <c r="C1329" t="s">
        <v>5043</v>
      </c>
      <c r="D1329" t="s">
        <v>8402</v>
      </c>
    </row>
    <row r="1330" spans="1:4" x14ac:dyDescent="0.25">
      <c r="A1330" s="63" t="s">
        <v>7734</v>
      </c>
      <c r="B1330" t="s">
        <v>2012</v>
      </c>
      <c r="C1330" t="s">
        <v>5043</v>
      </c>
      <c r="D1330" t="s">
        <v>8402</v>
      </c>
    </row>
    <row r="1331" spans="1:4" x14ac:dyDescent="0.25">
      <c r="A1331" s="63" t="s">
        <v>7735</v>
      </c>
      <c r="B1331" t="s">
        <v>2012</v>
      </c>
      <c r="C1331" t="s">
        <v>5043</v>
      </c>
      <c r="D1331" t="s">
        <v>8402</v>
      </c>
    </row>
    <row r="1332" spans="1:4" x14ac:dyDescent="0.25">
      <c r="A1332" s="63" t="s">
        <v>7736</v>
      </c>
      <c r="B1332" t="s">
        <v>2012</v>
      </c>
      <c r="C1332" t="s">
        <v>5043</v>
      </c>
      <c r="D1332" t="s">
        <v>8402</v>
      </c>
    </row>
    <row r="1333" spans="1:4" x14ac:dyDescent="0.25">
      <c r="A1333" s="63" t="s">
        <v>7737</v>
      </c>
      <c r="B1333" t="s">
        <v>2012</v>
      </c>
      <c r="C1333" t="s">
        <v>5043</v>
      </c>
      <c r="D1333" t="s">
        <v>8402</v>
      </c>
    </row>
    <row r="1334" spans="1:4" x14ac:dyDescent="0.25">
      <c r="A1334" s="63" t="s">
        <v>7738</v>
      </c>
      <c r="B1334" t="s">
        <v>2012</v>
      </c>
      <c r="C1334" t="s">
        <v>5043</v>
      </c>
      <c r="D1334" t="s">
        <v>8402</v>
      </c>
    </row>
    <row r="1335" spans="1:4" x14ac:dyDescent="0.25">
      <c r="A1335" s="63" t="s">
        <v>7739</v>
      </c>
      <c r="B1335" t="s">
        <v>2012</v>
      </c>
      <c r="C1335" t="s">
        <v>5043</v>
      </c>
      <c r="D1335" t="s">
        <v>8402</v>
      </c>
    </row>
    <row r="1336" spans="1:4" x14ac:dyDescent="0.25">
      <c r="A1336" s="63" t="s">
        <v>3299</v>
      </c>
      <c r="B1336" t="s">
        <v>2258</v>
      </c>
      <c r="C1336" t="s">
        <v>5043</v>
      </c>
      <c r="D1336" t="s">
        <v>8402</v>
      </c>
    </row>
    <row r="1337" spans="1:4" x14ac:dyDescent="0.25">
      <c r="A1337" s="63" t="s">
        <v>7740</v>
      </c>
      <c r="B1337" t="s">
        <v>1205</v>
      </c>
      <c r="C1337" t="s">
        <v>5043</v>
      </c>
      <c r="D1337" t="s">
        <v>8402</v>
      </c>
    </row>
    <row r="1338" spans="1:4" x14ac:dyDescent="0.25">
      <c r="A1338" s="63" t="s">
        <v>7741</v>
      </c>
      <c r="B1338" t="s">
        <v>1205</v>
      </c>
      <c r="C1338" t="s">
        <v>5043</v>
      </c>
      <c r="D1338" t="s">
        <v>8402</v>
      </c>
    </row>
    <row r="1339" spans="1:4" x14ac:dyDescent="0.25">
      <c r="A1339" s="63" t="s">
        <v>7742</v>
      </c>
      <c r="B1339" t="s">
        <v>1205</v>
      </c>
      <c r="C1339" t="s">
        <v>5043</v>
      </c>
      <c r="D1339" t="s">
        <v>8402</v>
      </c>
    </row>
    <row r="1340" spans="1:4" x14ac:dyDescent="0.25">
      <c r="A1340" s="63" t="s">
        <v>7743</v>
      </c>
      <c r="B1340" t="s">
        <v>1205</v>
      </c>
      <c r="C1340" t="s">
        <v>5043</v>
      </c>
      <c r="D1340" t="s">
        <v>8402</v>
      </c>
    </row>
    <row r="1341" spans="1:4" x14ac:dyDescent="0.25">
      <c r="A1341" s="63" t="s">
        <v>7744</v>
      </c>
      <c r="B1341" t="s">
        <v>1205</v>
      </c>
      <c r="C1341" t="s">
        <v>5043</v>
      </c>
      <c r="D1341" t="s">
        <v>8402</v>
      </c>
    </row>
    <row r="1342" spans="1:4" x14ac:dyDescent="0.25">
      <c r="A1342" s="63" t="s">
        <v>3300</v>
      </c>
      <c r="B1342" t="s">
        <v>1205</v>
      </c>
      <c r="C1342" t="s">
        <v>5043</v>
      </c>
      <c r="D1342" t="s">
        <v>8402</v>
      </c>
    </row>
    <row r="1343" spans="1:4" x14ac:dyDescent="0.25">
      <c r="A1343" s="63" t="s">
        <v>3301</v>
      </c>
      <c r="B1343" t="s">
        <v>1205</v>
      </c>
      <c r="C1343" t="s">
        <v>5043</v>
      </c>
      <c r="D1343" t="s">
        <v>8402</v>
      </c>
    </row>
    <row r="1344" spans="1:4" x14ac:dyDescent="0.25">
      <c r="A1344" s="63" t="s">
        <v>3302</v>
      </c>
      <c r="B1344" t="s">
        <v>1205</v>
      </c>
      <c r="C1344" t="s">
        <v>5043</v>
      </c>
      <c r="D1344" t="s">
        <v>8402</v>
      </c>
    </row>
    <row r="1345" spans="1:4" x14ac:dyDescent="0.25">
      <c r="A1345" s="63" t="s">
        <v>7745</v>
      </c>
      <c r="B1345" t="s">
        <v>1205</v>
      </c>
      <c r="C1345" t="s">
        <v>5043</v>
      </c>
      <c r="D1345" t="s">
        <v>8402</v>
      </c>
    </row>
    <row r="1346" spans="1:4" x14ac:dyDescent="0.25">
      <c r="A1346" s="63" t="s">
        <v>7746</v>
      </c>
      <c r="B1346" t="s">
        <v>1205</v>
      </c>
      <c r="C1346" t="s">
        <v>5043</v>
      </c>
      <c r="D1346" t="s">
        <v>8402</v>
      </c>
    </row>
    <row r="1347" spans="1:4" x14ac:dyDescent="0.25">
      <c r="A1347" s="63" t="s">
        <v>7747</v>
      </c>
      <c r="B1347" t="s">
        <v>1205</v>
      </c>
      <c r="C1347" t="s">
        <v>5043</v>
      </c>
      <c r="D1347" t="s">
        <v>8402</v>
      </c>
    </row>
    <row r="1348" spans="1:4" x14ac:dyDescent="0.25">
      <c r="A1348" s="63" t="s">
        <v>7748</v>
      </c>
      <c r="B1348" t="s">
        <v>1205</v>
      </c>
      <c r="C1348" t="s">
        <v>5043</v>
      </c>
      <c r="D1348" t="s">
        <v>8402</v>
      </c>
    </row>
    <row r="1349" spans="1:4" x14ac:dyDescent="0.25">
      <c r="A1349" s="63" t="s">
        <v>7749</v>
      </c>
      <c r="B1349" t="s">
        <v>1205</v>
      </c>
      <c r="C1349" t="s">
        <v>5043</v>
      </c>
      <c r="D1349" t="s">
        <v>8402</v>
      </c>
    </row>
    <row r="1350" spans="1:4" x14ac:dyDescent="0.25">
      <c r="A1350" s="63" t="s">
        <v>7750</v>
      </c>
      <c r="B1350" t="s">
        <v>1205</v>
      </c>
      <c r="C1350" t="s">
        <v>5043</v>
      </c>
      <c r="D1350" t="s">
        <v>8402</v>
      </c>
    </row>
    <row r="1351" spans="1:4" x14ac:dyDescent="0.25">
      <c r="A1351" s="63" t="s">
        <v>7751</v>
      </c>
      <c r="B1351" t="s">
        <v>1205</v>
      </c>
      <c r="C1351" t="s">
        <v>5043</v>
      </c>
      <c r="D1351" t="s">
        <v>8402</v>
      </c>
    </row>
    <row r="1352" spans="1:4" x14ac:dyDescent="0.25">
      <c r="A1352" s="63" t="s">
        <v>7752</v>
      </c>
      <c r="B1352" t="s">
        <v>1205</v>
      </c>
      <c r="C1352" t="s">
        <v>5043</v>
      </c>
      <c r="D1352" t="s">
        <v>8402</v>
      </c>
    </row>
    <row r="1353" spans="1:4" x14ac:dyDescent="0.25">
      <c r="A1353" s="63" t="s">
        <v>7753</v>
      </c>
      <c r="B1353" t="s">
        <v>1205</v>
      </c>
      <c r="C1353" t="s">
        <v>5043</v>
      </c>
      <c r="D1353" t="s">
        <v>8402</v>
      </c>
    </row>
    <row r="1354" spans="1:4" x14ac:dyDescent="0.25">
      <c r="A1354" s="63" t="s">
        <v>6537</v>
      </c>
      <c r="B1354" t="s">
        <v>1214</v>
      </c>
      <c r="C1354" t="s">
        <v>5043</v>
      </c>
      <c r="D1354" t="s">
        <v>8402</v>
      </c>
    </row>
    <row r="1355" spans="1:4" x14ac:dyDescent="0.25">
      <c r="A1355" s="63" t="s">
        <v>6538</v>
      </c>
      <c r="B1355" t="s">
        <v>1214</v>
      </c>
      <c r="C1355" t="s">
        <v>5043</v>
      </c>
      <c r="D1355" t="s">
        <v>8402</v>
      </c>
    </row>
    <row r="1356" spans="1:4" x14ac:dyDescent="0.25">
      <c r="A1356" s="63" t="s">
        <v>7754</v>
      </c>
      <c r="B1356" t="s">
        <v>1214</v>
      </c>
      <c r="C1356" t="s">
        <v>5043</v>
      </c>
      <c r="D1356" t="s">
        <v>8402</v>
      </c>
    </row>
    <row r="1357" spans="1:4" x14ac:dyDescent="0.25">
      <c r="A1357" s="63" t="s">
        <v>3303</v>
      </c>
      <c r="B1357" t="s">
        <v>1214</v>
      </c>
      <c r="C1357" t="s">
        <v>5043</v>
      </c>
      <c r="D1357" t="s">
        <v>8402</v>
      </c>
    </row>
    <row r="1358" spans="1:4" x14ac:dyDescent="0.25">
      <c r="A1358" s="63" t="s">
        <v>3304</v>
      </c>
      <c r="B1358" t="s">
        <v>1214</v>
      </c>
      <c r="C1358" t="s">
        <v>5043</v>
      </c>
      <c r="D1358" t="s">
        <v>8402</v>
      </c>
    </row>
    <row r="1359" spans="1:4" x14ac:dyDescent="0.25">
      <c r="A1359" s="63" t="s">
        <v>3305</v>
      </c>
      <c r="B1359" t="s">
        <v>1214</v>
      </c>
      <c r="C1359" t="s">
        <v>5043</v>
      </c>
      <c r="D1359" t="s">
        <v>8402</v>
      </c>
    </row>
    <row r="1360" spans="1:4" x14ac:dyDescent="0.25">
      <c r="A1360" s="63" t="s">
        <v>6576</v>
      </c>
      <c r="B1360" t="s">
        <v>1214</v>
      </c>
      <c r="C1360" t="s">
        <v>5043</v>
      </c>
      <c r="D1360" t="s">
        <v>8402</v>
      </c>
    </row>
    <row r="1361" spans="1:4" x14ac:dyDescent="0.25">
      <c r="A1361" s="63" t="s">
        <v>6577</v>
      </c>
      <c r="B1361" t="s">
        <v>1214</v>
      </c>
      <c r="C1361" t="s">
        <v>5043</v>
      </c>
      <c r="D1361" t="s">
        <v>8402</v>
      </c>
    </row>
    <row r="1362" spans="1:4" x14ac:dyDescent="0.25">
      <c r="A1362" s="63" t="s">
        <v>6575</v>
      </c>
      <c r="B1362" t="s">
        <v>1214</v>
      </c>
      <c r="C1362" t="s">
        <v>5043</v>
      </c>
      <c r="D1362" t="s">
        <v>8402</v>
      </c>
    </row>
    <row r="1363" spans="1:4" x14ac:dyDescent="0.25">
      <c r="A1363" s="63" t="s">
        <v>6578</v>
      </c>
      <c r="B1363" t="s">
        <v>1214</v>
      </c>
      <c r="C1363" t="s">
        <v>5043</v>
      </c>
      <c r="D1363" t="s">
        <v>8402</v>
      </c>
    </row>
    <row r="1364" spans="1:4" x14ac:dyDescent="0.25">
      <c r="A1364" s="63" t="s">
        <v>6579</v>
      </c>
      <c r="B1364" t="s">
        <v>1214</v>
      </c>
      <c r="C1364" t="s">
        <v>5043</v>
      </c>
      <c r="D1364" t="s">
        <v>8402</v>
      </c>
    </row>
    <row r="1365" spans="1:4" x14ac:dyDescent="0.25">
      <c r="A1365" s="63" t="s">
        <v>7755</v>
      </c>
      <c r="B1365" t="s">
        <v>1214</v>
      </c>
      <c r="C1365" t="s">
        <v>5043</v>
      </c>
      <c r="D1365" t="s">
        <v>8402</v>
      </c>
    </row>
    <row r="1366" spans="1:4" x14ac:dyDescent="0.25">
      <c r="A1366" s="63" t="s">
        <v>6580</v>
      </c>
      <c r="B1366" t="s">
        <v>1214</v>
      </c>
      <c r="C1366" t="s">
        <v>5043</v>
      </c>
      <c r="D1366" t="s">
        <v>8402</v>
      </c>
    </row>
    <row r="1367" spans="1:4" x14ac:dyDescent="0.25">
      <c r="A1367" s="63" t="s">
        <v>7756</v>
      </c>
      <c r="B1367" t="s">
        <v>1214</v>
      </c>
      <c r="C1367" t="s">
        <v>5043</v>
      </c>
      <c r="D1367" t="s">
        <v>8402</v>
      </c>
    </row>
    <row r="1368" spans="1:4" x14ac:dyDescent="0.25">
      <c r="A1368" s="63" t="s">
        <v>7757</v>
      </c>
      <c r="B1368" t="s">
        <v>1214</v>
      </c>
      <c r="C1368" t="s">
        <v>5043</v>
      </c>
      <c r="D1368" t="s">
        <v>8402</v>
      </c>
    </row>
    <row r="1369" spans="1:4" x14ac:dyDescent="0.25">
      <c r="A1369" s="63" t="s">
        <v>6581</v>
      </c>
      <c r="B1369" t="s">
        <v>1214</v>
      </c>
      <c r="C1369" t="s">
        <v>5043</v>
      </c>
      <c r="D1369" t="s">
        <v>8402</v>
      </c>
    </row>
    <row r="1370" spans="1:4" x14ac:dyDescent="0.25">
      <c r="A1370" s="63" t="s">
        <v>6583</v>
      </c>
      <c r="B1370" t="s">
        <v>1214</v>
      </c>
      <c r="C1370" t="s">
        <v>5043</v>
      </c>
      <c r="D1370" t="s">
        <v>8402</v>
      </c>
    </row>
    <row r="1371" spans="1:4" x14ac:dyDescent="0.25">
      <c r="A1371" s="63" t="s">
        <v>6584</v>
      </c>
      <c r="B1371" t="s">
        <v>1214</v>
      </c>
      <c r="C1371" t="s">
        <v>5043</v>
      </c>
      <c r="D1371" t="s">
        <v>8402</v>
      </c>
    </row>
    <row r="1372" spans="1:4" x14ac:dyDescent="0.25">
      <c r="A1372" s="63" t="s">
        <v>7758</v>
      </c>
      <c r="B1372" t="s">
        <v>1214</v>
      </c>
      <c r="C1372" t="s">
        <v>5043</v>
      </c>
      <c r="D1372" t="s">
        <v>8402</v>
      </c>
    </row>
    <row r="1373" spans="1:4" x14ac:dyDescent="0.25">
      <c r="A1373" s="63" t="s">
        <v>6585</v>
      </c>
      <c r="B1373" t="s">
        <v>1214</v>
      </c>
      <c r="C1373" t="s">
        <v>5043</v>
      </c>
      <c r="D1373" t="s">
        <v>8402</v>
      </c>
    </row>
    <row r="1374" spans="1:4" x14ac:dyDescent="0.25">
      <c r="A1374" s="63" t="s">
        <v>6586</v>
      </c>
      <c r="B1374" t="s">
        <v>1214</v>
      </c>
      <c r="C1374" t="s">
        <v>5043</v>
      </c>
      <c r="D1374" t="s">
        <v>8402</v>
      </c>
    </row>
    <row r="1375" spans="1:4" x14ac:dyDescent="0.25">
      <c r="A1375" s="63" t="s">
        <v>6587</v>
      </c>
      <c r="B1375" t="s">
        <v>1214</v>
      </c>
      <c r="C1375" t="s">
        <v>5043</v>
      </c>
      <c r="D1375" t="s">
        <v>8402</v>
      </c>
    </row>
    <row r="1376" spans="1:4" x14ac:dyDescent="0.25">
      <c r="A1376" s="63" t="s">
        <v>7759</v>
      </c>
      <c r="B1376" t="s">
        <v>1214</v>
      </c>
      <c r="C1376" t="s">
        <v>5043</v>
      </c>
      <c r="D1376" t="s">
        <v>8402</v>
      </c>
    </row>
    <row r="1377" spans="1:4" x14ac:dyDescent="0.25">
      <c r="A1377" s="63" t="s">
        <v>6588</v>
      </c>
      <c r="B1377" t="s">
        <v>1214</v>
      </c>
      <c r="C1377" t="s">
        <v>5043</v>
      </c>
      <c r="D1377" t="s">
        <v>8402</v>
      </c>
    </row>
    <row r="1378" spans="1:4" x14ac:dyDescent="0.25">
      <c r="A1378" s="63" t="s">
        <v>7760</v>
      </c>
      <c r="B1378" t="s">
        <v>1214</v>
      </c>
      <c r="C1378" t="s">
        <v>5043</v>
      </c>
      <c r="D1378" t="s">
        <v>8402</v>
      </c>
    </row>
    <row r="1379" spans="1:4" x14ac:dyDescent="0.25">
      <c r="A1379" s="63" t="s">
        <v>7761</v>
      </c>
      <c r="B1379" t="s">
        <v>1214</v>
      </c>
      <c r="C1379" t="s">
        <v>5043</v>
      </c>
      <c r="D1379" t="s">
        <v>8402</v>
      </c>
    </row>
    <row r="1380" spans="1:4" x14ac:dyDescent="0.25">
      <c r="A1380" s="63" t="s">
        <v>6069</v>
      </c>
      <c r="B1380" t="s">
        <v>1214</v>
      </c>
      <c r="C1380" t="s">
        <v>5043</v>
      </c>
      <c r="D1380" t="s">
        <v>8402</v>
      </c>
    </row>
    <row r="1381" spans="1:4" x14ac:dyDescent="0.25">
      <c r="A1381" s="63" t="s">
        <v>4600</v>
      </c>
      <c r="B1381" t="s">
        <v>1214</v>
      </c>
      <c r="C1381" t="s">
        <v>5043</v>
      </c>
      <c r="D1381" t="s">
        <v>8401</v>
      </c>
    </row>
    <row r="1382" spans="1:4" x14ac:dyDescent="0.25">
      <c r="A1382" s="63" t="s">
        <v>4601</v>
      </c>
      <c r="B1382" t="s">
        <v>1214</v>
      </c>
      <c r="C1382" t="s">
        <v>5043</v>
      </c>
      <c r="D1382" t="s">
        <v>8401</v>
      </c>
    </row>
    <row r="1383" spans="1:4" x14ac:dyDescent="0.25">
      <c r="A1383" s="63" t="s">
        <v>6871</v>
      </c>
      <c r="B1383" t="s">
        <v>4603</v>
      </c>
      <c r="C1383" t="s">
        <v>5043</v>
      </c>
      <c r="D1383" t="s">
        <v>8402</v>
      </c>
    </row>
    <row r="1384" spans="1:4" x14ac:dyDescent="0.25">
      <c r="A1384" s="63" t="s">
        <v>6872</v>
      </c>
      <c r="B1384" t="s">
        <v>4603</v>
      </c>
      <c r="C1384" t="s">
        <v>5043</v>
      </c>
      <c r="D1384" t="s">
        <v>8402</v>
      </c>
    </row>
    <row r="1385" spans="1:4" x14ac:dyDescent="0.25">
      <c r="A1385" s="63" t="s">
        <v>6873</v>
      </c>
      <c r="B1385" t="s">
        <v>4603</v>
      </c>
      <c r="C1385" t="s">
        <v>5043</v>
      </c>
      <c r="D1385" t="s">
        <v>8402</v>
      </c>
    </row>
    <row r="1386" spans="1:4" x14ac:dyDescent="0.25">
      <c r="A1386" s="63" t="s">
        <v>6874</v>
      </c>
      <c r="B1386" t="s">
        <v>4603</v>
      </c>
      <c r="C1386" t="s">
        <v>5043</v>
      </c>
      <c r="D1386" t="s">
        <v>8402</v>
      </c>
    </row>
    <row r="1387" spans="1:4" x14ac:dyDescent="0.25">
      <c r="A1387" s="63" t="s">
        <v>5918</v>
      </c>
      <c r="B1387" t="s">
        <v>4603</v>
      </c>
      <c r="C1387" t="s">
        <v>5043</v>
      </c>
      <c r="D1387" t="s">
        <v>8402</v>
      </c>
    </row>
    <row r="1388" spans="1:4" x14ac:dyDescent="0.25">
      <c r="A1388" s="63" t="s">
        <v>4602</v>
      </c>
      <c r="B1388" t="s">
        <v>4603</v>
      </c>
      <c r="C1388" t="s">
        <v>5043</v>
      </c>
      <c r="D1388" t="s">
        <v>8401</v>
      </c>
    </row>
    <row r="1389" spans="1:4" x14ac:dyDescent="0.25">
      <c r="A1389" s="63" t="s">
        <v>3306</v>
      </c>
      <c r="B1389" t="s">
        <v>2680</v>
      </c>
      <c r="C1389" t="s">
        <v>5043</v>
      </c>
      <c r="D1389" t="s">
        <v>8402</v>
      </c>
    </row>
    <row r="1390" spans="1:4" x14ac:dyDescent="0.25">
      <c r="A1390" s="63" t="s">
        <v>2549</v>
      </c>
      <c r="B1390" t="s">
        <v>1202</v>
      </c>
      <c r="C1390" t="s">
        <v>5043</v>
      </c>
      <c r="D1390" t="s">
        <v>8402</v>
      </c>
    </row>
    <row r="1391" spans="1:4" x14ac:dyDescent="0.25">
      <c r="A1391" s="63" t="s">
        <v>2550</v>
      </c>
      <c r="B1391" t="s">
        <v>1202</v>
      </c>
      <c r="C1391" t="s">
        <v>5043</v>
      </c>
      <c r="D1391" t="s">
        <v>8401</v>
      </c>
    </row>
    <row r="1392" spans="1:4" x14ac:dyDescent="0.25">
      <c r="A1392" s="63" t="s">
        <v>7762</v>
      </c>
      <c r="B1392" t="s">
        <v>1202</v>
      </c>
      <c r="C1392" t="s">
        <v>5043</v>
      </c>
      <c r="D1392" t="s">
        <v>8402</v>
      </c>
    </row>
    <row r="1393" spans="1:4" x14ac:dyDescent="0.25">
      <c r="A1393" s="63" t="s">
        <v>7763</v>
      </c>
      <c r="B1393" t="s">
        <v>1202</v>
      </c>
      <c r="C1393" t="s">
        <v>5043</v>
      </c>
      <c r="D1393" t="s">
        <v>8402</v>
      </c>
    </row>
    <row r="1394" spans="1:4" x14ac:dyDescent="0.25">
      <c r="A1394" s="63" t="s">
        <v>7764</v>
      </c>
      <c r="B1394" t="s">
        <v>1202</v>
      </c>
      <c r="C1394" t="s">
        <v>5043</v>
      </c>
      <c r="D1394" t="s">
        <v>8402</v>
      </c>
    </row>
    <row r="1395" spans="1:4" x14ac:dyDescent="0.25">
      <c r="A1395" s="63" t="s">
        <v>7765</v>
      </c>
      <c r="B1395" t="s">
        <v>1202</v>
      </c>
      <c r="C1395" t="s">
        <v>5043</v>
      </c>
      <c r="D1395" t="s">
        <v>8402</v>
      </c>
    </row>
    <row r="1396" spans="1:4" x14ac:dyDescent="0.25">
      <c r="A1396" s="63" t="s">
        <v>7766</v>
      </c>
      <c r="B1396" t="s">
        <v>1202</v>
      </c>
      <c r="C1396" t="s">
        <v>5043</v>
      </c>
      <c r="D1396" t="s">
        <v>8402</v>
      </c>
    </row>
    <row r="1397" spans="1:4" x14ac:dyDescent="0.25">
      <c r="A1397" s="63" t="s">
        <v>3307</v>
      </c>
      <c r="B1397" t="s">
        <v>2259</v>
      </c>
      <c r="C1397" t="s">
        <v>5043</v>
      </c>
      <c r="D1397" t="s">
        <v>8402</v>
      </c>
    </row>
    <row r="1398" spans="1:4" x14ac:dyDescent="0.25">
      <c r="A1398" s="63" t="s">
        <v>7184</v>
      </c>
      <c r="B1398" t="s">
        <v>1353</v>
      </c>
      <c r="C1398" t="s">
        <v>5043</v>
      </c>
      <c r="D1398" t="s">
        <v>8402</v>
      </c>
    </row>
    <row r="1399" spans="1:4" x14ac:dyDescent="0.25">
      <c r="A1399" s="63" t="s">
        <v>7185</v>
      </c>
      <c r="B1399" t="s">
        <v>1353</v>
      </c>
      <c r="C1399" t="s">
        <v>5043</v>
      </c>
      <c r="D1399" t="s">
        <v>8402</v>
      </c>
    </row>
    <row r="1400" spans="1:4" x14ac:dyDescent="0.25">
      <c r="A1400" s="63" t="s">
        <v>7186</v>
      </c>
      <c r="B1400" t="s">
        <v>1353</v>
      </c>
      <c r="C1400" t="s">
        <v>5043</v>
      </c>
      <c r="D1400" t="s">
        <v>8402</v>
      </c>
    </row>
    <row r="1401" spans="1:4" x14ac:dyDescent="0.25">
      <c r="A1401" s="63" t="s">
        <v>7187</v>
      </c>
      <c r="B1401" t="s">
        <v>1353</v>
      </c>
      <c r="C1401" t="s">
        <v>5043</v>
      </c>
      <c r="D1401" t="s">
        <v>8402</v>
      </c>
    </row>
    <row r="1402" spans="1:4" x14ac:dyDescent="0.25">
      <c r="A1402" s="63" t="s">
        <v>7188</v>
      </c>
      <c r="B1402" t="s">
        <v>1353</v>
      </c>
      <c r="C1402" t="s">
        <v>5043</v>
      </c>
      <c r="D1402" t="s">
        <v>8402</v>
      </c>
    </row>
    <row r="1403" spans="1:4" x14ac:dyDescent="0.25">
      <c r="A1403" s="63" t="s">
        <v>5919</v>
      </c>
      <c r="B1403" t="s">
        <v>1353</v>
      </c>
      <c r="C1403" t="s">
        <v>5043</v>
      </c>
      <c r="D1403" t="s">
        <v>8402</v>
      </c>
    </row>
    <row r="1404" spans="1:4" x14ac:dyDescent="0.25">
      <c r="A1404" s="63" t="s">
        <v>3308</v>
      </c>
      <c r="B1404" t="s">
        <v>2260</v>
      </c>
      <c r="C1404" t="s">
        <v>5043</v>
      </c>
      <c r="D1404" t="s">
        <v>8402</v>
      </c>
    </row>
    <row r="1405" spans="1:4" x14ac:dyDescent="0.25">
      <c r="A1405" s="63" t="s">
        <v>6589</v>
      </c>
      <c r="B1405" t="s">
        <v>1642</v>
      </c>
      <c r="C1405" t="s">
        <v>5043</v>
      </c>
      <c r="D1405" t="s">
        <v>8402</v>
      </c>
    </row>
    <row r="1406" spans="1:4" x14ac:dyDescent="0.25">
      <c r="A1406" s="63" t="s">
        <v>6590</v>
      </c>
      <c r="B1406" t="s">
        <v>1642</v>
      </c>
      <c r="C1406" t="s">
        <v>5043</v>
      </c>
      <c r="D1406" t="s">
        <v>8402</v>
      </c>
    </row>
    <row r="1407" spans="1:4" x14ac:dyDescent="0.25">
      <c r="A1407" s="63" t="s">
        <v>6591</v>
      </c>
      <c r="B1407" t="s">
        <v>1642</v>
      </c>
      <c r="C1407" t="s">
        <v>5043</v>
      </c>
      <c r="D1407" t="s">
        <v>8402</v>
      </c>
    </row>
    <row r="1408" spans="1:4" x14ac:dyDescent="0.25">
      <c r="A1408" s="63" t="s">
        <v>7767</v>
      </c>
      <c r="B1408" t="s">
        <v>1642</v>
      </c>
      <c r="C1408" t="s">
        <v>5043</v>
      </c>
      <c r="D1408" t="s">
        <v>8402</v>
      </c>
    </row>
    <row r="1409" spans="1:4" x14ac:dyDescent="0.25">
      <c r="A1409" s="63" t="s">
        <v>6592</v>
      </c>
      <c r="B1409" t="s">
        <v>1642</v>
      </c>
      <c r="C1409" t="s">
        <v>5043</v>
      </c>
      <c r="D1409" t="s">
        <v>8402</v>
      </c>
    </row>
    <row r="1410" spans="1:4" x14ac:dyDescent="0.25">
      <c r="A1410" s="63" t="s">
        <v>6593</v>
      </c>
      <c r="B1410" t="s">
        <v>1642</v>
      </c>
      <c r="C1410" t="s">
        <v>5043</v>
      </c>
      <c r="D1410" t="s">
        <v>8402</v>
      </c>
    </row>
    <row r="1411" spans="1:4" x14ac:dyDescent="0.25">
      <c r="A1411" s="63" t="s">
        <v>6594</v>
      </c>
      <c r="B1411" t="s">
        <v>1642</v>
      </c>
      <c r="C1411" t="s">
        <v>5043</v>
      </c>
      <c r="D1411" t="s">
        <v>8402</v>
      </c>
    </row>
    <row r="1412" spans="1:4" x14ac:dyDescent="0.25">
      <c r="A1412" s="63" t="s">
        <v>3309</v>
      </c>
      <c r="B1412" t="s">
        <v>1642</v>
      </c>
      <c r="C1412" t="s">
        <v>5043</v>
      </c>
      <c r="D1412" t="s">
        <v>8402</v>
      </c>
    </row>
    <row r="1413" spans="1:4" x14ac:dyDescent="0.25">
      <c r="A1413" s="63" t="s">
        <v>3310</v>
      </c>
      <c r="B1413" t="s">
        <v>1642</v>
      </c>
      <c r="C1413" t="s">
        <v>5043</v>
      </c>
      <c r="D1413" t="s">
        <v>8402</v>
      </c>
    </row>
    <row r="1414" spans="1:4" x14ac:dyDescent="0.25">
      <c r="A1414" s="63" t="s">
        <v>3311</v>
      </c>
      <c r="B1414" t="s">
        <v>1642</v>
      </c>
      <c r="C1414" t="s">
        <v>5043</v>
      </c>
      <c r="D1414" t="s">
        <v>8402</v>
      </c>
    </row>
    <row r="1415" spans="1:4" x14ac:dyDescent="0.25">
      <c r="A1415" s="63" t="s">
        <v>2608</v>
      </c>
      <c r="B1415" t="s">
        <v>1642</v>
      </c>
      <c r="C1415" t="s">
        <v>5043</v>
      </c>
      <c r="D1415" t="s">
        <v>8401</v>
      </c>
    </row>
    <row r="1416" spans="1:4" x14ac:dyDescent="0.25">
      <c r="A1416" s="63" t="s">
        <v>2609</v>
      </c>
      <c r="B1416" t="s">
        <v>1642</v>
      </c>
      <c r="C1416" t="s">
        <v>5043</v>
      </c>
      <c r="D1416" t="s">
        <v>8401</v>
      </c>
    </row>
    <row r="1417" spans="1:4" x14ac:dyDescent="0.25">
      <c r="A1417" s="63" t="s">
        <v>7768</v>
      </c>
      <c r="B1417" t="s">
        <v>2191</v>
      </c>
      <c r="C1417" t="s">
        <v>5043</v>
      </c>
      <c r="D1417" t="s">
        <v>8402</v>
      </c>
    </row>
    <row r="1418" spans="1:4" x14ac:dyDescent="0.25">
      <c r="A1418" s="63" t="s">
        <v>7769</v>
      </c>
      <c r="B1418" t="s">
        <v>2191</v>
      </c>
      <c r="C1418" t="s">
        <v>5043</v>
      </c>
      <c r="D1418" t="s">
        <v>8402</v>
      </c>
    </row>
    <row r="1419" spans="1:4" x14ac:dyDescent="0.25">
      <c r="A1419" s="63" t="s">
        <v>7770</v>
      </c>
      <c r="B1419" t="s">
        <v>2191</v>
      </c>
      <c r="C1419" t="s">
        <v>5043</v>
      </c>
      <c r="D1419" t="s">
        <v>8402</v>
      </c>
    </row>
    <row r="1420" spans="1:4" x14ac:dyDescent="0.25">
      <c r="A1420" s="63" t="s">
        <v>7771</v>
      </c>
      <c r="B1420" t="s">
        <v>2191</v>
      </c>
      <c r="C1420" t="s">
        <v>5043</v>
      </c>
      <c r="D1420" t="s">
        <v>8402</v>
      </c>
    </row>
    <row r="1421" spans="1:4" x14ac:dyDescent="0.25">
      <c r="A1421" s="63" t="s">
        <v>3312</v>
      </c>
      <c r="B1421" t="s">
        <v>1618</v>
      </c>
      <c r="C1421" t="s">
        <v>5043</v>
      </c>
      <c r="D1421" t="s">
        <v>8402</v>
      </c>
    </row>
    <row r="1422" spans="1:4" x14ac:dyDescent="0.25">
      <c r="A1422" s="63" t="s">
        <v>3313</v>
      </c>
      <c r="B1422" t="s">
        <v>2257</v>
      </c>
      <c r="C1422" t="s">
        <v>5043</v>
      </c>
      <c r="D1422" t="s">
        <v>8402</v>
      </c>
    </row>
    <row r="1423" spans="1:4" x14ac:dyDescent="0.25">
      <c r="A1423" s="63" t="s">
        <v>3314</v>
      </c>
      <c r="B1423" t="s">
        <v>2257</v>
      </c>
      <c r="C1423" t="s">
        <v>5043</v>
      </c>
      <c r="D1423" t="s">
        <v>8402</v>
      </c>
    </row>
    <row r="1424" spans="1:4" x14ac:dyDescent="0.25">
      <c r="A1424" s="63" t="s">
        <v>6430</v>
      </c>
      <c r="B1424" t="s">
        <v>1521</v>
      </c>
      <c r="C1424" t="s">
        <v>5043</v>
      </c>
      <c r="D1424" t="s">
        <v>8402</v>
      </c>
    </row>
    <row r="1425" spans="1:4" x14ac:dyDescent="0.25">
      <c r="A1425" s="63" t="s">
        <v>6431</v>
      </c>
      <c r="B1425" t="s">
        <v>1521</v>
      </c>
      <c r="C1425" t="s">
        <v>5043</v>
      </c>
      <c r="D1425" t="s">
        <v>8402</v>
      </c>
    </row>
    <row r="1426" spans="1:4" x14ac:dyDescent="0.25">
      <c r="A1426" s="63" t="s">
        <v>6432</v>
      </c>
      <c r="B1426" t="s">
        <v>1521</v>
      </c>
      <c r="C1426" t="s">
        <v>5043</v>
      </c>
      <c r="D1426" t="s">
        <v>8402</v>
      </c>
    </row>
    <row r="1427" spans="1:4" x14ac:dyDescent="0.25">
      <c r="A1427" s="63" t="s">
        <v>6433</v>
      </c>
      <c r="B1427" t="s">
        <v>1521</v>
      </c>
      <c r="C1427" t="s">
        <v>5043</v>
      </c>
      <c r="D1427" t="s">
        <v>8402</v>
      </c>
    </row>
    <row r="1428" spans="1:4" x14ac:dyDescent="0.25">
      <c r="A1428" s="63" t="s">
        <v>7173</v>
      </c>
      <c r="B1428" t="s">
        <v>1521</v>
      </c>
      <c r="C1428" t="s">
        <v>5043</v>
      </c>
      <c r="D1428" t="s">
        <v>8402</v>
      </c>
    </row>
    <row r="1429" spans="1:4" x14ac:dyDescent="0.25">
      <c r="A1429" s="63" t="s">
        <v>7772</v>
      </c>
      <c r="B1429" t="s">
        <v>1521</v>
      </c>
      <c r="C1429" t="s">
        <v>5043</v>
      </c>
      <c r="D1429" t="s">
        <v>8402</v>
      </c>
    </row>
    <row r="1430" spans="1:4" x14ac:dyDescent="0.25">
      <c r="A1430" s="63" t="s">
        <v>6469</v>
      </c>
      <c r="B1430" t="s">
        <v>1417</v>
      </c>
      <c r="C1430" t="s">
        <v>5043</v>
      </c>
      <c r="D1430" t="s">
        <v>8402</v>
      </c>
    </row>
    <row r="1431" spans="1:4" x14ac:dyDescent="0.25">
      <c r="A1431" s="63" t="s">
        <v>6470</v>
      </c>
      <c r="B1431" t="s">
        <v>1417</v>
      </c>
      <c r="C1431" t="s">
        <v>5043</v>
      </c>
      <c r="D1431" t="s">
        <v>8402</v>
      </c>
    </row>
    <row r="1432" spans="1:4" x14ac:dyDescent="0.25">
      <c r="A1432" s="63" t="s">
        <v>6474</v>
      </c>
      <c r="B1432" t="s">
        <v>1417</v>
      </c>
      <c r="C1432" t="s">
        <v>5043</v>
      </c>
      <c r="D1432" t="s">
        <v>8402</v>
      </c>
    </row>
    <row r="1433" spans="1:4" x14ac:dyDescent="0.25">
      <c r="A1433" s="63" t="s">
        <v>6475</v>
      </c>
      <c r="B1433" t="s">
        <v>1417</v>
      </c>
      <c r="C1433" t="s">
        <v>5043</v>
      </c>
      <c r="D1433" t="s">
        <v>8402</v>
      </c>
    </row>
    <row r="1434" spans="1:4" x14ac:dyDescent="0.25">
      <c r="A1434" s="63" t="s">
        <v>7005</v>
      </c>
      <c r="B1434" t="s">
        <v>1417</v>
      </c>
      <c r="C1434" t="s">
        <v>5043</v>
      </c>
      <c r="D1434" t="s">
        <v>8402</v>
      </c>
    </row>
    <row r="1435" spans="1:4" x14ac:dyDescent="0.25">
      <c r="A1435" s="63" t="s">
        <v>6476</v>
      </c>
      <c r="B1435" t="s">
        <v>1417</v>
      </c>
      <c r="C1435" t="s">
        <v>5043</v>
      </c>
      <c r="D1435" t="s">
        <v>8402</v>
      </c>
    </row>
    <row r="1436" spans="1:4" x14ac:dyDescent="0.25">
      <c r="A1436" s="63" t="s">
        <v>6477</v>
      </c>
      <c r="B1436" t="s">
        <v>1417</v>
      </c>
      <c r="C1436" t="s">
        <v>5043</v>
      </c>
      <c r="D1436" t="s">
        <v>8402</v>
      </c>
    </row>
    <row r="1437" spans="1:4" x14ac:dyDescent="0.25">
      <c r="A1437" s="63" t="s">
        <v>3315</v>
      </c>
      <c r="B1437" t="s">
        <v>1617</v>
      </c>
      <c r="C1437" t="s">
        <v>5043</v>
      </c>
      <c r="D1437" t="s">
        <v>8402</v>
      </c>
    </row>
    <row r="1438" spans="1:4" x14ac:dyDescent="0.25">
      <c r="A1438" s="63" t="s">
        <v>6641</v>
      </c>
      <c r="B1438" t="s">
        <v>1508</v>
      </c>
      <c r="C1438" t="s">
        <v>5043</v>
      </c>
      <c r="D1438" t="s">
        <v>8402</v>
      </c>
    </row>
    <row r="1439" spans="1:4" x14ac:dyDescent="0.25">
      <c r="A1439" s="63" t="s">
        <v>3316</v>
      </c>
      <c r="B1439" t="s">
        <v>1508</v>
      </c>
      <c r="C1439" t="s">
        <v>5043</v>
      </c>
      <c r="D1439" t="s">
        <v>8402</v>
      </c>
    </row>
    <row r="1440" spans="1:4" x14ac:dyDescent="0.25">
      <c r="A1440" s="63" t="s">
        <v>3317</v>
      </c>
      <c r="B1440" t="s">
        <v>1508</v>
      </c>
      <c r="C1440" t="s">
        <v>5043</v>
      </c>
      <c r="D1440" t="s">
        <v>8402</v>
      </c>
    </row>
    <row r="1441" spans="1:4" x14ac:dyDescent="0.25">
      <c r="A1441" s="63" t="s">
        <v>7773</v>
      </c>
      <c r="B1441" t="s">
        <v>1508</v>
      </c>
      <c r="C1441" t="s">
        <v>5043</v>
      </c>
      <c r="D1441" t="s">
        <v>8402</v>
      </c>
    </row>
    <row r="1442" spans="1:4" x14ac:dyDescent="0.25">
      <c r="A1442" s="63" t="s">
        <v>7774</v>
      </c>
      <c r="B1442" t="s">
        <v>1508</v>
      </c>
      <c r="C1442" t="s">
        <v>5043</v>
      </c>
      <c r="D1442" t="s">
        <v>8402</v>
      </c>
    </row>
    <row r="1443" spans="1:4" x14ac:dyDescent="0.25">
      <c r="A1443" s="63" t="s">
        <v>7775</v>
      </c>
      <c r="B1443" t="s">
        <v>1508</v>
      </c>
      <c r="C1443" t="s">
        <v>5043</v>
      </c>
      <c r="D1443" t="s">
        <v>8402</v>
      </c>
    </row>
    <row r="1444" spans="1:4" x14ac:dyDescent="0.25">
      <c r="A1444" s="63" t="s">
        <v>3318</v>
      </c>
      <c r="B1444" t="s">
        <v>2138</v>
      </c>
      <c r="C1444" t="s">
        <v>5043</v>
      </c>
      <c r="D1444" t="s">
        <v>8402</v>
      </c>
    </row>
    <row r="1445" spans="1:4" x14ac:dyDescent="0.25">
      <c r="A1445" s="63" t="s">
        <v>3319</v>
      </c>
      <c r="B1445" t="s">
        <v>2138</v>
      </c>
      <c r="C1445" t="s">
        <v>5043</v>
      </c>
      <c r="D1445" t="s">
        <v>8402</v>
      </c>
    </row>
    <row r="1446" spans="1:4" x14ac:dyDescent="0.25">
      <c r="A1446" s="63" t="s">
        <v>7776</v>
      </c>
      <c r="B1446" t="s">
        <v>2138</v>
      </c>
      <c r="C1446" t="s">
        <v>5043</v>
      </c>
      <c r="D1446" t="s">
        <v>8402</v>
      </c>
    </row>
    <row r="1447" spans="1:4" x14ac:dyDescent="0.25">
      <c r="A1447" s="63" t="s">
        <v>7777</v>
      </c>
      <c r="B1447" t="s">
        <v>2138</v>
      </c>
      <c r="C1447" t="s">
        <v>5043</v>
      </c>
      <c r="D1447" t="s">
        <v>8402</v>
      </c>
    </row>
    <row r="1448" spans="1:4" x14ac:dyDescent="0.25">
      <c r="A1448" s="63" t="s">
        <v>7778</v>
      </c>
      <c r="B1448" t="s">
        <v>2138</v>
      </c>
      <c r="C1448" t="s">
        <v>5043</v>
      </c>
      <c r="D1448" t="s">
        <v>8402</v>
      </c>
    </row>
    <row r="1449" spans="1:4" x14ac:dyDescent="0.25">
      <c r="A1449" s="63" t="s">
        <v>3320</v>
      </c>
      <c r="B1449" t="s">
        <v>1616</v>
      </c>
      <c r="C1449" t="s">
        <v>5043</v>
      </c>
      <c r="D1449" t="s">
        <v>8402</v>
      </c>
    </row>
    <row r="1450" spans="1:4" x14ac:dyDescent="0.25">
      <c r="A1450" s="63" t="s">
        <v>7779</v>
      </c>
      <c r="B1450" t="s">
        <v>2156</v>
      </c>
      <c r="C1450" t="s">
        <v>5043</v>
      </c>
      <c r="D1450" t="s">
        <v>8402</v>
      </c>
    </row>
    <row r="1451" spans="1:4" x14ac:dyDescent="0.25">
      <c r="A1451" s="63" t="s">
        <v>5737</v>
      </c>
      <c r="B1451" t="s">
        <v>1261</v>
      </c>
      <c r="C1451" t="s">
        <v>5043</v>
      </c>
      <c r="D1451" t="s">
        <v>8402</v>
      </c>
    </row>
    <row r="1452" spans="1:4" x14ac:dyDescent="0.25">
      <c r="A1452" s="63" t="s">
        <v>5738</v>
      </c>
      <c r="B1452" t="s">
        <v>1261</v>
      </c>
      <c r="C1452" t="s">
        <v>5043</v>
      </c>
      <c r="D1452" t="s">
        <v>8402</v>
      </c>
    </row>
    <row r="1453" spans="1:4" x14ac:dyDescent="0.25">
      <c r="A1453" s="63" t="s">
        <v>5742</v>
      </c>
      <c r="B1453" t="s">
        <v>1261</v>
      </c>
      <c r="C1453" t="s">
        <v>5043</v>
      </c>
      <c r="D1453" t="s">
        <v>8402</v>
      </c>
    </row>
    <row r="1454" spans="1:4" x14ac:dyDescent="0.25">
      <c r="A1454" s="63" t="s">
        <v>7780</v>
      </c>
      <c r="B1454" t="s">
        <v>1249</v>
      </c>
      <c r="C1454" t="s">
        <v>5043</v>
      </c>
      <c r="D1454" t="s">
        <v>8402</v>
      </c>
    </row>
    <row r="1455" spans="1:4" x14ac:dyDescent="0.25">
      <c r="A1455" s="63" t="s">
        <v>7781</v>
      </c>
      <c r="B1455" t="s">
        <v>1249</v>
      </c>
      <c r="C1455" t="s">
        <v>5043</v>
      </c>
      <c r="D1455" t="s">
        <v>8402</v>
      </c>
    </row>
    <row r="1456" spans="1:4" x14ac:dyDescent="0.25">
      <c r="A1456" s="63" t="s">
        <v>7782</v>
      </c>
      <c r="B1456" t="s">
        <v>1249</v>
      </c>
      <c r="C1456" t="s">
        <v>5043</v>
      </c>
      <c r="D1456" t="s">
        <v>8402</v>
      </c>
    </row>
    <row r="1457" spans="1:4" x14ac:dyDescent="0.25">
      <c r="A1457" s="63" t="s">
        <v>7783</v>
      </c>
      <c r="B1457" t="s">
        <v>1249</v>
      </c>
      <c r="C1457" t="s">
        <v>5043</v>
      </c>
      <c r="D1457" t="s">
        <v>8402</v>
      </c>
    </row>
    <row r="1458" spans="1:4" x14ac:dyDescent="0.25">
      <c r="A1458" s="63" t="s">
        <v>7784</v>
      </c>
      <c r="B1458" t="s">
        <v>1249</v>
      </c>
      <c r="C1458" t="s">
        <v>5043</v>
      </c>
      <c r="D1458" t="s">
        <v>8402</v>
      </c>
    </row>
    <row r="1459" spans="1:4" x14ac:dyDescent="0.25">
      <c r="A1459" s="63" t="s">
        <v>7785</v>
      </c>
      <c r="B1459" t="s">
        <v>1249</v>
      </c>
      <c r="C1459" t="s">
        <v>5043</v>
      </c>
      <c r="D1459" t="s">
        <v>8402</v>
      </c>
    </row>
    <row r="1460" spans="1:4" x14ac:dyDescent="0.25">
      <c r="A1460" s="63" t="s">
        <v>3321</v>
      </c>
      <c r="B1460" t="s">
        <v>2681</v>
      </c>
      <c r="C1460" t="s">
        <v>5043</v>
      </c>
      <c r="D1460" t="s">
        <v>8402</v>
      </c>
    </row>
    <row r="1461" spans="1:4" x14ac:dyDescent="0.25">
      <c r="A1461" s="63" t="s">
        <v>7786</v>
      </c>
      <c r="B1461" t="s">
        <v>2382</v>
      </c>
      <c r="C1461" t="s">
        <v>5043</v>
      </c>
      <c r="D1461" t="s">
        <v>8402</v>
      </c>
    </row>
    <row r="1462" spans="1:4" x14ac:dyDescent="0.25">
      <c r="A1462" s="63" t="s">
        <v>3322</v>
      </c>
      <c r="B1462" t="s">
        <v>1615</v>
      </c>
      <c r="C1462" t="s">
        <v>5043</v>
      </c>
      <c r="D1462" t="s">
        <v>8402</v>
      </c>
    </row>
    <row r="1463" spans="1:4" x14ac:dyDescent="0.25">
      <c r="A1463" s="63" t="s">
        <v>3323</v>
      </c>
      <c r="B1463" t="s">
        <v>1615</v>
      </c>
      <c r="C1463" t="s">
        <v>5043</v>
      </c>
      <c r="D1463" t="s">
        <v>8402</v>
      </c>
    </row>
    <row r="1464" spans="1:4" x14ac:dyDescent="0.25">
      <c r="A1464" s="63" t="s">
        <v>7139</v>
      </c>
      <c r="B1464" t="s">
        <v>2226</v>
      </c>
      <c r="C1464" t="s">
        <v>5043</v>
      </c>
      <c r="D1464" t="s">
        <v>8402</v>
      </c>
    </row>
    <row r="1465" spans="1:4" x14ac:dyDescent="0.25">
      <c r="A1465" s="63" t="s">
        <v>7787</v>
      </c>
      <c r="B1465" t="s">
        <v>2118</v>
      </c>
      <c r="C1465" t="s">
        <v>5043</v>
      </c>
      <c r="D1465" t="s">
        <v>8402</v>
      </c>
    </row>
    <row r="1466" spans="1:4" x14ac:dyDescent="0.25">
      <c r="A1466" s="63" t="s">
        <v>7788</v>
      </c>
      <c r="B1466" t="s">
        <v>2121</v>
      </c>
      <c r="C1466" t="s">
        <v>5043</v>
      </c>
      <c r="D1466" t="s">
        <v>8402</v>
      </c>
    </row>
    <row r="1467" spans="1:4" x14ac:dyDescent="0.25">
      <c r="A1467" s="63" t="s">
        <v>7789</v>
      </c>
      <c r="B1467" t="s">
        <v>2121</v>
      </c>
      <c r="C1467" t="s">
        <v>5043</v>
      </c>
      <c r="D1467" t="s">
        <v>8402</v>
      </c>
    </row>
    <row r="1468" spans="1:4" x14ac:dyDescent="0.25">
      <c r="A1468" s="63" t="s">
        <v>7790</v>
      </c>
      <c r="B1468" t="s">
        <v>1240</v>
      </c>
      <c r="C1468" t="s">
        <v>5043</v>
      </c>
      <c r="D1468" t="s">
        <v>8402</v>
      </c>
    </row>
    <row r="1469" spans="1:4" x14ac:dyDescent="0.25">
      <c r="A1469" s="63" t="s">
        <v>7791</v>
      </c>
      <c r="B1469" t="s">
        <v>1240</v>
      </c>
      <c r="C1469" t="s">
        <v>5043</v>
      </c>
      <c r="D1469" t="s">
        <v>8402</v>
      </c>
    </row>
    <row r="1470" spans="1:4" x14ac:dyDescent="0.25">
      <c r="A1470" s="63" t="s">
        <v>7792</v>
      </c>
      <c r="B1470" t="s">
        <v>1240</v>
      </c>
      <c r="C1470" t="s">
        <v>5043</v>
      </c>
      <c r="D1470" t="s">
        <v>8402</v>
      </c>
    </row>
    <row r="1471" spans="1:4" x14ac:dyDescent="0.25">
      <c r="A1471" s="63" t="s">
        <v>7793</v>
      </c>
      <c r="B1471" t="s">
        <v>1240</v>
      </c>
      <c r="C1471" t="s">
        <v>5043</v>
      </c>
      <c r="D1471" t="s">
        <v>8402</v>
      </c>
    </row>
    <row r="1472" spans="1:4" x14ac:dyDescent="0.25">
      <c r="A1472" s="63" t="s">
        <v>7794</v>
      </c>
      <c r="B1472" t="s">
        <v>1297</v>
      </c>
      <c r="C1472" t="s">
        <v>5043</v>
      </c>
      <c r="D1472" t="s">
        <v>8402</v>
      </c>
    </row>
    <row r="1473" spans="1:4" x14ac:dyDescent="0.25">
      <c r="A1473" s="63" t="s">
        <v>7795</v>
      </c>
      <c r="B1473" t="s">
        <v>1297</v>
      </c>
      <c r="C1473" t="s">
        <v>5043</v>
      </c>
      <c r="D1473" t="s">
        <v>8402</v>
      </c>
    </row>
    <row r="1474" spans="1:4" x14ac:dyDescent="0.25">
      <c r="A1474" s="63" t="s">
        <v>7796</v>
      </c>
      <c r="B1474" t="s">
        <v>1297</v>
      </c>
      <c r="C1474" t="s">
        <v>5043</v>
      </c>
      <c r="D1474" t="s">
        <v>8402</v>
      </c>
    </row>
    <row r="1475" spans="1:4" x14ac:dyDescent="0.25">
      <c r="A1475" s="63" t="s">
        <v>6638</v>
      </c>
      <c r="B1475" t="s">
        <v>1297</v>
      </c>
      <c r="C1475" t="s">
        <v>5043</v>
      </c>
      <c r="D1475" t="s">
        <v>8402</v>
      </c>
    </row>
    <row r="1476" spans="1:4" x14ac:dyDescent="0.25">
      <c r="A1476" s="63" t="s">
        <v>6642</v>
      </c>
      <c r="B1476" t="s">
        <v>1297</v>
      </c>
      <c r="C1476" t="s">
        <v>5043</v>
      </c>
      <c r="D1476" t="s">
        <v>8402</v>
      </c>
    </row>
    <row r="1477" spans="1:4" x14ac:dyDescent="0.25">
      <c r="A1477" s="63" t="s">
        <v>6643</v>
      </c>
      <c r="B1477" t="s">
        <v>1297</v>
      </c>
      <c r="C1477" t="s">
        <v>5043</v>
      </c>
      <c r="D1477" t="s">
        <v>8402</v>
      </c>
    </row>
    <row r="1478" spans="1:4" x14ac:dyDescent="0.25">
      <c r="A1478" s="63" t="s">
        <v>6755</v>
      </c>
      <c r="B1478" t="s">
        <v>1297</v>
      </c>
      <c r="C1478" t="s">
        <v>5043</v>
      </c>
      <c r="D1478" t="s">
        <v>8402</v>
      </c>
    </row>
    <row r="1479" spans="1:4" x14ac:dyDescent="0.25">
      <c r="A1479" s="63" t="s">
        <v>7797</v>
      </c>
      <c r="B1479" t="s">
        <v>1297</v>
      </c>
      <c r="C1479" t="s">
        <v>5043</v>
      </c>
      <c r="D1479" t="s">
        <v>8402</v>
      </c>
    </row>
    <row r="1480" spans="1:4" x14ac:dyDescent="0.25">
      <c r="A1480" s="63" t="s">
        <v>7798</v>
      </c>
      <c r="B1480" t="s">
        <v>1297</v>
      </c>
      <c r="C1480" t="s">
        <v>5043</v>
      </c>
      <c r="D1480" t="s">
        <v>8402</v>
      </c>
    </row>
    <row r="1481" spans="1:4" x14ac:dyDescent="0.25">
      <c r="A1481" s="63" t="s">
        <v>7799</v>
      </c>
      <c r="B1481" t="s">
        <v>1297</v>
      </c>
      <c r="C1481" t="s">
        <v>5043</v>
      </c>
      <c r="D1481" t="s">
        <v>8402</v>
      </c>
    </row>
    <row r="1482" spans="1:4" x14ac:dyDescent="0.25">
      <c r="A1482" s="63" t="s">
        <v>7800</v>
      </c>
      <c r="B1482" t="s">
        <v>1297</v>
      </c>
      <c r="C1482" t="s">
        <v>5043</v>
      </c>
      <c r="D1482" t="s">
        <v>8402</v>
      </c>
    </row>
    <row r="1483" spans="1:4" x14ac:dyDescent="0.25">
      <c r="A1483" s="63" t="s">
        <v>7801</v>
      </c>
      <c r="B1483" t="s">
        <v>1297</v>
      </c>
      <c r="C1483" t="s">
        <v>5043</v>
      </c>
      <c r="D1483" t="s">
        <v>8402</v>
      </c>
    </row>
    <row r="1484" spans="1:4" x14ac:dyDescent="0.25">
      <c r="A1484" s="63" t="s">
        <v>6606</v>
      </c>
      <c r="B1484" t="s">
        <v>1297</v>
      </c>
      <c r="C1484" t="s">
        <v>5043</v>
      </c>
      <c r="D1484" t="s">
        <v>8402</v>
      </c>
    </row>
    <row r="1485" spans="1:4" x14ac:dyDescent="0.25">
      <c r="A1485" s="63" t="s">
        <v>7802</v>
      </c>
      <c r="B1485" t="s">
        <v>1297</v>
      </c>
      <c r="C1485" t="s">
        <v>5043</v>
      </c>
      <c r="D1485" t="s">
        <v>8402</v>
      </c>
    </row>
    <row r="1486" spans="1:4" x14ac:dyDescent="0.25">
      <c r="A1486" s="63" t="s">
        <v>7803</v>
      </c>
      <c r="B1486" t="s">
        <v>1297</v>
      </c>
      <c r="C1486" t="s">
        <v>5043</v>
      </c>
      <c r="D1486" t="s">
        <v>8402</v>
      </c>
    </row>
    <row r="1487" spans="1:4" x14ac:dyDescent="0.25">
      <c r="A1487" s="63" t="s">
        <v>7804</v>
      </c>
      <c r="B1487" t="s">
        <v>1297</v>
      </c>
      <c r="C1487" t="s">
        <v>5043</v>
      </c>
      <c r="D1487" t="s">
        <v>8402</v>
      </c>
    </row>
    <row r="1488" spans="1:4" x14ac:dyDescent="0.25">
      <c r="A1488" s="63" t="s">
        <v>7805</v>
      </c>
      <c r="B1488" t="s">
        <v>1297</v>
      </c>
      <c r="C1488" t="s">
        <v>5043</v>
      </c>
      <c r="D1488" t="s">
        <v>8402</v>
      </c>
    </row>
    <row r="1489" spans="1:4" x14ac:dyDescent="0.25">
      <c r="A1489" s="63" t="s">
        <v>7806</v>
      </c>
      <c r="B1489" t="s">
        <v>1297</v>
      </c>
      <c r="C1489" t="s">
        <v>5043</v>
      </c>
      <c r="D1489" t="s">
        <v>8402</v>
      </c>
    </row>
    <row r="1490" spans="1:4" x14ac:dyDescent="0.25">
      <c r="A1490" s="63" t="s">
        <v>7807</v>
      </c>
      <c r="B1490" t="s">
        <v>1297</v>
      </c>
      <c r="C1490" t="s">
        <v>5043</v>
      </c>
      <c r="D1490" t="s">
        <v>8402</v>
      </c>
    </row>
    <row r="1491" spans="1:4" x14ac:dyDescent="0.25">
      <c r="A1491" s="63" t="s">
        <v>7808</v>
      </c>
      <c r="B1491" t="s">
        <v>1297</v>
      </c>
      <c r="C1491" t="s">
        <v>5043</v>
      </c>
      <c r="D1491" t="s">
        <v>8402</v>
      </c>
    </row>
    <row r="1492" spans="1:4" x14ac:dyDescent="0.25">
      <c r="A1492" s="63" t="s">
        <v>7809</v>
      </c>
      <c r="B1492" t="s">
        <v>1297</v>
      </c>
      <c r="C1492" t="s">
        <v>5043</v>
      </c>
      <c r="D1492" t="s">
        <v>8402</v>
      </c>
    </row>
    <row r="1493" spans="1:4" x14ac:dyDescent="0.25">
      <c r="A1493" s="63" t="s">
        <v>7810</v>
      </c>
      <c r="B1493" t="s">
        <v>1297</v>
      </c>
      <c r="C1493" t="s">
        <v>5043</v>
      </c>
      <c r="D1493" t="s">
        <v>8402</v>
      </c>
    </row>
    <row r="1494" spans="1:4" x14ac:dyDescent="0.25">
      <c r="A1494" s="63" t="s">
        <v>7811</v>
      </c>
      <c r="B1494" t="s">
        <v>1297</v>
      </c>
      <c r="C1494" t="s">
        <v>5043</v>
      </c>
      <c r="D1494" t="s">
        <v>8402</v>
      </c>
    </row>
    <row r="1495" spans="1:4" x14ac:dyDescent="0.25">
      <c r="A1495" s="63" t="s">
        <v>7812</v>
      </c>
      <c r="B1495" t="s">
        <v>1297</v>
      </c>
      <c r="C1495" t="s">
        <v>5043</v>
      </c>
      <c r="D1495" t="s">
        <v>8402</v>
      </c>
    </row>
    <row r="1496" spans="1:4" x14ac:dyDescent="0.25">
      <c r="A1496" s="63" t="s">
        <v>7813</v>
      </c>
      <c r="B1496" t="s">
        <v>1297</v>
      </c>
      <c r="C1496" t="s">
        <v>5043</v>
      </c>
      <c r="D1496" t="s">
        <v>8402</v>
      </c>
    </row>
    <row r="1497" spans="1:4" x14ac:dyDescent="0.25">
      <c r="A1497" s="63" t="s">
        <v>7814</v>
      </c>
      <c r="B1497" t="s">
        <v>1297</v>
      </c>
      <c r="C1497" t="s">
        <v>5043</v>
      </c>
      <c r="D1497" t="s">
        <v>8402</v>
      </c>
    </row>
    <row r="1498" spans="1:4" x14ac:dyDescent="0.25">
      <c r="A1498" s="63" t="s">
        <v>7815</v>
      </c>
      <c r="B1498" t="s">
        <v>1297</v>
      </c>
      <c r="C1498" t="s">
        <v>5043</v>
      </c>
      <c r="D1498" t="s">
        <v>8402</v>
      </c>
    </row>
    <row r="1499" spans="1:4" x14ac:dyDescent="0.25">
      <c r="A1499" s="63" t="s">
        <v>7816</v>
      </c>
      <c r="B1499" t="s">
        <v>1297</v>
      </c>
      <c r="C1499" t="s">
        <v>5043</v>
      </c>
      <c r="D1499" t="s">
        <v>8402</v>
      </c>
    </row>
    <row r="1500" spans="1:4" x14ac:dyDescent="0.25">
      <c r="A1500" s="63" t="s">
        <v>7817</v>
      </c>
      <c r="B1500" t="s">
        <v>1297</v>
      </c>
      <c r="C1500" t="s">
        <v>5043</v>
      </c>
      <c r="D1500" t="s">
        <v>8402</v>
      </c>
    </row>
    <row r="1501" spans="1:4" x14ac:dyDescent="0.25">
      <c r="A1501" s="63" t="s">
        <v>7818</v>
      </c>
      <c r="B1501" t="s">
        <v>1297</v>
      </c>
      <c r="C1501" t="s">
        <v>5043</v>
      </c>
      <c r="D1501" t="s">
        <v>8402</v>
      </c>
    </row>
    <row r="1502" spans="1:4" x14ac:dyDescent="0.25">
      <c r="A1502" s="63" t="s">
        <v>7819</v>
      </c>
      <c r="B1502" t="s">
        <v>1297</v>
      </c>
      <c r="C1502" t="s">
        <v>5043</v>
      </c>
      <c r="D1502" t="s">
        <v>8402</v>
      </c>
    </row>
    <row r="1503" spans="1:4" x14ac:dyDescent="0.25">
      <c r="A1503" s="63" t="s">
        <v>7820</v>
      </c>
      <c r="B1503" t="s">
        <v>1297</v>
      </c>
      <c r="C1503" t="s">
        <v>5043</v>
      </c>
      <c r="D1503" t="s">
        <v>8402</v>
      </c>
    </row>
    <row r="1504" spans="1:4" x14ac:dyDescent="0.25">
      <c r="A1504" s="63" t="s">
        <v>7821</v>
      </c>
      <c r="B1504" t="s">
        <v>1297</v>
      </c>
      <c r="C1504" t="s">
        <v>5043</v>
      </c>
      <c r="D1504" t="s">
        <v>8402</v>
      </c>
    </row>
    <row r="1505" spans="1:4" x14ac:dyDescent="0.25">
      <c r="A1505" s="63" t="s">
        <v>7822</v>
      </c>
      <c r="B1505" t="s">
        <v>1297</v>
      </c>
      <c r="C1505" t="s">
        <v>5043</v>
      </c>
      <c r="D1505" t="s">
        <v>8402</v>
      </c>
    </row>
    <row r="1506" spans="1:4" x14ac:dyDescent="0.25">
      <c r="A1506" s="63" t="s">
        <v>7823</v>
      </c>
      <c r="B1506" t="s">
        <v>1297</v>
      </c>
      <c r="C1506" t="s">
        <v>5043</v>
      </c>
      <c r="D1506" t="s">
        <v>8402</v>
      </c>
    </row>
    <row r="1507" spans="1:4" x14ac:dyDescent="0.25">
      <c r="A1507" s="63" t="s">
        <v>7824</v>
      </c>
      <c r="B1507" t="s">
        <v>1297</v>
      </c>
      <c r="C1507" t="s">
        <v>5043</v>
      </c>
      <c r="D1507" t="s">
        <v>8402</v>
      </c>
    </row>
    <row r="1508" spans="1:4" x14ac:dyDescent="0.25">
      <c r="A1508" s="63" t="s">
        <v>5646</v>
      </c>
      <c r="B1508" t="s">
        <v>1297</v>
      </c>
      <c r="C1508" t="s">
        <v>5043</v>
      </c>
      <c r="D1508" t="s">
        <v>8402</v>
      </c>
    </row>
    <row r="1509" spans="1:4" x14ac:dyDescent="0.25">
      <c r="A1509" s="63" t="s">
        <v>5647</v>
      </c>
      <c r="B1509" t="s">
        <v>1297</v>
      </c>
      <c r="C1509" t="s">
        <v>5043</v>
      </c>
      <c r="D1509" t="s">
        <v>8402</v>
      </c>
    </row>
    <row r="1510" spans="1:4" x14ac:dyDescent="0.25">
      <c r="A1510" s="63" t="s">
        <v>7825</v>
      </c>
      <c r="B1510" t="s">
        <v>1297</v>
      </c>
      <c r="C1510" t="s">
        <v>5043</v>
      </c>
      <c r="D1510" t="s">
        <v>8402</v>
      </c>
    </row>
    <row r="1511" spans="1:4" x14ac:dyDescent="0.25">
      <c r="A1511" s="63" t="s">
        <v>7826</v>
      </c>
      <c r="B1511" t="s">
        <v>1297</v>
      </c>
      <c r="C1511" t="s">
        <v>5043</v>
      </c>
      <c r="D1511" t="s">
        <v>8402</v>
      </c>
    </row>
    <row r="1512" spans="1:4" x14ac:dyDescent="0.25">
      <c r="A1512" s="63" t="s">
        <v>7827</v>
      </c>
      <c r="B1512" t="s">
        <v>1297</v>
      </c>
      <c r="C1512" t="s">
        <v>5043</v>
      </c>
      <c r="D1512" t="s">
        <v>8402</v>
      </c>
    </row>
    <row r="1513" spans="1:4" x14ac:dyDescent="0.25">
      <c r="A1513" s="63" t="s">
        <v>6146</v>
      </c>
      <c r="B1513" t="s">
        <v>1764</v>
      </c>
      <c r="C1513" t="s">
        <v>5043</v>
      </c>
      <c r="D1513" t="s">
        <v>8402</v>
      </c>
    </row>
    <row r="1514" spans="1:4" x14ac:dyDescent="0.25">
      <c r="A1514" s="63" t="s">
        <v>3324</v>
      </c>
      <c r="B1514" t="s">
        <v>1621</v>
      </c>
      <c r="C1514" t="s">
        <v>5043</v>
      </c>
      <c r="D1514" t="s">
        <v>8402</v>
      </c>
    </row>
    <row r="1515" spans="1:4" x14ac:dyDescent="0.25">
      <c r="A1515" s="63" t="s">
        <v>7828</v>
      </c>
      <c r="B1515" t="s">
        <v>1565</v>
      </c>
      <c r="C1515" t="s">
        <v>5043</v>
      </c>
      <c r="D1515" t="s">
        <v>8402</v>
      </c>
    </row>
    <row r="1516" spans="1:4" x14ac:dyDescent="0.25">
      <c r="A1516" s="63" t="s">
        <v>3325</v>
      </c>
      <c r="B1516" t="s">
        <v>1565</v>
      </c>
      <c r="C1516" t="s">
        <v>5043</v>
      </c>
      <c r="D1516" t="s">
        <v>8402</v>
      </c>
    </row>
    <row r="1517" spans="1:4" x14ac:dyDescent="0.25">
      <c r="A1517" s="63" t="s">
        <v>8389</v>
      </c>
      <c r="B1517" t="s">
        <v>1565</v>
      </c>
      <c r="C1517" t="s">
        <v>5043</v>
      </c>
      <c r="D1517" t="s">
        <v>8401</v>
      </c>
    </row>
    <row r="1518" spans="1:4" x14ac:dyDescent="0.25">
      <c r="A1518" s="63" t="s">
        <v>3326</v>
      </c>
      <c r="B1518" t="s">
        <v>1620</v>
      </c>
      <c r="C1518" t="s">
        <v>5043</v>
      </c>
      <c r="D1518" t="s">
        <v>8402</v>
      </c>
    </row>
    <row r="1519" spans="1:4" x14ac:dyDescent="0.25">
      <c r="A1519" s="63" t="s">
        <v>8390</v>
      </c>
      <c r="B1519" t="s">
        <v>1919</v>
      </c>
      <c r="C1519" t="s">
        <v>5043</v>
      </c>
      <c r="D1519" t="s">
        <v>8401</v>
      </c>
    </row>
    <row r="1520" spans="1:4" x14ac:dyDescent="0.25">
      <c r="A1520" s="63" t="s">
        <v>8391</v>
      </c>
      <c r="B1520" t="s">
        <v>1919</v>
      </c>
      <c r="C1520" t="s">
        <v>5043</v>
      </c>
      <c r="D1520" t="s">
        <v>8401</v>
      </c>
    </row>
    <row r="1521" spans="1:4" x14ac:dyDescent="0.25">
      <c r="A1521" s="63" t="s">
        <v>8392</v>
      </c>
      <c r="B1521" t="s">
        <v>1919</v>
      </c>
      <c r="C1521" t="s">
        <v>5043</v>
      </c>
      <c r="D1521" t="s">
        <v>8401</v>
      </c>
    </row>
    <row r="1522" spans="1:4" x14ac:dyDescent="0.25">
      <c r="A1522" s="63" t="s">
        <v>3327</v>
      </c>
      <c r="B1522" t="s">
        <v>1619</v>
      </c>
      <c r="C1522" t="s">
        <v>5043</v>
      </c>
      <c r="D1522" t="s">
        <v>8402</v>
      </c>
    </row>
    <row r="1523" spans="1:4" x14ac:dyDescent="0.25">
      <c r="A1523" s="63" t="s">
        <v>7829</v>
      </c>
      <c r="B1523" t="s">
        <v>1879</v>
      </c>
      <c r="C1523" t="s">
        <v>5043</v>
      </c>
      <c r="D1523" t="s">
        <v>8402</v>
      </c>
    </row>
    <row r="1524" spans="1:4" x14ac:dyDescent="0.25">
      <c r="A1524" s="63" t="s">
        <v>7830</v>
      </c>
      <c r="B1524" t="s">
        <v>1879</v>
      </c>
      <c r="C1524" t="s">
        <v>5043</v>
      </c>
      <c r="D1524" t="s">
        <v>8402</v>
      </c>
    </row>
    <row r="1525" spans="1:4" x14ac:dyDescent="0.25">
      <c r="A1525" s="63" t="s">
        <v>7831</v>
      </c>
      <c r="B1525" t="s">
        <v>1879</v>
      </c>
      <c r="C1525" t="s">
        <v>5043</v>
      </c>
      <c r="D1525" t="s">
        <v>8402</v>
      </c>
    </row>
    <row r="1526" spans="1:4" x14ac:dyDescent="0.25">
      <c r="A1526" s="63" t="s">
        <v>7832</v>
      </c>
      <c r="B1526" t="s">
        <v>1879</v>
      </c>
      <c r="C1526" t="s">
        <v>5043</v>
      </c>
      <c r="D1526" t="s">
        <v>8402</v>
      </c>
    </row>
    <row r="1527" spans="1:4" x14ac:dyDescent="0.25">
      <c r="A1527" s="63" t="s">
        <v>7833</v>
      </c>
      <c r="B1527" t="s">
        <v>1879</v>
      </c>
      <c r="C1527" t="s">
        <v>5043</v>
      </c>
      <c r="D1527" t="s">
        <v>8402</v>
      </c>
    </row>
    <row r="1528" spans="1:4" x14ac:dyDescent="0.25">
      <c r="A1528" s="63" t="s">
        <v>7834</v>
      </c>
      <c r="B1528" t="s">
        <v>1879</v>
      </c>
      <c r="C1528" t="s">
        <v>5043</v>
      </c>
      <c r="D1528" t="s">
        <v>8402</v>
      </c>
    </row>
    <row r="1529" spans="1:4" x14ac:dyDescent="0.25">
      <c r="A1529" s="63" t="s">
        <v>7073</v>
      </c>
      <c r="B1529" t="s">
        <v>1474</v>
      </c>
      <c r="C1529" t="s">
        <v>5043</v>
      </c>
      <c r="D1529" t="s">
        <v>8401</v>
      </c>
    </row>
    <row r="1530" spans="1:4" x14ac:dyDescent="0.25">
      <c r="A1530" s="63" t="s">
        <v>3328</v>
      </c>
      <c r="B1530" t="s">
        <v>2144</v>
      </c>
      <c r="C1530" t="s">
        <v>5043</v>
      </c>
      <c r="D1530" t="s">
        <v>8401</v>
      </c>
    </row>
    <row r="1531" spans="1:4" x14ac:dyDescent="0.25">
      <c r="A1531" s="63" t="s">
        <v>3329</v>
      </c>
      <c r="B1531" t="s">
        <v>2144</v>
      </c>
      <c r="C1531" t="s">
        <v>5043</v>
      </c>
      <c r="D1531" t="s">
        <v>8401</v>
      </c>
    </row>
    <row r="1532" spans="1:4" x14ac:dyDescent="0.25">
      <c r="A1532" s="63" t="s">
        <v>3330</v>
      </c>
      <c r="B1532" t="s">
        <v>2112</v>
      </c>
      <c r="C1532" t="s">
        <v>5043</v>
      </c>
      <c r="D1532" t="s">
        <v>8401</v>
      </c>
    </row>
    <row r="1533" spans="1:4" x14ac:dyDescent="0.25">
      <c r="A1533" s="63" t="s">
        <v>3331</v>
      </c>
      <c r="B1533" t="s">
        <v>2112</v>
      </c>
      <c r="C1533" t="s">
        <v>5043</v>
      </c>
      <c r="D1533" t="s">
        <v>8401</v>
      </c>
    </row>
    <row r="1534" spans="1:4" x14ac:dyDescent="0.25">
      <c r="A1534" s="63" t="s">
        <v>3332</v>
      </c>
      <c r="B1534" t="s">
        <v>2112</v>
      </c>
      <c r="C1534" t="s">
        <v>5043</v>
      </c>
      <c r="D1534" t="s">
        <v>8401</v>
      </c>
    </row>
    <row r="1535" spans="1:4" x14ac:dyDescent="0.25">
      <c r="A1535" s="63" t="s">
        <v>7835</v>
      </c>
      <c r="B1535" t="s">
        <v>1989</v>
      </c>
      <c r="C1535" t="s">
        <v>5043</v>
      </c>
      <c r="D1535" t="s">
        <v>8401</v>
      </c>
    </row>
    <row r="1536" spans="1:4" x14ac:dyDescent="0.25">
      <c r="A1536" s="63" t="s">
        <v>3333</v>
      </c>
      <c r="B1536" t="s">
        <v>1988</v>
      </c>
      <c r="C1536" t="s">
        <v>5043</v>
      </c>
      <c r="D1536" t="s">
        <v>8401</v>
      </c>
    </row>
    <row r="1537" spans="1:4" x14ac:dyDescent="0.25">
      <c r="A1537" s="63" t="s">
        <v>3334</v>
      </c>
      <c r="B1537" t="s">
        <v>1988</v>
      </c>
      <c r="C1537" t="s">
        <v>5043</v>
      </c>
      <c r="D1537" t="s">
        <v>8401</v>
      </c>
    </row>
    <row r="1538" spans="1:4" x14ac:dyDescent="0.25">
      <c r="A1538" s="63" t="s">
        <v>3335</v>
      </c>
      <c r="B1538" t="s">
        <v>1987</v>
      </c>
      <c r="C1538" t="s">
        <v>5043</v>
      </c>
      <c r="D1538" t="s">
        <v>8401</v>
      </c>
    </row>
    <row r="1539" spans="1:4" x14ac:dyDescent="0.25">
      <c r="A1539" s="63" t="s">
        <v>3336</v>
      </c>
      <c r="B1539" t="s">
        <v>1987</v>
      </c>
      <c r="C1539" t="s">
        <v>5043</v>
      </c>
      <c r="D1539" t="s">
        <v>8401</v>
      </c>
    </row>
    <row r="1540" spans="1:4" x14ac:dyDescent="0.25">
      <c r="A1540" s="63" t="s">
        <v>7836</v>
      </c>
      <c r="B1540" t="s">
        <v>2434</v>
      </c>
      <c r="C1540" t="s">
        <v>5043</v>
      </c>
      <c r="D1540" t="s">
        <v>8401</v>
      </c>
    </row>
    <row r="1541" spans="1:4" x14ac:dyDescent="0.25">
      <c r="A1541" s="63" t="s">
        <v>7837</v>
      </c>
      <c r="B1541" t="s">
        <v>2434</v>
      </c>
      <c r="C1541" t="s">
        <v>5043</v>
      </c>
      <c r="D1541" t="s">
        <v>8401</v>
      </c>
    </row>
    <row r="1542" spans="1:4" x14ac:dyDescent="0.25">
      <c r="A1542" s="63" t="s">
        <v>7838</v>
      </c>
      <c r="B1542" t="s">
        <v>2434</v>
      </c>
      <c r="C1542" t="s">
        <v>5043</v>
      </c>
      <c r="D1542" t="s">
        <v>8401</v>
      </c>
    </row>
    <row r="1543" spans="1:4" x14ac:dyDescent="0.25">
      <c r="A1543" s="63" t="s">
        <v>7839</v>
      </c>
      <c r="B1543" t="s">
        <v>2434</v>
      </c>
      <c r="C1543" t="s">
        <v>5043</v>
      </c>
      <c r="D1543" t="s">
        <v>8401</v>
      </c>
    </row>
    <row r="1544" spans="1:4" x14ac:dyDescent="0.25">
      <c r="A1544" s="63" t="s">
        <v>7840</v>
      </c>
      <c r="B1544" t="s">
        <v>1982</v>
      </c>
      <c r="C1544" t="s">
        <v>5043</v>
      </c>
      <c r="D1544" t="s">
        <v>8401</v>
      </c>
    </row>
    <row r="1545" spans="1:4" x14ac:dyDescent="0.25">
      <c r="A1545" s="63" t="s">
        <v>7841</v>
      </c>
      <c r="B1545" t="s">
        <v>1982</v>
      </c>
      <c r="C1545" t="s">
        <v>5043</v>
      </c>
      <c r="D1545" t="s">
        <v>8401</v>
      </c>
    </row>
    <row r="1546" spans="1:4" x14ac:dyDescent="0.25">
      <c r="A1546" s="63" t="s">
        <v>7842</v>
      </c>
      <c r="B1546" t="s">
        <v>1982</v>
      </c>
      <c r="C1546" t="s">
        <v>5043</v>
      </c>
      <c r="D1546" t="s">
        <v>8401</v>
      </c>
    </row>
    <row r="1547" spans="1:4" x14ac:dyDescent="0.25">
      <c r="A1547" s="63" t="s">
        <v>7843</v>
      </c>
      <c r="B1547" t="s">
        <v>1982</v>
      </c>
      <c r="C1547" t="s">
        <v>5043</v>
      </c>
      <c r="D1547" t="s">
        <v>8401</v>
      </c>
    </row>
    <row r="1548" spans="1:4" x14ac:dyDescent="0.25">
      <c r="A1548" s="63" t="s">
        <v>7844</v>
      </c>
      <c r="B1548" t="s">
        <v>2435</v>
      </c>
      <c r="C1548" t="s">
        <v>5043</v>
      </c>
      <c r="D1548" t="s">
        <v>8401</v>
      </c>
    </row>
    <row r="1549" spans="1:4" x14ac:dyDescent="0.25">
      <c r="A1549" s="63" t="s">
        <v>7845</v>
      </c>
      <c r="B1549" t="s">
        <v>1661</v>
      </c>
      <c r="C1549" t="s">
        <v>5043</v>
      </c>
      <c r="D1549" t="s">
        <v>8401</v>
      </c>
    </row>
    <row r="1550" spans="1:4" x14ac:dyDescent="0.25">
      <c r="A1550" s="63" t="s">
        <v>7846</v>
      </c>
      <c r="B1550" t="s">
        <v>1661</v>
      </c>
      <c r="C1550" t="s">
        <v>5043</v>
      </c>
      <c r="D1550" t="s">
        <v>8401</v>
      </c>
    </row>
    <row r="1551" spans="1:4" x14ac:dyDescent="0.25">
      <c r="A1551" s="63" t="s">
        <v>7847</v>
      </c>
      <c r="B1551" t="s">
        <v>1661</v>
      </c>
      <c r="C1551" t="s">
        <v>5043</v>
      </c>
      <c r="D1551" t="s">
        <v>8401</v>
      </c>
    </row>
    <row r="1552" spans="1:4" x14ac:dyDescent="0.25">
      <c r="A1552" s="63" t="s">
        <v>7848</v>
      </c>
      <c r="B1552" t="s">
        <v>1661</v>
      </c>
      <c r="C1552" t="s">
        <v>5043</v>
      </c>
      <c r="D1552" t="s">
        <v>8401</v>
      </c>
    </row>
    <row r="1553" spans="1:4" x14ac:dyDescent="0.25">
      <c r="A1553" s="63" t="s">
        <v>7849</v>
      </c>
      <c r="B1553" t="s">
        <v>1662</v>
      </c>
      <c r="C1553" t="s">
        <v>5043</v>
      </c>
      <c r="D1553" t="s">
        <v>8401</v>
      </c>
    </row>
    <row r="1554" spans="1:4" x14ac:dyDescent="0.25">
      <c r="A1554" s="63" t="s">
        <v>7850</v>
      </c>
      <c r="B1554" t="s">
        <v>1662</v>
      </c>
      <c r="C1554" t="s">
        <v>5043</v>
      </c>
      <c r="D1554" t="s">
        <v>8401</v>
      </c>
    </row>
    <row r="1555" spans="1:4" x14ac:dyDescent="0.25">
      <c r="A1555" s="63" t="s">
        <v>7851</v>
      </c>
      <c r="B1555" t="s">
        <v>1662</v>
      </c>
      <c r="C1555" t="s">
        <v>5043</v>
      </c>
      <c r="D1555" t="s">
        <v>8401</v>
      </c>
    </row>
    <row r="1556" spans="1:4" x14ac:dyDescent="0.25">
      <c r="A1556" s="63" t="s">
        <v>7852</v>
      </c>
      <c r="B1556" t="s">
        <v>1662</v>
      </c>
      <c r="C1556" t="s">
        <v>5043</v>
      </c>
      <c r="D1556" t="s">
        <v>8401</v>
      </c>
    </row>
    <row r="1557" spans="1:4" x14ac:dyDescent="0.25">
      <c r="A1557" s="63" t="s">
        <v>3337</v>
      </c>
      <c r="B1557" t="s">
        <v>1659</v>
      </c>
      <c r="C1557" t="s">
        <v>5043</v>
      </c>
      <c r="D1557" t="s">
        <v>8401</v>
      </c>
    </row>
    <row r="1558" spans="1:4" x14ac:dyDescent="0.25">
      <c r="A1558" s="63" t="s">
        <v>3338</v>
      </c>
      <c r="B1558" t="s">
        <v>1660</v>
      </c>
      <c r="C1558" t="s">
        <v>5043</v>
      </c>
      <c r="D1558" t="s">
        <v>8401</v>
      </c>
    </row>
    <row r="1559" spans="1:4" x14ac:dyDescent="0.25">
      <c r="A1559" s="63" t="s">
        <v>3339</v>
      </c>
      <c r="B1559" t="s">
        <v>2318</v>
      </c>
      <c r="C1559" t="s">
        <v>5043</v>
      </c>
      <c r="D1559" t="s">
        <v>8401</v>
      </c>
    </row>
    <row r="1560" spans="1:4" x14ac:dyDescent="0.25">
      <c r="A1560" s="63" t="s">
        <v>3340</v>
      </c>
      <c r="B1560" t="s">
        <v>2318</v>
      </c>
      <c r="C1560" t="s">
        <v>5043</v>
      </c>
      <c r="D1560" t="s">
        <v>8401</v>
      </c>
    </row>
    <row r="1561" spans="1:4" x14ac:dyDescent="0.25">
      <c r="A1561" s="63" t="s">
        <v>3341</v>
      </c>
      <c r="B1561" t="s">
        <v>2317</v>
      </c>
      <c r="C1561" t="s">
        <v>5043</v>
      </c>
      <c r="D1561" t="s">
        <v>8401</v>
      </c>
    </row>
    <row r="1562" spans="1:4" x14ac:dyDescent="0.25">
      <c r="A1562" s="63" t="s">
        <v>7853</v>
      </c>
      <c r="B1562" t="s">
        <v>2316</v>
      </c>
      <c r="C1562" t="s">
        <v>5043</v>
      </c>
      <c r="D1562" t="s">
        <v>8401</v>
      </c>
    </row>
    <row r="1563" spans="1:4" x14ac:dyDescent="0.25">
      <c r="A1563" s="63" t="s">
        <v>7854</v>
      </c>
      <c r="B1563" t="s">
        <v>2316</v>
      </c>
      <c r="C1563" t="s">
        <v>5043</v>
      </c>
      <c r="D1563" t="s">
        <v>8401</v>
      </c>
    </row>
    <row r="1564" spans="1:4" x14ac:dyDescent="0.25">
      <c r="A1564" s="63" t="s">
        <v>7855</v>
      </c>
      <c r="B1564" t="s">
        <v>2316</v>
      </c>
      <c r="C1564" t="s">
        <v>5043</v>
      </c>
      <c r="D1564" t="s">
        <v>8401</v>
      </c>
    </row>
    <row r="1565" spans="1:4" x14ac:dyDescent="0.25">
      <c r="A1565" s="63" t="s">
        <v>7856</v>
      </c>
      <c r="B1565" t="s">
        <v>2316</v>
      </c>
      <c r="C1565" t="s">
        <v>5043</v>
      </c>
      <c r="D1565" t="s">
        <v>8401</v>
      </c>
    </row>
    <row r="1566" spans="1:4" x14ac:dyDescent="0.25">
      <c r="A1566" s="63" t="s">
        <v>7857</v>
      </c>
      <c r="B1566" t="s">
        <v>2170</v>
      </c>
      <c r="C1566" t="s">
        <v>5043</v>
      </c>
      <c r="D1566" t="s">
        <v>8401</v>
      </c>
    </row>
    <row r="1567" spans="1:4" x14ac:dyDescent="0.25">
      <c r="A1567" s="63" t="s">
        <v>7858</v>
      </c>
      <c r="B1567" t="s">
        <v>2170</v>
      </c>
      <c r="C1567" t="s">
        <v>5043</v>
      </c>
      <c r="D1567" t="s">
        <v>8401</v>
      </c>
    </row>
    <row r="1568" spans="1:4" x14ac:dyDescent="0.25">
      <c r="A1568" s="63" t="s">
        <v>7859</v>
      </c>
      <c r="B1568" t="s">
        <v>2170</v>
      </c>
      <c r="C1568" t="s">
        <v>5043</v>
      </c>
      <c r="D1568" t="s">
        <v>8401</v>
      </c>
    </row>
    <row r="1569" spans="1:4" x14ac:dyDescent="0.25">
      <c r="A1569" s="63" t="s">
        <v>7860</v>
      </c>
      <c r="B1569" t="s">
        <v>2170</v>
      </c>
      <c r="C1569" t="s">
        <v>5043</v>
      </c>
      <c r="D1569" t="s">
        <v>8401</v>
      </c>
    </row>
    <row r="1570" spans="1:4" x14ac:dyDescent="0.25">
      <c r="A1570" s="63" t="s">
        <v>7861</v>
      </c>
      <c r="B1570" t="s">
        <v>2169</v>
      </c>
      <c r="C1570" t="s">
        <v>5043</v>
      </c>
      <c r="D1570" t="s">
        <v>8401</v>
      </c>
    </row>
    <row r="1571" spans="1:4" x14ac:dyDescent="0.25">
      <c r="A1571" s="63" t="s">
        <v>7862</v>
      </c>
      <c r="B1571" t="s">
        <v>2169</v>
      </c>
      <c r="C1571" t="s">
        <v>5043</v>
      </c>
      <c r="D1571" t="s">
        <v>8401</v>
      </c>
    </row>
    <row r="1572" spans="1:4" x14ac:dyDescent="0.25">
      <c r="A1572" s="63" t="s">
        <v>7863</v>
      </c>
      <c r="B1572" t="s">
        <v>2169</v>
      </c>
      <c r="C1572" t="s">
        <v>5043</v>
      </c>
      <c r="D1572" t="s">
        <v>8401</v>
      </c>
    </row>
    <row r="1573" spans="1:4" x14ac:dyDescent="0.25">
      <c r="A1573" s="63" t="s">
        <v>7864</v>
      </c>
      <c r="B1573" t="s">
        <v>2169</v>
      </c>
      <c r="C1573" t="s">
        <v>5043</v>
      </c>
      <c r="D1573" t="s">
        <v>8401</v>
      </c>
    </row>
    <row r="1574" spans="1:4" x14ac:dyDescent="0.25">
      <c r="A1574" s="63" t="s">
        <v>7865</v>
      </c>
      <c r="B1574" t="s">
        <v>2168</v>
      </c>
      <c r="C1574" t="s">
        <v>5043</v>
      </c>
      <c r="D1574" t="s">
        <v>8401</v>
      </c>
    </row>
    <row r="1575" spans="1:4" x14ac:dyDescent="0.25">
      <c r="A1575" s="63" t="s">
        <v>7866</v>
      </c>
      <c r="B1575" t="s">
        <v>2168</v>
      </c>
      <c r="C1575" t="s">
        <v>5043</v>
      </c>
      <c r="D1575" t="s">
        <v>8401</v>
      </c>
    </row>
    <row r="1576" spans="1:4" x14ac:dyDescent="0.25">
      <c r="A1576" s="63" t="s">
        <v>7867</v>
      </c>
      <c r="B1576" t="s">
        <v>2168</v>
      </c>
      <c r="C1576" t="s">
        <v>5043</v>
      </c>
      <c r="D1576" t="s">
        <v>8401</v>
      </c>
    </row>
    <row r="1577" spans="1:4" x14ac:dyDescent="0.25">
      <c r="A1577" s="63" t="s">
        <v>7868</v>
      </c>
      <c r="B1577" t="s">
        <v>2168</v>
      </c>
      <c r="C1577" t="s">
        <v>5043</v>
      </c>
      <c r="D1577" t="s">
        <v>8401</v>
      </c>
    </row>
    <row r="1578" spans="1:4" x14ac:dyDescent="0.25">
      <c r="A1578" s="63" t="s">
        <v>7090</v>
      </c>
      <c r="B1578" t="s">
        <v>1401</v>
      </c>
      <c r="C1578" t="s">
        <v>5043</v>
      </c>
      <c r="D1578" t="s">
        <v>8401</v>
      </c>
    </row>
    <row r="1579" spans="1:4" x14ac:dyDescent="0.25">
      <c r="A1579" s="63" t="s">
        <v>7091</v>
      </c>
      <c r="B1579" t="s">
        <v>1401</v>
      </c>
      <c r="C1579" t="s">
        <v>5043</v>
      </c>
      <c r="D1579" t="s">
        <v>8401</v>
      </c>
    </row>
    <row r="1580" spans="1:4" x14ac:dyDescent="0.25">
      <c r="A1580" s="63" t="s">
        <v>7092</v>
      </c>
      <c r="B1580" t="s">
        <v>1401</v>
      </c>
      <c r="C1580" t="s">
        <v>5043</v>
      </c>
      <c r="D1580" t="s">
        <v>8401</v>
      </c>
    </row>
    <row r="1581" spans="1:4" x14ac:dyDescent="0.25">
      <c r="A1581" s="63" t="s">
        <v>7093</v>
      </c>
      <c r="B1581" t="s">
        <v>1401</v>
      </c>
      <c r="C1581" t="s">
        <v>5043</v>
      </c>
      <c r="D1581" t="s">
        <v>8401</v>
      </c>
    </row>
    <row r="1582" spans="1:4" x14ac:dyDescent="0.25">
      <c r="A1582" s="63" t="s">
        <v>7094</v>
      </c>
      <c r="B1582" t="s">
        <v>1400</v>
      </c>
      <c r="C1582" t="s">
        <v>5043</v>
      </c>
      <c r="D1582" t="s">
        <v>8401</v>
      </c>
    </row>
    <row r="1583" spans="1:4" x14ac:dyDescent="0.25">
      <c r="A1583" s="63" t="s">
        <v>6782</v>
      </c>
      <c r="B1583" t="s">
        <v>1400</v>
      </c>
      <c r="C1583" t="s">
        <v>5043</v>
      </c>
      <c r="D1583" t="s">
        <v>8401</v>
      </c>
    </row>
    <row r="1584" spans="1:4" x14ac:dyDescent="0.25">
      <c r="A1584" s="63" t="s">
        <v>6783</v>
      </c>
      <c r="B1584" t="s">
        <v>1400</v>
      </c>
      <c r="C1584" t="s">
        <v>5043</v>
      </c>
      <c r="D1584" t="s">
        <v>8401</v>
      </c>
    </row>
    <row r="1585" spans="1:4" x14ac:dyDescent="0.25">
      <c r="A1585" s="63" t="s">
        <v>6793</v>
      </c>
      <c r="B1585" t="s">
        <v>1400</v>
      </c>
      <c r="C1585" t="s">
        <v>5043</v>
      </c>
      <c r="D1585" t="s">
        <v>8401</v>
      </c>
    </row>
    <row r="1586" spans="1:4" x14ac:dyDescent="0.25">
      <c r="A1586" s="63" t="s">
        <v>7869</v>
      </c>
      <c r="B1586" t="s">
        <v>2481</v>
      </c>
      <c r="C1586" t="s">
        <v>5043</v>
      </c>
      <c r="D1586" t="s">
        <v>8401</v>
      </c>
    </row>
    <row r="1587" spans="1:4" x14ac:dyDescent="0.25">
      <c r="A1587" s="63" t="s">
        <v>7870</v>
      </c>
      <c r="B1587" t="s">
        <v>2482</v>
      </c>
      <c r="C1587" t="s">
        <v>5043</v>
      </c>
      <c r="D1587" t="s">
        <v>8401</v>
      </c>
    </row>
    <row r="1588" spans="1:4" x14ac:dyDescent="0.25">
      <c r="A1588" s="63" t="s">
        <v>7871</v>
      </c>
      <c r="B1588" t="s">
        <v>2483</v>
      </c>
      <c r="C1588" t="s">
        <v>5043</v>
      </c>
      <c r="D1588" t="s">
        <v>8401</v>
      </c>
    </row>
    <row r="1589" spans="1:4" x14ac:dyDescent="0.25">
      <c r="A1589" s="63" t="s">
        <v>3342</v>
      </c>
      <c r="B1589" t="s">
        <v>1398</v>
      </c>
      <c r="C1589" t="s">
        <v>5043</v>
      </c>
      <c r="D1589" t="s">
        <v>8401</v>
      </c>
    </row>
    <row r="1590" spans="1:4" x14ac:dyDescent="0.25">
      <c r="A1590" s="63" t="s">
        <v>3343</v>
      </c>
      <c r="B1590" t="s">
        <v>1398</v>
      </c>
      <c r="C1590" t="s">
        <v>5043</v>
      </c>
      <c r="D1590" t="s">
        <v>8401</v>
      </c>
    </row>
    <row r="1591" spans="1:4" x14ac:dyDescent="0.25">
      <c r="A1591" s="63" t="s">
        <v>6794</v>
      </c>
      <c r="B1591" t="s">
        <v>1399</v>
      </c>
      <c r="C1591" t="s">
        <v>5043</v>
      </c>
      <c r="D1591" t="s">
        <v>8401</v>
      </c>
    </row>
    <row r="1592" spans="1:4" x14ac:dyDescent="0.25">
      <c r="A1592" s="63" t="s">
        <v>6795</v>
      </c>
      <c r="B1592" t="s">
        <v>1399</v>
      </c>
      <c r="C1592" t="s">
        <v>5043</v>
      </c>
      <c r="D1592" t="s">
        <v>8401</v>
      </c>
    </row>
    <row r="1593" spans="1:4" x14ac:dyDescent="0.25">
      <c r="A1593" s="63" t="s">
        <v>6796</v>
      </c>
      <c r="B1593" t="s">
        <v>1399</v>
      </c>
      <c r="C1593" t="s">
        <v>5043</v>
      </c>
      <c r="D1593" t="s">
        <v>8401</v>
      </c>
    </row>
    <row r="1594" spans="1:4" x14ac:dyDescent="0.25">
      <c r="A1594" s="63" t="s">
        <v>7872</v>
      </c>
      <c r="B1594" t="s">
        <v>1399</v>
      </c>
      <c r="C1594" t="s">
        <v>5043</v>
      </c>
      <c r="D1594" t="s">
        <v>8401</v>
      </c>
    </row>
    <row r="1595" spans="1:4" x14ac:dyDescent="0.25">
      <c r="A1595" s="63" t="s">
        <v>7873</v>
      </c>
      <c r="B1595" t="s">
        <v>2136</v>
      </c>
      <c r="C1595" t="s">
        <v>5043</v>
      </c>
      <c r="D1595" t="s">
        <v>8401</v>
      </c>
    </row>
    <row r="1596" spans="1:4" x14ac:dyDescent="0.25">
      <c r="A1596" s="63" t="s">
        <v>7874</v>
      </c>
      <c r="B1596" t="s">
        <v>2136</v>
      </c>
      <c r="C1596" t="s">
        <v>5043</v>
      </c>
      <c r="D1596" t="s">
        <v>8401</v>
      </c>
    </row>
    <row r="1597" spans="1:4" x14ac:dyDescent="0.25">
      <c r="A1597" s="63" t="s">
        <v>6797</v>
      </c>
      <c r="B1597" t="s">
        <v>2136</v>
      </c>
      <c r="C1597" t="s">
        <v>5043</v>
      </c>
      <c r="D1597" t="s">
        <v>8401</v>
      </c>
    </row>
    <row r="1598" spans="1:4" x14ac:dyDescent="0.25">
      <c r="A1598" s="63" t="s">
        <v>7875</v>
      </c>
      <c r="B1598" t="s">
        <v>2136</v>
      </c>
      <c r="C1598" t="s">
        <v>5043</v>
      </c>
      <c r="D1598" t="s">
        <v>8401</v>
      </c>
    </row>
    <row r="1599" spans="1:4" x14ac:dyDescent="0.25">
      <c r="A1599" s="63" t="s">
        <v>7876</v>
      </c>
      <c r="B1599" t="s">
        <v>2137</v>
      </c>
      <c r="C1599" t="s">
        <v>5043</v>
      </c>
      <c r="D1599" t="s">
        <v>8401</v>
      </c>
    </row>
    <row r="1600" spans="1:4" x14ac:dyDescent="0.25">
      <c r="A1600" s="63" t="s">
        <v>7877</v>
      </c>
      <c r="B1600" t="s">
        <v>1345</v>
      </c>
      <c r="C1600" t="s">
        <v>5043</v>
      </c>
      <c r="D1600" t="s">
        <v>8401</v>
      </c>
    </row>
    <row r="1601" spans="1:4" x14ac:dyDescent="0.25">
      <c r="A1601" s="63" t="s">
        <v>6784</v>
      </c>
      <c r="B1601" t="s">
        <v>1345</v>
      </c>
      <c r="C1601" t="s">
        <v>5043</v>
      </c>
      <c r="D1601" t="s">
        <v>8401</v>
      </c>
    </row>
    <row r="1602" spans="1:4" x14ac:dyDescent="0.25">
      <c r="A1602" s="63" t="s">
        <v>6800</v>
      </c>
      <c r="B1602" t="s">
        <v>1346</v>
      </c>
      <c r="C1602" t="s">
        <v>5043</v>
      </c>
      <c r="D1602" t="s">
        <v>8401</v>
      </c>
    </row>
    <row r="1603" spans="1:4" x14ac:dyDescent="0.25">
      <c r="A1603" s="63" t="s">
        <v>7878</v>
      </c>
      <c r="B1603" t="s">
        <v>1346</v>
      </c>
      <c r="C1603" t="s">
        <v>5043</v>
      </c>
      <c r="D1603" t="s">
        <v>8401</v>
      </c>
    </row>
    <row r="1604" spans="1:4" x14ac:dyDescent="0.25">
      <c r="A1604" s="63" t="s">
        <v>6801</v>
      </c>
      <c r="B1604" t="s">
        <v>2089</v>
      </c>
      <c r="C1604" t="s">
        <v>5043</v>
      </c>
      <c r="D1604" t="s">
        <v>8401</v>
      </c>
    </row>
    <row r="1605" spans="1:4" x14ac:dyDescent="0.25">
      <c r="A1605" s="63" t="s">
        <v>6802</v>
      </c>
      <c r="B1605" t="s">
        <v>2089</v>
      </c>
      <c r="C1605" t="s">
        <v>5043</v>
      </c>
      <c r="D1605" t="s">
        <v>8401</v>
      </c>
    </row>
    <row r="1606" spans="1:4" x14ac:dyDescent="0.25">
      <c r="A1606" s="63" t="s">
        <v>6803</v>
      </c>
      <c r="B1606" t="s">
        <v>2089</v>
      </c>
      <c r="C1606" t="s">
        <v>5043</v>
      </c>
      <c r="D1606" t="s">
        <v>8401</v>
      </c>
    </row>
    <row r="1607" spans="1:4" x14ac:dyDescent="0.25">
      <c r="A1607" s="63" t="s">
        <v>6804</v>
      </c>
      <c r="B1607" t="s">
        <v>2089</v>
      </c>
      <c r="C1607" t="s">
        <v>5043</v>
      </c>
      <c r="D1607" t="s">
        <v>8401</v>
      </c>
    </row>
    <row r="1608" spans="1:4" x14ac:dyDescent="0.25">
      <c r="A1608" s="63" t="s">
        <v>6744</v>
      </c>
      <c r="B1608" t="s">
        <v>2090</v>
      </c>
      <c r="C1608" t="s">
        <v>5043</v>
      </c>
      <c r="D1608" t="s">
        <v>8401</v>
      </c>
    </row>
    <row r="1609" spans="1:4" x14ac:dyDescent="0.25">
      <c r="A1609" s="63" t="s">
        <v>6745</v>
      </c>
      <c r="B1609" t="s">
        <v>2090</v>
      </c>
      <c r="C1609" t="s">
        <v>5043</v>
      </c>
      <c r="D1609" t="s">
        <v>8401</v>
      </c>
    </row>
    <row r="1610" spans="1:4" x14ac:dyDescent="0.25">
      <c r="A1610" s="63" t="s">
        <v>6746</v>
      </c>
      <c r="B1610" t="s">
        <v>2090</v>
      </c>
      <c r="C1610" t="s">
        <v>5043</v>
      </c>
      <c r="D1610" t="s">
        <v>8401</v>
      </c>
    </row>
    <row r="1611" spans="1:4" x14ac:dyDescent="0.25">
      <c r="A1611" s="63" t="s">
        <v>6747</v>
      </c>
      <c r="B1611" t="s">
        <v>2090</v>
      </c>
      <c r="C1611" t="s">
        <v>5043</v>
      </c>
      <c r="D1611" t="s">
        <v>8401</v>
      </c>
    </row>
    <row r="1612" spans="1:4" x14ac:dyDescent="0.25">
      <c r="A1612" s="63" t="s">
        <v>6354</v>
      </c>
      <c r="B1612" t="s">
        <v>1292</v>
      </c>
      <c r="C1612" t="s">
        <v>5043</v>
      </c>
      <c r="D1612" t="s">
        <v>8401</v>
      </c>
    </row>
    <row r="1613" spans="1:4" x14ac:dyDescent="0.25">
      <c r="A1613" s="63" t="s">
        <v>6884</v>
      </c>
      <c r="B1613" t="s">
        <v>1292</v>
      </c>
      <c r="C1613" t="s">
        <v>5043</v>
      </c>
      <c r="D1613" t="s">
        <v>8401</v>
      </c>
    </row>
    <row r="1614" spans="1:4" x14ac:dyDescent="0.25">
      <c r="A1614" s="63" t="s">
        <v>3344</v>
      </c>
      <c r="B1614" t="s">
        <v>1623</v>
      </c>
      <c r="C1614" t="s">
        <v>5043</v>
      </c>
      <c r="D1614" t="s">
        <v>8401</v>
      </c>
    </row>
    <row r="1615" spans="1:4" x14ac:dyDescent="0.25">
      <c r="A1615" s="63" t="s">
        <v>3345</v>
      </c>
      <c r="B1615" t="s">
        <v>1622</v>
      </c>
      <c r="C1615" t="s">
        <v>5043</v>
      </c>
      <c r="D1615" t="s">
        <v>8401</v>
      </c>
    </row>
    <row r="1616" spans="1:4" x14ac:dyDescent="0.25">
      <c r="A1616" s="63" t="s">
        <v>6885</v>
      </c>
      <c r="B1616" t="s">
        <v>1293</v>
      </c>
      <c r="C1616" t="s">
        <v>5043</v>
      </c>
      <c r="D1616" t="s">
        <v>8401</v>
      </c>
    </row>
    <row r="1617" spans="1:4" x14ac:dyDescent="0.25">
      <c r="A1617" s="63" t="s">
        <v>7206</v>
      </c>
      <c r="B1617" t="s">
        <v>1293</v>
      </c>
      <c r="C1617" t="s">
        <v>5043</v>
      </c>
      <c r="D1617" t="s">
        <v>8401</v>
      </c>
    </row>
    <row r="1618" spans="1:4" x14ac:dyDescent="0.25">
      <c r="A1618" s="63" t="s">
        <v>3346</v>
      </c>
      <c r="B1618" t="s">
        <v>2213</v>
      </c>
      <c r="C1618" t="s">
        <v>5043</v>
      </c>
      <c r="D1618" t="s">
        <v>8401</v>
      </c>
    </row>
    <row r="1619" spans="1:4" x14ac:dyDescent="0.25">
      <c r="A1619" s="63" t="s">
        <v>7879</v>
      </c>
      <c r="B1619" t="s">
        <v>1722</v>
      </c>
      <c r="C1619" t="s">
        <v>5043</v>
      </c>
      <c r="D1619" t="s">
        <v>8401</v>
      </c>
    </row>
    <row r="1620" spans="1:4" x14ac:dyDescent="0.25">
      <c r="A1620" s="63" t="s">
        <v>6436</v>
      </c>
      <c r="B1620" t="s">
        <v>1993</v>
      </c>
      <c r="C1620" t="s">
        <v>5043</v>
      </c>
      <c r="D1620" t="s">
        <v>8401</v>
      </c>
    </row>
    <row r="1621" spans="1:4" x14ac:dyDescent="0.25">
      <c r="A1621" s="63" t="s">
        <v>6437</v>
      </c>
      <c r="B1621" t="s">
        <v>1993</v>
      </c>
      <c r="C1621" t="s">
        <v>5043</v>
      </c>
      <c r="D1621" t="s">
        <v>8401</v>
      </c>
    </row>
    <row r="1622" spans="1:4" x14ac:dyDescent="0.25">
      <c r="A1622" s="63" t="s">
        <v>6438</v>
      </c>
      <c r="B1622" t="s">
        <v>1992</v>
      </c>
      <c r="C1622" t="s">
        <v>5043</v>
      </c>
      <c r="D1622" t="s">
        <v>8401</v>
      </c>
    </row>
    <row r="1623" spans="1:4" x14ac:dyDescent="0.25">
      <c r="A1623" s="63" t="s">
        <v>6439</v>
      </c>
      <c r="B1623" t="s">
        <v>1995</v>
      </c>
      <c r="C1623" t="s">
        <v>5043</v>
      </c>
      <c r="D1623" t="s">
        <v>8401</v>
      </c>
    </row>
    <row r="1624" spans="1:4" x14ac:dyDescent="0.25">
      <c r="A1624" s="63" t="s">
        <v>3347</v>
      </c>
      <c r="B1624" t="s">
        <v>2214</v>
      </c>
      <c r="C1624" t="s">
        <v>5043</v>
      </c>
      <c r="D1624" t="s">
        <v>8401</v>
      </c>
    </row>
    <row r="1625" spans="1:4" x14ac:dyDescent="0.25">
      <c r="A1625" s="63" t="s">
        <v>3348</v>
      </c>
      <c r="B1625" t="s">
        <v>1637</v>
      </c>
      <c r="C1625" t="s">
        <v>5043</v>
      </c>
      <c r="D1625" t="s">
        <v>8401</v>
      </c>
    </row>
    <row r="1626" spans="1:4" x14ac:dyDescent="0.25">
      <c r="A1626" s="63" t="s">
        <v>3349</v>
      </c>
      <c r="B1626" t="s">
        <v>1637</v>
      </c>
      <c r="C1626" t="s">
        <v>5043</v>
      </c>
      <c r="D1626" t="s">
        <v>8401</v>
      </c>
    </row>
    <row r="1627" spans="1:4" x14ac:dyDescent="0.25">
      <c r="A1627" s="63" t="s">
        <v>3350</v>
      </c>
      <c r="B1627" t="s">
        <v>1637</v>
      </c>
      <c r="C1627" t="s">
        <v>5043</v>
      </c>
      <c r="D1627" t="s">
        <v>8401</v>
      </c>
    </row>
    <row r="1628" spans="1:4" x14ac:dyDescent="0.25">
      <c r="A1628" s="63" t="s">
        <v>3351</v>
      </c>
      <c r="B1628" t="s">
        <v>1637</v>
      </c>
      <c r="C1628" t="s">
        <v>5043</v>
      </c>
      <c r="D1628" t="s">
        <v>8401</v>
      </c>
    </row>
    <row r="1629" spans="1:4" x14ac:dyDescent="0.25">
      <c r="A1629" s="63" t="s">
        <v>3352</v>
      </c>
      <c r="B1629" t="s">
        <v>1721</v>
      </c>
      <c r="C1629" t="s">
        <v>5043</v>
      </c>
      <c r="D1629" t="s">
        <v>8401</v>
      </c>
    </row>
    <row r="1630" spans="1:4" x14ac:dyDescent="0.25">
      <c r="A1630" s="63" t="s">
        <v>3353</v>
      </c>
      <c r="B1630" t="s">
        <v>1721</v>
      </c>
      <c r="C1630" t="s">
        <v>5043</v>
      </c>
      <c r="D1630" t="s">
        <v>8401</v>
      </c>
    </row>
    <row r="1631" spans="1:4" x14ac:dyDescent="0.25">
      <c r="A1631" s="63" t="s">
        <v>3354</v>
      </c>
      <c r="B1631" t="s">
        <v>2215</v>
      </c>
      <c r="C1631" t="s">
        <v>5043</v>
      </c>
      <c r="D1631" t="s">
        <v>8401</v>
      </c>
    </row>
    <row r="1632" spans="1:4" x14ac:dyDescent="0.25">
      <c r="A1632" s="63" t="s">
        <v>3355</v>
      </c>
      <c r="B1632" t="s">
        <v>1519</v>
      </c>
      <c r="C1632" t="s">
        <v>5043</v>
      </c>
      <c r="D1632" t="s">
        <v>8401</v>
      </c>
    </row>
    <row r="1633" spans="1:4" x14ac:dyDescent="0.25">
      <c r="A1633" s="63" t="s">
        <v>3356</v>
      </c>
      <c r="B1633" t="s">
        <v>1519</v>
      </c>
      <c r="C1633" t="s">
        <v>5043</v>
      </c>
      <c r="D1633" t="s">
        <v>8401</v>
      </c>
    </row>
    <row r="1634" spans="1:4" x14ac:dyDescent="0.25">
      <c r="A1634" s="63" t="s">
        <v>3357</v>
      </c>
      <c r="B1634" t="s">
        <v>2216</v>
      </c>
      <c r="C1634" t="s">
        <v>5043</v>
      </c>
      <c r="D1634" t="s">
        <v>8401</v>
      </c>
    </row>
    <row r="1635" spans="1:4" x14ac:dyDescent="0.25">
      <c r="A1635" s="63" t="s">
        <v>3358</v>
      </c>
      <c r="B1635" t="s">
        <v>2152</v>
      </c>
      <c r="C1635" t="s">
        <v>5043</v>
      </c>
      <c r="D1635" t="s">
        <v>8401</v>
      </c>
    </row>
    <row r="1636" spans="1:4" x14ac:dyDescent="0.25">
      <c r="A1636" s="63" t="s">
        <v>3359</v>
      </c>
      <c r="B1636" t="s">
        <v>2152</v>
      </c>
      <c r="C1636" t="s">
        <v>5043</v>
      </c>
      <c r="D1636" t="s">
        <v>8401</v>
      </c>
    </row>
    <row r="1637" spans="1:4" x14ac:dyDescent="0.25">
      <c r="A1637" s="63" t="s">
        <v>7880</v>
      </c>
      <c r="B1637" t="s">
        <v>1326</v>
      </c>
      <c r="C1637" t="s">
        <v>5043</v>
      </c>
      <c r="D1637" t="s">
        <v>8401</v>
      </c>
    </row>
    <row r="1638" spans="1:4" x14ac:dyDescent="0.25">
      <c r="A1638" s="63" t="s">
        <v>7881</v>
      </c>
      <c r="B1638" t="s">
        <v>1326</v>
      </c>
      <c r="C1638" t="s">
        <v>5043</v>
      </c>
      <c r="D1638" t="s">
        <v>8401</v>
      </c>
    </row>
    <row r="1639" spans="1:4" x14ac:dyDescent="0.25">
      <c r="A1639" s="63" t="s">
        <v>3360</v>
      </c>
      <c r="B1639" t="s">
        <v>1326</v>
      </c>
      <c r="C1639" t="s">
        <v>5043</v>
      </c>
      <c r="D1639" t="s">
        <v>8401</v>
      </c>
    </row>
    <row r="1640" spans="1:4" x14ac:dyDescent="0.25">
      <c r="A1640" s="63" t="s">
        <v>3361</v>
      </c>
      <c r="B1640" t="s">
        <v>1326</v>
      </c>
      <c r="C1640" t="s">
        <v>5043</v>
      </c>
      <c r="D1640" t="s">
        <v>8401</v>
      </c>
    </row>
    <row r="1641" spans="1:4" x14ac:dyDescent="0.25">
      <c r="A1641" s="63" t="s">
        <v>7882</v>
      </c>
      <c r="B1641" t="s">
        <v>1326</v>
      </c>
      <c r="C1641" t="s">
        <v>5043</v>
      </c>
      <c r="D1641" t="s">
        <v>8401</v>
      </c>
    </row>
    <row r="1642" spans="1:4" x14ac:dyDescent="0.25">
      <c r="A1642" s="63" t="s">
        <v>7883</v>
      </c>
      <c r="B1642" t="s">
        <v>1326</v>
      </c>
      <c r="C1642" t="s">
        <v>5043</v>
      </c>
      <c r="D1642" t="s">
        <v>8401</v>
      </c>
    </row>
    <row r="1643" spans="1:4" x14ac:dyDescent="0.25">
      <c r="A1643" s="63" t="s">
        <v>7884</v>
      </c>
      <c r="B1643" t="s">
        <v>1326</v>
      </c>
      <c r="C1643" t="s">
        <v>5043</v>
      </c>
      <c r="D1643" t="s">
        <v>8401</v>
      </c>
    </row>
    <row r="1644" spans="1:4" x14ac:dyDescent="0.25">
      <c r="A1644" s="63" t="s">
        <v>7885</v>
      </c>
      <c r="B1644" t="s">
        <v>1326</v>
      </c>
      <c r="C1644" t="s">
        <v>5043</v>
      </c>
      <c r="D1644" t="s">
        <v>8401</v>
      </c>
    </row>
    <row r="1645" spans="1:4" x14ac:dyDescent="0.25">
      <c r="A1645" s="63" t="s">
        <v>7886</v>
      </c>
      <c r="B1645" t="s">
        <v>1326</v>
      </c>
      <c r="C1645" t="s">
        <v>5043</v>
      </c>
      <c r="D1645" t="s">
        <v>8401</v>
      </c>
    </row>
    <row r="1646" spans="1:4" x14ac:dyDescent="0.25">
      <c r="A1646" s="63" t="s">
        <v>7887</v>
      </c>
      <c r="B1646" t="s">
        <v>1326</v>
      </c>
      <c r="C1646" t="s">
        <v>5043</v>
      </c>
      <c r="D1646" t="s">
        <v>8401</v>
      </c>
    </row>
    <row r="1647" spans="1:4" x14ac:dyDescent="0.25">
      <c r="A1647" s="63" t="s">
        <v>3362</v>
      </c>
      <c r="B1647" t="s">
        <v>1769</v>
      </c>
      <c r="C1647" t="s">
        <v>5043</v>
      </c>
      <c r="D1647" t="s">
        <v>8401</v>
      </c>
    </row>
    <row r="1648" spans="1:4" x14ac:dyDescent="0.25">
      <c r="A1648" s="63" t="s">
        <v>3363</v>
      </c>
      <c r="B1648" t="s">
        <v>1769</v>
      </c>
      <c r="C1648" t="s">
        <v>5043</v>
      </c>
      <c r="D1648" t="s">
        <v>8401</v>
      </c>
    </row>
    <row r="1649" spans="1:4" x14ac:dyDescent="0.25">
      <c r="A1649" s="63" t="s">
        <v>3364</v>
      </c>
      <c r="B1649" t="s">
        <v>1769</v>
      </c>
      <c r="C1649" t="s">
        <v>5043</v>
      </c>
      <c r="D1649" t="s">
        <v>8401</v>
      </c>
    </row>
    <row r="1650" spans="1:4" x14ac:dyDescent="0.25">
      <c r="A1650" s="63" t="s">
        <v>3365</v>
      </c>
      <c r="B1650" t="s">
        <v>1769</v>
      </c>
      <c r="C1650" t="s">
        <v>5043</v>
      </c>
      <c r="D1650" t="s">
        <v>8401</v>
      </c>
    </row>
    <row r="1651" spans="1:4" x14ac:dyDescent="0.25">
      <c r="A1651" s="63" t="s">
        <v>3366</v>
      </c>
      <c r="B1651" t="s">
        <v>1769</v>
      </c>
      <c r="C1651" t="s">
        <v>5043</v>
      </c>
      <c r="D1651" t="s">
        <v>8401</v>
      </c>
    </row>
    <row r="1652" spans="1:4" x14ac:dyDescent="0.25">
      <c r="A1652" s="63" t="s">
        <v>3367</v>
      </c>
      <c r="B1652" t="s">
        <v>1769</v>
      </c>
      <c r="C1652" t="s">
        <v>5043</v>
      </c>
      <c r="D1652" t="s">
        <v>8401</v>
      </c>
    </row>
    <row r="1653" spans="1:4" x14ac:dyDescent="0.25">
      <c r="A1653" s="63" t="s">
        <v>3368</v>
      </c>
      <c r="B1653" t="s">
        <v>1769</v>
      </c>
      <c r="C1653" t="s">
        <v>5043</v>
      </c>
      <c r="D1653" t="s">
        <v>8401</v>
      </c>
    </row>
    <row r="1654" spans="1:4" x14ac:dyDescent="0.25">
      <c r="A1654" s="63" t="s">
        <v>7888</v>
      </c>
      <c r="B1654" t="s">
        <v>1769</v>
      </c>
      <c r="C1654" t="s">
        <v>5043</v>
      </c>
      <c r="D1654" t="s">
        <v>8401</v>
      </c>
    </row>
    <row r="1655" spans="1:4" x14ac:dyDescent="0.25">
      <c r="A1655" s="63" t="s">
        <v>7889</v>
      </c>
      <c r="B1655" t="s">
        <v>1769</v>
      </c>
      <c r="C1655" t="s">
        <v>5043</v>
      </c>
      <c r="D1655" t="s">
        <v>8401</v>
      </c>
    </row>
    <row r="1656" spans="1:4" x14ac:dyDescent="0.25">
      <c r="A1656" s="63" t="s">
        <v>7890</v>
      </c>
      <c r="B1656" t="s">
        <v>1769</v>
      </c>
      <c r="C1656" t="s">
        <v>5043</v>
      </c>
      <c r="D1656" t="s">
        <v>8401</v>
      </c>
    </row>
    <row r="1657" spans="1:4" x14ac:dyDescent="0.25">
      <c r="A1657" s="63" t="s">
        <v>3369</v>
      </c>
      <c r="B1657" t="s">
        <v>1238</v>
      </c>
      <c r="C1657" t="s">
        <v>5043</v>
      </c>
      <c r="D1657" t="s">
        <v>8401</v>
      </c>
    </row>
    <row r="1658" spans="1:4" x14ac:dyDescent="0.25">
      <c r="A1658" s="63" t="s">
        <v>3370</v>
      </c>
      <c r="B1658" t="s">
        <v>1238</v>
      </c>
      <c r="C1658" t="s">
        <v>5043</v>
      </c>
      <c r="D1658" t="s">
        <v>8401</v>
      </c>
    </row>
    <row r="1659" spans="1:4" x14ac:dyDescent="0.25">
      <c r="A1659" s="63" t="s">
        <v>3371</v>
      </c>
      <c r="B1659" t="s">
        <v>1238</v>
      </c>
      <c r="C1659" t="s">
        <v>5043</v>
      </c>
      <c r="D1659" t="s">
        <v>8401</v>
      </c>
    </row>
    <row r="1660" spans="1:4" x14ac:dyDescent="0.25">
      <c r="A1660" s="63" t="s">
        <v>3372</v>
      </c>
      <c r="B1660" t="s">
        <v>1238</v>
      </c>
      <c r="C1660" t="s">
        <v>5043</v>
      </c>
      <c r="D1660" t="s">
        <v>8401</v>
      </c>
    </row>
    <row r="1661" spans="1:4" x14ac:dyDescent="0.25">
      <c r="A1661" s="63" t="s">
        <v>3373</v>
      </c>
      <c r="B1661" t="s">
        <v>1238</v>
      </c>
      <c r="C1661" t="s">
        <v>5043</v>
      </c>
      <c r="D1661" t="s">
        <v>8401</v>
      </c>
    </row>
    <row r="1662" spans="1:4" x14ac:dyDescent="0.25">
      <c r="A1662" s="63" t="s">
        <v>3374</v>
      </c>
      <c r="B1662" t="s">
        <v>1238</v>
      </c>
      <c r="C1662" t="s">
        <v>5043</v>
      </c>
      <c r="D1662" t="s">
        <v>8401</v>
      </c>
    </row>
    <row r="1663" spans="1:4" x14ac:dyDescent="0.25">
      <c r="A1663" s="63" t="s">
        <v>3375</v>
      </c>
      <c r="B1663" t="s">
        <v>1238</v>
      </c>
      <c r="C1663" t="s">
        <v>5043</v>
      </c>
      <c r="D1663" t="s">
        <v>8401</v>
      </c>
    </row>
    <row r="1664" spans="1:4" x14ac:dyDescent="0.25">
      <c r="A1664" s="63" t="s">
        <v>3376</v>
      </c>
      <c r="B1664" t="s">
        <v>1238</v>
      </c>
      <c r="C1664" t="s">
        <v>5043</v>
      </c>
      <c r="D1664" t="s">
        <v>8401</v>
      </c>
    </row>
    <row r="1665" spans="1:4" x14ac:dyDescent="0.25">
      <c r="A1665" s="63" t="s">
        <v>3377</v>
      </c>
      <c r="B1665" t="s">
        <v>1238</v>
      </c>
      <c r="C1665" t="s">
        <v>5043</v>
      </c>
      <c r="D1665" t="s">
        <v>8401</v>
      </c>
    </row>
    <row r="1666" spans="1:4" x14ac:dyDescent="0.25">
      <c r="A1666" s="63" t="s">
        <v>3378</v>
      </c>
      <c r="B1666" t="s">
        <v>1238</v>
      </c>
      <c r="C1666" t="s">
        <v>5043</v>
      </c>
      <c r="D1666" t="s">
        <v>8401</v>
      </c>
    </row>
    <row r="1667" spans="1:4" x14ac:dyDescent="0.25">
      <c r="A1667" s="63" t="s">
        <v>3379</v>
      </c>
      <c r="B1667" t="s">
        <v>1238</v>
      </c>
      <c r="C1667" t="s">
        <v>5043</v>
      </c>
      <c r="D1667" t="s">
        <v>8401</v>
      </c>
    </row>
    <row r="1668" spans="1:4" x14ac:dyDescent="0.25">
      <c r="A1668" s="63" t="s">
        <v>7891</v>
      </c>
      <c r="B1668" t="s">
        <v>1238</v>
      </c>
      <c r="C1668" t="s">
        <v>5043</v>
      </c>
      <c r="D1668" t="s">
        <v>8401</v>
      </c>
    </row>
    <row r="1669" spans="1:4" x14ac:dyDescent="0.25">
      <c r="A1669" s="63" t="s">
        <v>5326</v>
      </c>
      <c r="B1669" t="s">
        <v>1238</v>
      </c>
      <c r="C1669" t="s">
        <v>5043</v>
      </c>
      <c r="D1669" t="s">
        <v>8401</v>
      </c>
    </row>
    <row r="1670" spans="1:4" x14ac:dyDescent="0.25">
      <c r="A1670" s="63" t="s">
        <v>5319</v>
      </c>
      <c r="B1670" t="s">
        <v>1238</v>
      </c>
      <c r="C1670" t="s">
        <v>5043</v>
      </c>
      <c r="D1670" t="s">
        <v>8401</v>
      </c>
    </row>
    <row r="1671" spans="1:4" x14ac:dyDescent="0.25">
      <c r="A1671" s="63" t="s">
        <v>7892</v>
      </c>
      <c r="B1671" t="s">
        <v>1238</v>
      </c>
      <c r="C1671" t="s">
        <v>5043</v>
      </c>
      <c r="D1671" t="s">
        <v>8401</v>
      </c>
    </row>
    <row r="1672" spans="1:4" x14ac:dyDescent="0.25">
      <c r="A1672" s="63" t="s">
        <v>5483</v>
      </c>
      <c r="B1672" t="s">
        <v>1238</v>
      </c>
      <c r="C1672" t="s">
        <v>5043</v>
      </c>
      <c r="D1672" t="s">
        <v>8401</v>
      </c>
    </row>
    <row r="1673" spans="1:4" x14ac:dyDescent="0.25">
      <c r="A1673" s="63" t="s">
        <v>5484</v>
      </c>
      <c r="B1673" t="s">
        <v>1238</v>
      </c>
      <c r="C1673" t="s">
        <v>5043</v>
      </c>
      <c r="D1673" t="s">
        <v>8401</v>
      </c>
    </row>
    <row r="1674" spans="1:4" x14ac:dyDescent="0.25">
      <c r="A1674" s="63" t="s">
        <v>5485</v>
      </c>
      <c r="B1674" t="s">
        <v>1238</v>
      </c>
      <c r="C1674" t="s">
        <v>5043</v>
      </c>
      <c r="D1674" t="s">
        <v>8401</v>
      </c>
    </row>
    <row r="1675" spans="1:4" x14ac:dyDescent="0.25">
      <c r="A1675" s="63" t="s">
        <v>5486</v>
      </c>
      <c r="B1675" t="s">
        <v>1238</v>
      </c>
      <c r="C1675" t="s">
        <v>5043</v>
      </c>
      <c r="D1675" t="s">
        <v>8401</v>
      </c>
    </row>
    <row r="1676" spans="1:4" x14ac:dyDescent="0.25">
      <c r="A1676" s="63" t="s">
        <v>5060</v>
      </c>
      <c r="B1676" t="s">
        <v>1238</v>
      </c>
      <c r="C1676" t="s">
        <v>5043</v>
      </c>
      <c r="D1676" t="s">
        <v>8401</v>
      </c>
    </row>
    <row r="1677" spans="1:4" x14ac:dyDescent="0.25">
      <c r="A1677" s="63" t="s">
        <v>5061</v>
      </c>
      <c r="B1677" t="s">
        <v>1238</v>
      </c>
      <c r="C1677" t="s">
        <v>5043</v>
      </c>
      <c r="D1677" t="s">
        <v>8401</v>
      </c>
    </row>
    <row r="1678" spans="1:4" x14ac:dyDescent="0.25">
      <c r="A1678" s="63" t="s">
        <v>7893</v>
      </c>
      <c r="B1678" t="s">
        <v>1238</v>
      </c>
      <c r="C1678" t="s">
        <v>5043</v>
      </c>
      <c r="D1678" t="s">
        <v>8401</v>
      </c>
    </row>
    <row r="1679" spans="1:4" x14ac:dyDescent="0.25">
      <c r="A1679" s="63" t="s">
        <v>7894</v>
      </c>
      <c r="B1679" t="s">
        <v>1238</v>
      </c>
      <c r="C1679" t="s">
        <v>5043</v>
      </c>
      <c r="D1679" t="s">
        <v>8401</v>
      </c>
    </row>
    <row r="1680" spans="1:4" x14ac:dyDescent="0.25">
      <c r="A1680" s="63" t="s">
        <v>5819</v>
      </c>
      <c r="B1680" t="s">
        <v>1238</v>
      </c>
      <c r="C1680" t="s">
        <v>5043</v>
      </c>
      <c r="D1680" t="s">
        <v>8401</v>
      </c>
    </row>
    <row r="1681" spans="1:4" x14ac:dyDescent="0.25">
      <c r="A1681" s="63" t="s">
        <v>5111</v>
      </c>
      <c r="B1681" t="s">
        <v>1238</v>
      </c>
      <c r="C1681" t="s">
        <v>5043</v>
      </c>
      <c r="D1681" t="s">
        <v>8401</v>
      </c>
    </row>
    <row r="1682" spans="1:4" x14ac:dyDescent="0.25">
      <c r="A1682" s="63" t="s">
        <v>7895</v>
      </c>
      <c r="B1682" t="s">
        <v>1238</v>
      </c>
      <c r="C1682" t="s">
        <v>5043</v>
      </c>
      <c r="D1682" t="s">
        <v>8401</v>
      </c>
    </row>
    <row r="1683" spans="1:4" x14ac:dyDescent="0.25">
      <c r="A1683" s="63" t="s">
        <v>5064</v>
      </c>
      <c r="B1683" t="s">
        <v>1238</v>
      </c>
      <c r="C1683" t="s">
        <v>5043</v>
      </c>
      <c r="D1683" t="s">
        <v>8401</v>
      </c>
    </row>
    <row r="1684" spans="1:4" x14ac:dyDescent="0.25">
      <c r="A1684" s="63" t="s">
        <v>5065</v>
      </c>
      <c r="B1684" t="s">
        <v>1238</v>
      </c>
      <c r="C1684" t="s">
        <v>5043</v>
      </c>
      <c r="D1684" t="s">
        <v>8401</v>
      </c>
    </row>
    <row r="1685" spans="1:4" x14ac:dyDescent="0.25">
      <c r="A1685" s="63" t="s">
        <v>7896</v>
      </c>
      <c r="B1685" t="s">
        <v>1238</v>
      </c>
      <c r="C1685" t="s">
        <v>5043</v>
      </c>
      <c r="D1685" t="s">
        <v>8401</v>
      </c>
    </row>
    <row r="1686" spans="1:4" x14ac:dyDescent="0.25">
      <c r="A1686" s="63" t="s">
        <v>5066</v>
      </c>
      <c r="B1686" t="s">
        <v>1238</v>
      </c>
      <c r="C1686" t="s">
        <v>5043</v>
      </c>
      <c r="D1686" t="s">
        <v>8401</v>
      </c>
    </row>
    <row r="1687" spans="1:4" x14ac:dyDescent="0.25">
      <c r="A1687" s="63" t="s">
        <v>7897</v>
      </c>
      <c r="B1687" t="s">
        <v>1238</v>
      </c>
      <c r="C1687" t="s">
        <v>5043</v>
      </c>
      <c r="D1687" t="s">
        <v>8401</v>
      </c>
    </row>
    <row r="1688" spans="1:4" x14ac:dyDescent="0.25">
      <c r="A1688" s="63" t="s">
        <v>7898</v>
      </c>
      <c r="B1688" t="s">
        <v>1238</v>
      </c>
      <c r="C1688" t="s">
        <v>5043</v>
      </c>
      <c r="D1688" t="s">
        <v>8401</v>
      </c>
    </row>
    <row r="1689" spans="1:4" x14ac:dyDescent="0.25">
      <c r="A1689" s="63" t="s">
        <v>7899</v>
      </c>
      <c r="B1689" t="s">
        <v>1238</v>
      </c>
      <c r="C1689" t="s">
        <v>5043</v>
      </c>
      <c r="D1689" t="s">
        <v>8401</v>
      </c>
    </row>
    <row r="1690" spans="1:4" x14ac:dyDescent="0.25">
      <c r="A1690" s="63" t="s">
        <v>7900</v>
      </c>
      <c r="B1690" t="s">
        <v>1238</v>
      </c>
      <c r="C1690" t="s">
        <v>5043</v>
      </c>
      <c r="D1690" t="s">
        <v>8401</v>
      </c>
    </row>
    <row r="1691" spans="1:4" x14ac:dyDescent="0.25">
      <c r="A1691" s="63" t="s">
        <v>7901</v>
      </c>
      <c r="B1691" t="s">
        <v>1238</v>
      </c>
      <c r="C1691" t="s">
        <v>5043</v>
      </c>
      <c r="D1691" t="s">
        <v>8401</v>
      </c>
    </row>
    <row r="1692" spans="1:4" x14ac:dyDescent="0.25">
      <c r="A1692" s="63" t="s">
        <v>7902</v>
      </c>
      <c r="B1692" t="s">
        <v>1238</v>
      </c>
      <c r="C1692" t="s">
        <v>5043</v>
      </c>
      <c r="D1692" t="s">
        <v>8401</v>
      </c>
    </row>
    <row r="1693" spans="1:4" x14ac:dyDescent="0.25">
      <c r="A1693" s="63" t="s">
        <v>7903</v>
      </c>
      <c r="B1693" t="s">
        <v>1238</v>
      </c>
      <c r="C1693" t="s">
        <v>5043</v>
      </c>
      <c r="D1693" t="s">
        <v>8401</v>
      </c>
    </row>
    <row r="1694" spans="1:4" x14ac:dyDescent="0.25">
      <c r="A1694" s="63" t="s">
        <v>5471</v>
      </c>
      <c r="B1694" t="s">
        <v>1238</v>
      </c>
      <c r="C1694" t="s">
        <v>5043</v>
      </c>
      <c r="D1694" t="s">
        <v>8401</v>
      </c>
    </row>
    <row r="1695" spans="1:4" x14ac:dyDescent="0.25">
      <c r="A1695" s="63" t="s">
        <v>7904</v>
      </c>
      <c r="B1695" t="s">
        <v>1238</v>
      </c>
      <c r="C1695" t="s">
        <v>5043</v>
      </c>
      <c r="D1695" t="s">
        <v>8401</v>
      </c>
    </row>
    <row r="1696" spans="1:4" x14ac:dyDescent="0.25">
      <c r="A1696" s="63" t="s">
        <v>7905</v>
      </c>
      <c r="B1696" t="s">
        <v>1238</v>
      </c>
      <c r="C1696" t="s">
        <v>5043</v>
      </c>
      <c r="D1696" t="s">
        <v>8401</v>
      </c>
    </row>
    <row r="1697" spans="1:4" x14ac:dyDescent="0.25">
      <c r="A1697" s="63" t="s">
        <v>7906</v>
      </c>
      <c r="B1697" t="s">
        <v>1238</v>
      </c>
      <c r="C1697" t="s">
        <v>5043</v>
      </c>
      <c r="D1697" t="s">
        <v>8401</v>
      </c>
    </row>
    <row r="1698" spans="1:4" x14ac:dyDescent="0.25">
      <c r="A1698" s="63" t="s">
        <v>7907</v>
      </c>
      <c r="B1698" t="s">
        <v>1238</v>
      </c>
      <c r="C1698" t="s">
        <v>5043</v>
      </c>
      <c r="D1698" t="s">
        <v>8401</v>
      </c>
    </row>
    <row r="1699" spans="1:4" x14ac:dyDescent="0.25">
      <c r="A1699" s="63" t="s">
        <v>5820</v>
      </c>
      <c r="B1699" t="s">
        <v>1238</v>
      </c>
      <c r="C1699" t="s">
        <v>5043</v>
      </c>
      <c r="D1699" t="s">
        <v>8401</v>
      </c>
    </row>
    <row r="1700" spans="1:4" x14ac:dyDescent="0.25">
      <c r="A1700" s="63" t="s">
        <v>5821</v>
      </c>
      <c r="B1700" t="s">
        <v>1238</v>
      </c>
      <c r="C1700" t="s">
        <v>5043</v>
      </c>
      <c r="D1700" t="s">
        <v>8401</v>
      </c>
    </row>
    <row r="1701" spans="1:4" x14ac:dyDescent="0.25">
      <c r="A1701" s="63" t="s">
        <v>7908</v>
      </c>
      <c r="B1701" t="s">
        <v>1238</v>
      </c>
      <c r="C1701" t="s">
        <v>5043</v>
      </c>
      <c r="D1701" t="s">
        <v>8401</v>
      </c>
    </row>
    <row r="1702" spans="1:4" x14ac:dyDescent="0.25">
      <c r="A1702" s="63" t="s">
        <v>7909</v>
      </c>
      <c r="B1702" t="s">
        <v>1238</v>
      </c>
      <c r="C1702" t="s">
        <v>5043</v>
      </c>
      <c r="D1702" t="s">
        <v>8401</v>
      </c>
    </row>
    <row r="1703" spans="1:4" x14ac:dyDescent="0.25">
      <c r="A1703" s="63" t="s">
        <v>7910</v>
      </c>
      <c r="B1703" t="s">
        <v>1734</v>
      </c>
      <c r="C1703" t="s">
        <v>5043</v>
      </c>
      <c r="D1703" t="s">
        <v>8401</v>
      </c>
    </row>
    <row r="1704" spans="1:4" x14ac:dyDescent="0.25">
      <c r="A1704" s="63" t="s">
        <v>6993</v>
      </c>
      <c r="B1704" t="s">
        <v>1735</v>
      </c>
      <c r="C1704" t="s">
        <v>5043</v>
      </c>
      <c r="D1704" t="s">
        <v>8401</v>
      </c>
    </row>
    <row r="1705" spans="1:4" x14ac:dyDescent="0.25">
      <c r="A1705" s="63" t="s">
        <v>6971</v>
      </c>
      <c r="B1705" t="s">
        <v>1737</v>
      </c>
      <c r="C1705" t="s">
        <v>5043</v>
      </c>
      <c r="D1705" t="s">
        <v>8401</v>
      </c>
    </row>
    <row r="1706" spans="1:4" x14ac:dyDescent="0.25">
      <c r="A1706" s="63" t="s">
        <v>7911</v>
      </c>
      <c r="B1706" t="s">
        <v>2459</v>
      </c>
      <c r="C1706" t="s">
        <v>5043</v>
      </c>
      <c r="D1706" t="s">
        <v>8401</v>
      </c>
    </row>
    <row r="1707" spans="1:4" x14ac:dyDescent="0.25">
      <c r="A1707" s="63" t="s">
        <v>7912</v>
      </c>
      <c r="B1707" t="s">
        <v>2460</v>
      </c>
      <c r="C1707" t="s">
        <v>5043</v>
      </c>
      <c r="D1707" t="s">
        <v>8401</v>
      </c>
    </row>
    <row r="1708" spans="1:4" x14ac:dyDescent="0.25">
      <c r="A1708" s="63" t="s">
        <v>7913</v>
      </c>
      <c r="B1708" t="s">
        <v>2150</v>
      </c>
      <c r="C1708" t="s">
        <v>5043</v>
      </c>
      <c r="D1708" t="s">
        <v>8401</v>
      </c>
    </row>
    <row r="1709" spans="1:4" x14ac:dyDescent="0.25">
      <c r="A1709" s="63" t="s">
        <v>6680</v>
      </c>
      <c r="B1709" t="s">
        <v>1309</v>
      </c>
      <c r="C1709" t="s">
        <v>5043</v>
      </c>
      <c r="D1709" t="s">
        <v>8401</v>
      </c>
    </row>
    <row r="1710" spans="1:4" x14ac:dyDescent="0.25">
      <c r="A1710" s="63" t="s">
        <v>6682</v>
      </c>
      <c r="B1710" t="s">
        <v>1901</v>
      </c>
      <c r="C1710" t="s">
        <v>5043</v>
      </c>
      <c r="D1710" t="s">
        <v>8401</v>
      </c>
    </row>
    <row r="1711" spans="1:4" x14ac:dyDescent="0.25">
      <c r="A1711" s="63" t="s">
        <v>6963</v>
      </c>
      <c r="B1711" t="s">
        <v>1305</v>
      </c>
      <c r="C1711" t="s">
        <v>5043</v>
      </c>
      <c r="D1711" t="s">
        <v>8401</v>
      </c>
    </row>
    <row r="1712" spans="1:4" x14ac:dyDescent="0.25">
      <c r="A1712" s="63" t="s">
        <v>6975</v>
      </c>
      <c r="B1712" t="s">
        <v>2102</v>
      </c>
      <c r="C1712" t="s">
        <v>5043</v>
      </c>
      <c r="D1712" t="s">
        <v>8401</v>
      </c>
    </row>
    <row r="1713" spans="1:4" x14ac:dyDescent="0.25">
      <c r="A1713" s="63" t="s">
        <v>6688</v>
      </c>
      <c r="B1713" t="s">
        <v>2196</v>
      </c>
      <c r="C1713" t="s">
        <v>5043</v>
      </c>
      <c r="D1713" t="s">
        <v>8401</v>
      </c>
    </row>
    <row r="1714" spans="1:4" x14ac:dyDescent="0.25">
      <c r="A1714" s="63" t="s">
        <v>6690</v>
      </c>
      <c r="B1714" t="s">
        <v>1445</v>
      </c>
      <c r="C1714" t="s">
        <v>5043</v>
      </c>
      <c r="D1714" t="s">
        <v>8401</v>
      </c>
    </row>
    <row r="1715" spans="1:4" x14ac:dyDescent="0.25">
      <c r="A1715" s="63" t="s">
        <v>3380</v>
      </c>
      <c r="B1715" t="s">
        <v>1445</v>
      </c>
      <c r="C1715" t="s">
        <v>5043</v>
      </c>
      <c r="D1715" t="s">
        <v>8401</v>
      </c>
    </row>
    <row r="1716" spans="1:4" x14ac:dyDescent="0.25">
      <c r="A1716" s="63" t="s">
        <v>3381</v>
      </c>
      <c r="B1716" t="s">
        <v>1445</v>
      </c>
      <c r="C1716" t="s">
        <v>5043</v>
      </c>
      <c r="D1716" t="s">
        <v>8401</v>
      </c>
    </row>
    <row r="1717" spans="1:4" x14ac:dyDescent="0.25">
      <c r="A1717" s="63" t="s">
        <v>3382</v>
      </c>
      <c r="B1717" t="s">
        <v>1445</v>
      </c>
      <c r="C1717" t="s">
        <v>5043</v>
      </c>
      <c r="D1717" t="s">
        <v>8401</v>
      </c>
    </row>
    <row r="1718" spans="1:4" x14ac:dyDescent="0.25">
      <c r="A1718" s="63" t="s">
        <v>7914</v>
      </c>
      <c r="B1718" t="s">
        <v>1446</v>
      </c>
      <c r="C1718" t="s">
        <v>5043</v>
      </c>
      <c r="D1718" t="s">
        <v>8401</v>
      </c>
    </row>
    <row r="1719" spans="1:4" x14ac:dyDescent="0.25">
      <c r="A1719" s="63" t="s">
        <v>7915</v>
      </c>
      <c r="B1719" t="s">
        <v>2109</v>
      </c>
      <c r="C1719" t="s">
        <v>5043</v>
      </c>
      <c r="D1719" t="s">
        <v>8401</v>
      </c>
    </row>
    <row r="1720" spans="1:4" x14ac:dyDescent="0.25">
      <c r="A1720" s="63" t="s">
        <v>7916</v>
      </c>
      <c r="B1720" t="s">
        <v>2109</v>
      </c>
      <c r="C1720" t="s">
        <v>5043</v>
      </c>
      <c r="D1720" t="s">
        <v>8401</v>
      </c>
    </row>
    <row r="1721" spans="1:4" x14ac:dyDescent="0.25">
      <c r="A1721" s="63" t="s">
        <v>7917</v>
      </c>
      <c r="B1721" t="s">
        <v>2109</v>
      </c>
      <c r="C1721" t="s">
        <v>5043</v>
      </c>
      <c r="D1721" t="s">
        <v>8401</v>
      </c>
    </row>
    <row r="1722" spans="1:4" x14ac:dyDescent="0.25">
      <c r="A1722" s="63" t="s">
        <v>7918</v>
      </c>
      <c r="B1722" t="s">
        <v>2109</v>
      </c>
      <c r="C1722" t="s">
        <v>5043</v>
      </c>
      <c r="D1722" t="s">
        <v>8401</v>
      </c>
    </row>
    <row r="1723" spans="1:4" x14ac:dyDescent="0.25">
      <c r="A1723" s="63" t="s">
        <v>7919</v>
      </c>
      <c r="B1723" t="s">
        <v>1354</v>
      </c>
      <c r="C1723" t="s">
        <v>5043</v>
      </c>
      <c r="D1723" t="s">
        <v>8401</v>
      </c>
    </row>
    <row r="1724" spans="1:4" x14ac:dyDescent="0.25">
      <c r="A1724" s="63" t="s">
        <v>7920</v>
      </c>
      <c r="B1724" t="s">
        <v>1354</v>
      </c>
      <c r="C1724" t="s">
        <v>5043</v>
      </c>
      <c r="D1724" t="s">
        <v>8401</v>
      </c>
    </row>
    <row r="1725" spans="1:4" x14ac:dyDescent="0.25">
      <c r="A1725" s="63" t="s">
        <v>7921</v>
      </c>
      <c r="B1725" t="s">
        <v>1354</v>
      </c>
      <c r="C1725" t="s">
        <v>5043</v>
      </c>
      <c r="D1725" t="s">
        <v>8401</v>
      </c>
    </row>
    <row r="1726" spans="1:4" x14ac:dyDescent="0.25">
      <c r="A1726" s="63" t="s">
        <v>7922</v>
      </c>
      <c r="B1726" t="s">
        <v>1354</v>
      </c>
      <c r="C1726" t="s">
        <v>5043</v>
      </c>
      <c r="D1726" t="s">
        <v>8401</v>
      </c>
    </row>
    <row r="1727" spans="1:4" x14ac:dyDescent="0.25">
      <c r="A1727" s="63" t="s">
        <v>7923</v>
      </c>
      <c r="B1727" t="s">
        <v>1354</v>
      </c>
      <c r="C1727" t="s">
        <v>5043</v>
      </c>
      <c r="D1727" t="s">
        <v>8401</v>
      </c>
    </row>
    <row r="1728" spans="1:4" x14ac:dyDescent="0.25">
      <c r="A1728" s="63" t="s">
        <v>7924</v>
      </c>
      <c r="B1728" t="s">
        <v>1354</v>
      </c>
      <c r="C1728" t="s">
        <v>5043</v>
      </c>
      <c r="D1728" t="s">
        <v>8401</v>
      </c>
    </row>
    <row r="1729" spans="1:4" x14ac:dyDescent="0.25">
      <c r="A1729" s="63" t="s">
        <v>7925</v>
      </c>
      <c r="B1729" t="s">
        <v>1355</v>
      </c>
      <c r="C1729" t="s">
        <v>5043</v>
      </c>
      <c r="D1729" t="s">
        <v>8401</v>
      </c>
    </row>
    <row r="1730" spans="1:4" x14ac:dyDescent="0.25">
      <c r="A1730" s="63" t="s">
        <v>3383</v>
      </c>
      <c r="B1730" t="s">
        <v>1356</v>
      </c>
      <c r="C1730" t="s">
        <v>5043</v>
      </c>
      <c r="D1730" t="s">
        <v>8401</v>
      </c>
    </row>
    <row r="1731" spans="1:4" x14ac:dyDescent="0.25">
      <c r="A1731" s="63" t="s">
        <v>7926</v>
      </c>
      <c r="B1731" t="s">
        <v>1356</v>
      </c>
      <c r="C1731" t="s">
        <v>5043</v>
      </c>
      <c r="D1731" t="s">
        <v>8401</v>
      </c>
    </row>
    <row r="1732" spans="1:4" x14ac:dyDescent="0.25">
      <c r="A1732" s="63" t="s">
        <v>7927</v>
      </c>
      <c r="B1732" t="s">
        <v>1356</v>
      </c>
      <c r="C1732" t="s">
        <v>5043</v>
      </c>
      <c r="D1732" t="s">
        <v>8401</v>
      </c>
    </row>
    <row r="1733" spans="1:4" x14ac:dyDescent="0.25">
      <c r="A1733" s="63" t="s">
        <v>7928</v>
      </c>
      <c r="B1733" t="s">
        <v>1356</v>
      </c>
      <c r="C1733" t="s">
        <v>5043</v>
      </c>
      <c r="D1733" t="s">
        <v>8401</v>
      </c>
    </row>
    <row r="1734" spans="1:4" x14ac:dyDescent="0.25">
      <c r="A1734" s="63" t="s">
        <v>7929</v>
      </c>
      <c r="B1734" t="s">
        <v>1356</v>
      </c>
      <c r="C1734" t="s">
        <v>5043</v>
      </c>
      <c r="D1734" t="s">
        <v>8401</v>
      </c>
    </row>
    <row r="1735" spans="1:4" x14ac:dyDescent="0.25">
      <c r="A1735" s="63" t="s">
        <v>7930</v>
      </c>
      <c r="B1735" t="s">
        <v>1356</v>
      </c>
      <c r="C1735" t="s">
        <v>5043</v>
      </c>
      <c r="D1735" t="s">
        <v>8401</v>
      </c>
    </row>
    <row r="1736" spans="1:4" x14ac:dyDescent="0.25">
      <c r="A1736" s="63" t="s">
        <v>7931</v>
      </c>
      <c r="B1736" t="s">
        <v>1356</v>
      </c>
      <c r="C1736" t="s">
        <v>5043</v>
      </c>
      <c r="D1736" t="s">
        <v>8401</v>
      </c>
    </row>
    <row r="1737" spans="1:4" x14ac:dyDescent="0.25">
      <c r="A1737" s="63" t="s">
        <v>7932</v>
      </c>
      <c r="B1737" t="s">
        <v>1918</v>
      </c>
      <c r="C1737" t="s">
        <v>5043</v>
      </c>
      <c r="D1737" t="s">
        <v>8401</v>
      </c>
    </row>
    <row r="1738" spans="1:4" x14ac:dyDescent="0.25">
      <c r="A1738" s="63" t="s">
        <v>7933</v>
      </c>
      <c r="B1738" t="s">
        <v>1917</v>
      </c>
      <c r="C1738" t="s">
        <v>5043</v>
      </c>
      <c r="D1738" t="s">
        <v>8401</v>
      </c>
    </row>
    <row r="1739" spans="1:4" x14ac:dyDescent="0.25">
      <c r="A1739" s="63" t="s">
        <v>7934</v>
      </c>
      <c r="B1739" t="s">
        <v>1301</v>
      </c>
      <c r="C1739" t="s">
        <v>5043</v>
      </c>
      <c r="D1739" t="s">
        <v>8401</v>
      </c>
    </row>
    <row r="1740" spans="1:4" x14ac:dyDescent="0.25">
      <c r="A1740" s="63" t="s">
        <v>7935</v>
      </c>
      <c r="B1740" t="s">
        <v>1300</v>
      </c>
      <c r="C1740" t="s">
        <v>5043</v>
      </c>
      <c r="D1740" t="s">
        <v>8401</v>
      </c>
    </row>
    <row r="1741" spans="1:4" x14ac:dyDescent="0.25">
      <c r="A1741" s="63" t="s">
        <v>7936</v>
      </c>
      <c r="B1741" t="s">
        <v>1300</v>
      </c>
      <c r="C1741" t="s">
        <v>5043</v>
      </c>
      <c r="D1741" t="s">
        <v>8401</v>
      </c>
    </row>
    <row r="1742" spans="1:4" x14ac:dyDescent="0.25">
      <c r="A1742" s="63" t="s">
        <v>7937</v>
      </c>
      <c r="B1742" t="s">
        <v>1300</v>
      </c>
      <c r="C1742" t="s">
        <v>5043</v>
      </c>
      <c r="D1742" t="s">
        <v>8401</v>
      </c>
    </row>
    <row r="1743" spans="1:4" x14ac:dyDescent="0.25">
      <c r="A1743" s="63" t="s">
        <v>7938</v>
      </c>
      <c r="B1743" t="s">
        <v>1300</v>
      </c>
      <c r="C1743" t="s">
        <v>5043</v>
      </c>
      <c r="D1743" t="s">
        <v>8401</v>
      </c>
    </row>
    <row r="1744" spans="1:4" x14ac:dyDescent="0.25">
      <c r="A1744" s="63" t="s">
        <v>7939</v>
      </c>
      <c r="B1744" t="s">
        <v>1300</v>
      </c>
      <c r="C1744" t="s">
        <v>5043</v>
      </c>
      <c r="D1744" t="s">
        <v>8401</v>
      </c>
    </row>
    <row r="1745" spans="1:4" x14ac:dyDescent="0.25">
      <c r="A1745" s="63" t="s">
        <v>6814</v>
      </c>
      <c r="B1745" t="s">
        <v>1300</v>
      </c>
      <c r="C1745" t="s">
        <v>5043</v>
      </c>
      <c r="D1745" t="s">
        <v>8401</v>
      </c>
    </row>
    <row r="1746" spans="1:4" x14ac:dyDescent="0.25">
      <c r="A1746" s="63" t="s">
        <v>7940</v>
      </c>
      <c r="B1746" t="s">
        <v>1300</v>
      </c>
      <c r="C1746" t="s">
        <v>5043</v>
      </c>
      <c r="D1746" t="s">
        <v>8401</v>
      </c>
    </row>
    <row r="1747" spans="1:4" x14ac:dyDescent="0.25">
      <c r="A1747" s="63" t="s">
        <v>7941</v>
      </c>
      <c r="B1747" t="s">
        <v>1300</v>
      </c>
      <c r="C1747" t="s">
        <v>5043</v>
      </c>
      <c r="D1747" t="s">
        <v>8401</v>
      </c>
    </row>
    <row r="1748" spans="1:4" x14ac:dyDescent="0.25">
      <c r="A1748" s="63" t="s">
        <v>7942</v>
      </c>
      <c r="B1748" t="s">
        <v>1531</v>
      </c>
      <c r="C1748" t="s">
        <v>5043</v>
      </c>
      <c r="D1748" t="s">
        <v>8401</v>
      </c>
    </row>
    <row r="1749" spans="1:4" x14ac:dyDescent="0.25">
      <c r="A1749" s="63" t="s">
        <v>7943</v>
      </c>
      <c r="B1749" t="s">
        <v>1531</v>
      </c>
      <c r="C1749" t="s">
        <v>5043</v>
      </c>
      <c r="D1749" t="s">
        <v>8401</v>
      </c>
    </row>
    <row r="1750" spans="1:4" x14ac:dyDescent="0.25">
      <c r="A1750" s="63" t="s">
        <v>3384</v>
      </c>
      <c r="B1750" t="s">
        <v>2212</v>
      </c>
      <c r="C1750" t="s">
        <v>5043</v>
      </c>
      <c r="D1750" t="s">
        <v>8401</v>
      </c>
    </row>
    <row r="1751" spans="1:4" x14ac:dyDescent="0.25">
      <c r="A1751" s="63" t="s">
        <v>3385</v>
      </c>
      <c r="B1751" t="s">
        <v>1538</v>
      </c>
      <c r="C1751" t="s">
        <v>5043</v>
      </c>
      <c r="D1751" t="s">
        <v>8401</v>
      </c>
    </row>
    <row r="1752" spans="1:4" x14ac:dyDescent="0.25">
      <c r="A1752" s="63" t="s">
        <v>3386</v>
      </c>
      <c r="B1752" t="s">
        <v>1538</v>
      </c>
      <c r="C1752" t="s">
        <v>5043</v>
      </c>
      <c r="D1752" t="s">
        <v>8401</v>
      </c>
    </row>
    <row r="1753" spans="1:4" x14ac:dyDescent="0.25">
      <c r="A1753" s="63" t="s">
        <v>3387</v>
      </c>
      <c r="B1753" t="s">
        <v>1537</v>
      </c>
      <c r="C1753" t="s">
        <v>5043</v>
      </c>
      <c r="D1753" t="s">
        <v>8401</v>
      </c>
    </row>
    <row r="1754" spans="1:4" x14ac:dyDescent="0.25">
      <c r="A1754" s="63" t="s">
        <v>7057</v>
      </c>
      <c r="B1754" t="s">
        <v>1821</v>
      </c>
      <c r="C1754" t="s">
        <v>5043</v>
      </c>
      <c r="D1754" t="s">
        <v>8401</v>
      </c>
    </row>
    <row r="1755" spans="1:4" x14ac:dyDescent="0.25">
      <c r="A1755" s="63" t="s">
        <v>7944</v>
      </c>
      <c r="B1755" t="s">
        <v>1505</v>
      </c>
      <c r="C1755" t="s">
        <v>5043</v>
      </c>
      <c r="D1755" t="s">
        <v>8401</v>
      </c>
    </row>
    <row r="1756" spans="1:4" x14ac:dyDescent="0.25">
      <c r="A1756" s="63" t="s">
        <v>3388</v>
      </c>
      <c r="B1756" t="s">
        <v>2275</v>
      </c>
      <c r="C1756" t="s">
        <v>5043</v>
      </c>
      <c r="D1756" t="s">
        <v>8401</v>
      </c>
    </row>
    <row r="1757" spans="1:4" x14ac:dyDescent="0.25">
      <c r="A1757" s="63" t="s">
        <v>3389</v>
      </c>
      <c r="B1757" t="s">
        <v>2275</v>
      </c>
      <c r="C1757" t="s">
        <v>5043</v>
      </c>
      <c r="D1757" t="s">
        <v>8401</v>
      </c>
    </row>
    <row r="1758" spans="1:4" x14ac:dyDescent="0.25">
      <c r="A1758" s="63" t="s">
        <v>3390</v>
      </c>
      <c r="B1758" t="s">
        <v>2275</v>
      </c>
      <c r="C1758" t="s">
        <v>5043</v>
      </c>
      <c r="D1758" t="s">
        <v>8401</v>
      </c>
    </row>
    <row r="1759" spans="1:4" x14ac:dyDescent="0.25">
      <c r="A1759" s="63" t="s">
        <v>3391</v>
      </c>
      <c r="B1759" t="s">
        <v>2275</v>
      </c>
      <c r="C1759" t="s">
        <v>5043</v>
      </c>
      <c r="D1759" t="s">
        <v>8401</v>
      </c>
    </row>
    <row r="1760" spans="1:4" x14ac:dyDescent="0.25">
      <c r="A1760" s="63" t="s">
        <v>5322</v>
      </c>
      <c r="B1760" t="s">
        <v>2275</v>
      </c>
      <c r="C1760" t="s">
        <v>5043</v>
      </c>
      <c r="D1760" t="s">
        <v>8401</v>
      </c>
    </row>
    <row r="1761" spans="1:4" x14ac:dyDescent="0.25">
      <c r="A1761" s="63" t="s">
        <v>3392</v>
      </c>
      <c r="B1761" t="s">
        <v>1583</v>
      </c>
      <c r="C1761" t="s">
        <v>5043</v>
      </c>
      <c r="D1761" t="s">
        <v>8401</v>
      </c>
    </row>
    <row r="1762" spans="1:4" x14ac:dyDescent="0.25">
      <c r="A1762" s="63" t="s">
        <v>3393</v>
      </c>
      <c r="B1762" t="s">
        <v>1583</v>
      </c>
      <c r="C1762" t="s">
        <v>5043</v>
      </c>
      <c r="D1762" t="s">
        <v>8401</v>
      </c>
    </row>
    <row r="1763" spans="1:4" x14ac:dyDescent="0.25">
      <c r="A1763" s="63" t="s">
        <v>3394</v>
      </c>
      <c r="B1763" t="s">
        <v>1583</v>
      </c>
      <c r="C1763" t="s">
        <v>5043</v>
      </c>
      <c r="D1763" t="s">
        <v>8401</v>
      </c>
    </row>
    <row r="1764" spans="1:4" x14ac:dyDescent="0.25">
      <c r="A1764" s="63" t="s">
        <v>3395</v>
      </c>
      <c r="B1764" t="s">
        <v>1583</v>
      </c>
      <c r="C1764" t="s">
        <v>5043</v>
      </c>
      <c r="D1764" t="s">
        <v>8401</v>
      </c>
    </row>
    <row r="1765" spans="1:4" x14ac:dyDescent="0.25">
      <c r="A1765" s="63" t="s">
        <v>3396</v>
      </c>
      <c r="B1765" t="s">
        <v>1583</v>
      </c>
      <c r="C1765" t="s">
        <v>5043</v>
      </c>
      <c r="D1765" t="s">
        <v>8401</v>
      </c>
    </row>
    <row r="1766" spans="1:4" x14ac:dyDescent="0.25">
      <c r="A1766" s="63" t="s">
        <v>7254</v>
      </c>
      <c r="B1766" t="s">
        <v>1583</v>
      </c>
      <c r="C1766" t="s">
        <v>5043</v>
      </c>
      <c r="D1766" t="s">
        <v>8401</v>
      </c>
    </row>
    <row r="1767" spans="1:4" x14ac:dyDescent="0.25">
      <c r="A1767" s="63" t="s">
        <v>6765</v>
      </c>
      <c r="B1767" t="s">
        <v>1828</v>
      </c>
      <c r="C1767" t="s">
        <v>5043</v>
      </c>
      <c r="D1767" t="s">
        <v>8401</v>
      </c>
    </row>
    <row r="1768" spans="1:4" x14ac:dyDescent="0.25">
      <c r="A1768" s="63" t="s">
        <v>6766</v>
      </c>
      <c r="B1768" t="s">
        <v>1830</v>
      </c>
      <c r="C1768" t="s">
        <v>5043</v>
      </c>
      <c r="D1768" t="s">
        <v>8401</v>
      </c>
    </row>
    <row r="1769" spans="1:4" x14ac:dyDescent="0.25">
      <c r="A1769" s="63" t="s">
        <v>3397</v>
      </c>
      <c r="B1769" t="s">
        <v>1243</v>
      </c>
      <c r="C1769" t="s">
        <v>5043</v>
      </c>
      <c r="D1769" t="s">
        <v>8401</v>
      </c>
    </row>
    <row r="1770" spans="1:4" x14ac:dyDescent="0.25">
      <c r="A1770" s="63" t="s">
        <v>3398</v>
      </c>
      <c r="B1770" t="s">
        <v>1243</v>
      </c>
      <c r="C1770" t="s">
        <v>5043</v>
      </c>
      <c r="D1770" t="s">
        <v>8401</v>
      </c>
    </row>
    <row r="1771" spans="1:4" x14ac:dyDescent="0.25">
      <c r="A1771" s="63" t="s">
        <v>3399</v>
      </c>
      <c r="B1771" t="s">
        <v>1243</v>
      </c>
      <c r="C1771" t="s">
        <v>5043</v>
      </c>
      <c r="D1771" t="s">
        <v>8401</v>
      </c>
    </row>
    <row r="1772" spans="1:4" x14ac:dyDescent="0.25">
      <c r="A1772" s="63" t="s">
        <v>6607</v>
      </c>
      <c r="B1772" t="s">
        <v>1243</v>
      </c>
      <c r="C1772" t="s">
        <v>5043</v>
      </c>
      <c r="D1772" t="s">
        <v>8401</v>
      </c>
    </row>
    <row r="1773" spans="1:4" x14ac:dyDescent="0.25">
      <c r="A1773" s="63" t="s">
        <v>6618</v>
      </c>
      <c r="B1773" t="s">
        <v>1243</v>
      </c>
      <c r="C1773" t="s">
        <v>5043</v>
      </c>
      <c r="D1773" t="s">
        <v>8401</v>
      </c>
    </row>
    <row r="1774" spans="1:4" x14ac:dyDescent="0.25">
      <c r="A1774" s="63" t="s">
        <v>6619</v>
      </c>
      <c r="B1774" t="s">
        <v>1243</v>
      </c>
      <c r="C1774" t="s">
        <v>5043</v>
      </c>
      <c r="D1774" t="s">
        <v>8401</v>
      </c>
    </row>
    <row r="1775" spans="1:4" x14ac:dyDescent="0.25">
      <c r="A1775" s="63" t="s">
        <v>6620</v>
      </c>
      <c r="B1775" t="s">
        <v>1243</v>
      </c>
      <c r="C1775" t="s">
        <v>5043</v>
      </c>
      <c r="D1775" t="s">
        <v>8401</v>
      </c>
    </row>
    <row r="1776" spans="1:4" x14ac:dyDescent="0.25">
      <c r="A1776" s="63" t="s">
        <v>6631</v>
      </c>
      <c r="B1776" t="s">
        <v>1243</v>
      </c>
      <c r="C1776" t="s">
        <v>5043</v>
      </c>
      <c r="D1776" t="s">
        <v>8401</v>
      </c>
    </row>
    <row r="1777" spans="1:4" x14ac:dyDescent="0.25">
      <c r="A1777" s="63" t="s">
        <v>6632</v>
      </c>
      <c r="B1777" t="s">
        <v>1243</v>
      </c>
      <c r="C1777" t="s">
        <v>5043</v>
      </c>
      <c r="D1777" t="s">
        <v>8401</v>
      </c>
    </row>
    <row r="1778" spans="1:4" x14ac:dyDescent="0.25">
      <c r="A1778" s="63" t="s">
        <v>6633</v>
      </c>
      <c r="B1778" t="s">
        <v>1243</v>
      </c>
      <c r="C1778" t="s">
        <v>5043</v>
      </c>
      <c r="D1778" t="s">
        <v>8401</v>
      </c>
    </row>
    <row r="1779" spans="1:4" x14ac:dyDescent="0.25">
      <c r="A1779" s="63" t="s">
        <v>7945</v>
      </c>
      <c r="B1779" t="s">
        <v>1594</v>
      </c>
      <c r="C1779" t="s">
        <v>5043</v>
      </c>
      <c r="D1779" t="s">
        <v>8401</v>
      </c>
    </row>
    <row r="1780" spans="1:4" x14ac:dyDescent="0.25">
      <c r="A1780" s="63" t="s">
        <v>3400</v>
      </c>
      <c r="B1780" t="s">
        <v>1994</v>
      </c>
      <c r="C1780" t="s">
        <v>5043</v>
      </c>
      <c r="D1780" t="s">
        <v>8401</v>
      </c>
    </row>
    <row r="1781" spans="1:4" x14ac:dyDescent="0.25">
      <c r="A1781" s="63" t="s">
        <v>7946</v>
      </c>
      <c r="B1781" t="s">
        <v>2324</v>
      </c>
      <c r="C1781" t="s">
        <v>5043</v>
      </c>
      <c r="D1781" t="s">
        <v>8401</v>
      </c>
    </row>
    <row r="1782" spans="1:4" x14ac:dyDescent="0.25">
      <c r="A1782" s="63" t="s">
        <v>7947</v>
      </c>
      <c r="B1782" t="s">
        <v>2324</v>
      </c>
      <c r="C1782" t="s">
        <v>5043</v>
      </c>
      <c r="D1782" t="s">
        <v>8401</v>
      </c>
    </row>
    <row r="1783" spans="1:4" x14ac:dyDescent="0.25">
      <c r="A1783" s="63" t="s">
        <v>7948</v>
      </c>
      <c r="B1783" t="s">
        <v>1668</v>
      </c>
      <c r="C1783" t="s">
        <v>5043</v>
      </c>
      <c r="D1783" t="s">
        <v>8401</v>
      </c>
    </row>
    <row r="1784" spans="1:4" x14ac:dyDescent="0.25">
      <c r="A1784" s="63" t="s">
        <v>7949</v>
      </c>
      <c r="B1784" t="s">
        <v>1668</v>
      </c>
      <c r="C1784" t="s">
        <v>5043</v>
      </c>
      <c r="D1784" t="s">
        <v>8401</v>
      </c>
    </row>
    <row r="1785" spans="1:4" x14ac:dyDescent="0.25">
      <c r="A1785" s="63" t="s">
        <v>7950</v>
      </c>
      <c r="B1785" t="s">
        <v>1765</v>
      </c>
      <c r="C1785" t="s">
        <v>5043</v>
      </c>
      <c r="D1785" t="s">
        <v>8401</v>
      </c>
    </row>
    <row r="1786" spans="1:4" x14ac:dyDescent="0.25">
      <c r="A1786" s="63" t="s">
        <v>5711</v>
      </c>
      <c r="B1786" t="s">
        <v>1633</v>
      </c>
      <c r="C1786" t="s">
        <v>5043</v>
      </c>
      <c r="D1786" t="s">
        <v>8401</v>
      </c>
    </row>
    <row r="1787" spans="1:4" x14ac:dyDescent="0.25">
      <c r="A1787" s="63" t="s">
        <v>5712</v>
      </c>
      <c r="B1787" t="s">
        <v>1633</v>
      </c>
      <c r="C1787" t="s">
        <v>5043</v>
      </c>
      <c r="D1787" t="s">
        <v>8401</v>
      </c>
    </row>
    <row r="1788" spans="1:4" x14ac:dyDescent="0.25">
      <c r="A1788" s="63" t="s">
        <v>5713</v>
      </c>
      <c r="B1788" t="s">
        <v>1633</v>
      </c>
      <c r="C1788" t="s">
        <v>5043</v>
      </c>
      <c r="D1788" t="s">
        <v>8401</v>
      </c>
    </row>
    <row r="1789" spans="1:4" x14ac:dyDescent="0.25">
      <c r="A1789" s="63" t="s">
        <v>5212</v>
      </c>
      <c r="B1789" t="s">
        <v>2160</v>
      </c>
      <c r="C1789" t="s">
        <v>5043</v>
      </c>
      <c r="D1789" t="s">
        <v>8401</v>
      </c>
    </row>
    <row r="1790" spans="1:4" x14ac:dyDescent="0.25">
      <c r="A1790" s="63" t="s">
        <v>7951</v>
      </c>
      <c r="B1790" t="s">
        <v>1675</v>
      </c>
      <c r="C1790" t="s">
        <v>5043</v>
      </c>
      <c r="D1790" t="s">
        <v>8401</v>
      </c>
    </row>
    <row r="1791" spans="1:4" x14ac:dyDescent="0.25">
      <c r="A1791" s="63" t="s">
        <v>7952</v>
      </c>
      <c r="B1791" t="s">
        <v>1675</v>
      </c>
      <c r="C1791" t="s">
        <v>5043</v>
      </c>
      <c r="D1791" t="s">
        <v>8401</v>
      </c>
    </row>
    <row r="1792" spans="1:4" x14ac:dyDescent="0.25">
      <c r="A1792" s="63" t="s">
        <v>7953</v>
      </c>
      <c r="B1792" t="s">
        <v>1675</v>
      </c>
      <c r="C1792" t="s">
        <v>5043</v>
      </c>
      <c r="D1792" t="s">
        <v>8401</v>
      </c>
    </row>
    <row r="1793" spans="1:4" x14ac:dyDescent="0.25">
      <c r="A1793" s="63" t="s">
        <v>7954</v>
      </c>
      <c r="B1793" t="s">
        <v>1675</v>
      </c>
      <c r="C1793" t="s">
        <v>5043</v>
      </c>
      <c r="D1793" t="s">
        <v>8401</v>
      </c>
    </row>
    <row r="1794" spans="1:4" x14ac:dyDescent="0.25">
      <c r="A1794" s="63" t="s">
        <v>3401</v>
      </c>
      <c r="B1794" t="s">
        <v>2000</v>
      </c>
      <c r="C1794" t="s">
        <v>5043</v>
      </c>
      <c r="D1794" t="s">
        <v>8401</v>
      </c>
    </row>
    <row r="1795" spans="1:4" x14ac:dyDescent="0.25">
      <c r="A1795" s="63" t="s">
        <v>3402</v>
      </c>
      <c r="B1795" t="s">
        <v>2000</v>
      </c>
      <c r="C1795" t="s">
        <v>5043</v>
      </c>
      <c r="D1795" t="s">
        <v>8401</v>
      </c>
    </row>
    <row r="1796" spans="1:4" x14ac:dyDescent="0.25">
      <c r="A1796" s="63" t="s">
        <v>3403</v>
      </c>
      <c r="B1796" t="s">
        <v>2432</v>
      </c>
      <c r="C1796" t="s">
        <v>5043</v>
      </c>
      <c r="D1796" t="s">
        <v>8401</v>
      </c>
    </row>
    <row r="1797" spans="1:4" x14ac:dyDescent="0.25">
      <c r="A1797" s="63" t="s">
        <v>3404</v>
      </c>
      <c r="B1797" t="s">
        <v>2432</v>
      </c>
      <c r="C1797" t="s">
        <v>5043</v>
      </c>
      <c r="D1797" t="s">
        <v>8401</v>
      </c>
    </row>
    <row r="1798" spans="1:4" x14ac:dyDescent="0.25">
      <c r="A1798" s="63" t="s">
        <v>3405</v>
      </c>
      <c r="B1798" t="s">
        <v>2432</v>
      </c>
      <c r="C1798" t="s">
        <v>5043</v>
      </c>
      <c r="D1798" t="s">
        <v>8401</v>
      </c>
    </row>
    <row r="1799" spans="1:4" x14ac:dyDescent="0.25">
      <c r="A1799" s="63" t="s">
        <v>6648</v>
      </c>
      <c r="B1799" t="s">
        <v>1997</v>
      </c>
      <c r="C1799" t="s">
        <v>5043</v>
      </c>
      <c r="D1799" t="s">
        <v>8401</v>
      </c>
    </row>
    <row r="1800" spans="1:4" x14ac:dyDescent="0.25">
      <c r="A1800" s="63" t="s">
        <v>6649</v>
      </c>
      <c r="B1800" t="s">
        <v>1997</v>
      </c>
      <c r="C1800" t="s">
        <v>5043</v>
      </c>
      <c r="D1800" t="s">
        <v>8401</v>
      </c>
    </row>
    <row r="1801" spans="1:4" x14ac:dyDescent="0.25">
      <c r="A1801" s="63" t="s">
        <v>3406</v>
      </c>
      <c r="B1801" t="s">
        <v>1916</v>
      </c>
      <c r="C1801" t="s">
        <v>5043</v>
      </c>
      <c r="D1801" t="s">
        <v>8401</v>
      </c>
    </row>
    <row r="1802" spans="1:4" x14ac:dyDescent="0.25">
      <c r="A1802" s="63" t="s">
        <v>3407</v>
      </c>
      <c r="B1802" t="s">
        <v>1916</v>
      </c>
      <c r="C1802" t="s">
        <v>5043</v>
      </c>
      <c r="D1802" t="s">
        <v>8401</v>
      </c>
    </row>
    <row r="1803" spans="1:4" x14ac:dyDescent="0.25">
      <c r="A1803" s="63" t="s">
        <v>3408</v>
      </c>
      <c r="B1803" t="s">
        <v>1808</v>
      </c>
      <c r="C1803" t="s">
        <v>5043</v>
      </c>
      <c r="D1803" t="s">
        <v>8401</v>
      </c>
    </row>
    <row r="1804" spans="1:4" x14ac:dyDescent="0.25">
      <c r="A1804" s="63" t="s">
        <v>3409</v>
      </c>
      <c r="B1804" t="s">
        <v>1201</v>
      </c>
      <c r="C1804" t="s">
        <v>5043</v>
      </c>
      <c r="D1804" t="s">
        <v>8401</v>
      </c>
    </row>
    <row r="1805" spans="1:4" x14ac:dyDescent="0.25">
      <c r="A1805" s="63" t="s">
        <v>3410</v>
      </c>
      <c r="B1805" t="s">
        <v>1201</v>
      </c>
      <c r="C1805" t="s">
        <v>5043</v>
      </c>
      <c r="D1805" t="s">
        <v>8401</v>
      </c>
    </row>
    <row r="1806" spans="1:4" x14ac:dyDescent="0.25">
      <c r="A1806" s="63" t="s">
        <v>3411</v>
      </c>
      <c r="B1806" t="s">
        <v>1539</v>
      </c>
      <c r="C1806" t="s">
        <v>5043</v>
      </c>
      <c r="D1806" t="s">
        <v>8401</v>
      </c>
    </row>
    <row r="1807" spans="1:4" x14ac:dyDescent="0.25">
      <c r="A1807" s="63" t="s">
        <v>3412</v>
      </c>
      <c r="B1807" t="s">
        <v>1807</v>
      </c>
      <c r="C1807" t="s">
        <v>5043</v>
      </c>
      <c r="D1807" t="s">
        <v>8401</v>
      </c>
    </row>
    <row r="1808" spans="1:4" x14ac:dyDescent="0.25">
      <c r="A1808" s="63" t="s">
        <v>7955</v>
      </c>
      <c r="B1808" t="s">
        <v>1424</v>
      </c>
      <c r="C1808" t="s">
        <v>5043</v>
      </c>
      <c r="D1808" t="s">
        <v>8401</v>
      </c>
    </row>
    <row r="1809" spans="1:4" x14ac:dyDescent="0.25">
      <c r="A1809" s="63" t="s">
        <v>7956</v>
      </c>
      <c r="B1809" t="s">
        <v>1424</v>
      </c>
      <c r="C1809" t="s">
        <v>5043</v>
      </c>
      <c r="D1809" t="s">
        <v>8401</v>
      </c>
    </row>
    <row r="1810" spans="1:4" x14ac:dyDescent="0.25">
      <c r="A1810" s="63" t="s">
        <v>7957</v>
      </c>
      <c r="B1810" t="s">
        <v>1424</v>
      </c>
      <c r="C1810" t="s">
        <v>5043</v>
      </c>
      <c r="D1810" t="s">
        <v>8401</v>
      </c>
    </row>
    <row r="1811" spans="1:4" x14ac:dyDescent="0.25">
      <c r="A1811" s="63" t="s">
        <v>7958</v>
      </c>
      <c r="B1811" t="s">
        <v>1424</v>
      </c>
      <c r="C1811" t="s">
        <v>5043</v>
      </c>
      <c r="D1811" t="s">
        <v>8401</v>
      </c>
    </row>
    <row r="1812" spans="1:4" x14ac:dyDescent="0.25">
      <c r="A1812" s="63" t="s">
        <v>3413</v>
      </c>
      <c r="B1812" t="s">
        <v>1535</v>
      </c>
      <c r="C1812" t="s">
        <v>5043</v>
      </c>
      <c r="D1812" t="s">
        <v>8401</v>
      </c>
    </row>
    <row r="1813" spans="1:4" x14ac:dyDescent="0.25">
      <c r="A1813" s="63" t="s">
        <v>3414</v>
      </c>
      <c r="B1813" t="s">
        <v>1536</v>
      </c>
      <c r="C1813" t="s">
        <v>5043</v>
      </c>
      <c r="D1813" t="s">
        <v>8401</v>
      </c>
    </row>
    <row r="1814" spans="1:4" x14ac:dyDescent="0.25">
      <c r="A1814" s="63" t="s">
        <v>3415</v>
      </c>
      <c r="B1814" t="s">
        <v>1536</v>
      </c>
      <c r="C1814" t="s">
        <v>5043</v>
      </c>
      <c r="D1814" t="s">
        <v>8401</v>
      </c>
    </row>
    <row r="1815" spans="1:4" x14ac:dyDescent="0.25">
      <c r="A1815" s="63" t="s">
        <v>3416</v>
      </c>
      <c r="B1815" t="s">
        <v>1381</v>
      </c>
      <c r="C1815" t="s">
        <v>5043</v>
      </c>
      <c r="D1815" t="s">
        <v>8401</v>
      </c>
    </row>
    <row r="1816" spans="1:4" x14ac:dyDescent="0.25">
      <c r="A1816" s="63" t="s">
        <v>3417</v>
      </c>
      <c r="B1816" t="s">
        <v>2053</v>
      </c>
      <c r="C1816" t="s">
        <v>5043</v>
      </c>
      <c r="D1816" t="s">
        <v>8401</v>
      </c>
    </row>
    <row r="1817" spans="1:4" x14ac:dyDescent="0.25">
      <c r="A1817" s="63" t="s">
        <v>5143</v>
      </c>
      <c r="B1817" t="s">
        <v>1899</v>
      </c>
      <c r="C1817" t="s">
        <v>5043</v>
      </c>
      <c r="D1817" t="s">
        <v>8401</v>
      </c>
    </row>
    <row r="1818" spans="1:4" x14ac:dyDescent="0.25">
      <c r="A1818" s="63" t="s">
        <v>5144</v>
      </c>
      <c r="B1818" t="s">
        <v>1899</v>
      </c>
      <c r="C1818" t="s">
        <v>5043</v>
      </c>
      <c r="D1818" t="s">
        <v>8401</v>
      </c>
    </row>
    <row r="1819" spans="1:4" x14ac:dyDescent="0.25">
      <c r="A1819" s="63" t="s">
        <v>5145</v>
      </c>
      <c r="B1819" t="s">
        <v>1899</v>
      </c>
      <c r="C1819" t="s">
        <v>5043</v>
      </c>
      <c r="D1819" t="s">
        <v>8401</v>
      </c>
    </row>
    <row r="1820" spans="1:4" x14ac:dyDescent="0.25">
      <c r="A1820" s="63" t="s">
        <v>5146</v>
      </c>
      <c r="B1820" t="s">
        <v>1899</v>
      </c>
      <c r="C1820" t="s">
        <v>5043</v>
      </c>
      <c r="D1820" t="s">
        <v>8401</v>
      </c>
    </row>
    <row r="1821" spans="1:4" x14ac:dyDescent="0.25">
      <c r="A1821" s="63" t="s">
        <v>5147</v>
      </c>
      <c r="B1821" t="s">
        <v>1899</v>
      </c>
      <c r="C1821" t="s">
        <v>5043</v>
      </c>
      <c r="D1821" t="s">
        <v>8401</v>
      </c>
    </row>
    <row r="1822" spans="1:4" x14ac:dyDescent="0.25">
      <c r="A1822" s="63" t="s">
        <v>5148</v>
      </c>
      <c r="B1822" t="s">
        <v>1899</v>
      </c>
      <c r="C1822" t="s">
        <v>5043</v>
      </c>
      <c r="D1822" t="s">
        <v>8401</v>
      </c>
    </row>
    <row r="1823" spans="1:4" x14ac:dyDescent="0.25">
      <c r="A1823" s="63" t="s">
        <v>5149</v>
      </c>
      <c r="B1823" t="s">
        <v>1899</v>
      </c>
      <c r="C1823" t="s">
        <v>5043</v>
      </c>
      <c r="D1823" t="s">
        <v>8401</v>
      </c>
    </row>
    <row r="1824" spans="1:4" x14ac:dyDescent="0.25">
      <c r="A1824" s="63" t="s">
        <v>3418</v>
      </c>
      <c r="B1824" t="s">
        <v>1540</v>
      </c>
      <c r="C1824" t="s">
        <v>5043</v>
      </c>
      <c r="D1824" t="s">
        <v>8401</v>
      </c>
    </row>
    <row r="1825" spans="1:4" x14ac:dyDescent="0.25">
      <c r="A1825" s="63" t="s">
        <v>3419</v>
      </c>
      <c r="B1825" t="s">
        <v>1540</v>
      </c>
      <c r="C1825" t="s">
        <v>5043</v>
      </c>
      <c r="D1825" t="s">
        <v>8401</v>
      </c>
    </row>
    <row r="1826" spans="1:4" x14ac:dyDescent="0.25">
      <c r="A1826" s="63" t="s">
        <v>7959</v>
      </c>
      <c r="B1826" t="s">
        <v>2329</v>
      </c>
      <c r="C1826" t="s">
        <v>5043</v>
      </c>
      <c r="D1826" t="s">
        <v>8401</v>
      </c>
    </row>
    <row r="1827" spans="1:4" x14ac:dyDescent="0.25">
      <c r="A1827" s="63" t="s">
        <v>7960</v>
      </c>
      <c r="B1827" t="s">
        <v>2329</v>
      </c>
      <c r="C1827" t="s">
        <v>5043</v>
      </c>
      <c r="D1827" t="s">
        <v>8401</v>
      </c>
    </row>
    <row r="1828" spans="1:4" x14ac:dyDescent="0.25">
      <c r="A1828" s="63" t="s">
        <v>7961</v>
      </c>
      <c r="B1828" t="s">
        <v>2329</v>
      </c>
      <c r="C1828" t="s">
        <v>5043</v>
      </c>
      <c r="D1828" t="s">
        <v>8401</v>
      </c>
    </row>
    <row r="1829" spans="1:4" x14ac:dyDescent="0.25">
      <c r="A1829" s="63" t="s">
        <v>7962</v>
      </c>
      <c r="B1829" t="s">
        <v>2329</v>
      </c>
      <c r="C1829" t="s">
        <v>5043</v>
      </c>
      <c r="D1829" t="s">
        <v>8401</v>
      </c>
    </row>
    <row r="1830" spans="1:4" x14ac:dyDescent="0.25">
      <c r="A1830" s="63" t="s">
        <v>7963</v>
      </c>
      <c r="B1830" t="s">
        <v>2329</v>
      </c>
      <c r="C1830" t="s">
        <v>5043</v>
      </c>
      <c r="D1830" t="s">
        <v>8401</v>
      </c>
    </row>
    <row r="1831" spans="1:4" x14ac:dyDescent="0.25">
      <c r="A1831" s="63" t="s">
        <v>7964</v>
      </c>
      <c r="B1831" t="s">
        <v>2319</v>
      </c>
      <c r="C1831" t="s">
        <v>5043</v>
      </c>
      <c r="D1831" t="s">
        <v>8401</v>
      </c>
    </row>
    <row r="1832" spans="1:4" x14ac:dyDescent="0.25">
      <c r="A1832" s="63" t="s">
        <v>3420</v>
      </c>
      <c r="B1832" t="s">
        <v>2189</v>
      </c>
      <c r="C1832" t="s">
        <v>5043</v>
      </c>
      <c r="D1832" t="s">
        <v>8401</v>
      </c>
    </row>
    <row r="1833" spans="1:4" x14ac:dyDescent="0.25">
      <c r="A1833" s="63" t="s">
        <v>3421</v>
      </c>
      <c r="B1833" t="s">
        <v>2189</v>
      </c>
      <c r="C1833" t="s">
        <v>5043</v>
      </c>
      <c r="D1833" t="s">
        <v>8401</v>
      </c>
    </row>
    <row r="1834" spans="1:4" x14ac:dyDescent="0.25">
      <c r="A1834" s="63" t="s">
        <v>3422</v>
      </c>
      <c r="B1834" t="s">
        <v>2189</v>
      </c>
      <c r="C1834" t="s">
        <v>5043</v>
      </c>
      <c r="D1834" t="s">
        <v>8401</v>
      </c>
    </row>
    <row r="1835" spans="1:4" x14ac:dyDescent="0.25">
      <c r="A1835" s="63" t="s">
        <v>6661</v>
      </c>
      <c r="B1835" t="s">
        <v>1200</v>
      </c>
      <c r="C1835" t="s">
        <v>5043</v>
      </c>
      <c r="D1835" t="s">
        <v>8401</v>
      </c>
    </row>
    <row r="1836" spans="1:4" x14ac:dyDescent="0.25">
      <c r="A1836" s="63" t="s">
        <v>3423</v>
      </c>
      <c r="B1836" t="s">
        <v>2188</v>
      </c>
      <c r="C1836" t="s">
        <v>5043</v>
      </c>
      <c r="D1836" t="s">
        <v>8401</v>
      </c>
    </row>
    <row r="1837" spans="1:4" x14ac:dyDescent="0.25">
      <c r="A1837" s="63" t="s">
        <v>3424</v>
      </c>
      <c r="B1837" t="s">
        <v>2188</v>
      </c>
      <c r="C1837" t="s">
        <v>5043</v>
      </c>
      <c r="D1837" t="s">
        <v>8401</v>
      </c>
    </row>
    <row r="1838" spans="1:4" x14ac:dyDescent="0.25">
      <c r="A1838" s="63" t="s">
        <v>3425</v>
      </c>
      <c r="B1838" t="s">
        <v>2188</v>
      </c>
      <c r="C1838" t="s">
        <v>5043</v>
      </c>
      <c r="D1838" t="s">
        <v>8401</v>
      </c>
    </row>
    <row r="1839" spans="1:4" x14ac:dyDescent="0.25">
      <c r="A1839" s="63" t="s">
        <v>3426</v>
      </c>
      <c r="B1839" t="s">
        <v>2188</v>
      </c>
      <c r="C1839" t="s">
        <v>5043</v>
      </c>
      <c r="D1839" t="s">
        <v>8401</v>
      </c>
    </row>
    <row r="1840" spans="1:4" x14ac:dyDescent="0.25">
      <c r="A1840" s="63" t="s">
        <v>6662</v>
      </c>
      <c r="B1840" t="s">
        <v>1199</v>
      </c>
      <c r="C1840" t="s">
        <v>5043</v>
      </c>
      <c r="D1840" t="s">
        <v>8401</v>
      </c>
    </row>
    <row r="1841" spans="1:4" x14ac:dyDescent="0.25">
      <c r="A1841" s="63" t="s">
        <v>6666</v>
      </c>
      <c r="B1841" t="s">
        <v>1199</v>
      </c>
      <c r="C1841" t="s">
        <v>5043</v>
      </c>
      <c r="D1841" t="s">
        <v>8401</v>
      </c>
    </row>
    <row r="1842" spans="1:4" x14ac:dyDescent="0.25">
      <c r="A1842" s="63" t="s">
        <v>5849</v>
      </c>
      <c r="B1842" t="s">
        <v>2321</v>
      </c>
      <c r="C1842" t="s">
        <v>5043</v>
      </c>
      <c r="D1842" t="s">
        <v>8401</v>
      </c>
    </row>
    <row r="1843" spans="1:4" x14ac:dyDescent="0.25">
      <c r="A1843" s="63" t="s">
        <v>3427</v>
      </c>
      <c r="B1843" t="s">
        <v>2187</v>
      </c>
      <c r="C1843" t="s">
        <v>5043</v>
      </c>
      <c r="D1843" t="s">
        <v>8401</v>
      </c>
    </row>
    <row r="1844" spans="1:4" x14ac:dyDescent="0.25">
      <c r="A1844" s="63" t="s">
        <v>3428</v>
      </c>
      <c r="B1844" t="s">
        <v>2187</v>
      </c>
      <c r="C1844" t="s">
        <v>5043</v>
      </c>
      <c r="D1844" t="s">
        <v>8401</v>
      </c>
    </row>
    <row r="1845" spans="1:4" x14ac:dyDescent="0.25">
      <c r="A1845" s="63" t="s">
        <v>7965</v>
      </c>
      <c r="B1845" t="s">
        <v>2320</v>
      </c>
      <c r="C1845" t="s">
        <v>5043</v>
      </c>
      <c r="D1845" t="s">
        <v>8401</v>
      </c>
    </row>
    <row r="1846" spans="1:4" x14ac:dyDescent="0.25">
      <c r="A1846" s="63" t="s">
        <v>3429</v>
      </c>
      <c r="B1846" t="s">
        <v>1438</v>
      </c>
      <c r="C1846" t="s">
        <v>5043</v>
      </c>
      <c r="D1846" t="s">
        <v>8401</v>
      </c>
    </row>
    <row r="1847" spans="1:4" x14ac:dyDescent="0.25">
      <c r="A1847" s="63" t="s">
        <v>3430</v>
      </c>
      <c r="B1847" t="s">
        <v>1438</v>
      </c>
      <c r="C1847" t="s">
        <v>5043</v>
      </c>
      <c r="D1847" t="s">
        <v>8401</v>
      </c>
    </row>
    <row r="1848" spans="1:4" x14ac:dyDescent="0.25">
      <c r="A1848" s="63" t="s">
        <v>3431</v>
      </c>
      <c r="B1848" t="s">
        <v>1438</v>
      </c>
      <c r="C1848" t="s">
        <v>5043</v>
      </c>
      <c r="D1848" t="s">
        <v>8401</v>
      </c>
    </row>
    <row r="1849" spans="1:4" x14ac:dyDescent="0.25">
      <c r="A1849" s="63" t="s">
        <v>3432</v>
      </c>
      <c r="B1849" t="s">
        <v>1438</v>
      </c>
      <c r="C1849" t="s">
        <v>5043</v>
      </c>
      <c r="D1849" t="s">
        <v>8401</v>
      </c>
    </row>
    <row r="1850" spans="1:4" x14ac:dyDescent="0.25">
      <c r="A1850" s="63" t="s">
        <v>7140</v>
      </c>
      <c r="B1850" t="s">
        <v>1706</v>
      </c>
      <c r="C1850" t="s">
        <v>5043</v>
      </c>
      <c r="D1850" t="s">
        <v>8401</v>
      </c>
    </row>
    <row r="1851" spans="1:4" x14ac:dyDescent="0.25">
      <c r="A1851" s="63" t="s">
        <v>7141</v>
      </c>
      <c r="B1851" t="s">
        <v>1706</v>
      </c>
      <c r="C1851" t="s">
        <v>5043</v>
      </c>
      <c r="D1851" t="s">
        <v>8401</v>
      </c>
    </row>
    <row r="1852" spans="1:4" x14ac:dyDescent="0.25">
      <c r="A1852" s="63" t="s">
        <v>7142</v>
      </c>
      <c r="B1852" t="s">
        <v>1706</v>
      </c>
      <c r="C1852" t="s">
        <v>5043</v>
      </c>
      <c r="D1852" t="s">
        <v>8401</v>
      </c>
    </row>
    <row r="1853" spans="1:4" x14ac:dyDescent="0.25">
      <c r="A1853" s="63" t="s">
        <v>7143</v>
      </c>
      <c r="B1853" t="s">
        <v>1706</v>
      </c>
      <c r="C1853" t="s">
        <v>5043</v>
      </c>
      <c r="D1853" t="s">
        <v>8401</v>
      </c>
    </row>
    <row r="1854" spans="1:4" x14ac:dyDescent="0.25">
      <c r="A1854" s="63" t="s">
        <v>7144</v>
      </c>
      <c r="B1854" t="s">
        <v>1706</v>
      </c>
      <c r="C1854" t="s">
        <v>5043</v>
      </c>
      <c r="D1854" t="s">
        <v>8401</v>
      </c>
    </row>
    <row r="1855" spans="1:4" x14ac:dyDescent="0.25">
      <c r="A1855" s="63" t="s">
        <v>7145</v>
      </c>
      <c r="B1855" t="s">
        <v>1706</v>
      </c>
      <c r="C1855" t="s">
        <v>5043</v>
      </c>
      <c r="D1855" t="s">
        <v>8401</v>
      </c>
    </row>
    <row r="1856" spans="1:4" x14ac:dyDescent="0.25">
      <c r="A1856" s="63" t="s">
        <v>7146</v>
      </c>
      <c r="B1856" t="s">
        <v>1706</v>
      </c>
      <c r="C1856" t="s">
        <v>5043</v>
      </c>
      <c r="D1856" t="s">
        <v>8401</v>
      </c>
    </row>
    <row r="1857" spans="1:4" x14ac:dyDescent="0.25">
      <c r="A1857" s="63" t="s">
        <v>7147</v>
      </c>
      <c r="B1857" t="s">
        <v>1706</v>
      </c>
      <c r="C1857" t="s">
        <v>5043</v>
      </c>
      <c r="D1857" t="s">
        <v>8401</v>
      </c>
    </row>
    <row r="1858" spans="1:4" x14ac:dyDescent="0.25">
      <c r="A1858" s="63" t="s">
        <v>7148</v>
      </c>
      <c r="B1858" t="s">
        <v>1705</v>
      </c>
      <c r="C1858" t="s">
        <v>5043</v>
      </c>
      <c r="D1858" t="s">
        <v>8401</v>
      </c>
    </row>
    <row r="1859" spans="1:4" x14ac:dyDescent="0.25">
      <c r="A1859" s="63" t="s">
        <v>7149</v>
      </c>
      <c r="B1859" t="s">
        <v>1705</v>
      </c>
      <c r="C1859" t="s">
        <v>5043</v>
      </c>
      <c r="D1859" t="s">
        <v>8401</v>
      </c>
    </row>
    <row r="1860" spans="1:4" x14ac:dyDescent="0.25">
      <c r="A1860" s="63" t="s">
        <v>7150</v>
      </c>
      <c r="B1860" t="s">
        <v>1705</v>
      </c>
      <c r="C1860" t="s">
        <v>5043</v>
      </c>
      <c r="D1860" t="s">
        <v>8401</v>
      </c>
    </row>
    <row r="1861" spans="1:4" x14ac:dyDescent="0.25">
      <c r="A1861" s="63" t="s">
        <v>7151</v>
      </c>
      <c r="B1861" t="s">
        <v>1705</v>
      </c>
      <c r="C1861" t="s">
        <v>5043</v>
      </c>
      <c r="D1861" t="s">
        <v>8401</v>
      </c>
    </row>
    <row r="1862" spans="1:4" x14ac:dyDescent="0.25">
      <c r="A1862" s="63" t="s">
        <v>7152</v>
      </c>
      <c r="B1862" t="s">
        <v>1705</v>
      </c>
      <c r="C1862" t="s">
        <v>5043</v>
      </c>
      <c r="D1862" t="s">
        <v>8401</v>
      </c>
    </row>
    <row r="1863" spans="1:4" x14ac:dyDescent="0.25">
      <c r="A1863" s="63" t="s">
        <v>7966</v>
      </c>
      <c r="B1863" t="s">
        <v>1705</v>
      </c>
      <c r="C1863" t="s">
        <v>5043</v>
      </c>
      <c r="D1863" t="s">
        <v>8401</v>
      </c>
    </row>
    <row r="1864" spans="1:4" x14ac:dyDescent="0.25">
      <c r="A1864" s="63" t="s">
        <v>7967</v>
      </c>
      <c r="B1864" t="s">
        <v>1705</v>
      </c>
      <c r="C1864" t="s">
        <v>5043</v>
      </c>
      <c r="D1864" t="s">
        <v>8401</v>
      </c>
    </row>
    <row r="1865" spans="1:4" x14ac:dyDescent="0.25">
      <c r="A1865" s="63" t="s">
        <v>7968</v>
      </c>
      <c r="B1865" t="s">
        <v>1705</v>
      </c>
      <c r="C1865" t="s">
        <v>5043</v>
      </c>
      <c r="D1865" t="s">
        <v>8401</v>
      </c>
    </row>
    <row r="1866" spans="1:4" x14ac:dyDescent="0.25">
      <c r="A1866" s="63" t="s">
        <v>6417</v>
      </c>
      <c r="B1866" t="s">
        <v>1705</v>
      </c>
      <c r="C1866" t="s">
        <v>5043</v>
      </c>
      <c r="D1866" t="s">
        <v>8401</v>
      </c>
    </row>
    <row r="1867" spans="1:4" x14ac:dyDescent="0.25">
      <c r="A1867" s="63" t="s">
        <v>3433</v>
      </c>
      <c r="B1867" t="s">
        <v>1437</v>
      </c>
      <c r="C1867" t="s">
        <v>5043</v>
      </c>
      <c r="D1867" t="s">
        <v>8401</v>
      </c>
    </row>
    <row r="1868" spans="1:4" x14ac:dyDescent="0.25">
      <c r="A1868" s="63" t="s">
        <v>3434</v>
      </c>
      <c r="B1868" t="s">
        <v>2246</v>
      </c>
      <c r="C1868" t="s">
        <v>5043</v>
      </c>
      <c r="D1868" t="s">
        <v>8401</v>
      </c>
    </row>
    <row r="1869" spans="1:4" x14ac:dyDescent="0.25">
      <c r="A1869" s="63" t="s">
        <v>6711</v>
      </c>
      <c r="B1869" t="s">
        <v>1580</v>
      </c>
      <c r="C1869" t="s">
        <v>5043</v>
      </c>
      <c r="D1869" t="s">
        <v>8401</v>
      </c>
    </row>
    <row r="1870" spans="1:4" x14ac:dyDescent="0.25">
      <c r="A1870" s="63" t="s">
        <v>3435</v>
      </c>
      <c r="B1870" t="s">
        <v>2245</v>
      </c>
      <c r="C1870" t="s">
        <v>5043</v>
      </c>
      <c r="D1870" t="s">
        <v>8401</v>
      </c>
    </row>
    <row r="1871" spans="1:4" x14ac:dyDescent="0.25">
      <c r="A1871" s="63" t="s">
        <v>6011</v>
      </c>
      <c r="B1871" t="s">
        <v>1534</v>
      </c>
      <c r="C1871" t="s">
        <v>5043</v>
      </c>
      <c r="D1871" t="s">
        <v>8401</v>
      </c>
    </row>
    <row r="1872" spans="1:4" x14ac:dyDescent="0.25">
      <c r="A1872" s="63" t="s">
        <v>6012</v>
      </c>
      <c r="B1872" t="s">
        <v>1534</v>
      </c>
      <c r="C1872" t="s">
        <v>5043</v>
      </c>
      <c r="D1872" t="s">
        <v>8401</v>
      </c>
    </row>
    <row r="1873" spans="1:4" x14ac:dyDescent="0.25">
      <c r="A1873" s="63" t="s">
        <v>6013</v>
      </c>
      <c r="B1873" t="s">
        <v>1534</v>
      </c>
      <c r="C1873" t="s">
        <v>5043</v>
      </c>
      <c r="D1873" t="s">
        <v>8401</v>
      </c>
    </row>
    <row r="1874" spans="1:4" x14ac:dyDescent="0.25">
      <c r="A1874" s="63" t="s">
        <v>7969</v>
      </c>
      <c r="B1874" t="s">
        <v>1534</v>
      </c>
      <c r="C1874" t="s">
        <v>5043</v>
      </c>
      <c r="D1874" t="s">
        <v>8401</v>
      </c>
    </row>
    <row r="1875" spans="1:4" x14ac:dyDescent="0.25">
      <c r="A1875" s="63" t="s">
        <v>7970</v>
      </c>
      <c r="B1875" t="s">
        <v>1534</v>
      </c>
      <c r="C1875" t="s">
        <v>5043</v>
      </c>
      <c r="D1875" t="s">
        <v>8401</v>
      </c>
    </row>
    <row r="1876" spans="1:4" x14ac:dyDescent="0.25">
      <c r="A1876" s="63" t="s">
        <v>7971</v>
      </c>
      <c r="B1876" t="s">
        <v>1534</v>
      </c>
      <c r="C1876" t="s">
        <v>5043</v>
      </c>
      <c r="D1876" t="s">
        <v>8401</v>
      </c>
    </row>
    <row r="1877" spans="1:4" x14ac:dyDescent="0.25">
      <c r="A1877" s="63" t="s">
        <v>6014</v>
      </c>
      <c r="B1877" t="s">
        <v>1534</v>
      </c>
      <c r="C1877" t="s">
        <v>5043</v>
      </c>
      <c r="D1877" t="s">
        <v>8401</v>
      </c>
    </row>
    <row r="1878" spans="1:4" x14ac:dyDescent="0.25">
      <c r="A1878" s="63" t="s">
        <v>7972</v>
      </c>
      <c r="B1878" t="s">
        <v>1534</v>
      </c>
      <c r="C1878" t="s">
        <v>5043</v>
      </c>
      <c r="D1878" t="s">
        <v>8401</v>
      </c>
    </row>
    <row r="1879" spans="1:4" x14ac:dyDescent="0.25">
      <c r="A1879" s="63" t="s">
        <v>6730</v>
      </c>
      <c r="B1879" t="s">
        <v>1414</v>
      </c>
      <c r="C1879" t="s">
        <v>5043</v>
      </c>
      <c r="D1879" t="s">
        <v>8401</v>
      </c>
    </row>
    <row r="1880" spans="1:4" x14ac:dyDescent="0.25">
      <c r="A1880" s="63" t="s">
        <v>2587</v>
      </c>
      <c r="B1880" t="s">
        <v>1414</v>
      </c>
      <c r="C1880" t="s">
        <v>5043</v>
      </c>
      <c r="D1880" t="s">
        <v>8401</v>
      </c>
    </row>
    <row r="1881" spans="1:4" x14ac:dyDescent="0.25">
      <c r="A1881" s="63" t="s">
        <v>6731</v>
      </c>
      <c r="B1881" t="s">
        <v>1414</v>
      </c>
      <c r="C1881" t="s">
        <v>5043</v>
      </c>
      <c r="D1881" t="s">
        <v>8401</v>
      </c>
    </row>
    <row r="1882" spans="1:4" x14ac:dyDescent="0.25">
      <c r="A1882" s="63" t="s">
        <v>2585</v>
      </c>
      <c r="B1882" t="s">
        <v>1414</v>
      </c>
      <c r="C1882" t="s">
        <v>5043</v>
      </c>
      <c r="D1882" t="s">
        <v>8401</v>
      </c>
    </row>
    <row r="1883" spans="1:4" x14ac:dyDescent="0.25">
      <c r="A1883" s="63" t="s">
        <v>6735</v>
      </c>
      <c r="B1883" t="s">
        <v>1414</v>
      </c>
      <c r="C1883" t="s">
        <v>5043</v>
      </c>
      <c r="D1883" t="s">
        <v>8401</v>
      </c>
    </row>
    <row r="1884" spans="1:4" x14ac:dyDescent="0.25">
      <c r="A1884" s="63" t="s">
        <v>6736</v>
      </c>
      <c r="B1884" t="s">
        <v>1414</v>
      </c>
      <c r="C1884" t="s">
        <v>5043</v>
      </c>
      <c r="D1884" t="s">
        <v>8401</v>
      </c>
    </row>
    <row r="1885" spans="1:4" x14ac:dyDescent="0.25">
      <c r="A1885" s="63" t="s">
        <v>6737</v>
      </c>
      <c r="B1885" t="s">
        <v>1414</v>
      </c>
      <c r="C1885" t="s">
        <v>5043</v>
      </c>
      <c r="D1885" t="s">
        <v>8401</v>
      </c>
    </row>
    <row r="1886" spans="1:4" x14ac:dyDescent="0.25">
      <c r="A1886" s="63" t="s">
        <v>6738</v>
      </c>
      <c r="B1886" t="s">
        <v>1414</v>
      </c>
      <c r="C1886" t="s">
        <v>5043</v>
      </c>
      <c r="D1886" t="s">
        <v>8401</v>
      </c>
    </row>
    <row r="1887" spans="1:4" x14ac:dyDescent="0.25">
      <c r="A1887" s="63" t="s">
        <v>6739</v>
      </c>
      <c r="B1887" t="s">
        <v>1414</v>
      </c>
      <c r="C1887" t="s">
        <v>5043</v>
      </c>
      <c r="D1887" t="s">
        <v>8401</v>
      </c>
    </row>
    <row r="1888" spans="1:4" x14ac:dyDescent="0.25">
      <c r="A1888" s="63" t="s">
        <v>6740</v>
      </c>
      <c r="B1888" t="s">
        <v>1414</v>
      </c>
      <c r="C1888" t="s">
        <v>5043</v>
      </c>
      <c r="D1888" t="s">
        <v>8401</v>
      </c>
    </row>
    <row r="1889" spans="1:4" x14ac:dyDescent="0.25">
      <c r="A1889" s="63" t="s">
        <v>7973</v>
      </c>
      <c r="B1889" t="s">
        <v>1584</v>
      </c>
      <c r="C1889" t="s">
        <v>5043</v>
      </c>
      <c r="D1889" t="s">
        <v>8401</v>
      </c>
    </row>
    <row r="1890" spans="1:4" x14ac:dyDescent="0.25">
      <c r="A1890" s="63" t="s">
        <v>6270</v>
      </c>
      <c r="B1890" t="s">
        <v>1584</v>
      </c>
      <c r="C1890" t="s">
        <v>5043</v>
      </c>
      <c r="D1890" t="s">
        <v>8401</v>
      </c>
    </row>
    <row r="1891" spans="1:4" x14ac:dyDescent="0.25">
      <c r="A1891" s="63" t="s">
        <v>6726</v>
      </c>
      <c r="B1891" t="s">
        <v>2302</v>
      </c>
      <c r="C1891" t="s">
        <v>5043</v>
      </c>
      <c r="D1891" t="s">
        <v>8401</v>
      </c>
    </row>
    <row r="1892" spans="1:4" x14ac:dyDescent="0.25">
      <c r="A1892" s="63" t="s">
        <v>6748</v>
      </c>
      <c r="B1892" t="s">
        <v>1286</v>
      </c>
      <c r="C1892" t="s">
        <v>5043</v>
      </c>
      <c r="D1892" t="s">
        <v>8401</v>
      </c>
    </row>
    <row r="1893" spans="1:4" x14ac:dyDescent="0.25">
      <c r="A1893" s="63" t="s">
        <v>3436</v>
      </c>
      <c r="B1893" t="s">
        <v>1494</v>
      </c>
      <c r="C1893" t="s">
        <v>5043</v>
      </c>
      <c r="D1893" t="s">
        <v>8401</v>
      </c>
    </row>
    <row r="1894" spans="1:4" x14ac:dyDescent="0.25">
      <c r="A1894" s="63" t="s">
        <v>7095</v>
      </c>
      <c r="B1894" t="s">
        <v>1766</v>
      </c>
      <c r="C1894" t="s">
        <v>5043</v>
      </c>
      <c r="D1894" t="s">
        <v>8401</v>
      </c>
    </row>
    <row r="1895" spans="1:4" x14ac:dyDescent="0.25">
      <c r="A1895" s="63" t="s">
        <v>7096</v>
      </c>
      <c r="B1895" t="s">
        <v>1766</v>
      </c>
      <c r="C1895" t="s">
        <v>5043</v>
      </c>
      <c r="D1895" t="s">
        <v>8401</v>
      </c>
    </row>
    <row r="1896" spans="1:4" x14ac:dyDescent="0.25">
      <c r="A1896" s="63" t="s">
        <v>7097</v>
      </c>
      <c r="B1896" t="s">
        <v>1766</v>
      </c>
      <c r="C1896" t="s">
        <v>5043</v>
      </c>
      <c r="D1896" t="s">
        <v>8401</v>
      </c>
    </row>
    <row r="1897" spans="1:4" x14ac:dyDescent="0.25">
      <c r="A1897" s="63" t="s">
        <v>3437</v>
      </c>
      <c r="B1897" t="s">
        <v>2026</v>
      </c>
      <c r="C1897" t="s">
        <v>5043</v>
      </c>
      <c r="D1897" t="s">
        <v>8401</v>
      </c>
    </row>
    <row r="1898" spans="1:4" x14ac:dyDescent="0.25">
      <c r="A1898" s="63" t="s">
        <v>3438</v>
      </c>
      <c r="B1898" t="s">
        <v>2026</v>
      </c>
      <c r="C1898" t="s">
        <v>5043</v>
      </c>
      <c r="D1898" t="s">
        <v>8401</v>
      </c>
    </row>
    <row r="1899" spans="1:4" x14ac:dyDescent="0.25">
      <c r="A1899" s="63" t="s">
        <v>7974</v>
      </c>
      <c r="B1899" t="s">
        <v>2026</v>
      </c>
      <c r="C1899" t="s">
        <v>5043</v>
      </c>
      <c r="D1899" t="s">
        <v>8401</v>
      </c>
    </row>
    <row r="1900" spans="1:4" x14ac:dyDescent="0.25">
      <c r="A1900" s="63" t="s">
        <v>3439</v>
      </c>
      <c r="B1900" t="s">
        <v>1404</v>
      </c>
      <c r="C1900" t="s">
        <v>5043</v>
      </c>
      <c r="D1900" t="s">
        <v>8401</v>
      </c>
    </row>
    <row r="1901" spans="1:4" x14ac:dyDescent="0.25">
      <c r="A1901" s="63" t="s">
        <v>3440</v>
      </c>
      <c r="B1901" t="s">
        <v>1404</v>
      </c>
      <c r="C1901" t="s">
        <v>5043</v>
      </c>
      <c r="D1901" t="s">
        <v>8401</v>
      </c>
    </row>
    <row r="1902" spans="1:4" x14ac:dyDescent="0.25">
      <c r="A1902" s="63" t="s">
        <v>3441</v>
      </c>
      <c r="B1902" t="s">
        <v>1404</v>
      </c>
      <c r="C1902" t="s">
        <v>5043</v>
      </c>
      <c r="D1902" t="s">
        <v>8401</v>
      </c>
    </row>
    <row r="1903" spans="1:4" x14ac:dyDescent="0.25">
      <c r="A1903" s="63" t="s">
        <v>3442</v>
      </c>
      <c r="B1903" t="s">
        <v>1404</v>
      </c>
      <c r="C1903" t="s">
        <v>5043</v>
      </c>
      <c r="D1903" t="s">
        <v>8401</v>
      </c>
    </row>
    <row r="1904" spans="1:4" x14ac:dyDescent="0.25">
      <c r="A1904" s="63" t="s">
        <v>3443</v>
      </c>
      <c r="B1904" t="s">
        <v>1404</v>
      </c>
      <c r="C1904" t="s">
        <v>5043</v>
      </c>
      <c r="D1904" t="s">
        <v>8401</v>
      </c>
    </row>
    <row r="1905" spans="1:4" x14ac:dyDescent="0.25">
      <c r="A1905" s="63" t="s">
        <v>3444</v>
      </c>
      <c r="B1905" t="s">
        <v>1404</v>
      </c>
      <c r="C1905" t="s">
        <v>5043</v>
      </c>
      <c r="D1905" t="s">
        <v>8401</v>
      </c>
    </row>
    <row r="1906" spans="1:4" x14ac:dyDescent="0.25">
      <c r="A1906" s="63" t="s">
        <v>3445</v>
      </c>
      <c r="B1906" t="s">
        <v>1404</v>
      </c>
      <c r="C1906" t="s">
        <v>5043</v>
      </c>
      <c r="D1906" t="s">
        <v>8401</v>
      </c>
    </row>
    <row r="1907" spans="1:4" x14ac:dyDescent="0.25">
      <c r="A1907" s="63" t="s">
        <v>3446</v>
      </c>
      <c r="B1907" t="s">
        <v>1404</v>
      </c>
      <c r="C1907" t="s">
        <v>5043</v>
      </c>
      <c r="D1907" t="s">
        <v>8401</v>
      </c>
    </row>
    <row r="1908" spans="1:4" x14ac:dyDescent="0.25">
      <c r="A1908" s="63" t="s">
        <v>7060</v>
      </c>
      <c r="B1908" t="s">
        <v>2423</v>
      </c>
      <c r="C1908" t="s">
        <v>5043</v>
      </c>
      <c r="D1908" t="s">
        <v>8401</v>
      </c>
    </row>
    <row r="1909" spans="1:4" x14ac:dyDescent="0.25">
      <c r="A1909" s="63" t="s">
        <v>3447</v>
      </c>
      <c r="B1909" t="s">
        <v>1999</v>
      </c>
      <c r="C1909" t="s">
        <v>5043</v>
      </c>
      <c r="D1909" t="s">
        <v>8401</v>
      </c>
    </row>
    <row r="1910" spans="1:4" x14ac:dyDescent="0.25">
      <c r="A1910" s="63" t="s">
        <v>3448</v>
      </c>
      <c r="B1910" t="s">
        <v>1999</v>
      </c>
      <c r="C1910" t="s">
        <v>5043</v>
      </c>
      <c r="D1910" t="s">
        <v>8401</v>
      </c>
    </row>
    <row r="1911" spans="1:4" x14ac:dyDescent="0.25">
      <c r="A1911" s="63" t="s">
        <v>3449</v>
      </c>
      <c r="B1911" t="s">
        <v>2431</v>
      </c>
      <c r="C1911" t="s">
        <v>5043</v>
      </c>
      <c r="D1911" t="s">
        <v>8401</v>
      </c>
    </row>
    <row r="1912" spans="1:4" x14ac:dyDescent="0.25">
      <c r="A1912" s="63" t="s">
        <v>3450</v>
      </c>
      <c r="B1912" t="s">
        <v>2431</v>
      </c>
      <c r="C1912" t="s">
        <v>5043</v>
      </c>
      <c r="D1912" t="s">
        <v>8401</v>
      </c>
    </row>
    <row r="1913" spans="1:4" x14ac:dyDescent="0.25">
      <c r="A1913" s="63" t="s">
        <v>3451</v>
      </c>
      <c r="B1913" t="s">
        <v>2431</v>
      </c>
      <c r="C1913" t="s">
        <v>5043</v>
      </c>
      <c r="D1913" t="s">
        <v>8401</v>
      </c>
    </row>
    <row r="1914" spans="1:4" x14ac:dyDescent="0.25">
      <c r="A1914" s="63" t="s">
        <v>7975</v>
      </c>
      <c r="B1914" t="s">
        <v>1940</v>
      </c>
      <c r="C1914" t="s">
        <v>5043</v>
      </c>
      <c r="D1914" t="s">
        <v>8401</v>
      </c>
    </row>
    <row r="1915" spans="1:4" x14ac:dyDescent="0.25">
      <c r="A1915" s="63" t="s">
        <v>7976</v>
      </c>
      <c r="B1915" t="s">
        <v>1940</v>
      </c>
      <c r="C1915" t="s">
        <v>5043</v>
      </c>
      <c r="D1915" t="s">
        <v>8401</v>
      </c>
    </row>
    <row r="1916" spans="1:4" x14ac:dyDescent="0.25">
      <c r="A1916" s="63" t="s">
        <v>7977</v>
      </c>
      <c r="B1916" t="s">
        <v>2254</v>
      </c>
      <c r="C1916" t="s">
        <v>5043</v>
      </c>
      <c r="D1916" t="s">
        <v>8401</v>
      </c>
    </row>
    <row r="1917" spans="1:4" x14ac:dyDescent="0.25">
      <c r="A1917" s="63" t="s">
        <v>7978</v>
      </c>
      <c r="B1917" t="s">
        <v>2254</v>
      </c>
      <c r="C1917" t="s">
        <v>5043</v>
      </c>
      <c r="D1917" t="s">
        <v>8401</v>
      </c>
    </row>
    <row r="1918" spans="1:4" x14ac:dyDescent="0.25">
      <c r="A1918" s="63" t="s">
        <v>6938</v>
      </c>
      <c r="B1918" t="s">
        <v>2343</v>
      </c>
      <c r="C1918" t="s">
        <v>5043</v>
      </c>
      <c r="D1918" t="s">
        <v>8401</v>
      </c>
    </row>
    <row r="1919" spans="1:4" x14ac:dyDescent="0.25">
      <c r="A1919" s="63" t="s">
        <v>6939</v>
      </c>
      <c r="B1919" t="s">
        <v>2343</v>
      </c>
      <c r="C1919" t="s">
        <v>5043</v>
      </c>
      <c r="D1919" t="s">
        <v>8401</v>
      </c>
    </row>
    <row r="1920" spans="1:4" x14ac:dyDescent="0.25">
      <c r="A1920" s="63" t="s">
        <v>6940</v>
      </c>
      <c r="B1920" t="s">
        <v>2343</v>
      </c>
      <c r="C1920" t="s">
        <v>5043</v>
      </c>
      <c r="D1920" t="s">
        <v>8401</v>
      </c>
    </row>
    <row r="1921" spans="1:4" x14ac:dyDescent="0.25">
      <c r="A1921" s="63" t="s">
        <v>3452</v>
      </c>
      <c r="B1921" t="s">
        <v>2367</v>
      </c>
      <c r="C1921" t="s">
        <v>5043</v>
      </c>
      <c r="D1921" t="s">
        <v>8401</v>
      </c>
    </row>
    <row r="1922" spans="1:4" x14ac:dyDescent="0.25">
      <c r="A1922" s="63" t="s">
        <v>3453</v>
      </c>
      <c r="B1922" t="s">
        <v>2365</v>
      </c>
      <c r="C1922" t="s">
        <v>5043</v>
      </c>
      <c r="D1922" t="s">
        <v>8401</v>
      </c>
    </row>
    <row r="1923" spans="1:4" x14ac:dyDescent="0.25">
      <c r="A1923" s="63" t="s">
        <v>3454</v>
      </c>
      <c r="B1923" t="s">
        <v>2365</v>
      </c>
      <c r="C1923" t="s">
        <v>5043</v>
      </c>
      <c r="D1923" t="s">
        <v>8401</v>
      </c>
    </row>
    <row r="1924" spans="1:4" x14ac:dyDescent="0.25">
      <c r="A1924" s="63" t="s">
        <v>3455</v>
      </c>
      <c r="B1924" t="s">
        <v>2366</v>
      </c>
      <c r="C1924" t="s">
        <v>5043</v>
      </c>
      <c r="D1924" t="s">
        <v>8401</v>
      </c>
    </row>
    <row r="1925" spans="1:4" x14ac:dyDescent="0.25">
      <c r="A1925" s="63" t="s">
        <v>7979</v>
      </c>
      <c r="B1925" t="s">
        <v>2070</v>
      </c>
      <c r="C1925" t="s">
        <v>5043</v>
      </c>
      <c r="D1925" t="s">
        <v>8401</v>
      </c>
    </row>
    <row r="1926" spans="1:4" x14ac:dyDescent="0.25">
      <c r="A1926" s="63" t="s">
        <v>3456</v>
      </c>
      <c r="B1926" t="s">
        <v>2149</v>
      </c>
      <c r="C1926" t="s">
        <v>5043</v>
      </c>
      <c r="D1926" t="s">
        <v>8401</v>
      </c>
    </row>
    <row r="1927" spans="1:4" x14ac:dyDescent="0.25">
      <c r="A1927" s="63" t="s">
        <v>3457</v>
      </c>
      <c r="B1927" t="s">
        <v>1427</v>
      </c>
      <c r="C1927" t="s">
        <v>5043</v>
      </c>
      <c r="D1927" t="s">
        <v>8401</v>
      </c>
    </row>
    <row r="1928" spans="1:4" x14ac:dyDescent="0.25">
      <c r="A1928" s="63" t="s">
        <v>3458</v>
      </c>
      <c r="B1928" t="s">
        <v>1427</v>
      </c>
      <c r="C1928" t="s">
        <v>5043</v>
      </c>
      <c r="D1928" t="s">
        <v>8401</v>
      </c>
    </row>
    <row r="1929" spans="1:4" x14ac:dyDescent="0.25">
      <c r="A1929" s="63" t="s">
        <v>3459</v>
      </c>
      <c r="B1929" t="s">
        <v>1426</v>
      </c>
      <c r="C1929" t="s">
        <v>5043</v>
      </c>
      <c r="D1929" t="s">
        <v>8401</v>
      </c>
    </row>
    <row r="1930" spans="1:4" x14ac:dyDescent="0.25">
      <c r="A1930" s="63" t="s">
        <v>3460</v>
      </c>
      <c r="B1930" t="s">
        <v>1426</v>
      </c>
      <c r="C1930" t="s">
        <v>5043</v>
      </c>
      <c r="D1930" t="s">
        <v>8401</v>
      </c>
    </row>
    <row r="1931" spans="1:4" x14ac:dyDescent="0.25">
      <c r="A1931" s="63" t="s">
        <v>3461</v>
      </c>
      <c r="B1931" t="s">
        <v>1428</v>
      </c>
      <c r="C1931" t="s">
        <v>5043</v>
      </c>
      <c r="D1931" t="s">
        <v>8401</v>
      </c>
    </row>
    <row r="1932" spans="1:4" x14ac:dyDescent="0.25">
      <c r="A1932" s="63" t="s">
        <v>3462</v>
      </c>
      <c r="B1932" t="s">
        <v>1428</v>
      </c>
      <c r="C1932" t="s">
        <v>5043</v>
      </c>
      <c r="D1932" t="s">
        <v>8401</v>
      </c>
    </row>
    <row r="1933" spans="1:4" x14ac:dyDescent="0.25">
      <c r="A1933" s="63" t="s">
        <v>3463</v>
      </c>
      <c r="B1933" t="s">
        <v>1428</v>
      </c>
      <c r="C1933" t="s">
        <v>5043</v>
      </c>
      <c r="D1933" t="s">
        <v>8401</v>
      </c>
    </row>
    <row r="1934" spans="1:4" x14ac:dyDescent="0.25">
      <c r="A1934" s="63" t="s">
        <v>3464</v>
      </c>
      <c r="B1934" t="s">
        <v>1428</v>
      </c>
      <c r="C1934" t="s">
        <v>5043</v>
      </c>
      <c r="D1934" t="s">
        <v>8401</v>
      </c>
    </row>
    <row r="1935" spans="1:4" x14ac:dyDescent="0.25">
      <c r="A1935" s="63" t="s">
        <v>3465</v>
      </c>
      <c r="B1935" t="s">
        <v>1428</v>
      </c>
      <c r="C1935" t="s">
        <v>5043</v>
      </c>
      <c r="D1935" t="s">
        <v>8401</v>
      </c>
    </row>
    <row r="1936" spans="1:4" x14ac:dyDescent="0.25">
      <c r="A1936" s="63" t="s">
        <v>3466</v>
      </c>
      <c r="B1936" t="s">
        <v>1428</v>
      </c>
      <c r="C1936" t="s">
        <v>5043</v>
      </c>
      <c r="D1936" t="s">
        <v>8401</v>
      </c>
    </row>
    <row r="1937" spans="1:4" x14ac:dyDescent="0.25">
      <c r="A1937" s="63" t="s">
        <v>3467</v>
      </c>
      <c r="B1937" t="s">
        <v>1428</v>
      </c>
      <c r="C1937" t="s">
        <v>5043</v>
      </c>
      <c r="D1937" t="s">
        <v>8401</v>
      </c>
    </row>
    <row r="1938" spans="1:4" x14ac:dyDescent="0.25">
      <c r="A1938" s="63" t="s">
        <v>3468</v>
      </c>
      <c r="B1938" t="s">
        <v>2060</v>
      </c>
      <c r="C1938" t="s">
        <v>5043</v>
      </c>
      <c r="D1938" t="s">
        <v>8401</v>
      </c>
    </row>
    <row r="1939" spans="1:4" x14ac:dyDescent="0.25">
      <c r="A1939" s="63" t="s">
        <v>3469</v>
      </c>
      <c r="B1939" t="s">
        <v>2060</v>
      </c>
      <c r="C1939" t="s">
        <v>5043</v>
      </c>
      <c r="D1939" t="s">
        <v>8401</v>
      </c>
    </row>
    <row r="1940" spans="1:4" x14ac:dyDescent="0.25">
      <c r="A1940" s="63" t="s">
        <v>3470</v>
      </c>
      <c r="B1940" t="s">
        <v>2060</v>
      </c>
      <c r="C1940" t="s">
        <v>5043</v>
      </c>
      <c r="D1940" t="s">
        <v>8401</v>
      </c>
    </row>
    <row r="1941" spans="1:4" x14ac:dyDescent="0.25">
      <c r="A1941" s="63" t="s">
        <v>3471</v>
      </c>
      <c r="B1941" t="s">
        <v>2060</v>
      </c>
      <c r="C1941" t="s">
        <v>5043</v>
      </c>
      <c r="D1941" t="s">
        <v>8401</v>
      </c>
    </row>
    <row r="1942" spans="1:4" x14ac:dyDescent="0.25">
      <c r="A1942" s="63" t="s">
        <v>3472</v>
      </c>
      <c r="B1942" t="s">
        <v>2060</v>
      </c>
      <c r="C1942" t="s">
        <v>5043</v>
      </c>
      <c r="D1942" t="s">
        <v>8401</v>
      </c>
    </row>
    <row r="1943" spans="1:4" x14ac:dyDescent="0.25">
      <c r="A1943" s="63" t="s">
        <v>3473</v>
      </c>
      <c r="B1943" t="s">
        <v>2060</v>
      </c>
      <c r="C1943" t="s">
        <v>5043</v>
      </c>
      <c r="D1943" t="s">
        <v>8401</v>
      </c>
    </row>
    <row r="1944" spans="1:4" x14ac:dyDescent="0.25">
      <c r="A1944" s="63" t="s">
        <v>3474</v>
      </c>
      <c r="B1944" t="s">
        <v>2060</v>
      </c>
      <c r="C1944" t="s">
        <v>5043</v>
      </c>
      <c r="D1944" t="s">
        <v>8401</v>
      </c>
    </row>
    <row r="1945" spans="1:4" x14ac:dyDescent="0.25">
      <c r="A1945" s="63" t="s">
        <v>3475</v>
      </c>
      <c r="B1945" t="s">
        <v>2060</v>
      </c>
      <c r="C1945" t="s">
        <v>5043</v>
      </c>
      <c r="D1945" t="s">
        <v>8401</v>
      </c>
    </row>
    <row r="1946" spans="1:4" x14ac:dyDescent="0.25">
      <c r="A1946" s="63" t="s">
        <v>3476</v>
      </c>
      <c r="B1946" t="s">
        <v>2060</v>
      </c>
      <c r="C1946" t="s">
        <v>5043</v>
      </c>
      <c r="D1946" t="s">
        <v>8401</v>
      </c>
    </row>
    <row r="1947" spans="1:4" x14ac:dyDescent="0.25">
      <c r="A1947" s="63" t="s">
        <v>6198</v>
      </c>
      <c r="B1947" t="s">
        <v>2172</v>
      </c>
      <c r="C1947" t="s">
        <v>5043</v>
      </c>
      <c r="D1947" t="s">
        <v>8401</v>
      </c>
    </row>
    <row r="1948" spans="1:4" x14ac:dyDescent="0.25">
      <c r="A1948" s="63" t="s">
        <v>7980</v>
      </c>
      <c r="B1948" t="s">
        <v>1934</v>
      </c>
      <c r="C1948" t="s">
        <v>5043</v>
      </c>
      <c r="D1948" t="s">
        <v>8401</v>
      </c>
    </row>
    <row r="1949" spans="1:4" x14ac:dyDescent="0.25">
      <c r="A1949" s="63" t="s">
        <v>7981</v>
      </c>
      <c r="B1949" t="s">
        <v>1875</v>
      </c>
      <c r="C1949" t="s">
        <v>5043</v>
      </c>
      <c r="D1949" t="s">
        <v>8401</v>
      </c>
    </row>
    <row r="1950" spans="1:4" x14ac:dyDescent="0.25">
      <c r="A1950" s="63" t="s">
        <v>7982</v>
      </c>
      <c r="B1950" t="s">
        <v>1876</v>
      </c>
      <c r="C1950" t="s">
        <v>5043</v>
      </c>
      <c r="D1950" t="s">
        <v>8401</v>
      </c>
    </row>
    <row r="1951" spans="1:4" x14ac:dyDescent="0.25">
      <c r="A1951" s="63" t="s">
        <v>7983</v>
      </c>
      <c r="B1951" t="s">
        <v>1874</v>
      </c>
      <c r="C1951" t="s">
        <v>5043</v>
      </c>
      <c r="D1951" t="s">
        <v>8401</v>
      </c>
    </row>
    <row r="1952" spans="1:4" x14ac:dyDescent="0.25">
      <c r="A1952" s="63" t="s">
        <v>7984</v>
      </c>
      <c r="B1952" t="s">
        <v>1753</v>
      </c>
      <c r="C1952" t="s">
        <v>5043</v>
      </c>
      <c r="D1952" t="s">
        <v>8401</v>
      </c>
    </row>
    <row r="1953" spans="1:4" x14ac:dyDescent="0.25">
      <c r="A1953" s="63" t="s">
        <v>7985</v>
      </c>
      <c r="B1953" t="s">
        <v>1753</v>
      </c>
      <c r="C1953" t="s">
        <v>5043</v>
      </c>
      <c r="D1953" t="s">
        <v>8401</v>
      </c>
    </row>
    <row r="1954" spans="1:4" x14ac:dyDescent="0.25">
      <c r="A1954" s="63" t="s">
        <v>7986</v>
      </c>
      <c r="B1954" t="s">
        <v>2408</v>
      </c>
      <c r="C1954" t="s">
        <v>5043</v>
      </c>
      <c r="D1954" t="s">
        <v>8401</v>
      </c>
    </row>
    <row r="1955" spans="1:4" x14ac:dyDescent="0.25">
      <c r="A1955" s="63" t="s">
        <v>7987</v>
      </c>
      <c r="B1955" t="s">
        <v>2022</v>
      </c>
      <c r="C1955" t="s">
        <v>5043</v>
      </c>
      <c r="D1955" t="s">
        <v>8401</v>
      </c>
    </row>
    <row r="1956" spans="1:4" x14ac:dyDescent="0.25">
      <c r="A1956" s="63" t="s">
        <v>7988</v>
      </c>
      <c r="B1956" t="s">
        <v>2021</v>
      </c>
      <c r="C1956" t="s">
        <v>5043</v>
      </c>
      <c r="D1956" t="s">
        <v>8401</v>
      </c>
    </row>
    <row r="1957" spans="1:4" x14ac:dyDescent="0.25">
      <c r="A1957" s="63" t="s">
        <v>7989</v>
      </c>
      <c r="B1957" t="s">
        <v>2020</v>
      </c>
      <c r="C1957" t="s">
        <v>5043</v>
      </c>
      <c r="D1957" t="s">
        <v>8401</v>
      </c>
    </row>
    <row r="1958" spans="1:4" x14ac:dyDescent="0.25">
      <c r="A1958" s="63" t="s">
        <v>7990</v>
      </c>
      <c r="B1958" t="s">
        <v>2023</v>
      </c>
      <c r="C1958" t="s">
        <v>5043</v>
      </c>
      <c r="D1958" t="s">
        <v>8401</v>
      </c>
    </row>
    <row r="1959" spans="1:4" x14ac:dyDescent="0.25">
      <c r="A1959" s="63" t="s">
        <v>7991</v>
      </c>
      <c r="B1959" t="s">
        <v>2478</v>
      </c>
      <c r="C1959" t="s">
        <v>5043</v>
      </c>
      <c r="D1959" t="s">
        <v>8401</v>
      </c>
    </row>
    <row r="1960" spans="1:4" x14ac:dyDescent="0.25">
      <c r="A1960" s="63" t="s">
        <v>7992</v>
      </c>
      <c r="B1960" t="s">
        <v>2479</v>
      </c>
      <c r="C1960" t="s">
        <v>5043</v>
      </c>
      <c r="D1960" t="s">
        <v>8401</v>
      </c>
    </row>
    <row r="1961" spans="1:4" x14ac:dyDescent="0.25">
      <c r="A1961" s="63" t="s">
        <v>7993</v>
      </c>
      <c r="B1961" t="s">
        <v>1385</v>
      </c>
      <c r="C1961" t="s">
        <v>5043</v>
      </c>
      <c r="D1961" t="s">
        <v>8401</v>
      </c>
    </row>
    <row r="1962" spans="1:4" x14ac:dyDescent="0.25">
      <c r="A1962" s="63" t="s">
        <v>7994</v>
      </c>
      <c r="B1962" t="s">
        <v>2480</v>
      </c>
      <c r="C1962" t="s">
        <v>5043</v>
      </c>
      <c r="D1962" t="s">
        <v>8401</v>
      </c>
    </row>
    <row r="1963" spans="1:4" x14ac:dyDescent="0.25">
      <c r="A1963" s="63" t="s">
        <v>7995</v>
      </c>
      <c r="B1963" t="s">
        <v>1383</v>
      </c>
      <c r="C1963" t="s">
        <v>5043</v>
      </c>
      <c r="D1963" t="s">
        <v>8401</v>
      </c>
    </row>
    <row r="1964" spans="1:4" x14ac:dyDescent="0.25">
      <c r="A1964" s="63" t="s">
        <v>7996</v>
      </c>
      <c r="B1964" t="s">
        <v>1384</v>
      </c>
      <c r="C1964" t="s">
        <v>5043</v>
      </c>
      <c r="D1964" t="s">
        <v>8401</v>
      </c>
    </row>
    <row r="1965" spans="1:4" x14ac:dyDescent="0.25">
      <c r="A1965" s="63" t="s">
        <v>3477</v>
      </c>
      <c r="B1965" t="s">
        <v>1585</v>
      </c>
      <c r="C1965" t="s">
        <v>5043</v>
      </c>
      <c r="D1965" t="s">
        <v>8401</v>
      </c>
    </row>
    <row r="1966" spans="1:4" x14ac:dyDescent="0.25">
      <c r="A1966" s="63" t="s">
        <v>6741</v>
      </c>
      <c r="B1966" t="s">
        <v>1413</v>
      </c>
      <c r="C1966" t="s">
        <v>5043</v>
      </c>
      <c r="D1966" t="s">
        <v>8401</v>
      </c>
    </row>
    <row r="1967" spans="1:4" x14ac:dyDescent="0.25">
      <c r="A1967" s="63" t="s">
        <v>2583</v>
      </c>
      <c r="B1967" t="s">
        <v>1413</v>
      </c>
      <c r="C1967" t="s">
        <v>5043</v>
      </c>
      <c r="D1967" t="s">
        <v>8401</v>
      </c>
    </row>
    <row r="1968" spans="1:4" x14ac:dyDescent="0.25">
      <c r="A1968" s="63" t="s">
        <v>6742</v>
      </c>
      <c r="B1968" t="s">
        <v>1413</v>
      </c>
      <c r="C1968" t="s">
        <v>5043</v>
      </c>
      <c r="D1968" t="s">
        <v>8401</v>
      </c>
    </row>
    <row r="1969" spans="1:4" x14ac:dyDescent="0.25">
      <c r="A1969" s="63" t="s">
        <v>6743</v>
      </c>
      <c r="B1969" t="s">
        <v>1413</v>
      </c>
      <c r="C1969" t="s">
        <v>5043</v>
      </c>
      <c r="D1969" t="s">
        <v>8401</v>
      </c>
    </row>
    <row r="1970" spans="1:4" x14ac:dyDescent="0.25">
      <c r="A1970" s="63" t="s">
        <v>7997</v>
      </c>
      <c r="B1970" t="s">
        <v>1449</v>
      </c>
      <c r="C1970" t="s">
        <v>5043</v>
      </c>
      <c r="D1970" t="s">
        <v>8401</v>
      </c>
    </row>
    <row r="1971" spans="1:4" x14ac:dyDescent="0.25">
      <c r="A1971" s="63" t="s">
        <v>7998</v>
      </c>
      <c r="B1971" t="s">
        <v>1449</v>
      </c>
      <c r="C1971" t="s">
        <v>5043</v>
      </c>
      <c r="D1971" t="s">
        <v>8401</v>
      </c>
    </row>
    <row r="1972" spans="1:4" x14ac:dyDescent="0.25">
      <c r="A1972" s="63" t="s">
        <v>7999</v>
      </c>
      <c r="B1972" t="s">
        <v>1449</v>
      </c>
      <c r="C1972" t="s">
        <v>5043</v>
      </c>
      <c r="D1972" t="s">
        <v>8401</v>
      </c>
    </row>
    <row r="1973" spans="1:4" x14ac:dyDescent="0.25">
      <c r="A1973" s="63" t="s">
        <v>8000</v>
      </c>
      <c r="B1973" t="s">
        <v>1449</v>
      </c>
      <c r="C1973" t="s">
        <v>5043</v>
      </c>
      <c r="D1973" t="s">
        <v>8401</v>
      </c>
    </row>
    <row r="1974" spans="1:4" x14ac:dyDescent="0.25">
      <c r="A1974" s="63" t="s">
        <v>5348</v>
      </c>
      <c r="B1974" t="s">
        <v>2276</v>
      </c>
      <c r="C1974" t="s">
        <v>5043</v>
      </c>
      <c r="D1974" t="s">
        <v>8401</v>
      </c>
    </row>
    <row r="1975" spans="1:4" x14ac:dyDescent="0.25">
      <c r="A1975" s="63" t="s">
        <v>8001</v>
      </c>
      <c r="B1975" t="s">
        <v>2276</v>
      </c>
      <c r="C1975" t="s">
        <v>5043</v>
      </c>
      <c r="D1975" t="s">
        <v>8401</v>
      </c>
    </row>
    <row r="1976" spans="1:4" x14ac:dyDescent="0.25">
      <c r="A1976" s="63" t="s">
        <v>5059</v>
      </c>
      <c r="B1976" t="s">
        <v>2276</v>
      </c>
      <c r="C1976" t="s">
        <v>5043</v>
      </c>
      <c r="D1976" t="s">
        <v>8401</v>
      </c>
    </row>
    <row r="1977" spans="1:4" x14ac:dyDescent="0.25">
      <c r="A1977" s="63" t="s">
        <v>6749</v>
      </c>
      <c r="B1977" t="s">
        <v>1287</v>
      </c>
      <c r="C1977" t="s">
        <v>5043</v>
      </c>
      <c r="D1977" t="s">
        <v>8401</v>
      </c>
    </row>
    <row r="1978" spans="1:4" x14ac:dyDescent="0.25">
      <c r="A1978" s="63" t="s">
        <v>3478</v>
      </c>
      <c r="B1978" t="s">
        <v>1231</v>
      </c>
      <c r="C1978" t="s">
        <v>5043</v>
      </c>
      <c r="D1978" t="s">
        <v>8401</v>
      </c>
    </row>
    <row r="1979" spans="1:4" x14ac:dyDescent="0.25">
      <c r="A1979" s="63" t="s">
        <v>3479</v>
      </c>
      <c r="B1979" t="s">
        <v>1231</v>
      </c>
      <c r="C1979" t="s">
        <v>5043</v>
      </c>
      <c r="D1979" t="s">
        <v>8401</v>
      </c>
    </row>
    <row r="1980" spans="1:4" x14ac:dyDescent="0.25">
      <c r="A1980" s="63" t="s">
        <v>3480</v>
      </c>
      <c r="B1980" t="s">
        <v>1231</v>
      </c>
      <c r="C1980" t="s">
        <v>5043</v>
      </c>
      <c r="D1980" t="s">
        <v>8401</v>
      </c>
    </row>
    <row r="1981" spans="1:4" x14ac:dyDescent="0.25">
      <c r="A1981" s="63" t="s">
        <v>3481</v>
      </c>
      <c r="B1981" t="s">
        <v>1231</v>
      </c>
      <c r="C1981" t="s">
        <v>5043</v>
      </c>
      <c r="D1981" t="s">
        <v>8401</v>
      </c>
    </row>
    <row r="1982" spans="1:4" x14ac:dyDescent="0.25">
      <c r="A1982" s="63" t="s">
        <v>3482</v>
      </c>
      <c r="B1982" t="s">
        <v>1229</v>
      </c>
      <c r="C1982" t="s">
        <v>5043</v>
      </c>
      <c r="D1982" t="s">
        <v>8401</v>
      </c>
    </row>
    <row r="1983" spans="1:4" x14ac:dyDescent="0.25">
      <c r="A1983" s="63" t="s">
        <v>3483</v>
      </c>
      <c r="B1983" t="s">
        <v>1229</v>
      </c>
      <c r="C1983" t="s">
        <v>5043</v>
      </c>
      <c r="D1983" t="s">
        <v>8401</v>
      </c>
    </row>
    <row r="1984" spans="1:4" x14ac:dyDescent="0.25">
      <c r="A1984" s="63" t="s">
        <v>3484</v>
      </c>
      <c r="B1984" t="s">
        <v>1229</v>
      </c>
      <c r="C1984" t="s">
        <v>5043</v>
      </c>
      <c r="D1984" t="s">
        <v>8401</v>
      </c>
    </row>
    <row r="1985" spans="1:4" x14ac:dyDescent="0.25">
      <c r="A1985" s="63" t="s">
        <v>3485</v>
      </c>
      <c r="B1985" t="s">
        <v>1229</v>
      </c>
      <c r="C1985" t="s">
        <v>5043</v>
      </c>
      <c r="D1985" t="s">
        <v>8401</v>
      </c>
    </row>
    <row r="1986" spans="1:4" x14ac:dyDescent="0.25">
      <c r="A1986" s="63" t="s">
        <v>3486</v>
      </c>
      <c r="B1986" t="s">
        <v>1229</v>
      </c>
      <c r="C1986" t="s">
        <v>5043</v>
      </c>
      <c r="D1986" t="s">
        <v>8401</v>
      </c>
    </row>
    <row r="1987" spans="1:4" x14ac:dyDescent="0.25">
      <c r="A1987" s="63" t="s">
        <v>3487</v>
      </c>
      <c r="B1987" t="s">
        <v>1229</v>
      </c>
      <c r="C1987" t="s">
        <v>5043</v>
      </c>
      <c r="D1987" t="s">
        <v>8401</v>
      </c>
    </row>
    <row r="1988" spans="1:4" x14ac:dyDescent="0.25">
      <c r="A1988" s="63" t="s">
        <v>8002</v>
      </c>
      <c r="B1988" t="s">
        <v>2197</v>
      </c>
      <c r="C1988" t="s">
        <v>5043</v>
      </c>
      <c r="D1988" t="s">
        <v>8401</v>
      </c>
    </row>
    <row r="1989" spans="1:4" x14ac:dyDescent="0.25">
      <c r="A1989" s="63" t="s">
        <v>3488</v>
      </c>
      <c r="B1989" t="s">
        <v>1230</v>
      </c>
      <c r="C1989" t="s">
        <v>5043</v>
      </c>
      <c r="D1989" t="s">
        <v>8401</v>
      </c>
    </row>
    <row r="1990" spans="1:4" x14ac:dyDescent="0.25">
      <c r="A1990" s="63" t="s">
        <v>3489</v>
      </c>
      <c r="B1990" t="s">
        <v>2028</v>
      </c>
      <c r="C1990" t="s">
        <v>5043</v>
      </c>
      <c r="D1990" t="s">
        <v>8401</v>
      </c>
    </row>
    <row r="1991" spans="1:4" x14ac:dyDescent="0.25">
      <c r="A1991" s="63" t="s">
        <v>6443</v>
      </c>
      <c r="B1991" t="s">
        <v>1510</v>
      </c>
      <c r="C1991" t="s">
        <v>5043</v>
      </c>
      <c r="D1991" t="s">
        <v>8401</v>
      </c>
    </row>
    <row r="1992" spans="1:4" x14ac:dyDescent="0.25">
      <c r="A1992" s="63" t="s">
        <v>6444</v>
      </c>
      <c r="B1992" t="s">
        <v>1510</v>
      </c>
      <c r="C1992" t="s">
        <v>5043</v>
      </c>
      <c r="D1992" t="s">
        <v>8401</v>
      </c>
    </row>
    <row r="1993" spans="1:4" x14ac:dyDescent="0.25">
      <c r="A1993" s="63" t="s">
        <v>3490</v>
      </c>
      <c r="B1993" t="s">
        <v>1509</v>
      </c>
      <c r="C1993" t="s">
        <v>5043</v>
      </c>
      <c r="D1993" t="s">
        <v>8401</v>
      </c>
    </row>
    <row r="1994" spans="1:4" x14ac:dyDescent="0.25">
      <c r="A1994" s="63" t="s">
        <v>8003</v>
      </c>
      <c r="B1994" t="s">
        <v>1509</v>
      </c>
      <c r="C1994" t="s">
        <v>5043</v>
      </c>
      <c r="D1994" t="s">
        <v>8401</v>
      </c>
    </row>
    <row r="1995" spans="1:4" x14ac:dyDescent="0.25">
      <c r="A1995" s="63" t="s">
        <v>8004</v>
      </c>
      <c r="B1995" t="s">
        <v>1509</v>
      </c>
      <c r="C1995" t="s">
        <v>5043</v>
      </c>
      <c r="D1995" t="s">
        <v>8401</v>
      </c>
    </row>
    <row r="1996" spans="1:4" x14ac:dyDescent="0.25">
      <c r="A1996" s="63" t="s">
        <v>6636</v>
      </c>
      <c r="B1996" t="s">
        <v>1509</v>
      </c>
      <c r="C1996" t="s">
        <v>5043</v>
      </c>
      <c r="D1996" t="s">
        <v>8401</v>
      </c>
    </row>
    <row r="1997" spans="1:4" x14ac:dyDescent="0.25">
      <c r="A1997" s="63" t="s">
        <v>6637</v>
      </c>
      <c r="B1997" t="s">
        <v>1509</v>
      </c>
      <c r="C1997" t="s">
        <v>5043</v>
      </c>
      <c r="D1997" t="s">
        <v>8401</v>
      </c>
    </row>
    <row r="1998" spans="1:4" x14ac:dyDescent="0.25">
      <c r="A1998" s="63" t="s">
        <v>3491</v>
      </c>
      <c r="B1998" t="s">
        <v>2027</v>
      </c>
      <c r="C1998" t="s">
        <v>5043</v>
      </c>
      <c r="D1998" t="s">
        <v>8401</v>
      </c>
    </row>
    <row r="1999" spans="1:4" x14ac:dyDescent="0.25">
      <c r="A1999" s="63" t="s">
        <v>3492</v>
      </c>
      <c r="B1999" t="s">
        <v>2027</v>
      </c>
      <c r="C1999" t="s">
        <v>5043</v>
      </c>
      <c r="D1999" t="s">
        <v>8401</v>
      </c>
    </row>
    <row r="2000" spans="1:4" x14ac:dyDescent="0.25">
      <c r="A2000" s="63" t="s">
        <v>3493</v>
      </c>
      <c r="B2000" t="s">
        <v>2027</v>
      </c>
      <c r="C2000" t="s">
        <v>5043</v>
      </c>
      <c r="D2000" t="s">
        <v>8401</v>
      </c>
    </row>
    <row r="2001" spans="1:4" x14ac:dyDescent="0.25">
      <c r="A2001" s="63" t="s">
        <v>3494</v>
      </c>
      <c r="B2001" t="s">
        <v>2027</v>
      </c>
      <c r="C2001" t="s">
        <v>5043</v>
      </c>
      <c r="D2001" t="s">
        <v>8401</v>
      </c>
    </row>
    <row r="2002" spans="1:4" x14ac:dyDescent="0.25">
      <c r="A2002" s="63" t="s">
        <v>5871</v>
      </c>
      <c r="B2002" t="s">
        <v>2036</v>
      </c>
      <c r="C2002" t="s">
        <v>5043</v>
      </c>
      <c r="D2002" t="s">
        <v>8401</v>
      </c>
    </row>
    <row r="2003" spans="1:4" x14ac:dyDescent="0.25">
      <c r="A2003" s="63" t="s">
        <v>3495</v>
      </c>
      <c r="B2003" t="s">
        <v>2427</v>
      </c>
      <c r="C2003" t="s">
        <v>5043</v>
      </c>
      <c r="D2003" t="s">
        <v>8401</v>
      </c>
    </row>
    <row r="2004" spans="1:4" x14ac:dyDescent="0.25">
      <c r="A2004" s="63" t="s">
        <v>8005</v>
      </c>
      <c r="B2004" t="s">
        <v>2404</v>
      </c>
      <c r="C2004" t="s">
        <v>5043</v>
      </c>
      <c r="D2004" t="s">
        <v>8401</v>
      </c>
    </row>
    <row r="2005" spans="1:4" x14ac:dyDescent="0.25">
      <c r="A2005" s="63" t="s">
        <v>8006</v>
      </c>
      <c r="B2005" t="s">
        <v>2404</v>
      </c>
      <c r="C2005" t="s">
        <v>5043</v>
      </c>
      <c r="D2005" t="s">
        <v>8401</v>
      </c>
    </row>
    <row r="2006" spans="1:4" x14ac:dyDescent="0.25">
      <c r="A2006" s="63" t="s">
        <v>8007</v>
      </c>
      <c r="B2006" t="s">
        <v>2404</v>
      </c>
      <c r="C2006" t="s">
        <v>5043</v>
      </c>
      <c r="D2006" t="s">
        <v>8401</v>
      </c>
    </row>
    <row r="2007" spans="1:4" x14ac:dyDescent="0.25">
      <c r="A2007" s="63" t="s">
        <v>7137</v>
      </c>
      <c r="B2007" t="s">
        <v>2183</v>
      </c>
      <c r="C2007" t="s">
        <v>5043</v>
      </c>
      <c r="D2007" t="s">
        <v>8401</v>
      </c>
    </row>
    <row r="2008" spans="1:4" x14ac:dyDescent="0.25">
      <c r="A2008" s="63" t="s">
        <v>7138</v>
      </c>
      <c r="B2008" t="s">
        <v>2183</v>
      </c>
      <c r="C2008" t="s">
        <v>5043</v>
      </c>
      <c r="D2008" t="s">
        <v>8401</v>
      </c>
    </row>
    <row r="2009" spans="1:4" x14ac:dyDescent="0.25">
      <c r="A2009" s="63" t="s">
        <v>8008</v>
      </c>
      <c r="B2009" t="s">
        <v>1507</v>
      </c>
      <c r="C2009" t="s">
        <v>5043</v>
      </c>
      <c r="D2009" t="s">
        <v>8401</v>
      </c>
    </row>
    <row r="2010" spans="1:4" x14ac:dyDescent="0.25">
      <c r="A2010" s="63" t="s">
        <v>3496</v>
      </c>
      <c r="B2010" t="s">
        <v>1507</v>
      </c>
      <c r="C2010" t="s">
        <v>5043</v>
      </c>
      <c r="D2010" t="s">
        <v>8401</v>
      </c>
    </row>
    <row r="2011" spans="1:4" x14ac:dyDescent="0.25">
      <c r="A2011" s="63" t="s">
        <v>3497</v>
      </c>
      <c r="B2011" t="s">
        <v>1507</v>
      </c>
      <c r="C2011" t="s">
        <v>5043</v>
      </c>
      <c r="D2011" t="s">
        <v>8401</v>
      </c>
    </row>
    <row r="2012" spans="1:4" x14ac:dyDescent="0.25">
      <c r="A2012" s="63" t="s">
        <v>8009</v>
      </c>
      <c r="B2012" t="s">
        <v>1507</v>
      </c>
      <c r="C2012" t="s">
        <v>5043</v>
      </c>
      <c r="D2012" t="s">
        <v>8401</v>
      </c>
    </row>
    <row r="2013" spans="1:4" x14ac:dyDescent="0.25">
      <c r="A2013" s="63" t="s">
        <v>8010</v>
      </c>
      <c r="B2013" t="s">
        <v>1507</v>
      </c>
      <c r="C2013" t="s">
        <v>5043</v>
      </c>
      <c r="D2013" t="s">
        <v>8401</v>
      </c>
    </row>
    <row r="2014" spans="1:4" x14ac:dyDescent="0.25">
      <c r="A2014" s="63" t="s">
        <v>8011</v>
      </c>
      <c r="B2014" t="s">
        <v>1507</v>
      </c>
      <c r="C2014" t="s">
        <v>5043</v>
      </c>
      <c r="D2014" t="s">
        <v>8401</v>
      </c>
    </row>
    <row r="2015" spans="1:4" x14ac:dyDescent="0.25">
      <c r="A2015" s="63" t="s">
        <v>5767</v>
      </c>
      <c r="B2015" t="s">
        <v>1507</v>
      </c>
      <c r="C2015" t="s">
        <v>5043</v>
      </c>
      <c r="D2015" t="s">
        <v>8401</v>
      </c>
    </row>
    <row r="2016" spans="1:4" x14ac:dyDescent="0.25">
      <c r="A2016" s="63" t="s">
        <v>8012</v>
      </c>
      <c r="B2016" t="s">
        <v>1507</v>
      </c>
      <c r="C2016" t="s">
        <v>5043</v>
      </c>
      <c r="D2016" t="s">
        <v>8401</v>
      </c>
    </row>
    <row r="2017" spans="1:4" x14ac:dyDescent="0.25">
      <c r="A2017" s="63" t="s">
        <v>8013</v>
      </c>
      <c r="B2017" t="s">
        <v>1507</v>
      </c>
      <c r="C2017" t="s">
        <v>5043</v>
      </c>
      <c r="D2017" t="s">
        <v>8401</v>
      </c>
    </row>
    <row r="2018" spans="1:4" x14ac:dyDescent="0.25">
      <c r="A2018" s="63" t="s">
        <v>8014</v>
      </c>
      <c r="B2018" t="s">
        <v>1507</v>
      </c>
      <c r="C2018" t="s">
        <v>5043</v>
      </c>
      <c r="D2018" t="s">
        <v>8401</v>
      </c>
    </row>
    <row r="2019" spans="1:4" x14ac:dyDescent="0.25">
      <c r="A2019" s="63" t="s">
        <v>8015</v>
      </c>
      <c r="B2019" t="s">
        <v>1507</v>
      </c>
      <c r="C2019" t="s">
        <v>5043</v>
      </c>
      <c r="D2019" t="s">
        <v>8401</v>
      </c>
    </row>
    <row r="2020" spans="1:4" x14ac:dyDescent="0.25">
      <c r="A2020" s="63" t="s">
        <v>8016</v>
      </c>
      <c r="B2020" t="s">
        <v>1507</v>
      </c>
      <c r="C2020" t="s">
        <v>5043</v>
      </c>
      <c r="D2020" t="s">
        <v>8401</v>
      </c>
    </row>
    <row r="2021" spans="1:4" x14ac:dyDescent="0.25">
      <c r="A2021" s="63" t="s">
        <v>8017</v>
      </c>
      <c r="B2021" t="s">
        <v>1507</v>
      </c>
      <c r="C2021" t="s">
        <v>5043</v>
      </c>
      <c r="D2021" t="s">
        <v>8401</v>
      </c>
    </row>
    <row r="2022" spans="1:4" x14ac:dyDescent="0.25">
      <c r="A2022" s="63" t="s">
        <v>8018</v>
      </c>
      <c r="B2022" t="s">
        <v>1507</v>
      </c>
      <c r="C2022" t="s">
        <v>5043</v>
      </c>
      <c r="D2022" t="s">
        <v>8401</v>
      </c>
    </row>
    <row r="2023" spans="1:4" x14ac:dyDescent="0.25">
      <c r="A2023" s="63" t="s">
        <v>8019</v>
      </c>
      <c r="B2023" t="s">
        <v>1507</v>
      </c>
      <c r="C2023" t="s">
        <v>5043</v>
      </c>
      <c r="D2023" t="s">
        <v>8401</v>
      </c>
    </row>
    <row r="2024" spans="1:4" x14ac:dyDescent="0.25">
      <c r="A2024" s="63" t="s">
        <v>8020</v>
      </c>
      <c r="B2024" t="s">
        <v>1507</v>
      </c>
      <c r="C2024" t="s">
        <v>5043</v>
      </c>
      <c r="D2024" t="s">
        <v>8401</v>
      </c>
    </row>
    <row r="2025" spans="1:4" x14ac:dyDescent="0.25">
      <c r="A2025" s="63" t="s">
        <v>5313</v>
      </c>
      <c r="B2025" t="s">
        <v>1606</v>
      </c>
      <c r="C2025" t="s">
        <v>5043</v>
      </c>
      <c r="D2025" t="s">
        <v>8401</v>
      </c>
    </row>
    <row r="2026" spans="1:4" x14ac:dyDescent="0.25">
      <c r="A2026" s="63" t="s">
        <v>5314</v>
      </c>
      <c r="B2026" t="s">
        <v>1606</v>
      </c>
      <c r="C2026" t="s">
        <v>5043</v>
      </c>
      <c r="D2026" t="s">
        <v>8401</v>
      </c>
    </row>
    <row r="2027" spans="1:4" x14ac:dyDescent="0.25">
      <c r="A2027" s="63" t="s">
        <v>5315</v>
      </c>
      <c r="B2027" t="s">
        <v>1606</v>
      </c>
      <c r="C2027" t="s">
        <v>5043</v>
      </c>
      <c r="D2027" t="s">
        <v>8401</v>
      </c>
    </row>
    <row r="2028" spans="1:4" x14ac:dyDescent="0.25">
      <c r="A2028" s="63" t="s">
        <v>5316</v>
      </c>
      <c r="B2028" t="s">
        <v>1606</v>
      </c>
      <c r="C2028" t="s">
        <v>5043</v>
      </c>
      <c r="D2028" t="s">
        <v>8401</v>
      </c>
    </row>
    <row r="2029" spans="1:4" x14ac:dyDescent="0.25">
      <c r="A2029" s="63" t="s">
        <v>2655</v>
      </c>
      <c r="B2029" t="s">
        <v>1712</v>
      </c>
      <c r="C2029" t="s">
        <v>5043</v>
      </c>
      <c r="D2029" t="s">
        <v>8401</v>
      </c>
    </row>
    <row r="2030" spans="1:4" x14ac:dyDescent="0.25">
      <c r="A2030" s="63" t="s">
        <v>2656</v>
      </c>
      <c r="B2030" t="s">
        <v>1712</v>
      </c>
      <c r="C2030" t="s">
        <v>5043</v>
      </c>
      <c r="D2030" t="s">
        <v>8401</v>
      </c>
    </row>
    <row r="2031" spans="1:4" x14ac:dyDescent="0.25">
      <c r="A2031" s="63" t="s">
        <v>2657</v>
      </c>
      <c r="B2031" t="s">
        <v>1712</v>
      </c>
      <c r="C2031" t="s">
        <v>5043</v>
      </c>
      <c r="D2031" t="s">
        <v>8401</v>
      </c>
    </row>
    <row r="2032" spans="1:4" x14ac:dyDescent="0.25">
      <c r="A2032" s="63" t="s">
        <v>2658</v>
      </c>
      <c r="B2032" t="s">
        <v>1712</v>
      </c>
      <c r="C2032" t="s">
        <v>5043</v>
      </c>
      <c r="D2032" t="s">
        <v>8401</v>
      </c>
    </row>
    <row r="2033" spans="1:4" x14ac:dyDescent="0.25">
      <c r="A2033" s="63" t="s">
        <v>3498</v>
      </c>
      <c r="B2033" t="s">
        <v>1335</v>
      </c>
      <c r="C2033" t="s">
        <v>5043</v>
      </c>
      <c r="D2033" t="s">
        <v>8401</v>
      </c>
    </row>
    <row r="2034" spans="1:4" x14ac:dyDescent="0.25">
      <c r="A2034" s="63" t="s">
        <v>3499</v>
      </c>
      <c r="B2034" t="s">
        <v>1335</v>
      </c>
      <c r="C2034" t="s">
        <v>5043</v>
      </c>
      <c r="D2034" t="s">
        <v>8401</v>
      </c>
    </row>
    <row r="2035" spans="1:4" x14ac:dyDescent="0.25">
      <c r="A2035" s="63" t="s">
        <v>3500</v>
      </c>
      <c r="B2035" t="s">
        <v>2025</v>
      </c>
      <c r="C2035" t="s">
        <v>5043</v>
      </c>
      <c r="D2035" t="s">
        <v>8401</v>
      </c>
    </row>
    <row r="2036" spans="1:4" x14ac:dyDescent="0.25">
      <c r="A2036" s="63" t="s">
        <v>5872</v>
      </c>
      <c r="B2036" t="s">
        <v>2037</v>
      </c>
      <c r="C2036" t="s">
        <v>5043</v>
      </c>
      <c r="D2036" t="s">
        <v>8401</v>
      </c>
    </row>
    <row r="2037" spans="1:4" x14ac:dyDescent="0.25">
      <c r="A2037" s="63" t="s">
        <v>5873</v>
      </c>
      <c r="B2037" t="s">
        <v>2035</v>
      </c>
      <c r="C2037" t="s">
        <v>5043</v>
      </c>
      <c r="D2037" t="s">
        <v>8401</v>
      </c>
    </row>
    <row r="2038" spans="1:4" x14ac:dyDescent="0.25">
      <c r="A2038" s="63" t="s">
        <v>8021</v>
      </c>
      <c r="B2038" t="s">
        <v>2035</v>
      </c>
      <c r="C2038" t="s">
        <v>5043</v>
      </c>
      <c r="D2038" t="s">
        <v>8401</v>
      </c>
    </row>
    <row r="2039" spans="1:4" x14ac:dyDescent="0.25">
      <c r="A2039" s="63" t="s">
        <v>6719</v>
      </c>
      <c r="B2039" t="s">
        <v>1351</v>
      </c>
      <c r="C2039" t="s">
        <v>5043</v>
      </c>
      <c r="D2039" t="s">
        <v>8401</v>
      </c>
    </row>
    <row r="2040" spans="1:4" x14ac:dyDescent="0.25">
      <c r="A2040" s="63" t="s">
        <v>6750</v>
      </c>
      <c r="B2040" t="s">
        <v>1284</v>
      </c>
      <c r="C2040" t="s">
        <v>5043</v>
      </c>
      <c r="D2040" t="s">
        <v>8401</v>
      </c>
    </row>
    <row r="2041" spans="1:4" x14ac:dyDescent="0.25">
      <c r="A2041" s="63" t="s">
        <v>8022</v>
      </c>
      <c r="B2041" t="s">
        <v>1592</v>
      </c>
      <c r="C2041" t="s">
        <v>5043</v>
      </c>
      <c r="D2041" t="s">
        <v>8401</v>
      </c>
    </row>
    <row r="2042" spans="1:4" x14ac:dyDescent="0.25">
      <c r="A2042" s="63" t="s">
        <v>7098</v>
      </c>
      <c r="B2042" t="s">
        <v>2388</v>
      </c>
      <c r="C2042" t="s">
        <v>5043</v>
      </c>
      <c r="D2042" t="s">
        <v>8401</v>
      </c>
    </row>
    <row r="2043" spans="1:4" x14ac:dyDescent="0.25">
      <c r="A2043" s="63" t="s">
        <v>7117</v>
      </c>
      <c r="B2043" t="s">
        <v>2388</v>
      </c>
      <c r="C2043" t="s">
        <v>5043</v>
      </c>
      <c r="D2043" t="s">
        <v>8401</v>
      </c>
    </row>
    <row r="2044" spans="1:4" x14ac:dyDescent="0.25">
      <c r="A2044" s="63" t="s">
        <v>6779</v>
      </c>
      <c r="B2044" t="s">
        <v>2388</v>
      </c>
      <c r="C2044" t="s">
        <v>5043</v>
      </c>
      <c r="D2044" t="s">
        <v>8401</v>
      </c>
    </row>
    <row r="2045" spans="1:4" x14ac:dyDescent="0.25">
      <c r="A2045" s="63" t="s">
        <v>3501</v>
      </c>
      <c r="B2045" t="s">
        <v>2024</v>
      </c>
      <c r="C2045" t="s">
        <v>5043</v>
      </c>
      <c r="D2045" t="s">
        <v>8401</v>
      </c>
    </row>
    <row r="2046" spans="1:4" x14ac:dyDescent="0.25">
      <c r="A2046" s="63" t="s">
        <v>3502</v>
      </c>
      <c r="B2046" t="s">
        <v>2024</v>
      </c>
      <c r="C2046" t="s">
        <v>5043</v>
      </c>
      <c r="D2046" t="s">
        <v>8401</v>
      </c>
    </row>
    <row r="2047" spans="1:4" x14ac:dyDescent="0.25">
      <c r="A2047" s="63" t="s">
        <v>3503</v>
      </c>
      <c r="B2047" t="s">
        <v>2024</v>
      </c>
      <c r="C2047" t="s">
        <v>5043</v>
      </c>
      <c r="D2047" t="s">
        <v>8401</v>
      </c>
    </row>
    <row r="2048" spans="1:4" x14ac:dyDescent="0.25">
      <c r="A2048" s="63" t="s">
        <v>3504</v>
      </c>
      <c r="B2048" t="s">
        <v>2024</v>
      </c>
      <c r="C2048" t="s">
        <v>5043</v>
      </c>
      <c r="D2048" t="s">
        <v>8401</v>
      </c>
    </row>
    <row r="2049" spans="1:4" x14ac:dyDescent="0.25">
      <c r="A2049" s="63" t="s">
        <v>3505</v>
      </c>
      <c r="B2049" t="s">
        <v>2024</v>
      </c>
      <c r="C2049" t="s">
        <v>5043</v>
      </c>
      <c r="D2049" t="s">
        <v>8401</v>
      </c>
    </row>
    <row r="2050" spans="1:4" x14ac:dyDescent="0.25">
      <c r="A2050" s="63" t="s">
        <v>3506</v>
      </c>
      <c r="B2050" t="s">
        <v>2024</v>
      </c>
      <c r="C2050" t="s">
        <v>5043</v>
      </c>
      <c r="D2050" t="s">
        <v>8401</v>
      </c>
    </row>
    <row r="2051" spans="1:4" x14ac:dyDescent="0.25">
      <c r="A2051" s="63" t="s">
        <v>3507</v>
      </c>
      <c r="B2051" t="s">
        <v>2024</v>
      </c>
      <c r="C2051" t="s">
        <v>5043</v>
      </c>
      <c r="D2051" t="s">
        <v>8401</v>
      </c>
    </row>
    <row r="2052" spans="1:4" x14ac:dyDescent="0.25">
      <c r="A2052" s="63" t="s">
        <v>3508</v>
      </c>
      <c r="B2052" t="s">
        <v>2024</v>
      </c>
      <c r="C2052" t="s">
        <v>5043</v>
      </c>
      <c r="D2052" t="s">
        <v>8401</v>
      </c>
    </row>
    <row r="2053" spans="1:4" x14ac:dyDescent="0.25">
      <c r="A2053" s="63" t="s">
        <v>3509</v>
      </c>
      <c r="B2053" t="s">
        <v>2024</v>
      </c>
      <c r="C2053" t="s">
        <v>5043</v>
      </c>
      <c r="D2053" t="s">
        <v>8401</v>
      </c>
    </row>
    <row r="2054" spans="1:4" x14ac:dyDescent="0.25">
      <c r="A2054" s="63" t="s">
        <v>3510</v>
      </c>
      <c r="B2054" t="s">
        <v>2511</v>
      </c>
      <c r="C2054" t="s">
        <v>5043</v>
      </c>
      <c r="D2054" t="s">
        <v>8401</v>
      </c>
    </row>
    <row r="2055" spans="1:4" x14ac:dyDescent="0.25">
      <c r="A2055" s="63" t="s">
        <v>3511</v>
      </c>
      <c r="B2055" t="s">
        <v>2509</v>
      </c>
      <c r="C2055" t="s">
        <v>5043</v>
      </c>
      <c r="D2055" t="s">
        <v>8401</v>
      </c>
    </row>
    <row r="2056" spans="1:4" x14ac:dyDescent="0.25">
      <c r="A2056" s="63" t="s">
        <v>8023</v>
      </c>
      <c r="B2056" t="s">
        <v>1651</v>
      </c>
      <c r="C2056" t="s">
        <v>5043</v>
      </c>
      <c r="D2056" t="s">
        <v>8401</v>
      </c>
    </row>
    <row r="2057" spans="1:4" x14ac:dyDescent="0.25">
      <c r="A2057" s="63" t="s">
        <v>3512</v>
      </c>
      <c r="B2057" t="s">
        <v>2510</v>
      </c>
      <c r="C2057" t="s">
        <v>5043</v>
      </c>
      <c r="D2057" t="s">
        <v>8401</v>
      </c>
    </row>
    <row r="2058" spans="1:4" x14ac:dyDescent="0.25">
      <c r="A2058" s="63" t="s">
        <v>6976</v>
      </c>
      <c r="B2058" t="s">
        <v>2101</v>
      </c>
      <c r="C2058" t="s">
        <v>5043</v>
      </c>
      <c r="D2058" t="s">
        <v>8401</v>
      </c>
    </row>
    <row r="2059" spans="1:4" x14ac:dyDescent="0.25">
      <c r="A2059" s="63" t="s">
        <v>8024</v>
      </c>
      <c r="B2059" t="s">
        <v>2253</v>
      </c>
      <c r="C2059" t="s">
        <v>5043</v>
      </c>
      <c r="D2059" t="s">
        <v>8401</v>
      </c>
    </row>
    <row r="2060" spans="1:4" x14ac:dyDescent="0.25">
      <c r="A2060" s="63" t="s">
        <v>3513</v>
      </c>
      <c r="B2060" t="s">
        <v>2125</v>
      </c>
      <c r="C2060" t="s">
        <v>5043</v>
      </c>
      <c r="D2060" t="s">
        <v>8401</v>
      </c>
    </row>
    <row r="2061" spans="1:4" x14ac:dyDescent="0.25">
      <c r="A2061" s="63" t="s">
        <v>3514</v>
      </c>
      <c r="B2061" t="s">
        <v>2125</v>
      </c>
      <c r="C2061" t="s">
        <v>5043</v>
      </c>
      <c r="D2061" t="s">
        <v>8401</v>
      </c>
    </row>
    <row r="2062" spans="1:4" x14ac:dyDescent="0.25">
      <c r="A2062" s="63" t="s">
        <v>6102</v>
      </c>
      <c r="B2062" t="s">
        <v>1877</v>
      </c>
      <c r="C2062" t="s">
        <v>5043</v>
      </c>
      <c r="D2062" t="s">
        <v>8401</v>
      </c>
    </row>
    <row r="2063" spans="1:4" x14ac:dyDescent="0.25">
      <c r="A2063" s="63" t="s">
        <v>3515</v>
      </c>
      <c r="B2063" t="s">
        <v>2127</v>
      </c>
      <c r="C2063" t="s">
        <v>5043</v>
      </c>
      <c r="D2063" t="s">
        <v>8401</v>
      </c>
    </row>
    <row r="2064" spans="1:4" x14ac:dyDescent="0.25">
      <c r="A2064" s="63" t="s">
        <v>3516</v>
      </c>
      <c r="B2064" t="s">
        <v>2128</v>
      </c>
      <c r="C2064" t="s">
        <v>5043</v>
      </c>
      <c r="D2064" t="s">
        <v>8401</v>
      </c>
    </row>
    <row r="2065" spans="1:4" x14ac:dyDescent="0.25">
      <c r="A2065" s="63" t="s">
        <v>3517</v>
      </c>
      <c r="B2065" t="s">
        <v>2126</v>
      </c>
      <c r="C2065" t="s">
        <v>5043</v>
      </c>
      <c r="D2065" t="s">
        <v>8401</v>
      </c>
    </row>
    <row r="2066" spans="1:4" x14ac:dyDescent="0.25">
      <c r="A2066" s="63" t="s">
        <v>3518</v>
      </c>
      <c r="B2066" t="s">
        <v>2126</v>
      </c>
      <c r="C2066" t="s">
        <v>5043</v>
      </c>
      <c r="D2066" t="s">
        <v>8401</v>
      </c>
    </row>
    <row r="2067" spans="1:4" x14ac:dyDescent="0.25">
      <c r="A2067" s="63" t="s">
        <v>8025</v>
      </c>
      <c r="B2067" t="s">
        <v>2330</v>
      </c>
      <c r="C2067" t="s">
        <v>5043</v>
      </c>
      <c r="D2067" t="s">
        <v>8401</v>
      </c>
    </row>
    <row r="2068" spans="1:4" x14ac:dyDescent="0.25">
      <c r="A2068" s="63" t="s">
        <v>8026</v>
      </c>
      <c r="B2068" t="s">
        <v>2330</v>
      </c>
      <c r="C2068" t="s">
        <v>5043</v>
      </c>
      <c r="D2068" t="s">
        <v>8401</v>
      </c>
    </row>
    <row r="2069" spans="1:4" x14ac:dyDescent="0.25">
      <c r="A2069" s="63" t="s">
        <v>8027</v>
      </c>
      <c r="B2069" t="s">
        <v>2330</v>
      </c>
      <c r="C2069" t="s">
        <v>5043</v>
      </c>
      <c r="D2069" t="s">
        <v>8401</v>
      </c>
    </row>
    <row r="2070" spans="1:4" x14ac:dyDescent="0.25">
      <c r="A2070" s="63" t="s">
        <v>8028</v>
      </c>
      <c r="B2070" t="s">
        <v>2247</v>
      </c>
      <c r="C2070" t="s">
        <v>5043</v>
      </c>
      <c r="D2070" t="s">
        <v>8401</v>
      </c>
    </row>
    <row r="2071" spans="1:4" x14ac:dyDescent="0.25">
      <c r="A2071" s="63" t="s">
        <v>3519</v>
      </c>
      <c r="B2071" t="s">
        <v>1969</v>
      </c>
      <c r="C2071" t="s">
        <v>5043</v>
      </c>
      <c r="D2071" t="s">
        <v>8401</v>
      </c>
    </row>
    <row r="2072" spans="1:4" x14ac:dyDescent="0.25">
      <c r="A2072" s="63" t="s">
        <v>3520</v>
      </c>
      <c r="B2072" t="s">
        <v>1969</v>
      </c>
      <c r="C2072" t="s">
        <v>5043</v>
      </c>
      <c r="D2072" t="s">
        <v>8401</v>
      </c>
    </row>
    <row r="2073" spans="1:4" x14ac:dyDescent="0.25">
      <c r="A2073" s="63" t="s">
        <v>3521</v>
      </c>
      <c r="B2073" t="s">
        <v>1969</v>
      </c>
      <c r="C2073" t="s">
        <v>5043</v>
      </c>
      <c r="D2073" t="s">
        <v>8401</v>
      </c>
    </row>
    <row r="2074" spans="1:4" x14ac:dyDescent="0.25">
      <c r="A2074" s="63" t="s">
        <v>3522</v>
      </c>
      <c r="B2074" t="s">
        <v>2124</v>
      </c>
      <c r="C2074" t="s">
        <v>5043</v>
      </c>
      <c r="D2074" t="s">
        <v>8401</v>
      </c>
    </row>
    <row r="2075" spans="1:4" x14ac:dyDescent="0.25">
      <c r="A2075" s="63" t="s">
        <v>3523</v>
      </c>
      <c r="B2075" t="s">
        <v>2124</v>
      </c>
      <c r="C2075" t="s">
        <v>5043</v>
      </c>
      <c r="D2075" t="s">
        <v>8401</v>
      </c>
    </row>
    <row r="2076" spans="1:4" x14ac:dyDescent="0.25">
      <c r="A2076" s="63" t="s">
        <v>3524</v>
      </c>
      <c r="B2076" t="s">
        <v>2124</v>
      </c>
      <c r="C2076" t="s">
        <v>5043</v>
      </c>
      <c r="D2076" t="s">
        <v>8401</v>
      </c>
    </row>
    <row r="2077" spans="1:4" x14ac:dyDescent="0.25">
      <c r="A2077" s="63" t="s">
        <v>3525</v>
      </c>
      <c r="B2077" t="s">
        <v>2124</v>
      </c>
      <c r="C2077" t="s">
        <v>5043</v>
      </c>
      <c r="D2077" t="s">
        <v>8401</v>
      </c>
    </row>
    <row r="2078" spans="1:4" x14ac:dyDescent="0.25">
      <c r="A2078" s="63" t="s">
        <v>8029</v>
      </c>
      <c r="B2078" t="s">
        <v>2248</v>
      </c>
      <c r="C2078" t="s">
        <v>5043</v>
      </c>
      <c r="D2078" t="s">
        <v>8401</v>
      </c>
    </row>
    <row r="2079" spans="1:4" x14ac:dyDescent="0.25">
      <c r="A2079" s="63" t="s">
        <v>8030</v>
      </c>
      <c r="B2079" t="s">
        <v>2243</v>
      </c>
      <c r="C2079" t="s">
        <v>5043</v>
      </c>
      <c r="D2079" t="s">
        <v>8401</v>
      </c>
    </row>
    <row r="2080" spans="1:4" x14ac:dyDescent="0.25">
      <c r="A2080" s="63" t="s">
        <v>6728</v>
      </c>
      <c r="B2080" t="s">
        <v>2139</v>
      </c>
      <c r="C2080" t="s">
        <v>5043</v>
      </c>
      <c r="D2080" t="s">
        <v>8401</v>
      </c>
    </row>
    <row r="2081" spans="1:4" x14ac:dyDescent="0.25">
      <c r="A2081" s="63" t="s">
        <v>6729</v>
      </c>
      <c r="B2081" t="s">
        <v>2139</v>
      </c>
      <c r="C2081" t="s">
        <v>5043</v>
      </c>
      <c r="D2081" t="s">
        <v>8401</v>
      </c>
    </row>
    <row r="2082" spans="1:4" x14ac:dyDescent="0.25">
      <c r="A2082" s="63" t="s">
        <v>3526</v>
      </c>
      <c r="B2082" t="s">
        <v>1340</v>
      </c>
      <c r="C2082" t="s">
        <v>5043</v>
      </c>
      <c r="D2082" t="s">
        <v>8401</v>
      </c>
    </row>
    <row r="2083" spans="1:4" x14ac:dyDescent="0.25">
      <c r="A2083" s="63" t="s">
        <v>3527</v>
      </c>
      <c r="B2083" t="s">
        <v>1340</v>
      </c>
      <c r="C2083" t="s">
        <v>5043</v>
      </c>
      <c r="D2083" t="s">
        <v>8401</v>
      </c>
    </row>
    <row r="2084" spans="1:4" x14ac:dyDescent="0.25">
      <c r="A2084" s="63" t="s">
        <v>3528</v>
      </c>
      <c r="B2084" t="s">
        <v>1340</v>
      </c>
      <c r="C2084" t="s">
        <v>5043</v>
      </c>
      <c r="D2084" t="s">
        <v>8401</v>
      </c>
    </row>
    <row r="2085" spans="1:4" x14ac:dyDescent="0.25">
      <c r="A2085" s="63" t="s">
        <v>3529</v>
      </c>
      <c r="B2085" t="s">
        <v>1340</v>
      </c>
      <c r="C2085" t="s">
        <v>5043</v>
      </c>
      <c r="D2085" t="s">
        <v>8401</v>
      </c>
    </row>
    <row r="2086" spans="1:4" x14ac:dyDescent="0.25">
      <c r="A2086" s="63" t="s">
        <v>3530</v>
      </c>
      <c r="B2086" t="s">
        <v>1340</v>
      </c>
      <c r="C2086" t="s">
        <v>5043</v>
      </c>
      <c r="D2086" t="s">
        <v>8401</v>
      </c>
    </row>
    <row r="2087" spans="1:4" x14ac:dyDescent="0.25">
      <c r="A2087" s="63" t="s">
        <v>3531</v>
      </c>
      <c r="B2087" t="s">
        <v>1340</v>
      </c>
      <c r="C2087" t="s">
        <v>5043</v>
      </c>
      <c r="D2087" t="s">
        <v>8401</v>
      </c>
    </row>
    <row r="2088" spans="1:4" x14ac:dyDescent="0.25">
      <c r="A2088" s="63" t="s">
        <v>3532</v>
      </c>
      <c r="B2088" t="s">
        <v>1339</v>
      </c>
      <c r="C2088" t="s">
        <v>5043</v>
      </c>
      <c r="D2088" t="s">
        <v>8401</v>
      </c>
    </row>
    <row r="2089" spans="1:4" x14ac:dyDescent="0.25">
      <c r="A2089" s="63" t="s">
        <v>3533</v>
      </c>
      <c r="B2089" t="s">
        <v>1339</v>
      </c>
      <c r="C2089" t="s">
        <v>5043</v>
      </c>
      <c r="D2089" t="s">
        <v>8401</v>
      </c>
    </row>
    <row r="2090" spans="1:4" x14ac:dyDescent="0.25">
      <c r="A2090" s="63" t="s">
        <v>8031</v>
      </c>
      <c r="B2090" t="s">
        <v>1215</v>
      </c>
      <c r="C2090" t="s">
        <v>5043</v>
      </c>
      <c r="D2090" t="s">
        <v>8401</v>
      </c>
    </row>
    <row r="2091" spans="1:4" x14ac:dyDescent="0.25">
      <c r="A2091" s="63" t="s">
        <v>3534</v>
      </c>
      <c r="B2091" t="s">
        <v>1215</v>
      </c>
      <c r="C2091" t="s">
        <v>5043</v>
      </c>
      <c r="D2091" t="s">
        <v>8401</v>
      </c>
    </row>
    <row r="2092" spans="1:4" x14ac:dyDescent="0.25">
      <c r="A2092" s="63" t="s">
        <v>7264</v>
      </c>
      <c r="B2092" t="s">
        <v>1215</v>
      </c>
      <c r="C2092" t="s">
        <v>5043</v>
      </c>
      <c r="D2092" t="s">
        <v>8401</v>
      </c>
    </row>
    <row r="2093" spans="1:4" x14ac:dyDescent="0.25">
      <c r="A2093" s="63" t="s">
        <v>3535</v>
      </c>
      <c r="B2093" t="s">
        <v>1338</v>
      </c>
      <c r="C2093" t="s">
        <v>5043</v>
      </c>
      <c r="D2093" t="s">
        <v>8401</v>
      </c>
    </row>
    <row r="2094" spans="1:4" x14ac:dyDescent="0.25">
      <c r="A2094" s="63" t="s">
        <v>3536</v>
      </c>
      <c r="B2094" t="s">
        <v>1338</v>
      </c>
      <c r="C2094" t="s">
        <v>5043</v>
      </c>
      <c r="D2094" t="s">
        <v>8401</v>
      </c>
    </row>
    <row r="2095" spans="1:4" x14ac:dyDescent="0.25">
      <c r="A2095" s="63" t="s">
        <v>3537</v>
      </c>
      <c r="B2095" t="s">
        <v>1338</v>
      </c>
      <c r="C2095" t="s">
        <v>5043</v>
      </c>
      <c r="D2095" t="s">
        <v>8401</v>
      </c>
    </row>
    <row r="2096" spans="1:4" x14ac:dyDescent="0.25">
      <c r="A2096" s="63" t="s">
        <v>3538</v>
      </c>
      <c r="B2096" t="s">
        <v>1338</v>
      </c>
      <c r="C2096" t="s">
        <v>5043</v>
      </c>
      <c r="D2096" t="s">
        <v>8401</v>
      </c>
    </row>
    <row r="2097" spans="1:4" x14ac:dyDescent="0.25">
      <c r="A2097" s="63" t="s">
        <v>3539</v>
      </c>
      <c r="B2097" t="s">
        <v>1338</v>
      </c>
      <c r="C2097" t="s">
        <v>5043</v>
      </c>
      <c r="D2097" t="s">
        <v>8401</v>
      </c>
    </row>
    <row r="2098" spans="1:4" x14ac:dyDescent="0.25">
      <c r="A2098" s="63" t="s">
        <v>8032</v>
      </c>
      <c r="B2098" t="s">
        <v>1489</v>
      </c>
      <c r="C2098" t="s">
        <v>5043</v>
      </c>
      <c r="D2098" t="s">
        <v>8401</v>
      </c>
    </row>
    <row r="2099" spans="1:4" x14ac:dyDescent="0.25">
      <c r="A2099" s="63" t="s">
        <v>3540</v>
      </c>
      <c r="B2099" t="s">
        <v>1489</v>
      </c>
      <c r="C2099" t="s">
        <v>5043</v>
      </c>
      <c r="D2099" t="s">
        <v>8401</v>
      </c>
    </row>
    <row r="2100" spans="1:4" x14ac:dyDescent="0.25">
      <c r="A2100" s="63" t="s">
        <v>3541</v>
      </c>
      <c r="B2100" t="s">
        <v>1489</v>
      </c>
      <c r="C2100" t="s">
        <v>5043</v>
      </c>
      <c r="D2100" t="s">
        <v>8401</v>
      </c>
    </row>
    <row r="2101" spans="1:4" x14ac:dyDescent="0.25">
      <c r="A2101" s="63" t="s">
        <v>3542</v>
      </c>
      <c r="B2101" t="s">
        <v>1489</v>
      </c>
      <c r="C2101" t="s">
        <v>5043</v>
      </c>
      <c r="D2101" t="s">
        <v>8401</v>
      </c>
    </row>
    <row r="2102" spans="1:4" x14ac:dyDescent="0.25">
      <c r="A2102" s="63" t="s">
        <v>3543</v>
      </c>
      <c r="B2102" t="s">
        <v>1489</v>
      </c>
      <c r="C2102" t="s">
        <v>5043</v>
      </c>
      <c r="D2102" t="s">
        <v>8401</v>
      </c>
    </row>
    <row r="2103" spans="1:4" x14ac:dyDescent="0.25">
      <c r="A2103" s="63" t="s">
        <v>3544</v>
      </c>
      <c r="B2103" t="s">
        <v>1489</v>
      </c>
      <c r="C2103" t="s">
        <v>5043</v>
      </c>
      <c r="D2103" t="s">
        <v>8401</v>
      </c>
    </row>
    <row r="2104" spans="1:4" x14ac:dyDescent="0.25">
      <c r="A2104" s="63" t="s">
        <v>8033</v>
      </c>
      <c r="B2104" t="s">
        <v>1489</v>
      </c>
      <c r="C2104" t="s">
        <v>5043</v>
      </c>
      <c r="D2104" t="s">
        <v>8401</v>
      </c>
    </row>
    <row r="2105" spans="1:4" x14ac:dyDescent="0.25">
      <c r="A2105" s="63" t="s">
        <v>8034</v>
      </c>
      <c r="B2105" t="s">
        <v>1489</v>
      </c>
      <c r="C2105" t="s">
        <v>5043</v>
      </c>
      <c r="D2105" t="s">
        <v>8401</v>
      </c>
    </row>
    <row r="2106" spans="1:4" x14ac:dyDescent="0.25">
      <c r="A2106" s="63" t="s">
        <v>3545</v>
      </c>
      <c r="B2106" t="s">
        <v>2085</v>
      </c>
      <c r="C2106" t="s">
        <v>5043</v>
      </c>
      <c r="D2106" t="s">
        <v>8401</v>
      </c>
    </row>
    <row r="2107" spans="1:4" x14ac:dyDescent="0.25">
      <c r="A2107" s="63" t="s">
        <v>3546</v>
      </c>
      <c r="B2107" t="s">
        <v>2085</v>
      </c>
      <c r="C2107" t="s">
        <v>5043</v>
      </c>
      <c r="D2107" t="s">
        <v>8401</v>
      </c>
    </row>
    <row r="2108" spans="1:4" x14ac:dyDescent="0.25">
      <c r="A2108" s="63" t="s">
        <v>3547</v>
      </c>
      <c r="B2108" t="s">
        <v>2085</v>
      </c>
      <c r="C2108" t="s">
        <v>5043</v>
      </c>
      <c r="D2108" t="s">
        <v>8401</v>
      </c>
    </row>
    <row r="2109" spans="1:4" x14ac:dyDescent="0.25">
      <c r="A2109" s="63" t="s">
        <v>3548</v>
      </c>
      <c r="B2109" t="s">
        <v>2085</v>
      </c>
      <c r="C2109" t="s">
        <v>5043</v>
      </c>
      <c r="D2109" t="s">
        <v>8401</v>
      </c>
    </row>
    <row r="2110" spans="1:4" x14ac:dyDescent="0.25">
      <c r="A2110" s="63" t="s">
        <v>3549</v>
      </c>
      <c r="B2110" t="s">
        <v>2086</v>
      </c>
      <c r="C2110" t="s">
        <v>5043</v>
      </c>
      <c r="D2110" t="s">
        <v>8401</v>
      </c>
    </row>
    <row r="2111" spans="1:4" x14ac:dyDescent="0.25">
      <c r="A2111" s="63" t="s">
        <v>3550</v>
      </c>
      <c r="B2111" t="s">
        <v>2086</v>
      </c>
      <c r="C2111" t="s">
        <v>5043</v>
      </c>
      <c r="D2111" t="s">
        <v>8401</v>
      </c>
    </row>
    <row r="2112" spans="1:4" x14ac:dyDescent="0.25">
      <c r="A2112" s="63" t="s">
        <v>3551</v>
      </c>
      <c r="B2112" t="s">
        <v>2086</v>
      </c>
      <c r="C2112" t="s">
        <v>5043</v>
      </c>
      <c r="D2112" t="s">
        <v>8401</v>
      </c>
    </row>
    <row r="2113" spans="1:4" x14ac:dyDescent="0.25">
      <c r="A2113" s="63" t="s">
        <v>3552</v>
      </c>
      <c r="B2113" t="s">
        <v>1273</v>
      </c>
      <c r="C2113" t="s">
        <v>5043</v>
      </c>
      <c r="D2113" t="s">
        <v>8401</v>
      </c>
    </row>
    <row r="2114" spans="1:4" x14ac:dyDescent="0.25">
      <c r="A2114" s="63" t="s">
        <v>3553</v>
      </c>
      <c r="B2114" t="s">
        <v>1285</v>
      </c>
      <c r="C2114" t="s">
        <v>5043</v>
      </c>
      <c r="D2114" t="s">
        <v>8401</v>
      </c>
    </row>
    <row r="2115" spans="1:4" x14ac:dyDescent="0.25">
      <c r="A2115" s="63" t="s">
        <v>3554</v>
      </c>
      <c r="B2115" t="s">
        <v>1288</v>
      </c>
      <c r="C2115" t="s">
        <v>5043</v>
      </c>
      <c r="D2115" t="s">
        <v>8401</v>
      </c>
    </row>
    <row r="2116" spans="1:4" x14ac:dyDescent="0.25">
      <c r="A2116" s="63" t="s">
        <v>3555</v>
      </c>
      <c r="B2116" t="s">
        <v>1289</v>
      </c>
      <c r="C2116" t="s">
        <v>5043</v>
      </c>
      <c r="D2116" t="s">
        <v>8401</v>
      </c>
    </row>
    <row r="2117" spans="1:4" x14ac:dyDescent="0.25">
      <c r="A2117" s="63" t="s">
        <v>8035</v>
      </c>
      <c r="B2117" t="s">
        <v>2185</v>
      </c>
      <c r="C2117" t="s">
        <v>5043</v>
      </c>
      <c r="D2117" t="s">
        <v>8401</v>
      </c>
    </row>
    <row r="2118" spans="1:4" x14ac:dyDescent="0.25">
      <c r="A2118" s="63" t="s">
        <v>5715</v>
      </c>
      <c r="B2118" t="s">
        <v>1634</v>
      </c>
      <c r="C2118" t="s">
        <v>5043</v>
      </c>
      <c r="D2118" t="s">
        <v>8401</v>
      </c>
    </row>
    <row r="2119" spans="1:4" x14ac:dyDescent="0.25">
      <c r="A2119" s="63" t="s">
        <v>5716</v>
      </c>
      <c r="B2119" t="s">
        <v>1634</v>
      </c>
      <c r="C2119" t="s">
        <v>5043</v>
      </c>
      <c r="D2119" t="s">
        <v>8401</v>
      </c>
    </row>
    <row r="2120" spans="1:4" x14ac:dyDescent="0.25">
      <c r="A2120" s="63" t="s">
        <v>5717</v>
      </c>
      <c r="B2120" t="s">
        <v>1634</v>
      </c>
      <c r="C2120" t="s">
        <v>5043</v>
      </c>
      <c r="D2120" t="s">
        <v>8401</v>
      </c>
    </row>
    <row r="2121" spans="1:4" x14ac:dyDescent="0.25">
      <c r="A2121" s="63" t="s">
        <v>3556</v>
      </c>
      <c r="B2121" t="s">
        <v>1274</v>
      </c>
      <c r="C2121" t="s">
        <v>5043</v>
      </c>
      <c r="D2121" t="s">
        <v>8401</v>
      </c>
    </row>
    <row r="2122" spans="1:4" x14ac:dyDescent="0.25">
      <c r="A2122" s="63" t="s">
        <v>3557</v>
      </c>
      <c r="B2122" t="s">
        <v>1274</v>
      </c>
      <c r="C2122" t="s">
        <v>5043</v>
      </c>
      <c r="D2122" t="s">
        <v>8401</v>
      </c>
    </row>
    <row r="2123" spans="1:4" x14ac:dyDescent="0.25">
      <c r="A2123" s="63" t="s">
        <v>3558</v>
      </c>
      <c r="B2123" t="s">
        <v>2186</v>
      </c>
      <c r="C2123" t="s">
        <v>5043</v>
      </c>
      <c r="D2123" t="s">
        <v>8401</v>
      </c>
    </row>
    <row r="2124" spans="1:4" x14ac:dyDescent="0.25">
      <c r="A2124" s="63" t="s">
        <v>3559</v>
      </c>
      <c r="B2124" t="s">
        <v>1275</v>
      </c>
      <c r="C2124" t="s">
        <v>5043</v>
      </c>
      <c r="D2124" t="s">
        <v>8401</v>
      </c>
    </row>
    <row r="2125" spans="1:4" x14ac:dyDescent="0.25">
      <c r="A2125" s="63" t="s">
        <v>3560</v>
      </c>
      <c r="B2125" t="s">
        <v>1275</v>
      </c>
      <c r="C2125" t="s">
        <v>5043</v>
      </c>
      <c r="D2125" t="s">
        <v>8401</v>
      </c>
    </row>
    <row r="2126" spans="1:4" x14ac:dyDescent="0.25">
      <c r="A2126" s="63" t="s">
        <v>3561</v>
      </c>
      <c r="B2126" t="s">
        <v>1275</v>
      </c>
      <c r="C2126" t="s">
        <v>5043</v>
      </c>
      <c r="D2126" t="s">
        <v>8401</v>
      </c>
    </row>
    <row r="2127" spans="1:4" x14ac:dyDescent="0.25">
      <c r="A2127" s="63" t="s">
        <v>7010</v>
      </c>
      <c r="B2127" t="s">
        <v>1991</v>
      </c>
      <c r="C2127" t="s">
        <v>5043</v>
      </c>
      <c r="D2127" t="s">
        <v>8401</v>
      </c>
    </row>
    <row r="2128" spans="1:4" x14ac:dyDescent="0.25">
      <c r="A2128" s="63" t="s">
        <v>7011</v>
      </c>
      <c r="B2128" t="s">
        <v>1991</v>
      </c>
      <c r="C2128" t="s">
        <v>5043</v>
      </c>
      <c r="D2128" t="s">
        <v>8401</v>
      </c>
    </row>
    <row r="2129" spans="1:4" x14ac:dyDescent="0.25">
      <c r="A2129" s="63" t="s">
        <v>3562</v>
      </c>
      <c r="B2129" t="s">
        <v>1276</v>
      </c>
      <c r="C2129" t="s">
        <v>5043</v>
      </c>
      <c r="D2129" t="s">
        <v>8401</v>
      </c>
    </row>
    <row r="2130" spans="1:4" x14ac:dyDescent="0.25">
      <c r="A2130" s="63" t="s">
        <v>8036</v>
      </c>
      <c r="B2130" t="s">
        <v>1990</v>
      </c>
      <c r="C2130" t="s">
        <v>5043</v>
      </c>
      <c r="D2130" t="s">
        <v>8401</v>
      </c>
    </row>
    <row r="2131" spans="1:4" x14ac:dyDescent="0.25">
      <c r="A2131" s="63" t="s">
        <v>3563</v>
      </c>
      <c r="B2131" t="s">
        <v>1277</v>
      </c>
      <c r="C2131" t="s">
        <v>5043</v>
      </c>
      <c r="D2131" t="s">
        <v>8401</v>
      </c>
    </row>
    <row r="2132" spans="1:4" x14ac:dyDescent="0.25">
      <c r="A2132" s="63" t="s">
        <v>8037</v>
      </c>
      <c r="B2132" t="s">
        <v>2485</v>
      </c>
      <c r="C2132" t="s">
        <v>5043</v>
      </c>
      <c r="D2132" t="s">
        <v>8401</v>
      </c>
    </row>
    <row r="2133" spans="1:4" x14ac:dyDescent="0.25">
      <c r="A2133" s="63" t="s">
        <v>3564</v>
      </c>
      <c r="B2133" t="s">
        <v>1278</v>
      </c>
      <c r="C2133" t="s">
        <v>5043</v>
      </c>
      <c r="D2133" t="s">
        <v>8401</v>
      </c>
    </row>
    <row r="2134" spans="1:4" x14ac:dyDescent="0.25">
      <c r="A2134" s="63" t="s">
        <v>8038</v>
      </c>
      <c r="B2134" t="s">
        <v>2050</v>
      </c>
      <c r="C2134" t="s">
        <v>5043</v>
      </c>
      <c r="D2134" t="s">
        <v>8401</v>
      </c>
    </row>
    <row r="2135" spans="1:4" x14ac:dyDescent="0.25">
      <c r="A2135" s="63" t="s">
        <v>3565</v>
      </c>
      <c r="B2135" t="s">
        <v>2051</v>
      </c>
      <c r="C2135" t="s">
        <v>5043</v>
      </c>
      <c r="D2135" t="s">
        <v>8401</v>
      </c>
    </row>
    <row r="2136" spans="1:4" x14ac:dyDescent="0.25">
      <c r="A2136" s="63" t="s">
        <v>3566</v>
      </c>
      <c r="B2136" t="s">
        <v>2051</v>
      </c>
      <c r="C2136" t="s">
        <v>5043</v>
      </c>
      <c r="D2136" t="s">
        <v>8401</v>
      </c>
    </row>
    <row r="2137" spans="1:4" x14ac:dyDescent="0.25">
      <c r="A2137" s="63" t="s">
        <v>8039</v>
      </c>
      <c r="B2137" t="s">
        <v>1247</v>
      </c>
      <c r="C2137" t="s">
        <v>5043</v>
      </c>
      <c r="D2137" t="s">
        <v>8401</v>
      </c>
    </row>
    <row r="2138" spans="1:4" x14ac:dyDescent="0.25">
      <c r="A2138" s="63" t="s">
        <v>8040</v>
      </c>
      <c r="B2138" t="s">
        <v>1529</v>
      </c>
      <c r="C2138" t="s">
        <v>5043</v>
      </c>
      <c r="D2138" t="s">
        <v>8401</v>
      </c>
    </row>
    <row r="2139" spans="1:4" x14ac:dyDescent="0.25">
      <c r="A2139" s="63" t="s">
        <v>8041</v>
      </c>
      <c r="B2139" t="s">
        <v>1529</v>
      </c>
      <c r="C2139" t="s">
        <v>5043</v>
      </c>
      <c r="D2139" t="s">
        <v>8401</v>
      </c>
    </row>
    <row r="2140" spans="1:4" x14ac:dyDescent="0.25">
      <c r="A2140" s="63" t="s">
        <v>5770</v>
      </c>
      <c r="B2140" t="s">
        <v>1529</v>
      </c>
      <c r="C2140" t="s">
        <v>5043</v>
      </c>
      <c r="D2140" t="s">
        <v>8401</v>
      </c>
    </row>
    <row r="2141" spans="1:4" x14ac:dyDescent="0.25">
      <c r="A2141" s="63" t="s">
        <v>5771</v>
      </c>
      <c r="B2141" t="s">
        <v>1529</v>
      </c>
      <c r="C2141" t="s">
        <v>5043</v>
      </c>
      <c r="D2141" t="s">
        <v>8401</v>
      </c>
    </row>
    <row r="2142" spans="1:4" x14ac:dyDescent="0.25">
      <c r="A2142" s="63" t="s">
        <v>3567</v>
      </c>
      <c r="B2142" t="s">
        <v>1279</v>
      </c>
      <c r="C2142" t="s">
        <v>5043</v>
      </c>
      <c r="D2142" t="s">
        <v>8401</v>
      </c>
    </row>
    <row r="2143" spans="1:4" x14ac:dyDescent="0.25">
      <c r="A2143" s="63" t="s">
        <v>3568</v>
      </c>
      <c r="B2143" t="s">
        <v>1279</v>
      </c>
      <c r="C2143" t="s">
        <v>5043</v>
      </c>
      <c r="D2143" t="s">
        <v>8401</v>
      </c>
    </row>
    <row r="2144" spans="1:4" x14ac:dyDescent="0.25">
      <c r="A2144" s="63" t="s">
        <v>3569</v>
      </c>
      <c r="B2144" t="s">
        <v>1884</v>
      </c>
      <c r="C2144" t="s">
        <v>5043</v>
      </c>
      <c r="D2144" t="s">
        <v>8401</v>
      </c>
    </row>
    <row r="2145" spans="1:4" x14ac:dyDescent="0.25">
      <c r="A2145" s="63" t="s">
        <v>3570</v>
      </c>
      <c r="B2145" t="s">
        <v>1884</v>
      </c>
      <c r="C2145" t="s">
        <v>5043</v>
      </c>
      <c r="D2145" t="s">
        <v>8401</v>
      </c>
    </row>
    <row r="2146" spans="1:4" x14ac:dyDescent="0.25">
      <c r="A2146" s="63" t="s">
        <v>3571</v>
      </c>
      <c r="B2146" t="s">
        <v>1882</v>
      </c>
      <c r="C2146" t="s">
        <v>5043</v>
      </c>
      <c r="D2146" t="s">
        <v>8401</v>
      </c>
    </row>
    <row r="2147" spans="1:4" x14ac:dyDescent="0.25">
      <c r="A2147" s="63" t="s">
        <v>3572</v>
      </c>
      <c r="B2147" t="s">
        <v>1882</v>
      </c>
      <c r="C2147" t="s">
        <v>5043</v>
      </c>
      <c r="D2147" t="s">
        <v>8401</v>
      </c>
    </row>
    <row r="2148" spans="1:4" x14ac:dyDescent="0.25">
      <c r="A2148" s="63" t="s">
        <v>3573</v>
      </c>
      <c r="B2148" t="s">
        <v>1881</v>
      </c>
      <c r="C2148" t="s">
        <v>5043</v>
      </c>
      <c r="D2148" t="s">
        <v>8401</v>
      </c>
    </row>
    <row r="2149" spans="1:4" x14ac:dyDescent="0.25">
      <c r="A2149" s="63" t="s">
        <v>3574</v>
      </c>
      <c r="B2149" t="s">
        <v>1883</v>
      </c>
      <c r="C2149" t="s">
        <v>5043</v>
      </c>
      <c r="D2149" t="s">
        <v>8401</v>
      </c>
    </row>
    <row r="2150" spans="1:4" x14ac:dyDescent="0.25">
      <c r="A2150" s="63" t="s">
        <v>3575</v>
      </c>
      <c r="B2150" t="s">
        <v>2282</v>
      </c>
      <c r="C2150" t="s">
        <v>5043</v>
      </c>
      <c r="D2150" t="s">
        <v>8401</v>
      </c>
    </row>
    <row r="2151" spans="1:4" x14ac:dyDescent="0.25">
      <c r="A2151" s="63" t="s">
        <v>3576</v>
      </c>
      <c r="B2151" t="s">
        <v>1880</v>
      </c>
      <c r="C2151" t="s">
        <v>5043</v>
      </c>
      <c r="D2151" t="s">
        <v>8401</v>
      </c>
    </row>
    <row r="2152" spans="1:4" x14ac:dyDescent="0.25">
      <c r="A2152" s="63" t="s">
        <v>3577</v>
      </c>
      <c r="B2152" t="s">
        <v>1880</v>
      </c>
      <c r="C2152" t="s">
        <v>5043</v>
      </c>
      <c r="D2152" t="s">
        <v>8401</v>
      </c>
    </row>
    <row r="2153" spans="1:4" x14ac:dyDescent="0.25">
      <c r="A2153" s="63" t="s">
        <v>3578</v>
      </c>
      <c r="B2153" t="s">
        <v>1880</v>
      </c>
      <c r="C2153" t="s">
        <v>5043</v>
      </c>
      <c r="D2153" t="s">
        <v>8401</v>
      </c>
    </row>
    <row r="2154" spans="1:4" x14ac:dyDescent="0.25">
      <c r="A2154" s="63" t="s">
        <v>3579</v>
      </c>
      <c r="B2154" t="s">
        <v>2229</v>
      </c>
      <c r="C2154" t="s">
        <v>5043</v>
      </c>
      <c r="D2154" t="s">
        <v>8401</v>
      </c>
    </row>
    <row r="2155" spans="1:4" x14ac:dyDescent="0.25">
      <c r="A2155" s="63" t="s">
        <v>3580</v>
      </c>
      <c r="B2155" t="s">
        <v>2229</v>
      </c>
      <c r="C2155" t="s">
        <v>5043</v>
      </c>
      <c r="D2155" t="s">
        <v>8401</v>
      </c>
    </row>
    <row r="2156" spans="1:4" x14ac:dyDescent="0.25">
      <c r="A2156" s="63" t="s">
        <v>3581</v>
      </c>
      <c r="B2156" t="s">
        <v>2228</v>
      </c>
      <c r="C2156" t="s">
        <v>5043</v>
      </c>
      <c r="D2156" t="s">
        <v>8401</v>
      </c>
    </row>
    <row r="2157" spans="1:4" x14ac:dyDescent="0.25">
      <c r="A2157" s="63" t="s">
        <v>3582</v>
      </c>
      <c r="B2157" t="s">
        <v>1791</v>
      </c>
      <c r="C2157" t="s">
        <v>5043</v>
      </c>
      <c r="D2157" t="s">
        <v>8401</v>
      </c>
    </row>
    <row r="2158" spans="1:4" x14ac:dyDescent="0.25">
      <c r="A2158" s="63" t="s">
        <v>3583</v>
      </c>
      <c r="B2158" t="s">
        <v>1791</v>
      </c>
      <c r="C2158" t="s">
        <v>5043</v>
      </c>
      <c r="D2158" t="s">
        <v>8401</v>
      </c>
    </row>
    <row r="2159" spans="1:4" x14ac:dyDescent="0.25">
      <c r="A2159" s="63" t="s">
        <v>3584</v>
      </c>
      <c r="B2159" t="s">
        <v>1795</v>
      </c>
      <c r="C2159" t="s">
        <v>5043</v>
      </c>
      <c r="D2159" t="s">
        <v>8401</v>
      </c>
    </row>
    <row r="2160" spans="1:4" x14ac:dyDescent="0.25">
      <c r="A2160" s="63" t="s">
        <v>7058</v>
      </c>
      <c r="B2160" t="s">
        <v>1823</v>
      </c>
      <c r="C2160" t="s">
        <v>5043</v>
      </c>
      <c r="D2160" t="s">
        <v>8401</v>
      </c>
    </row>
    <row r="2161" spans="1:4" x14ac:dyDescent="0.25">
      <c r="A2161" s="63" t="s">
        <v>3585</v>
      </c>
      <c r="B2161" t="s">
        <v>2231</v>
      </c>
      <c r="C2161" t="s">
        <v>5043</v>
      </c>
      <c r="D2161" t="s">
        <v>8401</v>
      </c>
    </row>
    <row r="2162" spans="1:4" x14ac:dyDescent="0.25">
      <c r="A2162" s="63" t="s">
        <v>3586</v>
      </c>
      <c r="B2162" t="s">
        <v>1395</v>
      </c>
      <c r="C2162" t="s">
        <v>5043</v>
      </c>
      <c r="D2162" t="s">
        <v>8401</v>
      </c>
    </row>
    <row r="2163" spans="1:4" x14ac:dyDescent="0.25">
      <c r="A2163" s="63" t="s">
        <v>3587</v>
      </c>
      <c r="B2163" t="s">
        <v>1395</v>
      </c>
      <c r="C2163" t="s">
        <v>5043</v>
      </c>
      <c r="D2163" t="s">
        <v>8401</v>
      </c>
    </row>
    <row r="2164" spans="1:4" x14ac:dyDescent="0.25">
      <c r="A2164" s="63" t="s">
        <v>3588</v>
      </c>
      <c r="B2164" t="s">
        <v>1395</v>
      </c>
      <c r="C2164" t="s">
        <v>5043</v>
      </c>
      <c r="D2164" t="s">
        <v>8401</v>
      </c>
    </row>
    <row r="2165" spans="1:4" x14ac:dyDescent="0.25">
      <c r="A2165" s="63" t="s">
        <v>6767</v>
      </c>
      <c r="B2165" t="s">
        <v>1829</v>
      </c>
      <c r="C2165" t="s">
        <v>5043</v>
      </c>
      <c r="D2165" t="s">
        <v>8401</v>
      </c>
    </row>
    <row r="2166" spans="1:4" x14ac:dyDescent="0.25">
      <c r="A2166" s="63" t="s">
        <v>6768</v>
      </c>
      <c r="B2166" t="s">
        <v>1832</v>
      </c>
      <c r="C2166" t="s">
        <v>5043</v>
      </c>
      <c r="D2166" t="s">
        <v>8401</v>
      </c>
    </row>
    <row r="2167" spans="1:4" x14ac:dyDescent="0.25">
      <c r="A2167" s="63" t="s">
        <v>3589</v>
      </c>
      <c r="B2167" t="s">
        <v>1282</v>
      </c>
      <c r="C2167" t="s">
        <v>5043</v>
      </c>
      <c r="D2167" t="s">
        <v>8401</v>
      </c>
    </row>
    <row r="2168" spans="1:4" x14ac:dyDescent="0.25">
      <c r="A2168" s="63" t="s">
        <v>3590</v>
      </c>
      <c r="B2168" t="s">
        <v>1282</v>
      </c>
      <c r="C2168" t="s">
        <v>5043</v>
      </c>
      <c r="D2168" t="s">
        <v>8401</v>
      </c>
    </row>
    <row r="2169" spans="1:4" x14ac:dyDescent="0.25">
      <c r="A2169" s="63" t="s">
        <v>3591</v>
      </c>
      <c r="B2169" t="s">
        <v>1282</v>
      </c>
      <c r="C2169" t="s">
        <v>5043</v>
      </c>
      <c r="D2169" t="s">
        <v>8401</v>
      </c>
    </row>
    <row r="2170" spans="1:4" x14ac:dyDescent="0.25">
      <c r="A2170" s="63" t="s">
        <v>6751</v>
      </c>
      <c r="B2170" t="s">
        <v>1283</v>
      </c>
      <c r="C2170" t="s">
        <v>5043</v>
      </c>
      <c r="D2170" t="s">
        <v>8401</v>
      </c>
    </row>
    <row r="2171" spans="1:4" x14ac:dyDescent="0.25">
      <c r="A2171" s="63" t="s">
        <v>6752</v>
      </c>
      <c r="B2171" t="s">
        <v>1283</v>
      </c>
      <c r="C2171" t="s">
        <v>5043</v>
      </c>
      <c r="D2171" t="s">
        <v>8401</v>
      </c>
    </row>
    <row r="2172" spans="1:4" x14ac:dyDescent="0.25">
      <c r="A2172" s="63" t="s">
        <v>8042</v>
      </c>
      <c r="B2172" t="s">
        <v>2174</v>
      </c>
      <c r="C2172" t="s">
        <v>5043</v>
      </c>
      <c r="D2172" t="s">
        <v>8401</v>
      </c>
    </row>
    <row r="2173" spans="1:4" x14ac:dyDescent="0.25">
      <c r="A2173" s="63" t="s">
        <v>5758</v>
      </c>
      <c r="B2173" t="s">
        <v>1223</v>
      </c>
      <c r="C2173" t="s">
        <v>5043</v>
      </c>
      <c r="D2173" t="s">
        <v>8401</v>
      </c>
    </row>
    <row r="2174" spans="1:4" x14ac:dyDescent="0.25">
      <c r="A2174" s="63" t="s">
        <v>5759</v>
      </c>
      <c r="B2174" t="s">
        <v>1222</v>
      </c>
      <c r="C2174" t="s">
        <v>5043</v>
      </c>
      <c r="D2174" t="s">
        <v>8401</v>
      </c>
    </row>
    <row r="2175" spans="1:4" x14ac:dyDescent="0.25">
      <c r="A2175" s="63" t="s">
        <v>3592</v>
      </c>
      <c r="B2175" t="s">
        <v>2281</v>
      </c>
      <c r="C2175" t="s">
        <v>5043</v>
      </c>
      <c r="D2175" t="s">
        <v>8401</v>
      </c>
    </row>
    <row r="2176" spans="1:4" x14ac:dyDescent="0.25">
      <c r="A2176" s="63" t="s">
        <v>8043</v>
      </c>
      <c r="B2176" t="s">
        <v>2360</v>
      </c>
      <c r="C2176" t="s">
        <v>5043</v>
      </c>
      <c r="D2176" t="s">
        <v>8401</v>
      </c>
    </row>
    <row r="2177" spans="1:4" x14ac:dyDescent="0.25">
      <c r="A2177" s="63" t="s">
        <v>3593</v>
      </c>
      <c r="B2177" t="s">
        <v>2449</v>
      </c>
      <c r="C2177" t="s">
        <v>5043</v>
      </c>
      <c r="D2177" t="s">
        <v>8401</v>
      </c>
    </row>
    <row r="2178" spans="1:4" x14ac:dyDescent="0.25">
      <c r="A2178" s="63" t="s">
        <v>3594</v>
      </c>
      <c r="B2178" t="s">
        <v>2449</v>
      </c>
      <c r="C2178" t="s">
        <v>5043</v>
      </c>
      <c r="D2178" t="s">
        <v>8401</v>
      </c>
    </row>
    <row r="2179" spans="1:4" x14ac:dyDescent="0.25">
      <c r="A2179" s="63" t="s">
        <v>8044</v>
      </c>
      <c r="B2179" t="s">
        <v>2449</v>
      </c>
      <c r="C2179" t="s">
        <v>5043</v>
      </c>
      <c r="D2179" t="s">
        <v>8401</v>
      </c>
    </row>
    <row r="2180" spans="1:4" x14ac:dyDescent="0.25">
      <c r="A2180" s="63" t="s">
        <v>8045</v>
      </c>
      <c r="B2180" t="s">
        <v>2449</v>
      </c>
      <c r="C2180" t="s">
        <v>5043</v>
      </c>
      <c r="D2180" t="s">
        <v>8401</v>
      </c>
    </row>
    <row r="2181" spans="1:4" x14ac:dyDescent="0.25">
      <c r="A2181" s="63" t="s">
        <v>3595</v>
      </c>
      <c r="B2181" t="s">
        <v>2308</v>
      </c>
      <c r="C2181" t="s">
        <v>5043</v>
      </c>
      <c r="D2181" t="s">
        <v>8401</v>
      </c>
    </row>
    <row r="2182" spans="1:4" x14ac:dyDescent="0.25">
      <c r="A2182" s="63" t="s">
        <v>3596</v>
      </c>
      <c r="B2182" t="s">
        <v>2412</v>
      </c>
      <c r="C2182" t="s">
        <v>5043</v>
      </c>
      <c r="D2182" t="s">
        <v>8401</v>
      </c>
    </row>
    <row r="2183" spans="1:4" x14ac:dyDescent="0.25">
      <c r="A2183" s="63" t="s">
        <v>6826</v>
      </c>
      <c r="B2183" t="s">
        <v>1608</v>
      </c>
      <c r="C2183" t="s">
        <v>5043</v>
      </c>
      <c r="D2183" t="s">
        <v>8401</v>
      </c>
    </row>
    <row r="2184" spans="1:4" x14ac:dyDescent="0.25">
      <c r="A2184" s="63" t="s">
        <v>3597</v>
      </c>
      <c r="B2184" t="s">
        <v>1731</v>
      </c>
      <c r="C2184" t="s">
        <v>5043</v>
      </c>
      <c r="D2184" t="s">
        <v>8401</v>
      </c>
    </row>
    <row r="2185" spans="1:4" x14ac:dyDescent="0.25">
      <c r="A2185" s="63" t="s">
        <v>3598</v>
      </c>
      <c r="B2185" t="s">
        <v>1731</v>
      </c>
      <c r="C2185" t="s">
        <v>5043</v>
      </c>
      <c r="D2185" t="s">
        <v>8401</v>
      </c>
    </row>
    <row r="2186" spans="1:4" x14ac:dyDescent="0.25">
      <c r="A2186" s="63" t="s">
        <v>6829</v>
      </c>
      <c r="B2186" t="s">
        <v>1422</v>
      </c>
      <c r="C2186" t="s">
        <v>5043</v>
      </c>
      <c r="D2186" t="s">
        <v>8401</v>
      </c>
    </row>
    <row r="2187" spans="1:4" x14ac:dyDescent="0.25">
      <c r="A2187" s="63" t="s">
        <v>3599</v>
      </c>
      <c r="B2187" t="s">
        <v>1733</v>
      </c>
      <c r="C2187" t="s">
        <v>5043</v>
      </c>
      <c r="D2187" t="s">
        <v>8401</v>
      </c>
    </row>
    <row r="2188" spans="1:4" x14ac:dyDescent="0.25">
      <c r="A2188" s="63" t="s">
        <v>3600</v>
      </c>
      <c r="B2188" t="s">
        <v>1423</v>
      </c>
      <c r="C2188" t="s">
        <v>5043</v>
      </c>
      <c r="D2188" t="s">
        <v>8401</v>
      </c>
    </row>
    <row r="2189" spans="1:4" x14ac:dyDescent="0.25">
      <c r="A2189" s="63" t="s">
        <v>3601</v>
      </c>
      <c r="B2189" t="s">
        <v>1732</v>
      </c>
      <c r="C2189" t="s">
        <v>5043</v>
      </c>
      <c r="D2189" t="s">
        <v>8401</v>
      </c>
    </row>
    <row r="2190" spans="1:4" x14ac:dyDescent="0.25">
      <c r="A2190" s="63" t="s">
        <v>8046</v>
      </c>
      <c r="B2190" t="s">
        <v>1944</v>
      </c>
      <c r="C2190" t="s">
        <v>5043</v>
      </c>
      <c r="D2190" t="s">
        <v>8401</v>
      </c>
    </row>
    <row r="2191" spans="1:4" x14ac:dyDescent="0.25">
      <c r="A2191" s="63" t="s">
        <v>8047</v>
      </c>
      <c r="B2191" t="s">
        <v>1944</v>
      </c>
      <c r="C2191" t="s">
        <v>5043</v>
      </c>
      <c r="D2191" t="s">
        <v>8401</v>
      </c>
    </row>
    <row r="2192" spans="1:4" x14ac:dyDescent="0.25">
      <c r="A2192" s="63" t="s">
        <v>8048</v>
      </c>
      <c r="B2192" t="s">
        <v>1944</v>
      </c>
      <c r="C2192" t="s">
        <v>5043</v>
      </c>
      <c r="D2192" t="s">
        <v>8401</v>
      </c>
    </row>
    <row r="2193" spans="1:4" x14ac:dyDescent="0.25">
      <c r="A2193" s="63" t="s">
        <v>3602</v>
      </c>
      <c r="B2193" t="s">
        <v>1944</v>
      </c>
      <c r="C2193" t="s">
        <v>5043</v>
      </c>
      <c r="D2193" t="s">
        <v>8401</v>
      </c>
    </row>
    <row r="2194" spans="1:4" x14ac:dyDescent="0.25">
      <c r="A2194" s="63" t="s">
        <v>3603</v>
      </c>
      <c r="B2194" t="s">
        <v>1944</v>
      </c>
      <c r="C2194" t="s">
        <v>5043</v>
      </c>
      <c r="D2194" t="s">
        <v>8401</v>
      </c>
    </row>
    <row r="2195" spans="1:4" x14ac:dyDescent="0.25">
      <c r="A2195" s="63" t="s">
        <v>3604</v>
      </c>
      <c r="B2195" t="s">
        <v>1944</v>
      </c>
      <c r="C2195" t="s">
        <v>5043</v>
      </c>
      <c r="D2195" t="s">
        <v>8401</v>
      </c>
    </row>
    <row r="2196" spans="1:4" x14ac:dyDescent="0.25">
      <c r="A2196" s="63" t="s">
        <v>3605</v>
      </c>
      <c r="B2196" t="s">
        <v>1944</v>
      </c>
      <c r="C2196" t="s">
        <v>5043</v>
      </c>
      <c r="D2196" t="s">
        <v>8401</v>
      </c>
    </row>
    <row r="2197" spans="1:4" x14ac:dyDescent="0.25">
      <c r="A2197" s="63" t="s">
        <v>3606</v>
      </c>
      <c r="B2197" t="s">
        <v>1944</v>
      </c>
      <c r="C2197" t="s">
        <v>5043</v>
      </c>
      <c r="D2197" t="s">
        <v>8401</v>
      </c>
    </row>
    <row r="2198" spans="1:4" x14ac:dyDescent="0.25">
      <c r="A2198" s="63" t="s">
        <v>3607</v>
      </c>
      <c r="B2198" t="s">
        <v>1944</v>
      </c>
      <c r="C2198" t="s">
        <v>5043</v>
      </c>
      <c r="D2198" t="s">
        <v>8401</v>
      </c>
    </row>
    <row r="2199" spans="1:4" x14ac:dyDescent="0.25">
      <c r="A2199" s="63" t="s">
        <v>6753</v>
      </c>
      <c r="B2199" t="s">
        <v>2065</v>
      </c>
      <c r="C2199" t="s">
        <v>5043</v>
      </c>
      <c r="D2199" t="s">
        <v>8401</v>
      </c>
    </row>
    <row r="2200" spans="1:4" x14ac:dyDescent="0.25">
      <c r="A2200" s="63" t="s">
        <v>6754</v>
      </c>
      <c r="B2200" t="s">
        <v>2064</v>
      </c>
      <c r="C2200" t="s">
        <v>5043</v>
      </c>
      <c r="D2200" t="s">
        <v>8401</v>
      </c>
    </row>
    <row r="2201" spans="1:4" x14ac:dyDescent="0.25">
      <c r="A2201" s="63" t="s">
        <v>6910</v>
      </c>
      <c r="B2201" t="s">
        <v>2063</v>
      </c>
      <c r="C2201" t="s">
        <v>5043</v>
      </c>
      <c r="D2201" t="s">
        <v>8401</v>
      </c>
    </row>
    <row r="2202" spans="1:4" x14ac:dyDescent="0.25">
      <c r="A2202" s="63" t="s">
        <v>6911</v>
      </c>
      <c r="B2202" t="s">
        <v>2063</v>
      </c>
      <c r="C2202" t="s">
        <v>5043</v>
      </c>
      <c r="D2202" t="s">
        <v>8401</v>
      </c>
    </row>
    <row r="2203" spans="1:4" x14ac:dyDescent="0.25">
      <c r="A2203" s="63" t="s">
        <v>6835</v>
      </c>
      <c r="B2203" t="s">
        <v>1421</v>
      </c>
      <c r="C2203" t="s">
        <v>5043</v>
      </c>
      <c r="D2203" t="s">
        <v>8401</v>
      </c>
    </row>
    <row r="2204" spans="1:4" x14ac:dyDescent="0.25">
      <c r="A2204" s="63" t="s">
        <v>6836</v>
      </c>
      <c r="B2204" t="s">
        <v>1421</v>
      </c>
      <c r="C2204" t="s">
        <v>5043</v>
      </c>
      <c r="D2204" t="s">
        <v>8401</v>
      </c>
    </row>
    <row r="2205" spans="1:4" x14ac:dyDescent="0.25">
      <c r="A2205" s="63" t="s">
        <v>6263</v>
      </c>
      <c r="B2205" t="s">
        <v>1397</v>
      </c>
      <c r="C2205" t="s">
        <v>5043</v>
      </c>
      <c r="D2205" t="s">
        <v>8401</v>
      </c>
    </row>
    <row r="2206" spans="1:4" x14ac:dyDescent="0.25">
      <c r="A2206" s="63" t="s">
        <v>3608</v>
      </c>
      <c r="B2206" t="s">
        <v>1513</v>
      </c>
      <c r="C2206" t="s">
        <v>5043</v>
      </c>
      <c r="D2206" t="s">
        <v>8401</v>
      </c>
    </row>
    <row r="2207" spans="1:4" x14ac:dyDescent="0.25">
      <c r="A2207" s="63" t="s">
        <v>3609</v>
      </c>
      <c r="B2207" t="s">
        <v>1513</v>
      </c>
      <c r="C2207" t="s">
        <v>5043</v>
      </c>
      <c r="D2207" t="s">
        <v>8401</v>
      </c>
    </row>
    <row r="2208" spans="1:4" x14ac:dyDescent="0.25">
      <c r="A2208" s="63" t="s">
        <v>3610</v>
      </c>
      <c r="B2208" t="s">
        <v>1513</v>
      </c>
      <c r="C2208" t="s">
        <v>5043</v>
      </c>
      <c r="D2208" t="s">
        <v>8401</v>
      </c>
    </row>
    <row r="2209" spans="1:4" x14ac:dyDescent="0.25">
      <c r="A2209" s="63" t="s">
        <v>3611</v>
      </c>
      <c r="B2209" t="s">
        <v>2171</v>
      </c>
      <c r="C2209" t="s">
        <v>5043</v>
      </c>
      <c r="D2209" t="s">
        <v>8401</v>
      </c>
    </row>
    <row r="2210" spans="1:4" x14ac:dyDescent="0.25">
      <c r="A2210" s="63" t="s">
        <v>6197</v>
      </c>
      <c r="B2210" t="s">
        <v>2171</v>
      </c>
      <c r="C2210" t="s">
        <v>5043</v>
      </c>
      <c r="D2210" t="s">
        <v>8401</v>
      </c>
    </row>
    <row r="2211" spans="1:4" x14ac:dyDescent="0.25">
      <c r="A2211" s="63" t="s">
        <v>7223</v>
      </c>
      <c r="B2211" t="s">
        <v>2474</v>
      </c>
      <c r="C2211" t="s">
        <v>5043</v>
      </c>
      <c r="D2211" t="s">
        <v>8401</v>
      </c>
    </row>
    <row r="2212" spans="1:4" x14ac:dyDescent="0.25">
      <c r="A2212" s="63" t="s">
        <v>5196</v>
      </c>
      <c r="B2212" t="s">
        <v>2059</v>
      </c>
      <c r="C2212" t="s">
        <v>5043</v>
      </c>
      <c r="D2212" t="s">
        <v>8401</v>
      </c>
    </row>
    <row r="2213" spans="1:4" x14ac:dyDescent="0.25">
      <c r="A2213" s="63" t="s">
        <v>6266</v>
      </c>
      <c r="B2213" t="s">
        <v>1571</v>
      </c>
      <c r="C2213" t="s">
        <v>5043</v>
      </c>
      <c r="D2213" t="s">
        <v>8401</v>
      </c>
    </row>
    <row r="2214" spans="1:4" x14ac:dyDescent="0.25">
      <c r="A2214" s="63" t="s">
        <v>6267</v>
      </c>
      <c r="B2214" t="s">
        <v>1571</v>
      </c>
      <c r="C2214" t="s">
        <v>5043</v>
      </c>
      <c r="D2214" t="s">
        <v>8401</v>
      </c>
    </row>
    <row r="2215" spans="1:4" x14ac:dyDescent="0.25">
      <c r="A2215" s="63" t="s">
        <v>6777</v>
      </c>
      <c r="B2215" t="s">
        <v>2307</v>
      </c>
      <c r="C2215" t="s">
        <v>5043</v>
      </c>
      <c r="D2215" t="s">
        <v>8401</v>
      </c>
    </row>
    <row r="2216" spans="1:4" x14ac:dyDescent="0.25">
      <c r="A2216" s="63" t="s">
        <v>7225</v>
      </c>
      <c r="B2216" t="s">
        <v>2278</v>
      </c>
      <c r="C2216" t="s">
        <v>5043</v>
      </c>
      <c r="D2216" t="s">
        <v>8401</v>
      </c>
    </row>
    <row r="2217" spans="1:4" x14ac:dyDescent="0.25">
      <c r="A2217" s="63" t="s">
        <v>3655</v>
      </c>
      <c r="B2217" t="s">
        <v>2278</v>
      </c>
      <c r="C2217" t="s">
        <v>5043</v>
      </c>
      <c r="D2217" t="s">
        <v>8401</v>
      </c>
    </row>
    <row r="2218" spans="1:4" x14ac:dyDescent="0.25">
      <c r="A2218" s="63" t="s">
        <v>5653</v>
      </c>
      <c r="B2218" t="s">
        <v>2278</v>
      </c>
      <c r="C2218" t="s">
        <v>5043</v>
      </c>
      <c r="D2218" t="s">
        <v>8401</v>
      </c>
    </row>
    <row r="2219" spans="1:4" x14ac:dyDescent="0.25">
      <c r="A2219" s="63" t="s">
        <v>8049</v>
      </c>
      <c r="B2219" t="s">
        <v>2278</v>
      </c>
      <c r="C2219" t="s">
        <v>5043</v>
      </c>
      <c r="D2219" t="s">
        <v>8401</v>
      </c>
    </row>
    <row r="2220" spans="1:4" x14ac:dyDescent="0.25">
      <c r="A2220" s="63" t="s">
        <v>8050</v>
      </c>
      <c r="B2220" t="s">
        <v>2278</v>
      </c>
      <c r="C2220" t="s">
        <v>5043</v>
      </c>
      <c r="D2220" t="s">
        <v>8401</v>
      </c>
    </row>
    <row r="2221" spans="1:4" x14ac:dyDescent="0.25">
      <c r="A2221" s="63" t="s">
        <v>8051</v>
      </c>
      <c r="B2221" t="s">
        <v>2278</v>
      </c>
      <c r="C2221" t="s">
        <v>5043</v>
      </c>
      <c r="D2221" t="s">
        <v>8401</v>
      </c>
    </row>
    <row r="2222" spans="1:4" x14ac:dyDescent="0.25">
      <c r="A2222" s="63" t="s">
        <v>8052</v>
      </c>
      <c r="B2222" t="s">
        <v>1321</v>
      </c>
      <c r="C2222" t="s">
        <v>5043</v>
      </c>
      <c r="D2222" t="s">
        <v>8401</v>
      </c>
    </row>
    <row r="2223" spans="1:4" x14ac:dyDescent="0.25">
      <c r="A2223" s="63" t="s">
        <v>8053</v>
      </c>
      <c r="B2223" t="s">
        <v>1321</v>
      </c>
      <c r="C2223" t="s">
        <v>5043</v>
      </c>
      <c r="D2223" t="s">
        <v>8401</v>
      </c>
    </row>
    <row r="2224" spans="1:4" x14ac:dyDescent="0.25">
      <c r="A2224" s="63" t="s">
        <v>8054</v>
      </c>
      <c r="B2224" t="s">
        <v>1373</v>
      </c>
      <c r="C2224" t="s">
        <v>5043</v>
      </c>
      <c r="D2224" t="s">
        <v>8401</v>
      </c>
    </row>
    <row r="2225" spans="1:4" x14ac:dyDescent="0.25">
      <c r="A2225" s="63" t="s">
        <v>5781</v>
      </c>
      <c r="B2225" t="s">
        <v>1983</v>
      </c>
      <c r="C2225" t="s">
        <v>5043</v>
      </c>
      <c r="D2225" t="s">
        <v>8401</v>
      </c>
    </row>
    <row r="2226" spans="1:4" x14ac:dyDescent="0.25">
      <c r="A2226" s="63" t="s">
        <v>5985</v>
      </c>
      <c r="B2226" t="s">
        <v>1983</v>
      </c>
      <c r="C2226" t="s">
        <v>5043</v>
      </c>
      <c r="D2226" t="s">
        <v>8401</v>
      </c>
    </row>
    <row r="2227" spans="1:4" x14ac:dyDescent="0.25">
      <c r="A2227" s="63" t="s">
        <v>8055</v>
      </c>
      <c r="B2227" t="s">
        <v>2513</v>
      </c>
      <c r="C2227" t="s">
        <v>5043</v>
      </c>
      <c r="D2227" t="s">
        <v>8401</v>
      </c>
    </row>
    <row r="2228" spans="1:4" x14ac:dyDescent="0.25">
      <c r="A2228" s="63" t="s">
        <v>5930</v>
      </c>
      <c r="B2228" t="s">
        <v>2513</v>
      </c>
      <c r="C2228" t="s">
        <v>5043</v>
      </c>
      <c r="D2228" t="s">
        <v>8401</v>
      </c>
    </row>
    <row r="2229" spans="1:4" x14ac:dyDescent="0.25">
      <c r="A2229" s="63" t="s">
        <v>5931</v>
      </c>
      <c r="B2229" t="s">
        <v>2514</v>
      </c>
      <c r="C2229" t="s">
        <v>5043</v>
      </c>
      <c r="D2229" t="s">
        <v>8401</v>
      </c>
    </row>
    <row r="2230" spans="1:4" x14ac:dyDescent="0.25">
      <c r="A2230" s="63" t="s">
        <v>3656</v>
      </c>
      <c r="B2230" t="s">
        <v>2155</v>
      </c>
      <c r="C2230" t="s">
        <v>5043</v>
      </c>
      <c r="D2230" t="s">
        <v>8401</v>
      </c>
    </row>
    <row r="2231" spans="1:4" x14ac:dyDescent="0.25">
      <c r="A2231" s="63" t="s">
        <v>5929</v>
      </c>
      <c r="B2231" t="s">
        <v>1905</v>
      </c>
      <c r="C2231" t="s">
        <v>5043</v>
      </c>
      <c r="D2231" t="s">
        <v>8401</v>
      </c>
    </row>
    <row r="2232" spans="1:4" x14ac:dyDescent="0.25">
      <c r="A2232" s="63" t="s">
        <v>5944</v>
      </c>
      <c r="B2232" t="s">
        <v>1493</v>
      </c>
      <c r="C2232" t="s">
        <v>5043</v>
      </c>
      <c r="D2232" t="s">
        <v>8401</v>
      </c>
    </row>
    <row r="2233" spans="1:4" x14ac:dyDescent="0.25">
      <c r="A2233" s="63" t="s">
        <v>3657</v>
      </c>
      <c r="B2233" t="s">
        <v>1204</v>
      </c>
      <c r="C2233" t="s">
        <v>5043</v>
      </c>
      <c r="D2233" t="s">
        <v>8401</v>
      </c>
    </row>
    <row r="2234" spans="1:4" x14ac:dyDescent="0.25">
      <c r="A2234" s="63" t="s">
        <v>3658</v>
      </c>
      <c r="B2234" t="s">
        <v>1204</v>
      </c>
      <c r="C2234" t="s">
        <v>5043</v>
      </c>
      <c r="D2234" t="s">
        <v>8401</v>
      </c>
    </row>
    <row r="2235" spans="1:4" x14ac:dyDescent="0.25">
      <c r="A2235" s="63" t="s">
        <v>3659</v>
      </c>
      <c r="B2235" t="s">
        <v>1204</v>
      </c>
      <c r="C2235" t="s">
        <v>5043</v>
      </c>
      <c r="D2235" t="s">
        <v>8401</v>
      </c>
    </row>
    <row r="2236" spans="1:4" x14ac:dyDescent="0.25">
      <c r="A2236" s="63" t="s">
        <v>8056</v>
      </c>
      <c r="B2236" t="s">
        <v>1204</v>
      </c>
      <c r="C2236" t="s">
        <v>5043</v>
      </c>
      <c r="D2236" t="s">
        <v>8401</v>
      </c>
    </row>
    <row r="2237" spans="1:4" x14ac:dyDescent="0.25">
      <c r="A2237" s="63" t="s">
        <v>3660</v>
      </c>
      <c r="B2237" t="s">
        <v>1456</v>
      </c>
      <c r="C2237" t="s">
        <v>5043</v>
      </c>
      <c r="D2237" t="s">
        <v>8401</v>
      </c>
    </row>
    <row r="2238" spans="1:4" x14ac:dyDescent="0.25">
      <c r="A2238" s="63" t="s">
        <v>3661</v>
      </c>
      <c r="B2238" t="s">
        <v>1456</v>
      </c>
      <c r="C2238" t="s">
        <v>5043</v>
      </c>
      <c r="D2238" t="s">
        <v>8401</v>
      </c>
    </row>
    <row r="2239" spans="1:4" x14ac:dyDescent="0.25">
      <c r="A2239" s="63" t="s">
        <v>8057</v>
      </c>
      <c r="B2239" t="s">
        <v>1577</v>
      </c>
      <c r="C2239" t="s">
        <v>5043</v>
      </c>
      <c r="D2239" t="s">
        <v>8401</v>
      </c>
    </row>
    <row r="2240" spans="1:4" x14ac:dyDescent="0.25">
      <c r="A2240" s="63" t="s">
        <v>8058</v>
      </c>
      <c r="B2240" t="s">
        <v>1577</v>
      </c>
      <c r="C2240" t="s">
        <v>5043</v>
      </c>
      <c r="D2240" t="s">
        <v>8401</v>
      </c>
    </row>
    <row r="2241" spans="1:4" x14ac:dyDescent="0.25">
      <c r="A2241" s="63" t="s">
        <v>6987</v>
      </c>
      <c r="B2241" t="s">
        <v>1203</v>
      </c>
      <c r="C2241" t="s">
        <v>5043</v>
      </c>
      <c r="D2241" t="s">
        <v>8401</v>
      </c>
    </row>
    <row r="2242" spans="1:4" x14ac:dyDescent="0.25">
      <c r="A2242" s="63" t="s">
        <v>6988</v>
      </c>
      <c r="B2242" t="s">
        <v>1203</v>
      </c>
      <c r="C2242" t="s">
        <v>5043</v>
      </c>
      <c r="D2242" t="s">
        <v>8401</v>
      </c>
    </row>
    <row r="2243" spans="1:4" x14ac:dyDescent="0.25">
      <c r="A2243" s="63" t="s">
        <v>5990</v>
      </c>
      <c r="B2243" t="s">
        <v>1685</v>
      </c>
      <c r="C2243" t="s">
        <v>5043</v>
      </c>
      <c r="D2243" t="s">
        <v>8401</v>
      </c>
    </row>
    <row r="2244" spans="1:4" x14ac:dyDescent="0.25">
      <c r="A2244" s="63" t="s">
        <v>5777</v>
      </c>
      <c r="B2244" t="s">
        <v>1685</v>
      </c>
      <c r="C2244" t="s">
        <v>5043</v>
      </c>
      <c r="D2244" t="s">
        <v>8401</v>
      </c>
    </row>
    <row r="2245" spans="1:4" x14ac:dyDescent="0.25">
      <c r="A2245" s="63" t="s">
        <v>8059</v>
      </c>
      <c r="B2245" t="s">
        <v>2058</v>
      </c>
      <c r="C2245" t="s">
        <v>5043</v>
      </c>
      <c r="D2245" t="s">
        <v>8401</v>
      </c>
    </row>
    <row r="2246" spans="1:4" x14ac:dyDescent="0.25">
      <c r="A2246" s="63" t="s">
        <v>7006</v>
      </c>
      <c r="B2246" t="s">
        <v>2058</v>
      </c>
      <c r="C2246" t="s">
        <v>5043</v>
      </c>
      <c r="D2246" t="s">
        <v>8401</v>
      </c>
    </row>
    <row r="2247" spans="1:4" x14ac:dyDescent="0.25">
      <c r="A2247" s="63" t="s">
        <v>6268</v>
      </c>
      <c r="B2247" t="s">
        <v>1572</v>
      </c>
      <c r="C2247" t="s">
        <v>5043</v>
      </c>
      <c r="D2247" t="s">
        <v>8401</v>
      </c>
    </row>
    <row r="2248" spans="1:4" x14ac:dyDescent="0.25">
      <c r="A2248" s="63" t="s">
        <v>6269</v>
      </c>
      <c r="B2248" t="s">
        <v>1572</v>
      </c>
      <c r="C2248" t="s">
        <v>5043</v>
      </c>
      <c r="D2248" t="s">
        <v>8401</v>
      </c>
    </row>
    <row r="2249" spans="1:4" x14ac:dyDescent="0.25">
      <c r="A2249" s="63" t="s">
        <v>2660</v>
      </c>
      <c r="B2249" t="s">
        <v>2301</v>
      </c>
      <c r="C2249" t="s">
        <v>5043</v>
      </c>
      <c r="D2249" t="s">
        <v>8401</v>
      </c>
    </row>
    <row r="2250" spans="1:4" x14ac:dyDescent="0.25">
      <c r="A2250" s="63" t="s">
        <v>4584</v>
      </c>
      <c r="B2250" t="s">
        <v>1429</v>
      </c>
      <c r="C2250" t="s">
        <v>5043</v>
      </c>
      <c r="D2250" t="s">
        <v>8401</v>
      </c>
    </row>
    <row r="2251" spans="1:4" x14ac:dyDescent="0.25">
      <c r="A2251" s="63" t="s">
        <v>4585</v>
      </c>
      <c r="B2251" t="s">
        <v>1429</v>
      </c>
      <c r="C2251" t="s">
        <v>5043</v>
      </c>
      <c r="D2251" t="s">
        <v>8401</v>
      </c>
    </row>
    <row r="2252" spans="1:4" x14ac:dyDescent="0.25">
      <c r="A2252" s="63" t="s">
        <v>8060</v>
      </c>
      <c r="B2252" t="s">
        <v>2175</v>
      </c>
      <c r="C2252" t="s">
        <v>5043</v>
      </c>
      <c r="D2252" t="s">
        <v>8401</v>
      </c>
    </row>
    <row r="2253" spans="1:4" x14ac:dyDescent="0.25">
      <c r="A2253" s="63" t="s">
        <v>8061</v>
      </c>
      <c r="B2253" t="s">
        <v>2176</v>
      </c>
      <c r="C2253" t="s">
        <v>5043</v>
      </c>
      <c r="D2253" t="s">
        <v>8401</v>
      </c>
    </row>
    <row r="2254" spans="1:4" x14ac:dyDescent="0.25">
      <c r="A2254" s="63" t="s">
        <v>5908</v>
      </c>
      <c r="B2254" t="s">
        <v>2177</v>
      </c>
      <c r="C2254" t="s">
        <v>5043</v>
      </c>
      <c r="D2254" t="s">
        <v>8401</v>
      </c>
    </row>
    <row r="2255" spans="1:4" x14ac:dyDescent="0.25">
      <c r="A2255" s="63" t="s">
        <v>6839</v>
      </c>
      <c r="B2255" t="s">
        <v>1598</v>
      </c>
      <c r="C2255" t="s">
        <v>5043</v>
      </c>
      <c r="D2255" t="s">
        <v>8401</v>
      </c>
    </row>
    <row r="2256" spans="1:4" x14ac:dyDescent="0.25">
      <c r="A2256" s="63" t="s">
        <v>6841</v>
      </c>
      <c r="B2256" t="s">
        <v>1597</v>
      </c>
      <c r="C2256" t="s">
        <v>5043</v>
      </c>
      <c r="D2256" t="s">
        <v>8401</v>
      </c>
    </row>
    <row r="2257" spans="1:4" x14ac:dyDescent="0.25">
      <c r="A2257" s="63" t="s">
        <v>8062</v>
      </c>
      <c r="B2257" t="s">
        <v>2178</v>
      </c>
      <c r="C2257" t="s">
        <v>5043</v>
      </c>
      <c r="D2257" t="s">
        <v>8401</v>
      </c>
    </row>
    <row r="2258" spans="1:4" x14ac:dyDescent="0.25">
      <c r="A2258" s="63" t="s">
        <v>6282</v>
      </c>
      <c r="B2258" t="s">
        <v>2205</v>
      </c>
      <c r="C2258" t="s">
        <v>5043</v>
      </c>
      <c r="D2258" t="s">
        <v>8401</v>
      </c>
    </row>
    <row r="2259" spans="1:4" x14ac:dyDescent="0.25">
      <c r="A2259" s="63" t="s">
        <v>6283</v>
      </c>
      <c r="B2259" t="s">
        <v>2205</v>
      </c>
      <c r="C2259" t="s">
        <v>5043</v>
      </c>
      <c r="D2259" t="s">
        <v>8401</v>
      </c>
    </row>
    <row r="2260" spans="1:4" x14ac:dyDescent="0.25">
      <c r="A2260" s="63" t="s">
        <v>5467</v>
      </c>
      <c r="B2260" t="s">
        <v>1244</v>
      </c>
      <c r="C2260" t="s">
        <v>5043</v>
      </c>
      <c r="D2260" t="s">
        <v>8401</v>
      </c>
    </row>
    <row r="2261" spans="1:4" x14ac:dyDescent="0.25">
      <c r="A2261" s="63" t="s">
        <v>8063</v>
      </c>
      <c r="B2261" t="s">
        <v>1244</v>
      </c>
      <c r="C2261" t="s">
        <v>5043</v>
      </c>
      <c r="D2261" t="s">
        <v>8401</v>
      </c>
    </row>
    <row r="2262" spans="1:4" x14ac:dyDescent="0.25">
      <c r="A2262" s="63" t="s">
        <v>3662</v>
      </c>
      <c r="B2262" t="s">
        <v>2203</v>
      </c>
      <c r="C2262" t="s">
        <v>5043</v>
      </c>
      <c r="D2262" t="s">
        <v>8401</v>
      </c>
    </row>
    <row r="2263" spans="1:4" x14ac:dyDescent="0.25">
      <c r="A2263" s="63" t="s">
        <v>6845</v>
      </c>
      <c r="B2263" t="s">
        <v>1599</v>
      </c>
      <c r="C2263" t="s">
        <v>5043</v>
      </c>
      <c r="D2263" t="s">
        <v>8401</v>
      </c>
    </row>
    <row r="2264" spans="1:4" x14ac:dyDescent="0.25">
      <c r="A2264" s="63" t="s">
        <v>6846</v>
      </c>
      <c r="B2264" t="s">
        <v>1599</v>
      </c>
      <c r="C2264" t="s">
        <v>5043</v>
      </c>
      <c r="D2264" t="s">
        <v>8401</v>
      </c>
    </row>
    <row r="2265" spans="1:4" x14ac:dyDescent="0.25">
      <c r="A2265" s="63" t="s">
        <v>6847</v>
      </c>
      <c r="B2265" t="s">
        <v>1599</v>
      </c>
      <c r="C2265" t="s">
        <v>5043</v>
      </c>
      <c r="D2265" t="s">
        <v>8401</v>
      </c>
    </row>
    <row r="2266" spans="1:4" x14ac:dyDescent="0.25">
      <c r="A2266" s="63" t="s">
        <v>6848</v>
      </c>
      <c r="B2266" t="s">
        <v>1599</v>
      </c>
      <c r="C2266" t="s">
        <v>5043</v>
      </c>
      <c r="D2266" t="s">
        <v>8401</v>
      </c>
    </row>
    <row r="2267" spans="1:4" x14ac:dyDescent="0.25">
      <c r="A2267" s="63" t="s">
        <v>6849</v>
      </c>
      <c r="B2267" t="s">
        <v>1599</v>
      </c>
      <c r="C2267" t="s">
        <v>5043</v>
      </c>
      <c r="D2267" t="s">
        <v>8401</v>
      </c>
    </row>
    <row r="2268" spans="1:4" x14ac:dyDescent="0.25">
      <c r="A2268" s="63" t="s">
        <v>6850</v>
      </c>
      <c r="B2268" t="s">
        <v>1599</v>
      </c>
      <c r="C2268" t="s">
        <v>5043</v>
      </c>
      <c r="D2268" t="s">
        <v>8401</v>
      </c>
    </row>
    <row r="2269" spans="1:4" x14ac:dyDescent="0.25">
      <c r="A2269" s="63" t="s">
        <v>6854</v>
      </c>
      <c r="B2269" t="s">
        <v>1599</v>
      </c>
      <c r="C2269" t="s">
        <v>5043</v>
      </c>
      <c r="D2269" t="s">
        <v>8401</v>
      </c>
    </row>
    <row r="2270" spans="1:4" x14ac:dyDescent="0.25">
      <c r="A2270" s="63" t="s">
        <v>6855</v>
      </c>
      <c r="B2270" t="s">
        <v>1599</v>
      </c>
      <c r="C2270" t="s">
        <v>5043</v>
      </c>
      <c r="D2270" t="s">
        <v>8401</v>
      </c>
    </row>
    <row r="2271" spans="1:4" x14ac:dyDescent="0.25">
      <c r="A2271" s="63" t="s">
        <v>6005</v>
      </c>
      <c r="B2271" t="s">
        <v>1526</v>
      </c>
      <c r="C2271" t="s">
        <v>5043</v>
      </c>
      <c r="D2271" t="s">
        <v>8401</v>
      </c>
    </row>
    <row r="2272" spans="1:4" x14ac:dyDescent="0.25">
      <c r="A2272" s="63" t="s">
        <v>5782</v>
      </c>
      <c r="B2272" t="s">
        <v>1525</v>
      </c>
      <c r="C2272" t="s">
        <v>5043</v>
      </c>
      <c r="D2272" t="s">
        <v>8401</v>
      </c>
    </row>
    <row r="2273" spans="1:4" x14ac:dyDescent="0.25">
      <c r="A2273" s="63" t="s">
        <v>8064</v>
      </c>
      <c r="B2273" t="s">
        <v>1525</v>
      </c>
      <c r="C2273" t="s">
        <v>5043</v>
      </c>
      <c r="D2273" t="s">
        <v>8401</v>
      </c>
    </row>
    <row r="2274" spans="1:4" x14ac:dyDescent="0.25">
      <c r="A2274" s="63" t="s">
        <v>5968</v>
      </c>
      <c r="B2274" t="s">
        <v>1525</v>
      </c>
      <c r="C2274" t="s">
        <v>5043</v>
      </c>
      <c r="D2274" t="s">
        <v>8401</v>
      </c>
    </row>
    <row r="2275" spans="1:4" x14ac:dyDescent="0.25">
      <c r="A2275" s="63" t="s">
        <v>5969</v>
      </c>
      <c r="B2275" t="s">
        <v>1525</v>
      </c>
      <c r="C2275" t="s">
        <v>5043</v>
      </c>
      <c r="D2275" t="s">
        <v>8401</v>
      </c>
    </row>
    <row r="2276" spans="1:4" x14ac:dyDescent="0.25">
      <c r="A2276" s="63" t="s">
        <v>5970</v>
      </c>
      <c r="B2276" t="s">
        <v>1525</v>
      </c>
      <c r="C2276" t="s">
        <v>5043</v>
      </c>
      <c r="D2276" t="s">
        <v>8401</v>
      </c>
    </row>
    <row r="2277" spans="1:4" x14ac:dyDescent="0.25">
      <c r="A2277" s="63" t="s">
        <v>8065</v>
      </c>
      <c r="B2277" t="s">
        <v>1525</v>
      </c>
      <c r="C2277" t="s">
        <v>5043</v>
      </c>
      <c r="D2277" t="s">
        <v>8401</v>
      </c>
    </row>
    <row r="2278" spans="1:4" x14ac:dyDescent="0.25">
      <c r="A2278" s="63" t="s">
        <v>8066</v>
      </c>
      <c r="B2278" t="s">
        <v>2179</v>
      </c>
      <c r="C2278" t="s">
        <v>5043</v>
      </c>
      <c r="D2278" t="s">
        <v>8401</v>
      </c>
    </row>
    <row r="2279" spans="1:4" x14ac:dyDescent="0.25">
      <c r="A2279" s="63" t="s">
        <v>2659</v>
      </c>
      <c r="B2279" t="s">
        <v>1713</v>
      </c>
      <c r="C2279" t="s">
        <v>5043</v>
      </c>
      <c r="D2279" t="s">
        <v>8401</v>
      </c>
    </row>
    <row r="2280" spans="1:4" x14ac:dyDescent="0.25">
      <c r="A2280" s="63" t="s">
        <v>8067</v>
      </c>
      <c r="B2280" t="s">
        <v>1860</v>
      </c>
      <c r="C2280" t="s">
        <v>5043</v>
      </c>
      <c r="D2280" t="s">
        <v>8401</v>
      </c>
    </row>
    <row r="2281" spans="1:4" x14ac:dyDescent="0.25">
      <c r="A2281" s="63" t="s">
        <v>8068</v>
      </c>
      <c r="B2281" t="s">
        <v>2180</v>
      </c>
      <c r="C2281" t="s">
        <v>5043</v>
      </c>
      <c r="D2281" t="s">
        <v>8401</v>
      </c>
    </row>
    <row r="2282" spans="1:4" x14ac:dyDescent="0.25">
      <c r="A2282" s="63" t="s">
        <v>3663</v>
      </c>
      <c r="B2282" t="s">
        <v>1482</v>
      </c>
      <c r="C2282" t="s">
        <v>5043</v>
      </c>
      <c r="D2282" t="s">
        <v>8401</v>
      </c>
    </row>
    <row r="2283" spans="1:4" x14ac:dyDescent="0.25">
      <c r="A2283" s="63" t="s">
        <v>3664</v>
      </c>
      <c r="B2283" t="s">
        <v>1482</v>
      </c>
      <c r="C2283" t="s">
        <v>5043</v>
      </c>
      <c r="D2283" t="s">
        <v>8401</v>
      </c>
    </row>
    <row r="2284" spans="1:4" x14ac:dyDescent="0.25">
      <c r="A2284" s="63" t="s">
        <v>3665</v>
      </c>
      <c r="B2284" t="s">
        <v>1482</v>
      </c>
      <c r="C2284" t="s">
        <v>5043</v>
      </c>
      <c r="D2284" t="s">
        <v>8401</v>
      </c>
    </row>
    <row r="2285" spans="1:4" x14ac:dyDescent="0.25">
      <c r="A2285" s="63" t="s">
        <v>3678</v>
      </c>
      <c r="B2285" t="s">
        <v>1612</v>
      </c>
      <c r="C2285" t="s">
        <v>5043</v>
      </c>
      <c r="D2285" t="s">
        <v>8401</v>
      </c>
    </row>
    <row r="2286" spans="1:4" x14ac:dyDescent="0.25">
      <c r="A2286" s="63" t="s">
        <v>3679</v>
      </c>
      <c r="B2286" t="s">
        <v>1612</v>
      </c>
      <c r="C2286" t="s">
        <v>5043</v>
      </c>
      <c r="D2286" t="s">
        <v>8401</v>
      </c>
    </row>
    <row r="2287" spans="1:4" x14ac:dyDescent="0.25">
      <c r="A2287" s="63" t="s">
        <v>3680</v>
      </c>
      <c r="B2287" t="s">
        <v>1612</v>
      </c>
      <c r="C2287" t="s">
        <v>5043</v>
      </c>
      <c r="D2287" t="s">
        <v>8401</v>
      </c>
    </row>
    <row r="2288" spans="1:4" x14ac:dyDescent="0.25">
      <c r="A2288" s="63" t="s">
        <v>3681</v>
      </c>
      <c r="B2288" t="s">
        <v>2240</v>
      </c>
      <c r="C2288" t="s">
        <v>5043</v>
      </c>
      <c r="D2288" t="s">
        <v>8401</v>
      </c>
    </row>
    <row r="2289" spans="1:4" x14ac:dyDescent="0.25">
      <c r="A2289" s="63" t="s">
        <v>3682</v>
      </c>
      <c r="B2289" t="s">
        <v>2240</v>
      </c>
      <c r="C2289" t="s">
        <v>5043</v>
      </c>
      <c r="D2289" t="s">
        <v>8401</v>
      </c>
    </row>
    <row r="2290" spans="1:4" x14ac:dyDescent="0.25">
      <c r="A2290" s="63" t="s">
        <v>3683</v>
      </c>
      <c r="B2290" t="s">
        <v>2240</v>
      </c>
      <c r="C2290" t="s">
        <v>5043</v>
      </c>
      <c r="D2290" t="s">
        <v>8401</v>
      </c>
    </row>
    <row r="2291" spans="1:4" x14ac:dyDescent="0.25">
      <c r="A2291" s="63" t="s">
        <v>3684</v>
      </c>
      <c r="B2291" t="s">
        <v>2240</v>
      </c>
      <c r="C2291" t="s">
        <v>5043</v>
      </c>
      <c r="D2291" t="s">
        <v>8401</v>
      </c>
    </row>
    <row r="2292" spans="1:4" x14ac:dyDescent="0.25">
      <c r="A2292" s="63" t="s">
        <v>3685</v>
      </c>
      <c r="B2292" t="s">
        <v>2240</v>
      </c>
      <c r="C2292" t="s">
        <v>5043</v>
      </c>
      <c r="D2292" t="s">
        <v>8401</v>
      </c>
    </row>
    <row r="2293" spans="1:4" x14ac:dyDescent="0.25">
      <c r="A2293" s="63" t="s">
        <v>5403</v>
      </c>
      <c r="B2293" t="s">
        <v>2493</v>
      </c>
      <c r="C2293" t="s">
        <v>5043</v>
      </c>
      <c r="D2293" t="s">
        <v>8401</v>
      </c>
    </row>
    <row r="2294" spans="1:4" x14ac:dyDescent="0.25">
      <c r="A2294" s="63" t="s">
        <v>3686</v>
      </c>
      <c r="B2294" t="s">
        <v>2062</v>
      </c>
      <c r="C2294" t="s">
        <v>5043</v>
      </c>
      <c r="D2294" t="s">
        <v>8401</v>
      </c>
    </row>
    <row r="2295" spans="1:4" x14ac:dyDescent="0.25">
      <c r="A2295" s="63" t="s">
        <v>3687</v>
      </c>
      <c r="B2295" t="s">
        <v>2061</v>
      </c>
      <c r="C2295" t="s">
        <v>5043</v>
      </c>
      <c r="D2295" t="s">
        <v>8401</v>
      </c>
    </row>
    <row r="2296" spans="1:4" x14ac:dyDescent="0.25">
      <c r="A2296" s="63" t="s">
        <v>3688</v>
      </c>
      <c r="B2296" t="s">
        <v>2061</v>
      </c>
      <c r="C2296" t="s">
        <v>5043</v>
      </c>
      <c r="D2296" t="s">
        <v>8401</v>
      </c>
    </row>
    <row r="2297" spans="1:4" x14ac:dyDescent="0.25">
      <c r="A2297" s="63" t="s">
        <v>3689</v>
      </c>
      <c r="B2297" t="s">
        <v>1234</v>
      </c>
      <c r="C2297" t="s">
        <v>5043</v>
      </c>
      <c r="D2297" t="s">
        <v>8401</v>
      </c>
    </row>
    <row r="2298" spans="1:4" x14ac:dyDescent="0.25">
      <c r="A2298" s="63" t="s">
        <v>3690</v>
      </c>
      <c r="B2298" t="s">
        <v>1234</v>
      </c>
      <c r="C2298" t="s">
        <v>5043</v>
      </c>
      <c r="D2298" t="s">
        <v>8401</v>
      </c>
    </row>
    <row r="2299" spans="1:4" x14ac:dyDescent="0.25">
      <c r="A2299" s="63" t="s">
        <v>3691</v>
      </c>
      <c r="B2299" t="s">
        <v>1234</v>
      </c>
      <c r="C2299" t="s">
        <v>5043</v>
      </c>
      <c r="D2299" t="s">
        <v>8401</v>
      </c>
    </row>
    <row r="2300" spans="1:4" x14ac:dyDescent="0.25">
      <c r="A2300" s="63" t="s">
        <v>3692</v>
      </c>
      <c r="B2300" t="s">
        <v>1234</v>
      </c>
      <c r="C2300" t="s">
        <v>5043</v>
      </c>
      <c r="D2300" t="s">
        <v>8401</v>
      </c>
    </row>
    <row r="2301" spans="1:4" x14ac:dyDescent="0.25">
      <c r="A2301" s="63" t="s">
        <v>3693</v>
      </c>
      <c r="B2301" t="s">
        <v>1234</v>
      </c>
      <c r="C2301" t="s">
        <v>5043</v>
      </c>
      <c r="D2301" t="s">
        <v>8401</v>
      </c>
    </row>
    <row r="2302" spans="1:4" x14ac:dyDescent="0.25">
      <c r="A2302" s="63" t="s">
        <v>3694</v>
      </c>
      <c r="B2302" t="s">
        <v>2512</v>
      </c>
      <c r="C2302" t="s">
        <v>5043</v>
      </c>
      <c r="D2302" t="s">
        <v>8401</v>
      </c>
    </row>
    <row r="2303" spans="1:4" x14ac:dyDescent="0.25">
      <c r="A2303" s="63" t="s">
        <v>3695</v>
      </c>
      <c r="B2303" t="s">
        <v>2512</v>
      </c>
      <c r="C2303" t="s">
        <v>5043</v>
      </c>
      <c r="D2303" t="s">
        <v>8401</v>
      </c>
    </row>
    <row r="2304" spans="1:4" x14ac:dyDescent="0.25">
      <c r="A2304" s="63" t="s">
        <v>3696</v>
      </c>
      <c r="B2304" t="s">
        <v>1233</v>
      </c>
      <c r="C2304" t="s">
        <v>5043</v>
      </c>
      <c r="D2304" t="s">
        <v>8401</v>
      </c>
    </row>
    <row r="2305" spans="1:4" x14ac:dyDescent="0.25">
      <c r="A2305" s="63" t="s">
        <v>3697</v>
      </c>
      <c r="B2305" t="s">
        <v>1233</v>
      </c>
      <c r="C2305" t="s">
        <v>5043</v>
      </c>
      <c r="D2305" t="s">
        <v>8401</v>
      </c>
    </row>
    <row r="2306" spans="1:4" x14ac:dyDescent="0.25">
      <c r="A2306" s="63" t="s">
        <v>3698</v>
      </c>
      <c r="B2306" t="s">
        <v>1232</v>
      </c>
      <c r="C2306" t="s">
        <v>5043</v>
      </c>
      <c r="D2306" t="s">
        <v>8401</v>
      </c>
    </row>
    <row r="2307" spans="1:4" x14ac:dyDescent="0.25">
      <c r="A2307" s="63" t="s">
        <v>3699</v>
      </c>
      <c r="B2307" t="s">
        <v>1232</v>
      </c>
      <c r="C2307" t="s">
        <v>5043</v>
      </c>
      <c r="D2307" t="s">
        <v>8401</v>
      </c>
    </row>
    <row r="2308" spans="1:4" x14ac:dyDescent="0.25">
      <c r="A2308" s="63" t="s">
        <v>3700</v>
      </c>
      <c r="B2308" t="s">
        <v>1232</v>
      </c>
      <c r="C2308" t="s">
        <v>5043</v>
      </c>
      <c r="D2308" t="s">
        <v>8401</v>
      </c>
    </row>
    <row r="2309" spans="1:4" x14ac:dyDescent="0.25">
      <c r="A2309" s="63" t="s">
        <v>3701</v>
      </c>
      <c r="B2309" t="s">
        <v>1232</v>
      </c>
      <c r="C2309" t="s">
        <v>5043</v>
      </c>
      <c r="D2309" t="s">
        <v>8401</v>
      </c>
    </row>
    <row r="2310" spans="1:4" x14ac:dyDescent="0.25">
      <c r="A2310" s="63" t="s">
        <v>3702</v>
      </c>
      <c r="B2310" t="s">
        <v>1232</v>
      </c>
      <c r="C2310" t="s">
        <v>5043</v>
      </c>
      <c r="D2310" t="s">
        <v>8401</v>
      </c>
    </row>
    <row r="2311" spans="1:4" x14ac:dyDescent="0.25">
      <c r="A2311" s="63" t="s">
        <v>6453</v>
      </c>
      <c r="B2311" t="s">
        <v>2029</v>
      </c>
      <c r="C2311" t="s">
        <v>5043</v>
      </c>
      <c r="D2311" t="s">
        <v>8401</v>
      </c>
    </row>
    <row r="2312" spans="1:4" x14ac:dyDescent="0.25">
      <c r="A2312" s="63" t="s">
        <v>6454</v>
      </c>
      <c r="B2312" t="s">
        <v>2029</v>
      </c>
      <c r="C2312" t="s">
        <v>5043</v>
      </c>
      <c r="D2312" t="s">
        <v>8401</v>
      </c>
    </row>
    <row r="2313" spans="1:4" x14ac:dyDescent="0.25">
      <c r="A2313" s="63" t="s">
        <v>3703</v>
      </c>
      <c r="B2313" t="s">
        <v>2030</v>
      </c>
      <c r="C2313" t="s">
        <v>5043</v>
      </c>
      <c r="D2313" t="s">
        <v>8401</v>
      </c>
    </row>
    <row r="2314" spans="1:4" x14ac:dyDescent="0.25">
      <c r="A2314" s="63" t="s">
        <v>3704</v>
      </c>
      <c r="B2314" t="s">
        <v>2030</v>
      </c>
      <c r="C2314" t="s">
        <v>5043</v>
      </c>
      <c r="D2314" t="s">
        <v>8401</v>
      </c>
    </row>
    <row r="2315" spans="1:4" x14ac:dyDescent="0.25">
      <c r="A2315" s="63" t="s">
        <v>3705</v>
      </c>
      <c r="B2315" t="s">
        <v>1420</v>
      </c>
      <c r="C2315" t="s">
        <v>5043</v>
      </c>
      <c r="D2315" t="s">
        <v>8401</v>
      </c>
    </row>
    <row r="2316" spans="1:4" x14ac:dyDescent="0.25">
      <c r="A2316" s="63" t="s">
        <v>3706</v>
      </c>
      <c r="B2316" t="s">
        <v>1420</v>
      </c>
      <c r="C2316" t="s">
        <v>5043</v>
      </c>
      <c r="D2316" t="s">
        <v>8401</v>
      </c>
    </row>
    <row r="2317" spans="1:4" x14ac:dyDescent="0.25">
      <c r="A2317" s="63" t="s">
        <v>3707</v>
      </c>
      <c r="B2317" t="s">
        <v>1420</v>
      </c>
      <c r="C2317" t="s">
        <v>5043</v>
      </c>
      <c r="D2317" t="s">
        <v>8401</v>
      </c>
    </row>
    <row r="2318" spans="1:4" x14ac:dyDescent="0.25">
      <c r="A2318" s="63" t="s">
        <v>3708</v>
      </c>
      <c r="B2318" t="s">
        <v>1420</v>
      </c>
      <c r="C2318" t="s">
        <v>5043</v>
      </c>
      <c r="D2318" t="s">
        <v>8401</v>
      </c>
    </row>
    <row r="2319" spans="1:4" x14ac:dyDescent="0.25">
      <c r="A2319" s="63" t="s">
        <v>3709</v>
      </c>
      <c r="B2319" t="s">
        <v>1420</v>
      </c>
      <c r="C2319" t="s">
        <v>5043</v>
      </c>
      <c r="D2319" t="s">
        <v>8401</v>
      </c>
    </row>
    <row r="2320" spans="1:4" x14ac:dyDescent="0.25">
      <c r="A2320" s="63" t="s">
        <v>3710</v>
      </c>
      <c r="B2320" t="s">
        <v>1420</v>
      </c>
      <c r="C2320" t="s">
        <v>5043</v>
      </c>
      <c r="D2320" t="s">
        <v>8401</v>
      </c>
    </row>
    <row r="2321" spans="1:4" x14ac:dyDescent="0.25">
      <c r="A2321" s="63" t="s">
        <v>3711</v>
      </c>
      <c r="B2321" t="s">
        <v>1420</v>
      </c>
      <c r="C2321" t="s">
        <v>5043</v>
      </c>
      <c r="D2321" t="s">
        <v>8401</v>
      </c>
    </row>
    <row r="2322" spans="1:4" x14ac:dyDescent="0.25">
      <c r="A2322" s="63" t="s">
        <v>3712</v>
      </c>
      <c r="B2322" t="s">
        <v>1420</v>
      </c>
      <c r="C2322" t="s">
        <v>5043</v>
      </c>
      <c r="D2322" t="s">
        <v>8401</v>
      </c>
    </row>
    <row r="2323" spans="1:4" x14ac:dyDescent="0.25">
      <c r="A2323" s="63" t="s">
        <v>5649</v>
      </c>
      <c r="B2323" t="s">
        <v>2486</v>
      </c>
      <c r="C2323" t="s">
        <v>5043</v>
      </c>
      <c r="D2323" t="s">
        <v>8401</v>
      </c>
    </row>
    <row r="2324" spans="1:4" x14ac:dyDescent="0.25">
      <c r="A2324" s="63" t="s">
        <v>5633</v>
      </c>
      <c r="B2324" t="s">
        <v>2487</v>
      </c>
      <c r="C2324" t="s">
        <v>5043</v>
      </c>
      <c r="D2324" t="s">
        <v>8401</v>
      </c>
    </row>
    <row r="2325" spans="1:4" x14ac:dyDescent="0.25">
      <c r="A2325" s="63" t="s">
        <v>7069</v>
      </c>
      <c r="B2325" t="s">
        <v>2488</v>
      </c>
      <c r="C2325" t="s">
        <v>5043</v>
      </c>
      <c r="D2325" t="s">
        <v>8401</v>
      </c>
    </row>
    <row r="2326" spans="1:4" x14ac:dyDescent="0.25">
      <c r="A2326" s="63" t="s">
        <v>8069</v>
      </c>
      <c r="B2326" t="s">
        <v>1265</v>
      </c>
      <c r="C2326" t="s">
        <v>5043</v>
      </c>
      <c r="D2326" t="s">
        <v>8401</v>
      </c>
    </row>
    <row r="2327" spans="1:4" x14ac:dyDescent="0.25">
      <c r="A2327" s="63" t="s">
        <v>3713</v>
      </c>
      <c r="B2327" t="s">
        <v>1729</v>
      </c>
      <c r="C2327" t="s">
        <v>5043</v>
      </c>
      <c r="D2327" t="s">
        <v>8401</v>
      </c>
    </row>
    <row r="2328" spans="1:4" x14ac:dyDescent="0.25">
      <c r="A2328" s="63" t="s">
        <v>3714</v>
      </c>
      <c r="B2328" t="s">
        <v>1729</v>
      </c>
      <c r="C2328" t="s">
        <v>5043</v>
      </c>
      <c r="D2328" t="s">
        <v>8401</v>
      </c>
    </row>
    <row r="2329" spans="1:4" x14ac:dyDescent="0.25">
      <c r="A2329" s="63" t="s">
        <v>8070</v>
      </c>
      <c r="B2329" t="s">
        <v>1334</v>
      </c>
      <c r="C2329" t="s">
        <v>5043</v>
      </c>
      <c r="D2329" t="s">
        <v>8401</v>
      </c>
    </row>
    <row r="2330" spans="1:4" x14ac:dyDescent="0.25">
      <c r="A2330" s="63" t="s">
        <v>3715</v>
      </c>
      <c r="B2330" t="s">
        <v>1425</v>
      </c>
      <c r="C2330" t="s">
        <v>5043</v>
      </c>
      <c r="D2330" t="s">
        <v>8401</v>
      </c>
    </row>
    <row r="2331" spans="1:4" x14ac:dyDescent="0.25">
      <c r="A2331" s="63" t="s">
        <v>3716</v>
      </c>
      <c r="B2331" t="s">
        <v>1425</v>
      </c>
      <c r="C2331" t="s">
        <v>5043</v>
      </c>
      <c r="D2331" t="s">
        <v>8401</v>
      </c>
    </row>
    <row r="2332" spans="1:4" x14ac:dyDescent="0.25">
      <c r="A2332" s="63" t="s">
        <v>3717</v>
      </c>
      <c r="B2332" t="s">
        <v>1425</v>
      </c>
      <c r="C2332" t="s">
        <v>5043</v>
      </c>
      <c r="D2332" t="s">
        <v>8401</v>
      </c>
    </row>
    <row r="2333" spans="1:4" x14ac:dyDescent="0.25">
      <c r="A2333" s="63" t="s">
        <v>3718</v>
      </c>
      <c r="B2333" t="s">
        <v>1425</v>
      </c>
      <c r="C2333" t="s">
        <v>5043</v>
      </c>
      <c r="D2333" t="s">
        <v>8401</v>
      </c>
    </row>
    <row r="2334" spans="1:4" x14ac:dyDescent="0.25">
      <c r="A2334" s="63" t="s">
        <v>3719</v>
      </c>
      <c r="B2334" t="s">
        <v>1332</v>
      </c>
      <c r="C2334" t="s">
        <v>5043</v>
      </c>
      <c r="D2334" t="s">
        <v>8401</v>
      </c>
    </row>
    <row r="2335" spans="1:4" x14ac:dyDescent="0.25">
      <c r="A2335" s="63" t="s">
        <v>3720</v>
      </c>
      <c r="B2335" t="s">
        <v>1332</v>
      </c>
      <c r="C2335" t="s">
        <v>5043</v>
      </c>
      <c r="D2335" t="s">
        <v>8401</v>
      </c>
    </row>
    <row r="2336" spans="1:4" x14ac:dyDescent="0.25">
      <c r="A2336" s="63" t="s">
        <v>3721</v>
      </c>
      <c r="B2336" t="s">
        <v>1332</v>
      </c>
      <c r="C2336" t="s">
        <v>5043</v>
      </c>
      <c r="D2336" t="s">
        <v>8401</v>
      </c>
    </row>
    <row r="2337" spans="1:4" x14ac:dyDescent="0.25">
      <c r="A2337" s="63" t="s">
        <v>3722</v>
      </c>
      <c r="B2337" t="s">
        <v>1332</v>
      </c>
      <c r="C2337" t="s">
        <v>5043</v>
      </c>
      <c r="D2337" t="s">
        <v>8401</v>
      </c>
    </row>
    <row r="2338" spans="1:4" x14ac:dyDescent="0.25">
      <c r="A2338" s="63" t="s">
        <v>3723</v>
      </c>
      <c r="B2338" t="s">
        <v>1332</v>
      </c>
      <c r="C2338" t="s">
        <v>5043</v>
      </c>
      <c r="D2338" t="s">
        <v>8401</v>
      </c>
    </row>
    <row r="2339" spans="1:4" x14ac:dyDescent="0.25">
      <c r="A2339" s="63" t="s">
        <v>3724</v>
      </c>
      <c r="B2339" t="s">
        <v>1332</v>
      </c>
      <c r="C2339" t="s">
        <v>5043</v>
      </c>
      <c r="D2339" t="s">
        <v>8401</v>
      </c>
    </row>
    <row r="2340" spans="1:4" x14ac:dyDescent="0.25">
      <c r="A2340" s="63" t="s">
        <v>3725</v>
      </c>
      <c r="B2340" t="s">
        <v>1730</v>
      </c>
      <c r="C2340" t="s">
        <v>5043</v>
      </c>
      <c r="D2340" t="s">
        <v>8401</v>
      </c>
    </row>
    <row r="2341" spans="1:4" x14ac:dyDescent="0.25">
      <c r="A2341" s="63" t="s">
        <v>3726</v>
      </c>
      <c r="B2341" t="s">
        <v>1730</v>
      </c>
      <c r="C2341" t="s">
        <v>5043</v>
      </c>
      <c r="D2341" t="s">
        <v>8401</v>
      </c>
    </row>
    <row r="2342" spans="1:4" x14ac:dyDescent="0.25">
      <c r="A2342" s="63" t="s">
        <v>3727</v>
      </c>
      <c r="B2342" t="s">
        <v>1506</v>
      </c>
      <c r="C2342" t="s">
        <v>5043</v>
      </c>
      <c r="D2342" t="s">
        <v>8401</v>
      </c>
    </row>
    <row r="2343" spans="1:4" x14ac:dyDescent="0.25">
      <c r="A2343" s="63" t="s">
        <v>3728</v>
      </c>
      <c r="B2343" t="s">
        <v>1506</v>
      </c>
      <c r="C2343" t="s">
        <v>5043</v>
      </c>
      <c r="D2343" t="s">
        <v>8401</v>
      </c>
    </row>
    <row r="2344" spans="1:4" x14ac:dyDescent="0.25">
      <c r="A2344" s="63" t="s">
        <v>3729</v>
      </c>
      <c r="B2344" t="s">
        <v>1506</v>
      </c>
      <c r="C2344" t="s">
        <v>5043</v>
      </c>
      <c r="D2344" t="s">
        <v>8401</v>
      </c>
    </row>
    <row r="2345" spans="1:4" x14ac:dyDescent="0.25">
      <c r="A2345" s="63" t="s">
        <v>8071</v>
      </c>
      <c r="B2345" t="s">
        <v>1506</v>
      </c>
      <c r="C2345" t="s">
        <v>5043</v>
      </c>
      <c r="D2345" t="s">
        <v>8401</v>
      </c>
    </row>
    <row r="2346" spans="1:4" x14ac:dyDescent="0.25">
      <c r="A2346" s="63" t="s">
        <v>8072</v>
      </c>
      <c r="B2346" t="s">
        <v>1878</v>
      </c>
      <c r="C2346" t="s">
        <v>5043</v>
      </c>
      <c r="D2346" t="s">
        <v>8401</v>
      </c>
    </row>
    <row r="2347" spans="1:4" x14ac:dyDescent="0.25">
      <c r="A2347" s="63" t="s">
        <v>8073</v>
      </c>
      <c r="B2347" t="s">
        <v>1878</v>
      </c>
      <c r="C2347" t="s">
        <v>5043</v>
      </c>
      <c r="D2347" t="s">
        <v>8401</v>
      </c>
    </row>
    <row r="2348" spans="1:4" x14ac:dyDescent="0.25">
      <c r="A2348" s="63" t="s">
        <v>8074</v>
      </c>
      <c r="B2348" t="s">
        <v>1878</v>
      </c>
      <c r="C2348" t="s">
        <v>5043</v>
      </c>
      <c r="D2348" t="s">
        <v>8401</v>
      </c>
    </row>
    <row r="2349" spans="1:4" x14ac:dyDescent="0.25">
      <c r="A2349" s="63" t="s">
        <v>3730</v>
      </c>
      <c r="B2349" t="s">
        <v>2019</v>
      </c>
      <c r="C2349" t="s">
        <v>5043</v>
      </c>
      <c r="D2349" t="s">
        <v>8401</v>
      </c>
    </row>
    <row r="2350" spans="1:4" x14ac:dyDescent="0.25">
      <c r="A2350" s="63" t="s">
        <v>3731</v>
      </c>
      <c r="B2350" t="s">
        <v>1728</v>
      </c>
      <c r="C2350" t="s">
        <v>5043</v>
      </c>
      <c r="D2350" t="s">
        <v>8401</v>
      </c>
    </row>
    <row r="2351" spans="1:4" x14ac:dyDescent="0.25">
      <c r="A2351" s="63" t="s">
        <v>3732</v>
      </c>
      <c r="B2351" t="s">
        <v>1728</v>
      </c>
      <c r="C2351" t="s">
        <v>5043</v>
      </c>
      <c r="D2351" t="s">
        <v>8401</v>
      </c>
    </row>
    <row r="2352" spans="1:4" x14ac:dyDescent="0.25">
      <c r="A2352" s="63" t="s">
        <v>3733</v>
      </c>
      <c r="B2352" t="s">
        <v>1728</v>
      </c>
      <c r="C2352" t="s">
        <v>5043</v>
      </c>
      <c r="D2352" t="s">
        <v>8401</v>
      </c>
    </row>
    <row r="2353" spans="1:4" x14ac:dyDescent="0.25">
      <c r="A2353" s="63" t="s">
        <v>3734</v>
      </c>
      <c r="B2353" t="s">
        <v>1728</v>
      </c>
      <c r="C2353" t="s">
        <v>5043</v>
      </c>
      <c r="D2353" t="s">
        <v>8401</v>
      </c>
    </row>
    <row r="2354" spans="1:4" x14ac:dyDescent="0.25">
      <c r="A2354" s="63" t="s">
        <v>3735</v>
      </c>
      <c r="B2354" t="s">
        <v>1728</v>
      </c>
      <c r="C2354" t="s">
        <v>5043</v>
      </c>
      <c r="D2354" t="s">
        <v>8401</v>
      </c>
    </row>
    <row r="2355" spans="1:4" x14ac:dyDescent="0.25">
      <c r="A2355" s="63" t="s">
        <v>3736</v>
      </c>
      <c r="B2355" t="s">
        <v>1728</v>
      </c>
      <c r="C2355" t="s">
        <v>5043</v>
      </c>
      <c r="D2355" t="s">
        <v>8401</v>
      </c>
    </row>
    <row r="2356" spans="1:4" x14ac:dyDescent="0.25">
      <c r="A2356" s="63" t="s">
        <v>3737</v>
      </c>
      <c r="B2356" t="s">
        <v>2359</v>
      </c>
      <c r="C2356" t="s">
        <v>5043</v>
      </c>
      <c r="D2356" t="s">
        <v>8401</v>
      </c>
    </row>
    <row r="2357" spans="1:4" x14ac:dyDescent="0.25">
      <c r="A2357" s="63" t="s">
        <v>3738</v>
      </c>
      <c r="B2357" t="s">
        <v>2358</v>
      </c>
      <c r="C2357" t="s">
        <v>5043</v>
      </c>
      <c r="D2357" t="s">
        <v>8401</v>
      </c>
    </row>
    <row r="2358" spans="1:4" x14ac:dyDescent="0.25">
      <c r="A2358" s="63" t="s">
        <v>3739</v>
      </c>
      <c r="B2358" t="s">
        <v>1228</v>
      </c>
      <c r="C2358" t="s">
        <v>5043</v>
      </c>
      <c r="D2358" t="s">
        <v>8401</v>
      </c>
    </row>
    <row r="2359" spans="1:4" x14ac:dyDescent="0.25">
      <c r="A2359" s="63" t="s">
        <v>3740</v>
      </c>
      <c r="B2359" t="s">
        <v>2357</v>
      </c>
      <c r="C2359" t="s">
        <v>5043</v>
      </c>
      <c r="D2359" t="s">
        <v>8401</v>
      </c>
    </row>
    <row r="2360" spans="1:4" x14ac:dyDescent="0.25">
      <c r="A2360" s="63" t="s">
        <v>3741</v>
      </c>
      <c r="B2360" t="s">
        <v>2356</v>
      </c>
      <c r="C2360" t="s">
        <v>5043</v>
      </c>
      <c r="D2360" t="s">
        <v>8401</v>
      </c>
    </row>
    <row r="2361" spans="1:4" x14ac:dyDescent="0.25">
      <c r="A2361" s="63" t="s">
        <v>3742</v>
      </c>
      <c r="B2361" t="s">
        <v>2356</v>
      </c>
      <c r="C2361" t="s">
        <v>5043</v>
      </c>
      <c r="D2361" t="s">
        <v>8401</v>
      </c>
    </row>
    <row r="2362" spans="1:4" x14ac:dyDescent="0.25">
      <c r="A2362" s="63" t="s">
        <v>3743</v>
      </c>
      <c r="B2362" t="s">
        <v>2355</v>
      </c>
      <c r="C2362" t="s">
        <v>5043</v>
      </c>
      <c r="D2362" t="s">
        <v>8401</v>
      </c>
    </row>
    <row r="2363" spans="1:4" x14ac:dyDescent="0.25">
      <c r="A2363" s="63" t="s">
        <v>3744</v>
      </c>
      <c r="B2363" t="s">
        <v>1781</v>
      </c>
      <c r="C2363" t="s">
        <v>5043</v>
      </c>
      <c r="D2363" t="s">
        <v>8401</v>
      </c>
    </row>
    <row r="2364" spans="1:4" x14ac:dyDescent="0.25">
      <c r="A2364" s="63" t="s">
        <v>3745</v>
      </c>
      <c r="B2364" t="s">
        <v>1781</v>
      </c>
      <c r="C2364" t="s">
        <v>5043</v>
      </c>
      <c r="D2364" t="s">
        <v>8401</v>
      </c>
    </row>
    <row r="2365" spans="1:4" x14ac:dyDescent="0.25">
      <c r="A2365" s="63" t="s">
        <v>3746</v>
      </c>
      <c r="B2365" t="s">
        <v>2455</v>
      </c>
      <c r="C2365" t="s">
        <v>5043</v>
      </c>
      <c r="D2365" t="s">
        <v>8401</v>
      </c>
    </row>
    <row r="2366" spans="1:4" x14ac:dyDescent="0.25">
      <c r="A2366" s="63" t="s">
        <v>3747</v>
      </c>
      <c r="B2366" t="s">
        <v>1779</v>
      </c>
      <c r="C2366" t="s">
        <v>5043</v>
      </c>
      <c r="D2366" t="s">
        <v>8401</v>
      </c>
    </row>
    <row r="2367" spans="1:4" x14ac:dyDescent="0.25">
      <c r="A2367" s="63" t="s">
        <v>3748</v>
      </c>
      <c r="B2367" t="s">
        <v>1779</v>
      </c>
      <c r="C2367" t="s">
        <v>5043</v>
      </c>
      <c r="D2367" t="s">
        <v>8401</v>
      </c>
    </row>
    <row r="2368" spans="1:4" x14ac:dyDescent="0.25">
      <c r="A2368" s="63" t="s">
        <v>3749</v>
      </c>
      <c r="B2368" t="s">
        <v>1780</v>
      </c>
      <c r="C2368" t="s">
        <v>5043</v>
      </c>
      <c r="D2368" t="s">
        <v>8401</v>
      </c>
    </row>
    <row r="2369" spans="1:4" x14ac:dyDescent="0.25">
      <c r="A2369" s="63" t="s">
        <v>3750</v>
      </c>
      <c r="B2369" t="s">
        <v>1782</v>
      </c>
      <c r="C2369" t="s">
        <v>5043</v>
      </c>
      <c r="D2369" t="s">
        <v>8401</v>
      </c>
    </row>
    <row r="2370" spans="1:4" x14ac:dyDescent="0.25">
      <c r="A2370" s="63" t="s">
        <v>3751</v>
      </c>
      <c r="B2370" t="s">
        <v>1227</v>
      </c>
      <c r="C2370" t="s">
        <v>5043</v>
      </c>
      <c r="D2370" t="s">
        <v>8401</v>
      </c>
    </row>
    <row r="2371" spans="1:4" x14ac:dyDescent="0.25">
      <c r="A2371" s="63" t="s">
        <v>3752</v>
      </c>
      <c r="B2371" t="s">
        <v>1227</v>
      </c>
      <c r="C2371" t="s">
        <v>5043</v>
      </c>
      <c r="D2371" t="s">
        <v>8401</v>
      </c>
    </row>
    <row r="2372" spans="1:4" x14ac:dyDescent="0.25">
      <c r="A2372" s="63" t="s">
        <v>3753</v>
      </c>
      <c r="B2372" t="s">
        <v>1227</v>
      </c>
      <c r="C2372" t="s">
        <v>5043</v>
      </c>
      <c r="D2372" t="s">
        <v>8401</v>
      </c>
    </row>
    <row r="2373" spans="1:4" x14ac:dyDescent="0.25">
      <c r="A2373" s="63" t="s">
        <v>3754</v>
      </c>
      <c r="B2373" t="s">
        <v>1778</v>
      </c>
      <c r="C2373" t="s">
        <v>5043</v>
      </c>
      <c r="D2373" t="s">
        <v>8401</v>
      </c>
    </row>
    <row r="2374" spans="1:4" x14ac:dyDescent="0.25">
      <c r="A2374" s="63" t="s">
        <v>3755</v>
      </c>
      <c r="B2374" t="s">
        <v>1778</v>
      </c>
      <c r="C2374" t="s">
        <v>5043</v>
      </c>
      <c r="D2374" t="s">
        <v>8401</v>
      </c>
    </row>
    <row r="2375" spans="1:4" x14ac:dyDescent="0.25">
      <c r="A2375" s="63" t="s">
        <v>3756</v>
      </c>
      <c r="B2375" t="s">
        <v>1778</v>
      </c>
      <c r="C2375" t="s">
        <v>5043</v>
      </c>
      <c r="D2375" t="s">
        <v>8401</v>
      </c>
    </row>
    <row r="2376" spans="1:4" x14ac:dyDescent="0.25">
      <c r="A2376" s="63" t="s">
        <v>3757</v>
      </c>
      <c r="B2376" t="s">
        <v>1778</v>
      </c>
      <c r="C2376" t="s">
        <v>5043</v>
      </c>
      <c r="D2376" t="s">
        <v>8401</v>
      </c>
    </row>
    <row r="2377" spans="1:4" x14ac:dyDescent="0.25">
      <c r="A2377" s="63" t="s">
        <v>3758</v>
      </c>
      <c r="B2377" t="s">
        <v>1778</v>
      </c>
      <c r="C2377" t="s">
        <v>5043</v>
      </c>
      <c r="D2377" t="s">
        <v>8401</v>
      </c>
    </row>
    <row r="2378" spans="1:4" x14ac:dyDescent="0.25">
      <c r="A2378" s="63" t="s">
        <v>3759</v>
      </c>
      <c r="B2378" t="s">
        <v>1778</v>
      </c>
      <c r="C2378" t="s">
        <v>5043</v>
      </c>
      <c r="D2378" t="s">
        <v>8401</v>
      </c>
    </row>
    <row r="2379" spans="1:4" x14ac:dyDescent="0.25">
      <c r="A2379" s="63" t="s">
        <v>3760</v>
      </c>
      <c r="B2379" t="s">
        <v>2396</v>
      </c>
      <c r="C2379" t="s">
        <v>5043</v>
      </c>
      <c r="D2379" t="s">
        <v>8401</v>
      </c>
    </row>
    <row r="2380" spans="1:4" x14ac:dyDescent="0.25">
      <c r="A2380" s="63" t="s">
        <v>3761</v>
      </c>
      <c r="B2380" t="s">
        <v>2398</v>
      </c>
      <c r="C2380" t="s">
        <v>5043</v>
      </c>
      <c r="D2380" t="s">
        <v>8401</v>
      </c>
    </row>
    <row r="2381" spans="1:4" x14ac:dyDescent="0.25">
      <c r="A2381" s="63" t="s">
        <v>3762</v>
      </c>
      <c r="B2381" t="s">
        <v>2397</v>
      </c>
      <c r="C2381" t="s">
        <v>5043</v>
      </c>
      <c r="D2381" t="s">
        <v>8401</v>
      </c>
    </row>
    <row r="2382" spans="1:4" x14ac:dyDescent="0.25">
      <c r="A2382" s="63" t="s">
        <v>8075</v>
      </c>
      <c r="B2382" t="s">
        <v>2242</v>
      </c>
      <c r="C2382" t="s">
        <v>5043</v>
      </c>
      <c r="D2382" t="s">
        <v>8401</v>
      </c>
    </row>
    <row r="2383" spans="1:4" x14ac:dyDescent="0.25">
      <c r="A2383" s="63" t="s">
        <v>3763</v>
      </c>
      <c r="B2383" t="s">
        <v>1843</v>
      </c>
      <c r="C2383" t="s">
        <v>5043</v>
      </c>
      <c r="D2383" t="s">
        <v>8401</v>
      </c>
    </row>
    <row r="2384" spans="1:4" x14ac:dyDescent="0.25">
      <c r="A2384" s="63" t="s">
        <v>3764</v>
      </c>
      <c r="B2384" t="s">
        <v>1843</v>
      </c>
      <c r="C2384" t="s">
        <v>5043</v>
      </c>
      <c r="D2384" t="s">
        <v>8401</v>
      </c>
    </row>
    <row r="2385" spans="1:4" x14ac:dyDescent="0.25">
      <c r="A2385" s="63" t="s">
        <v>3765</v>
      </c>
      <c r="B2385" t="s">
        <v>1843</v>
      </c>
      <c r="C2385" t="s">
        <v>5043</v>
      </c>
      <c r="D2385" t="s">
        <v>8401</v>
      </c>
    </row>
    <row r="2386" spans="1:4" x14ac:dyDescent="0.25">
      <c r="A2386" s="63" t="s">
        <v>3766</v>
      </c>
      <c r="B2386" t="s">
        <v>1843</v>
      </c>
      <c r="C2386" t="s">
        <v>5043</v>
      </c>
      <c r="D2386" t="s">
        <v>8401</v>
      </c>
    </row>
    <row r="2387" spans="1:4" x14ac:dyDescent="0.25">
      <c r="A2387" s="63" t="s">
        <v>3767</v>
      </c>
      <c r="B2387" t="s">
        <v>1843</v>
      </c>
      <c r="C2387" t="s">
        <v>5043</v>
      </c>
      <c r="D2387" t="s">
        <v>8401</v>
      </c>
    </row>
    <row r="2388" spans="1:4" x14ac:dyDescent="0.25">
      <c r="A2388" s="63" t="s">
        <v>3768</v>
      </c>
      <c r="B2388" t="s">
        <v>1843</v>
      </c>
      <c r="C2388" t="s">
        <v>5043</v>
      </c>
      <c r="D2388" t="s">
        <v>8401</v>
      </c>
    </row>
    <row r="2389" spans="1:4" x14ac:dyDescent="0.25">
      <c r="A2389" s="63" t="s">
        <v>3769</v>
      </c>
      <c r="B2389" t="s">
        <v>1843</v>
      </c>
      <c r="C2389" t="s">
        <v>5043</v>
      </c>
      <c r="D2389" t="s">
        <v>8401</v>
      </c>
    </row>
    <row r="2390" spans="1:4" x14ac:dyDescent="0.25">
      <c r="A2390" s="63" t="s">
        <v>3770</v>
      </c>
      <c r="B2390" t="s">
        <v>1843</v>
      </c>
      <c r="C2390" t="s">
        <v>5043</v>
      </c>
      <c r="D2390" t="s">
        <v>8401</v>
      </c>
    </row>
    <row r="2391" spans="1:4" x14ac:dyDescent="0.25">
      <c r="A2391" s="63" t="s">
        <v>3771</v>
      </c>
      <c r="B2391" t="s">
        <v>1844</v>
      </c>
      <c r="C2391" t="s">
        <v>5043</v>
      </c>
      <c r="D2391" t="s">
        <v>8401</v>
      </c>
    </row>
    <row r="2392" spans="1:4" x14ac:dyDescent="0.25">
      <c r="A2392" s="63" t="s">
        <v>3772</v>
      </c>
      <c r="B2392" t="s">
        <v>1844</v>
      </c>
      <c r="C2392" t="s">
        <v>5043</v>
      </c>
      <c r="D2392" t="s">
        <v>8401</v>
      </c>
    </row>
    <row r="2393" spans="1:4" x14ac:dyDescent="0.25">
      <c r="A2393" s="63" t="s">
        <v>3773</v>
      </c>
      <c r="B2393" t="s">
        <v>1845</v>
      </c>
      <c r="C2393" t="s">
        <v>5043</v>
      </c>
      <c r="D2393" t="s">
        <v>8401</v>
      </c>
    </row>
    <row r="2394" spans="1:4" x14ac:dyDescent="0.25">
      <c r="A2394" s="63" t="s">
        <v>3774</v>
      </c>
      <c r="B2394" t="s">
        <v>1845</v>
      </c>
      <c r="C2394" t="s">
        <v>5043</v>
      </c>
      <c r="D2394" t="s">
        <v>8401</v>
      </c>
    </row>
    <row r="2395" spans="1:4" x14ac:dyDescent="0.25">
      <c r="A2395" s="63" t="s">
        <v>3775</v>
      </c>
      <c r="B2395" t="s">
        <v>1845</v>
      </c>
      <c r="C2395" t="s">
        <v>5043</v>
      </c>
      <c r="D2395" t="s">
        <v>8401</v>
      </c>
    </row>
    <row r="2396" spans="1:4" x14ac:dyDescent="0.25">
      <c r="A2396" s="63" t="s">
        <v>3776</v>
      </c>
      <c r="B2396" t="s">
        <v>1845</v>
      </c>
      <c r="C2396" t="s">
        <v>5043</v>
      </c>
      <c r="D2396" t="s">
        <v>8401</v>
      </c>
    </row>
    <row r="2397" spans="1:4" x14ac:dyDescent="0.25">
      <c r="A2397" s="63" t="s">
        <v>3777</v>
      </c>
      <c r="B2397" t="s">
        <v>1845</v>
      </c>
      <c r="C2397" t="s">
        <v>5043</v>
      </c>
      <c r="D2397" t="s">
        <v>8401</v>
      </c>
    </row>
    <row r="2398" spans="1:4" x14ac:dyDescent="0.25">
      <c r="A2398" s="63" t="s">
        <v>6603</v>
      </c>
      <c r="B2398" t="s">
        <v>1646</v>
      </c>
      <c r="C2398" t="s">
        <v>5043</v>
      </c>
      <c r="D2398" t="s">
        <v>8401</v>
      </c>
    </row>
    <row r="2399" spans="1:4" x14ac:dyDescent="0.25">
      <c r="A2399" s="63" t="s">
        <v>6604</v>
      </c>
      <c r="B2399" t="s">
        <v>1646</v>
      </c>
      <c r="C2399" t="s">
        <v>5043</v>
      </c>
      <c r="D2399" t="s">
        <v>8401</v>
      </c>
    </row>
    <row r="2400" spans="1:4" x14ac:dyDescent="0.25">
      <c r="A2400" s="63" t="s">
        <v>3778</v>
      </c>
      <c r="B2400" t="s">
        <v>2091</v>
      </c>
      <c r="C2400" t="s">
        <v>5043</v>
      </c>
      <c r="D2400" t="s">
        <v>8401</v>
      </c>
    </row>
    <row r="2401" spans="1:4" x14ac:dyDescent="0.25">
      <c r="A2401" s="63" t="s">
        <v>5160</v>
      </c>
      <c r="B2401" t="s">
        <v>2315</v>
      </c>
      <c r="C2401" t="s">
        <v>5043</v>
      </c>
      <c r="D2401" t="s">
        <v>8401</v>
      </c>
    </row>
    <row r="2402" spans="1:4" x14ac:dyDescent="0.25">
      <c r="A2402" s="63" t="s">
        <v>8076</v>
      </c>
      <c r="B2402" t="s">
        <v>2489</v>
      </c>
      <c r="C2402" t="s">
        <v>5043</v>
      </c>
      <c r="D2402" t="s">
        <v>8401</v>
      </c>
    </row>
    <row r="2403" spans="1:4" x14ac:dyDescent="0.25">
      <c r="A2403" s="63" t="s">
        <v>3779</v>
      </c>
      <c r="B2403" t="s">
        <v>1372</v>
      </c>
      <c r="C2403" t="s">
        <v>5043</v>
      </c>
      <c r="D2403" t="s">
        <v>8401</v>
      </c>
    </row>
    <row r="2404" spans="1:4" x14ac:dyDescent="0.25">
      <c r="A2404" s="63" t="s">
        <v>3780</v>
      </c>
      <c r="B2404" t="s">
        <v>1372</v>
      </c>
      <c r="C2404" t="s">
        <v>5043</v>
      </c>
      <c r="D2404" t="s">
        <v>8401</v>
      </c>
    </row>
    <row r="2405" spans="1:4" x14ac:dyDescent="0.25">
      <c r="A2405" s="63" t="s">
        <v>3781</v>
      </c>
      <c r="B2405" t="s">
        <v>1846</v>
      </c>
      <c r="C2405" t="s">
        <v>5043</v>
      </c>
      <c r="D2405" t="s">
        <v>8401</v>
      </c>
    </row>
    <row r="2406" spans="1:4" x14ac:dyDescent="0.25">
      <c r="A2406" s="63" t="s">
        <v>3782</v>
      </c>
      <c r="B2406" t="s">
        <v>2413</v>
      </c>
      <c r="C2406" t="s">
        <v>5043</v>
      </c>
      <c r="D2406" t="s">
        <v>8401</v>
      </c>
    </row>
    <row r="2407" spans="1:4" x14ac:dyDescent="0.25">
      <c r="A2407" s="63" t="s">
        <v>3783</v>
      </c>
      <c r="B2407" t="s">
        <v>2413</v>
      </c>
      <c r="C2407" t="s">
        <v>5043</v>
      </c>
      <c r="D2407" t="s">
        <v>8401</v>
      </c>
    </row>
    <row r="2408" spans="1:4" x14ac:dyDescent="0.25">
      <c r="A2408" s="63" t="s">
        <v>3784</v>
      </c>
      <c r="B2408" t="s">
        <v>1672</v>
      </c>
      <c r="C2408" t="s">
        <v>5043</v>
      </c>
      <c r="D2408" t="s">
        <v>8401</v>
      </c>
    </row>
    <row r="2409" spans="1:4" x14ac:dyDescent="0.25">
      <c r="A2409" s="63" t="s">
        <v>3785</v>
      </c>
      <c r="B2409" t="s">
        <v>1672</v>
      </c>
      <c r="C2409" t="s">
        <v>5043</v>
      </c>
      <c r="D2409" t="s">
        <v>8401</v>
      </c>
    </row>
    <row r="2410" spans="1:4" x14ac:dyDescent="0.25">
      <c r="A2410" s="63" t="s">
        <v>3786</v>
      </c>
      <c r="B2410" t="s">
        <v>1672</v>
      </c>
      <c r="C2410" t="s">
        <v>5043</v>
      </c>
      <c r="D2410" t="s">
        <v>8401</v>
      </c>
    </row>
    <row r="2411" spans="1:4" x14ac:dyDescent="0.25">
      <c r="A2411" s="63" t="s">
        <v>3787</v>
      </c>
      <c r="B2411" t="s">
        <v>1672</v>
      </c>
      <c r="C2411" t="s">
        <v>5043</v>
      </c>
      <c r="D2411" t="s">
        <v>8401</v>
      </c>
    </row>
    <row r="2412" spans="1:4" x14ac:dyDescent="0.25">
      <c r="A2412" s="63" t="s">
        <v>3788</v>
      </c>
      <c r="B2412" t="s">
        <v>1672</v>
      </c>
      <c r="C2412" t="s">
        <v>5043</v>
      </c>
      <c r="D2412" t="s">
        <v>8401</v>
      </c>
    </row>
    <row r="2413" spans="1:4" x14ac:dyDescent="0.25">
      <c r="A2413" s="63" t="s">
        <v>3789</v>
      </c>
      <c r="B2413" t="s">
        <v>1672</v>
      </c>
      <c r="C2413" t="s">
        <v>5043</v>
      </c>
      <c r="D2413" t="s">
        <v>8401</v>
      </c>
    </row>
    <row r="2414" spans="1:4" x14ac:dyDescent="0.25">
      <c r="A2414" s="63" t="s">
        <v>3790</v>
      </c>
      <c r="B2414" t="s">
        <v>1672</v>
      </c>
      <c r="C2414" t="s">
        <v>5043</v>
      </c>
      <c r="D2414" t="s">
        <v>8401</v>
      </c>
    </row>
    <row r="2415" spans="1:4" x14ac:dyDescent="0.25">
      <c r="A2415" s="63" t="s">
        <v>6419</v>
      </c>
      <c r="B2415" t="s">
        <v>2340</v>
      </c>
      <c r="C2415" t="s">
        <v>5043</v>
      </c>
      <c r="D2415" t="s">
        <v>8401</v>
      </c>
    </row>
    <row r="2416" spans="1:4" x14ac:dyDescent="0.25">
      <c r="A2416" s="63" t="s">
        <v>3791</v>
      </c>
      <c r="B2416" t="s">
        <v>2430</v>
      </c>
      <c r="C2416" t="s">
        <v>5043</v>
      </c>
      <c r="D2416" t="s">
        <v>8401</v>
      </c>
    </row>
    <row r="2417" spans="1:4" x14ac:dyDescent="0.25">
      <c r="A2417" s="63" t="s">
        <v>3792</v>
      </c>
      <c r="B2417" t="s">
        <v>1671</v>
      </c>
      <c r="C2417" t="s">
        <v>5043</v>
      </c>
      <c r="D2417" t="s">
        <v>8401</v>
      </c>
    </row>
    <row r="2418" spans="1:4" x14ac:dyDescent="0.25">
      <c r="A2418" s="63" t="s">
        <v>6467</v>
      </c>
      <c r="B2418" t="s">
        <v>2230</v>
      </c>
      <c r="C2418" t="s">
        <v>5043</v>
      </c>
      <c r="D2418" t="s">
        <v>8401</v>
      </c>
    </row>
    <row r="2419" spans="1:4" x14ac:dyDescent="0.25">
      <c r="A2419" s="63" t="s">
        <v>3793</v>
      </c>
      <c r="B2419" t="s">
        <v>2362</v>
      </c>
      <c r="C2419" t="s">
        <v>5043</v>
      </c>
      <c r="D2419" t="s">
        <v>8401</v>
      </c>
    </row>
    <row r="2420" spans="1:4" x14ac:dyDescent="0.25">
      <c r="A2420" s="63" t="s">
        <v>6056</v>
      </c>
      <c r="B2420" t="s">
        <v>2232</v>
      </c>
      <c r="C2420" t="s">
        <v>5043</v>
      </c>
      <c r="D2420" t="s">
        <v>8401</v>
      </c>
    </row>
    <row r="2421" spans="1:4" x14ac:dyDescent="0.25">
      <c r="A2421" s="63" t="s">
        <v>6057</v>
      </c>
      <c r="B2421" t="s">
        <v>2232</v>
      </c>
      <c r="C2421" t="s">
        <v>5043</v>
      </c>
      <c r="D2421" t="s">
        <v>8401</v>
      </c>
    </row>
    <row r="2422" spans="1:4" x14ac:dyDescent="0.25">
      <c r="A2422" s="63" t="s">
        <v>5799</v>
      </c>
      <c r="B2422" t="s">
        <v>2232</v>
      </c>
      <c r="C2422" t="s">
        <v>5043</v>
      </c>
      <c r="D2422" t="s">
        <v>8401</v>
      </c>
    </row>
    <row r="2423" spans="1:4" x14ac:dyDescent="0.25">
      <c r="A2423" s="63" t="s">
        <v>5800</v>
      </c>
      <c r="B2423" t="s">
        <v>2232</v>
      </c>
      <c r="C2423" t="s">
        <v>5043</v>
      </c>
      <c r="D2423" t="s">
        <v>8401</v>
      </c>
    </row>
    <row r="2424" spans="1:4" x14ac:dyDescent="0.25">
      <c r="A2424" s="63" t="s">
        <v>3794</v>
      </c>
      <c r="B2424" t="s">
        <v>2031</v>
      </c>
      <c r="C2424" t="s">
        <v>5043</v>
      </c>
      <c r="D2424" t="s">
        <v>8401</v>
      </c>
    </row>
    <row r="2425" spans="1:4" x14ac:dyDescent="0.25">
      <c r="A2425" s="63" t="s">
        <v>3795</v>
      </c>
      <c r="B2425" t="s">
        <v>2031</v>
      </c>
      <c r="C2425" t="s">
        <v>5043</v>
      </c>
      <c r="D2425" t="s">
        <v>8401</v>
      </c>
    </row>
    <row r="2426" spans="1:4" x14ac:dyDescent="0.25">
      <c r="A2426" s="63" t="s">
        <v>8077</v>
      </c>
      <c r="B2426" t="s">
        <v>2410</v>
      </c>
      <c r="C2426" t="s">
        <v>5043</v>
      </c>
      <c r="D2426" t="s">
        <v>8401</v>
      </c>
    </row>
    <row r="2427" spans="1:4" x14ac:dyDescent="0.25">
      <c r="A2427" s="63" t="s">
        <v>8078</v>
      </c>
      <c r="B2427" t="s">
        <v>2410</v>
      </c>
      <c r="C2427" t="s">
        <v>5043</v>
      </c>
      <c r="D2427" t="s">
        <v>8401</v>
      </c>
    </row>
    <row r="2428" spans="1:4" x14ac:dyDescent="0.25">
      <c r="A2428" s="63" t="s">
        <v>3796</v>
      </c>
      <c r="B2428" t="s">
        <v>2410</v>
      </c>
      <c r="C2428" t="s">
        <v>5043</v>
      </c>
      <c r="D2428" t="s">
        <v>8401</v>
      </c>
    </row>
    <row r="2429" spans="1:4" x14ac:dyDescent="0.25">
      <c r="A2429" s="63" t="s">
        <v>3797</v>
      </c>
      <c r="B2429" t="s">
        <v>2410</v>
      </c>
      <c r="C2429" t="s">
        <v>5043</v>
      </c>
      <c r="D2429" t="s">
        <v>8401</v>
      </c>
    </row>
    <row r="2430" spans="1:4" x14ac:dyDescent="0.25">
      <c r="A2430" s="63" t="s">
        <v>3798</v>
      </c>
      <c r="B2430" t="s">
        <v>1188</v>
      </c>
      <c r="C2430" t="s">
        <v>5043</v>
      </c>
      <c r="D2430" t="s">
        <v>8401</v>
      </c>
    </row>
    <row r="2431" spans="1:4" x14ac:dyDescent="0.25">
      <c r="A2431" s="63" t="s">
        <v>3799</v>
      </c>
      <c r="B2431" t="s">
        <v>1188</v>
      </c>
      <c r="C2431" t="s">
        <v>5043</v>
      </c>
      <c r="D2431" t="s">
        <v>8401</v>
      </c>
    </row>
    <row r="2432" spans="1:4" x14ac:dyDescent="0.25">
      <c r="A2432" s="63" t="s">
        <v>3800</v>
      </c>
      <c r="B2432" t="s">
        <v>1188</v>
      </c>
      <c r="C2432" t="s">
        <v>5043</v>
      </c>
      <c r="D2432" t="s">
        <v>8401</v>
      </c>
    </row>
    <row r="2433" spans="1:4" x14ac:dyDescent="0.25">
      <c r="A2433" s="63" t="s">
        <v>6759</v>
      </c>
      <c r="B2433" t="s">
        <v>1831</v>
      </c>
      <c r="C2433" t="s">
        <v>5043</v>
      </c>
      <c r="D2433" t="s">
        <v>8401</v>
      </c>
    </row>
    <row r="2434" spans="1:4" x14ac:dyDescent="0.25">
      <c r="A2434" s="63" t="s">
        <v>2551</v>
      </c>
      <c r="B2434" t="s">
        <v>2537</v>
      </c>
      <c r="C2434" t="s">
        <v>5043</v>
      </c>
      <c r="D2434" t="s">
        <v>8401</v>
      </c>
    </row>
    <row r="2435" spans="1:4" x14ac:dyDescent="0.25">
      <c r="A2435" s="63" t="s">
        <v>2552</v>
      </c>
      <c r="B2435" t="s">
        <v>2537</v>
      </c>
      <c r="C2435" t="s">
        <v>5043</v>
      </c>
      <c r="D2435" t="s">
        <v>8401</v>
      </c>
    </row>
    <row r="2436" spans="1:4" x14ac:dyDescent="0.25">
      <c r="A2436" s="63" t="s">
        <v>8079</v>
      </c>
      <c r="B2436" t="s">
        <v>1327</v>
      </c>
      <c r="C2436" t="s">
        <v>5043</v>
      </c>
      <c r="D2436" t="s">
        <v>8401</v>
      </c>
    </row>
    <row r="2437" spans="1:4" x14ac:dyDescent="0.25">
      <c r="A2437" s="63" t="s">
        <v>8080</v>
      </c>
      <c r="B2437" t="s">
        <v>1327</v>
      </c>
      <c r="C2437" t="s">
        <v>5043</v>
      </c>
      <c r="D2437" t="s">
        <v>8401</v>
      </c>
    </row>
    <row r="2438" spans="1:4" x14ac:dyDescent="0.25">
      <c r="A2438" s="63" t="s">
        <v>8081</v>
      </c>
      <c r="B2438" t="s">
        <v>1327</v>
      </c>
      <c r="C2438" t="s">
        <v>5043</v>
      </c>
      <c r="D2438" t="s">
        <v>8401</v>
      </c>
    </row>
    <row r="2439" spans="1:4" x14ac:dyDescent="0.25">
      <c r="A2439" s="63" t="s">
        <v>5875</v>
      </c>
      <c r="B2439" t="s">
        <v>1327</v>
      </c>
      <c r="C2439" t="s">
        <v>5043</v>
      </c>
      <c r="D2439" t="s">
        <v>8401</v>
      </c>
    </row>
    <row r="2440" spans="1:4" x14ac:dyDescent="0.25">
      <c r="A2440" s="63" t="s">
        <v>3801</v>
      </c>
      <c r="B2440" t="s">
        <v>1327</v>
      </c>
      <c r="C2440" t="s">
        <v>5043</v>
      </c>
      <c r="D2440" t="s">
        <v>8401</v>
      </c>
    </row>
    <row r="2441" spans="1:4" x14ac:dyDescent="0.25">
      <c r="A2441" s="63" t="s">
        <v>3802</v>
      </c>
      <c r="B2441" t="s">
        <v>1327</v>
      </c>
      <c r="C2441" t="s">
        <v>5043</v>
      </c>
      <c r="D2441" t="s">
        <v>8401</v>
      </c>
    </row>
    <row r="2442" spans="1:4" x14ac:dyDescent="0.25">
      <c r="A2442" s="63" t="s">
        <v>6458</v>
      </c>
      <c r="B2442" t="s">
        <v>1187</v>
      </c>
      <c r="C2442" t="s">
        <v>5043</v>
      </c>
      <c r="D2442" t="s">
        <v>8401</v>
      </c>
    </row>
    <row r="2443" spans="1:4" x14ac:dyDescent="0.25">
      <c r="A2443" s="63" t="s">
        <v>6460</v>
      </c>
      <c r="B2443" t="s">
        <v>1187</v>
      </c>
      <c r="C2443" t="s">
        <v>5043</v>
      </c>
      <c r="D2443" t="s">
        <v>8401</v>
      </c>
    </row>
    <row r="2444" spans="1:4" x14ac:dyDescent="0.25">
      <c r="A2444" s="63" t="s">
        <v>6461</v>
      </c>
      <c r="B2444" t="s">
        <v>1187</v>
      </c>
      <c r="C2444" t="s">
        <v>5043</v>
      </c>
      <c r="D2444" t="s">
        <v>8401</v>
      </c>
    </row>
    <row r="2445" spans="1:4" x14ac:dyDescent="0.25">
      <c r="A2445" s="63" t="s">
        <v>8082</v>
      </c>
      <c r="B2445" t="s">
        <v>2361</v>
      </c>
      <c r="C2445" t="s">
        <v>5043</v>
      </c>
      <c r="D2445" t="s">
        <v>8401</v>
      </c>
    </row>
    <row r="2446" spans="1:4" x14ac:dyDescent="0.25">
      <c r="A2446" s="63" t="s">
        <v>6176</v>
      </c>
      <c r="B2446" t="s">
        <v>2361</v>
      </c>
      <c r="C2446" t="s">
        <v>5043</v>
      </c>
      <c r="D2446" t="s">
        <v>8401</v>
      </c>
    </row>
    <row r="2447" spans="1:4" x14ac:dyDescent="0.25">
      <c r="A2447" s="63" t="s">
        <v>3803</v>
      </c>
      <c r="B2447" t="s">
        <v>1738</v>
      </c>
      <c r="C2447" t="s">
        <v>5043</v>
      </c>
      <c r="D2447" t="s">
        <v>8401</v>
      </c>
    </row>
    <row r="2448" spans="1:4" x14ac:dyDescent="0.25">
      <c r="A2448" s="63" t="s">
        <v>3804</v>
      </c>
      <c r="B2448" t="s">
        <v>1738</v>
      </c>
      <c r="C2448" t="s">
        <v>5043</v>
      </c>
      <c r="D2448" t="s">
        <v>8401</v>
      </c>
    </row>
    <row r="2449" spans="1:4" x14ac:dyDescent="0.25">
      <c r="A2449" s="63" t="s">
        <v>3805</v>
      </c>
      <c r="B2449" t="s">
        <v>1738</v>
      </c>
      <c r="C2449" t="s">
        <v>5043</v>
      </c>
      <c r="D2449" t="s">
        <v>8401</v>
      </c>
    </row>
    <row r="2450" spans="1:4" x14ac:dyDescent="0.25">
      <c r="A2450" s="63" t="s">
        <v>3806</v>
      </c>
      <c r="B2450" t="s">
        <v>1738</v>
      </c>
      <c r="C2450" t="s">
        <v>5043</v>
      </c>
      <c r="D2450" t="s">
        <v>8401</v>
      </c>
    </row>
    <row r="2451" spans="1:4" x14ac:dyDescent="0.25">
      <c r="A2451" s="63" t="s">
        <v>3807</v>
      </c>
      <c r="B2451" t="s">
        <v>1738</v>
      </c>
      <c r="C2451" t="s">
        <v>5043</v>
      </c>
      <c r="D2451" t="s">
        <v>8401</v>
      </c>
    </row>
    <row r="2452" spans="1:4" x14ac:dyDescent="0.25">
      <c r="A2452" s="63" t="s">
        <v>3808</v>
      </c>
      <c r="B2452" t="s">
        <v>1738</v>
      </c>
      <c r="C2452" t="s">
        <v>5043</v>
      </c>
      <c r="D2452" t="s">
        <v>8401</v>
      </c>
    </row>
    <row r="2453" spans="1:4" x14ac:dyDescent="0.25">
      <c r="A2453" s="63" t="s">
        <v>8083</v>
      </c>
      <c r="B2453" t="s">
        <v>1738</v>
      </c>
      <c r="C2453" t="s">
        <v>5043</v>
      </c>
      <c r="D2453" t="s">
        <v>8401</v>
      </c>
    </row>
    <row r="2454" spans="1:4" x14ac:dyDescent="0.25">
      <c r="A2454" s="63" t="s">
        <v>8084</v>
      </c>
      <c r="B2454" t="s">
        <v>1738</v>
      </c>
      <c r="C2454" t="s">
        <v>5043</v>
      </c>
      <c r="D2454" t="s">
        <v>8401</v>
      </c>
    </row>
    <row r="2455" spans="1:4" x14ac:dyDescent="0.25">
      <c r="A2455" s="63" t="s">
        <v>8085</v>
      </c>
      <c r="B2455" t="s">
        <v>1738</v>
      </c>
      <c r="C2455" t="s">
        <v>5043</v>
      </c>
      <c r="D2455" t="s">
        <v>8401</v>
      </c>
    </row>
    <row r="2456" spans="1:4" x14ac:dyDescent="0.25">
      <c r="A2456" s="63" t="s">
        <v>5830</v>
      </c>
      <c r="B2456" t="s">
        <v>1738</v>
      </c>
      <c r="C2456" t="s">
        <v>5043</v>
      </c>
      <c r="D2456" t="s">
        <v>8401</v>
      </c>
    </row>
    <row r="2457" spans="1:4" x14ac:dyDescent="0.25">
      <c r="A2457" s="63" t="s">
        <v>5831</v>
      </c>
      <c r="B2457" t="s">
        <v>1738</v>
      </c>
      <c r="C2457" t="s">
        <v>5043</v>
      </c>
      <c r="D2457" t="s">
        <v>8401</v>
      </c>
    </row>
    <row r="2458" spans="1:4" x14ac:dyDescent="0.25">
      <c r="A2458" s="63" t="s">
        <v>4567</v>
      </c>
      <c r="B2458" t="s">
        <v>1738</v>
      </c>
      <c r="C2458" t="s">
        <v>5043</v>
      </c>
      <c r="D2458" t="s">
        <v>8401</v>
      </c>
    </row>
    <row r="2459" spans="1:4" x14ac:dyDescent="0.25">
      <c r="A2459" s="63" t="s">
        <v>4568</v>
      </c>
      <c r="B2459" t="s">
        <v>1738</v>
      </c>
      <c r="C2459" t="s">
        <v>5043</v>
      </c>
      <c r="D2459" t="s">
        <v>8401</v>
      </c>
    </row>
    <row r="2460" spans="1:4" x14ac:dyDescent="0.25">
      <c r="A2460" s="63" t="s">
        <v>3809</v>
      </c>
      <c r="B2460" t="s">
        <v>1189</v>
      </c>
      <c r="C2460" t="s">
        <v>5043</v>
      </c>
      <c r="D2460" t="s">
        <v>8401</v>
      </c>
    </row>
    <row r="2461" spans="1:4" x14ac:dyDescent="0.25">
      <c r="A2461" s="63" t="s">
        <v>3810</v>
      </c>
      <c r="B2461" t="s">
        <v>1189</v>
      </c>
      <c r="C2461" t="s">
        <v>5043</v>
      </c>
      <c r="D2461" t="s">
        <v>8401</v>
      </c>
    </row>
    <row r="2462" spans="1:4" x14ac:dyDescent="0.25">
      <c r="A2462" s="63" t="s">
        <v>5882</v>
      </c>
      <c r="B2462" t="s">
        <v>2018</v>
      </c>
      <c r="C2462" t="s">
        <v>5043</v>
      </c>
      <c r="D2462" t="s">
        <v>8401</v>
      </c>
    </row>
    <row r="2463" spans="1:4" x14ac:dyDescent="0.25">
      <c r="A2463" s="63" t="s">
        <v>5883</v>
      </c>
      <c r="B2463" t="s">
        <v>2018</v>
      </c>
      <c r="C2463" t="s">
        <v>5043</v>
      </c>
      <c r="D2463" t="s">
        <v>8401</v>
      </c>
    </row>
    <row r="2464" spans="1:4" x14ac:dyDescent="0.25">
      <c r="A2464" s="63" t="s">
        <v>6760</v>
      </c>
      <c r="B2464" t="s">
        <v>1826</v>
      </c>
      <c r="C2464" t="s">
        <v>5043</v>
      </c>
      <c r="D2464" t="s">
        <v>8401</v>
      </c>
    </row>
    <row r="2465" spans="1:4" x14ac:dyDescent="0.25">
      <c r="A2465" s="63" t="s">
        <v>5884</v>
      </c>
      <c r="B2465" t="s">
        <v>2017</v>
      </c>
      <c r="C2465" t="s">
        <v>5043</v>
      </c>
      <c r="D2465" t="s">
        <v>8401</v>
      </c>
    </row>
    <row r="2466" spans="1:4" x14ac:dyDescent="0.25">
      <c r="A2466" s="63" t="s">
        <v>6761</v>
      </c>
      <c r="B2466" t="s">
        <v>1825</v>
      </c>
      <c r="C2466" t="s">
        <v>5043</v>
      </c>
      <c r="D2466" t="s">
        <v>8401</v>
      </c>
    </row>
    <row r="2467" spans="1:4" x14ac:dyDescent="0.25">
      <c r="A2467" s="63" t="s">
        <v>5911</v>
      </c>
      <c r="B2467" t="s">
        <v>1515</v>
      </c>
      <c r="C2467" t="s">
        <v>5043</v>
      </c>
      <c r="D2467" t="s">
        <v>8401</v>
      </c>
    </row>
    <row r="2468" spans="1:4" x14ac:dyDescent="0.25">
      <c r="A2468" s="63" t="s">
        <v>5554</v>
      </c>
      <c r="B2468" t="s">
        <v>1515</v>
      </c>
      <c r="C2468" t="s">
        <v>5043</v>
      </c>
      <c r="D2468" t="s">
        <v>8401</v>
      </c>
    </row>
    <row r="2469" spans="1:4" x14ac:dyDescent="0.25">
      <c r="A2469" s="63" t="s">
        <v>3811</v>
      </c>
      <c r="B2469" t="s">
        <v>2015</v>
      </c>
      <c r="C2469" t="s">
        <v>5043</v>
      </c>
      <c r="D2469" t="s">
        <v>8401</v>
      </c>
    </row>
    <row r="2470" spans="1:4" x14ac:dyDescent="0.25">
      <c r="A2470" s="63" t="s">
        <v>3812</v>
      </c>
      <c r="B2470" t="s">
        <v>2015</v>
      </c>
      <c r="C2470" t="s">
        <v>5043</v>
      </c>
      <c r="D2470" t="s">
        <v>8401</v>
      </c>
    </row>
    <row r="2471" spans="1:4" x14ac:dyDescent="0.25">
      <c r="A2471" s="63" t="s">
        <v>8086</v>
      </c>
      <c r="B2471" t="s">
        <v>2015</v>
      </c>
      <c r="C2471" t="s">
        <v>5043</v>
      </c>
      <c r="D2471" t="s">
        <v>8401</v>
      </c>
    </row>
    <row r="2472" spans="1:4" x14ac:dyDescent="0.25">
      <c r="A2472" s="63" t="s">
        <v>5893</v>
      </c>
      <c r="B2472" t="s">
        <v>2015</v>
      </c>
      <c r="C2472" t="s">
        <v>5043</v>
      </c>
      <c r="D2472" t="s">
        <v>8401</v>
      </c>
    </row>
    <row r="2473" spans="1:4" x14ac:dyDescent="0.25">
      <c r="A2473" s="63" t="s">
        <v>8087</v>
      </c>
      <c r="B2473" t="s">
        <v>2225</v>
      </c>
      <c r="C2473" t="s">
        <v>5043</v>
      </c>
      <c r="D2473" t="s">
        <v>8401</v>
      </c>
    </row>
    <row r="2474" spans="1:4" x14ac:dyDescent="0.25">
      <c r="A2474" s="63" t="s">
        <v>8088</v>
      </c>
      <c r="B2474" t="s">
        <v>2225</v>
      </c>
      <c r="C2474" t="s">
        <v>5043</v>
      </c>
      <c r="D2474" t="s">
        <v>8401</v>
      </c>
    </row>
    <row r="2475" spans="1:4" x14ac:dyDescent="0.25">
      <c r="A2475" s="63" t="s">
        <v>3813</v>
      </c>
      <c r="B2475" t="s">
        <v>2016</v>
      </c>
      <c r="C2475" t="s">
        <v>5043</v>
      </c>
      <c r="D2475" t="s">
        <v>8401</v>
      </c>
    </row>
    <row r="2476" spans="1:4" x14ac:dyDescent="0.25">
      <c r="A2476" s="63" t="s">
        <v>5895</v>
      </c>
      <c r="B2476" t="s">
        <v>1225</v>
      </c>
      <c r="C2476" t="s">
        <v>5043</v>
      </c>
      <c r="D2476" t="s">
        <v>8401</v>
      </c>
    </row>
    <row r="2477" spans="1:4" x14ac:dyDescent="0.25">
      <c r="A2477" s="63" t="s">
        <v>5896</v>
      </c>
      <c r="B2477" t="s">
        <v>1225</v>
      </c>
      <c r="C2477" t="s">
        <v>5043</v>
      </c>
      <c r="D2477" t="s">
        <v>8401</v>
      </c>
    </row>
    <row r="2478" spans="1:4" x14ac:dyDescent="0.25">
      <c r="A2478" s="63" t="s">
        <v>5897</v>
      </c>
      <c r="B2478" t="s">
        <v>1225</v>
      </c>
      <c r="C2478" t="s">
        <v>5043</v>
      </c>
      <c r="D2478" t="s">
        <v>8401</v>
      </c>
    </row>
    <row r="2479" spans="1:4" x14ac:dyDescent="0.25">
      <c r="A2479" s="63" t="s">
        <v>3814</v>
      </c>
      <c r="B2479" t="s">
        <v>1226</v>
      </c>
      <c r="C2479" t="s">
        <v>5043</v>
      </c>
      <c r="D2479" t="s">
        <v>8401</v>
      </c>
    </row>
    <row r="2480" spans="1:4" x14ac:dyDescent="0.25">
      <c r="A2480" s="63" t="s">
        <v>3815</v>
      </c>
      <c r="B2480" t="s">
        <v>1226</v>
      </c>
      <c r="C2480" t="s">
        <v>5043</v>
      </c>
      <c r="D2480" t="s">
        <v>8401</v>
      </c>
    </row>
    <row r="2481" spans="1:4" x14ac:dyDescent="0.25">
      <c r="A2481" s="63" t="s">
        <v>3816</v>
      </c>
      <c r="B2481" t="s">
        <v>1226</v>
      </c>
      <c r="C2481" t="s">
        <v>5043</v>
      </c>
      <c r="D2481" t="s">
        <v>8401</v>
      </c>
    </row>
    <row r="2482" spans="1:4" x14ac:dyDescent="0.25">
      <c r="A2482" s="63" t="s">
        <v>8089</v>
      </c>
      <c r="B2482" t="s">
        <v>1226</v>
      </c>
      <c r="C2482" t="s">
        <v>5043</v>
      </c>
      <c r="D2482" t="s">
        <v>8401</v>
      </c>
    </row>
    <row r="2483" spans="1:4" x14ac:dyDescent="0.25">
      <c r="A2483" s="63" t="s">
        <v>5904</v>
      </c>
      <c r="B2483" t="s">
        <v>1226</v>
      </c>
      <c r="C2483" t="s">
        <v>5043</v>
      </c>
      <c r="D2483" t="s">
        <v>8401</v>
      </c>
    </row>
    <row r="2484" spans="1:4" x14ac:dyDescent="0.25">
      <c r="A2484" s="63" t="s">
        <v>3817</v>
      </c>
      <c r="B2484" t="s">
        <v>1792</v>
      </c>
      <c r="C2484" t="s">
        <v>5043</v>
      </c>
      <c r="D2484" t="s">
        <v>8401</v>
      </c>
    </row>
    <row r="2485" spans="1:4" x14ac:dyDescent="0.25">
      <c r="A2485" s="63" t="s">
        <v>3818</v>
      </c>
      <c r="B2485" t="s">
        <v>1792</v>
      </c>
      <c r="C2485" t="s">
        <v>5043</v>
      </c>
      <c r="D2485" t="s">
        <v>8401</v>
      </c>
    </row>
    <row r="2486" spans="1:4" x14ac:dyDescent="0.25">
      <c r="A2486" s="63" t="s">
        <v>3819</v>
      </c>
      <c r="B2486" t="s">
        <v>1792</v>
      </c>
      <c r="C2486" t="s">
        <v>5043</v>
      </c>
      <c r="D2486" t="s">
        <v>8401</v>
      </c>
    </row>
    <row r="2487" spans="1:4" x14ac:dyDescent="0.25">
      <c r="A2487" s="63" t="s">
        <v>3820</v>
      </c>
      <c r="B2487" t="s">
        <v>1792</v>
      </c>
      <c r="C2487" t="s">
        <v>5043</v>
      </c>
      <c r="D2487" t="s">
        <v>8401</v>
      </c>
    </row>
    <row r="2488" spans="1:4" x14ac:dyDescent="0.25">
      <c r="A2488" s="63" t="s">
        <v>3821</v>
      </c>
      <c r="B2488" t="s">
        <v>1792</v>
      </c>
      <c r="C2488" t="s">
        <v>5043</v>
      </c>
      <c r="D2488" t="s">
        <v>8401</v>
      </c>
    </row>
    <row r="2489" spans="1:4" x14ac:dyDescent="0.25">
      <c r="A2489" s="63" t="s">
        <v>3822</v>
      </c>
      <c r="B2489" t="s">
        <v>1792</v>
      </c>
      <c r="C2489" t="s">
        <v>5043</v>
      </c>
      <c r="D2489" t="s">
        <v>8401</v>
      </c>
    </row>
    <row r="2490" spans="1:4" x14ac:dyDescent="0.25">
      <c r="A2490" s="63" t="s">
        <v>3823</v>
      </c>
      <c r="B2490" t="s">
        <v>2351</v>
      </c>
      <c r="C2490" t="s">
        <v>5043</v>
      </c>
      <c r="D2490" t="s">
        <v>8401</v>
      </c>
    </row>
    <row r="2491" spans="1:4" x14ac:dyDescent="0.25">
      <c r="A2491" s="63" t="s">
        <v>2648</v>
      </c>
      <c r="B2491" t="s">
        <v>2351</v>
      </c>
      <c r="C2491" t="s">
        <v>5043</v>
      </c>
      <c r="D2491" t="s">
        <v>8401</v>
      </c>
    </row>
    <row r="2492" spans="1:4" x14ac:dyDescent="0.25">
      <c r="A2492" s="63" t="s">
        <v>3824</v>
      </c>
      <c r="B2492" t="s">
        <v>2351</v>
      </c>
      <c r="C2492" t="s">
        <v>5043</v>
      </c>
      <c r="D2492" t="s">
        <v>8401</v>
      </c>
    </row>
    <row r="2493" spans="1:4" x14ac:dyDescent="0.25">
      <c r="A2493" s="63" t="s">
        <v>3825</v>
      </c>
      <c r="B2493" t="s">
        <v>1224</v>
      </c>
      <c r="C2493" t="s">
        <v>5043</v>
      </c>
      <c r="D2493" t="s">
        <v>8401</v>
      </c>
    </row>
    <row r="2494" spans="1:4" x14ac:dyDescent="0.25">
      <c r="A2494" s="63" t="s">
        <v>3826</v>
      </c>
      <c r="B2494" t="s">
        <v>1224</v>
      </c>
      <c r="C2494" t="s">
        <v>5043</v>
      </c>
      <c r="D2494" t="s">
        <v>8401</v>
      </c>
    </row>
    <row r="2495" spans="1:4" x14ac:dyDescent="0.25">
      <c r="A2495" s="63" t="s">
        <v>3827</v>
      </c>
      <c r="B2495" t="s">
        <v>1224</v>
      </c>
      <c r="C2495" t="s">
        <v>5043</v>
      </c>
      <c r="D2495" t="s">
        <v>8401</v>
      </c>
    </row>
    <row r="2496" spans="1:4" x14ac:dyDescent="0.25">
      <c r="A2496" s="63" t="s">
        <v>3828</v>
      </c>
      <c r="B2496" t="s">
        <v>1978</v>
      </c>
      <c r="C2496" t="s">
        <v>5043</v>
      </c>
      <c r="D2496" t="s">
        <v>8401</v>
      </c>
    </row>
    <row r="2497" spans="1:4" x14ac:dyDescent="0.25">
      <c r="A2497" s="63" t="s">
        <v>5906</v>
      </c>
      <c r="B2497" t="s">
        <v>1979</v>
      </c>
      <c r="C2497" t="s">
        <v>5043</v>
      </c>
      <c r="D2497" t="s">
        <v>8401</v>
      </c>
    </row>
    <row r="2498" spans="1:4" x14ac:dyDescent="0.25">
      <c r="A2498" s="63" t="s">
        <v>5909</v>
      </c>
      <c r="B2498" t="s">
        <v>1979</v>
      </c>
      <c r="C2498" t="s">
        <v>5043</v>
      </c>
      <c r="D2498" t="s">
        <v>8401</v>
      </c>
    </row>
    <row r="2499" spans="1:4" x14ac:dyDescent="0.25">
      <c r="A2499" s="63" t="s">
        <v>5910</v>
      </c>
      <c r="B2499" t="s">
        <v>1979</v>
      </c>
      <c r="C2499" t="s">
        <v>5043</v>
      </c>
      <c r="D2499" t="s">
        <v>8401</v>
      </c>
    </row>
    <row r="2500" spans="1:4" x14ac:dyDescent="0.25">
      <c r="A2500" s="63" t="s">
        <v>3829</v>
      </c>
      <c r="B2500" t="s">
        <v>1979</v>
      </c>
      <c r="C2500" t="s">
        <v>5043</v>
      </c>
      <c r="D2500" t="s">
        <v>8401</v>
      </c>
    </row>
    <row r="2501" spans="1:4" x14ac:dyDescent="0.25">
      <c r="A2501" s="63" t="s">
        <v>8090</v>
      </c>
      <c r="B2501" t="s">
        <v>1440</v>
      </c>
      <c r="C2501" t="s">
        <v>5043</v>
      </c>
      <c r="D2501" t="s">
        <v>8401</v>
      </c>
    </row>
    <row r="2502" spans="1:4" x14ac:dyDescent="0.25">
      <c r="A2502" s="63" t="s">
        <v>3830</v>
      </c>
      <c r="B2502" t="s">
        <v>1980</v>
      </c>
      <c r="C2502" t="s">
        <v>5043</v>
      </c>
      <c r="D2502" t="s">
        <v>8401</v>
      </c>
    </row>
    <row r="2503" spans="1:4" x14ac:dyDescent="0.25">
      <c r="A2503" s="63" t="s">
        <v>3831</v>
      </c>
      <c r="B2503" t="s">
        <v>1980</v>
      </c>
      <c r="C2503" t="s">
        <v>5043</v>
      </c>
      <c r="D2503" t="s">
        <v>8401</v>
      </c>
    </row>
    <row r="2504" spans="1:4" x14ac:dyDescent="0.25">
      <c r="A2504" s="63" t="s">
        <v>3832</v>
      </c>
      <c r="B2504" t="s">
        <v>1980</v>
      </c>
      <c r="C2504" t="s">
        <v>5043</v>
      </c>
      <c r="D2504" t="s">
        <v>8401</v>
      </c>
    </row>
    <row r="2505" spans="1:4" x14ac:dyDescent="0.25">
      <c r="A2505" s="63" t="s">
        <v>3833</v>
      </c>
      <c r="B2505" t="s">
        <v>1319</v>
      </c>
      <c r="C2505" t="s">
        <v>5043</v>
      </c>
      <c r="D2505" t="s">
        <v>8401</v>
      </c>
    </row>
    <row r="2506" spans="1:4" x14ac:dyDescent="0.25">
      <c r="A2506" s="63" t="s">
        <v>3834</v>
      </c>
      <c r="B2506" t="s">
        <v>2678</v>
      </c>
      <c r="C2506" t="s">
        <v>5043</v>
      </c>
      <c r="D2506" t="s">
        <v>8401</v>
      </c>
    </row>
    <row r="2507" spans="1:4" x14ac:dyDescent="0.25">
      <c r="A2507" s="63" t="s">
        <v>8297</v>
      </c>
      <c r="B2507" t="s">
        <v>2678</v>
      </c>
      <c r="C2507" t="s">
        <v>5043</v>
      </c>
      <c r="D2507" t="s">
        <v>8401</v>
      </c>
    </row>
    <row r="2508" spans="1:4" x14ac:dyDescent="0.25">
      <c r="A2508" s="63" t="s">
        <v>8298</v>
      </c>
      <c r="B2508" t="s">
        <v>2678</v>
      </c>
      <c r="C2508" t="s">
        <v>5043</v>
      </c>
      <c r="D2508" t="s">
        <v>8401</v>
      </c>
    </row>
    <row r="2509" spans="1:4" x14ac:dyDescent="0.25">
      <c r="A2509" s="63" t="s">
        <v>3835</v>
      </c>
      <c r="B2509" t="s">
        <v>1793</v>
      </c>
      <c r="C2509" t="s">
        <v>5043</v>
      </c>
      <c r="D2509" t="s">
        <v>8401</v>
      </c>
    </row>
    <row r="2510" spans="1:4" x14ac:dyDescent="0.25">
      <c r="A2510" s="63" t="s">
        <v>3836</v>
      </c>
      <c r="B2510" t="s">
        <v>1793</v>
      </c>
      <c r="C2510" t="s">
        <v>5043</v>
      </c>
      <c r="D2510" t="s">
        <v>8401</v>
      </c>
    </row>
    <row r="2511" spans="1:4" x14ac:dyDescent="0.25">
      <c r="A2511" s="63" t="s">
        <v>3837</v>
      </c>
      <c r="B2511" t="s">
        <v>1793</v>
      </c>
      <c r="C2511" t="s">
        <v>5043</v>
      </c>
      <c r="D2511" t="s">
        <v>8401</v>
      </c>
    </row>
    <row r="2512" spans="1:4" x14ac:dyDescent="0.25">
      <c r="A2512" s="63" t="s">
        <v>8091</v>
      </c>
      <c r="B2512" t="s">
        <v>1981</v>
      </c>
      <c r="C2512" t="s">
        <v>5043</v>
      </c>
      <c r="D2512" t="s">
        <v>8401</v>
      </c>
    </row>
    <row r="2513" spans="1:4" x14ac:dyDescent="0.25">
      <c r="A2513" s="63" t="s">
        <v>8092</v>
      </c>
      <c r="B2513" t="s">
        <v>1981</v>
      </c>
      <c r="C2513" t="s">
        <v>5043</v>
      </c>
      <c r="D2513" t="s">
        <v>8401</v>
      </c>
    </row>
    <row r="2514" spans="1:4" x14ac:dyDescent="0.25">
      <c r="A2514" s="63" t="s">
        <v>8093</v>
      </c>
      <c r="B2514" t="s">
        <v>2507</v>
      </c>
      <c r="C2514" t="s">
        <v>5043</v>
      </c>
      <c r="D2514" t="s">
        <v>8401</v>
      </c>
    </row>
    <row r="2515" spans="1:4" x14ac:dyDescent="0.25">
      <c r="A2515" s="63" t="s">
        <v>8094</v>
      </c>
      <c r="B2515" t="s">
        <v>2507</v>
      </c>
      <c r="C2515" t="s">
        <v>5043</v>
      </c>
      <c r="D2515" t="s">
        <v>8401</v>
      </c>
    </row>
    <row r="2516" spans="1:4" x14ac:dyDescent="0.25">
      <c r="A2516" s="63" t="s">
        <v>3838</v>
      </c>
      <c r="B2516" t="s">
        <v>2507</v>
      </c>
      <c r="C2516" t="s">
        <v>5043</v>
      </c>
      <c r="D2516" t="s">
        <v>8401</v>
      </c>
    </row>
    <row r="2517" spans="1:4" x14ac:dyDescent="0.25">
      <c r="A2517" s="63" t="s">
        <v>3839</v>
      </c>
      <c r="B2517" t="s">
        <v>2507</v>
      </c>
      <c r="C2517" t="s">
        <v>5043</v>
      </c>
      <c r="D2517" t="s">
        <v>8401</v>
      </c>
    </row>
    <row r="2518" spans="1:4" x14ac:dyDescent="0.25">
      <c r="A2518" s="63" t="s">
        <v>3840</v>
      </c>
      <c r="B2518" t="s">
        <v>1790</v>
      </c>
      <c r="C2518" t="s">
        <v>5043</v>
      </c>
      <c r="D2518" t="s">
        <v>8401</v>
      </c>
    </row>
    <row r="2519" spans="1:4" x14ac:dyDescent="0.25">
      <c r="A2519" s="63" t="s">
        <v>3841</v>
      </c>
      <c r="B2519" t="s">
        <v>1790</v>
      </c>
      <c r="C2519" t="s">
        <v>5043</v>
      </c>
      <c r="D2519" t="s">
        <v>8401</v>
      </c>
    </row>
    <row r="2520" spans="1:4" x14ac:dyDescent="0.25">
      <c r="A2520" s="63" t="s">
        <v>3842</v>
      </c>
      <c r="B2520" t="s">
        <v>1790</v>
      </c>
      <c r="C2520" t="s">
        <v>5043</v>
      </c>
      <c r="D2520" t="s">
        <v>8401</v>
      </c>
    </row>
    <row r="2521" spans="1:4" x14ac:dyDescent="0.25">
      <c r="A2521" s="63" t="s">
        <v>3843</v>
      </c>
      <c r="B2521" t="s">
        <v>1790</v>
      </c>
      <c r="C2521" t="s">
        <v>5043</v>
      </c>
      <c r="D2521" t="s">
        <v>8401</v>
      </c>
    </row>
    <row r="2522" spans="1:4" x14ac:dyDescent="0.25">
      <c r="A2522" s="63" t="s">
        <v>3844</v>
      </c>
      <c r="B2522" t="s">
        <v>1790</v>
      </c>
      <c r="C2522" t="s">
        <v>5043</v>
      </c>
      <c r="D2522" t="s">
        <v>8401</v>
      </c>
    </row>
    <row r="2523" spans="1:4" x14ac:dyDescent="0.25">
      <c r="A2523" s="63" t="s">
        <v>3845</v>
      </c>
      <c r="B2523" t="s">
        <v>1790</v>
      </c>
      <c r="C2523" t="s">
        <v>5043</v>
      </c>
      <c r="D2523" t="s">
        <v>8401</v>
      </c>
    </row>
    <row r="2524" spans="1:4" x14ac:dyDescent="0.25">
      <c r="A2524" s="63" t="s">
        <v>8095</v>
      </c>
      <c r="B2524" t="s">
        <v>1790</v>
      </c>
      <c r="C2524" t="s">
        <v>5043</v>
      </c>
      <c r="D2524" t="s">
        <v>8401</v>
      </c>
    </row>
    <row r="2525" spans="1:4" x14ac:dyDescent="0.25">
      <c r="A2525" s="63" t="s">
        <v>8096</v>
      </c>
      <c r="B2525" t="s">
        <v>1790</v>
      </c>
      <c r="C2525" t="s">
        <v>5043</v>
      </c>
      <c r="D2525" t="s">
        <v>8401</v>
      </c>
    </row>
    <row r="2526" spans="1:4" x14ac:dyDescent="0.25">
      <c r="A2526" s="63" t="s">
        <v>8097</v>
      </c>
      <c r="B2526" t="s">
        <v>1790</v>
      </c>
      <c r="C2526" t="s">
        <v>5043</v>
      </c>
      <c r="D2526" t="s">
        <v>8401</v>
      </c>
    </row>
    <row r="2527" spans="1:4" x14ac:dyDescent="0.25">
      <c r="A2527" s="63" t="s">
        <v>8098</v>
      </c>
      <c r="B2527" t="s">
        <v>1481</v>
      </c>
      <c r="C2527" t="s">
        <v>5043</v>
      </c>
      <c r="D2527" t="s">
        <v>8401</v>
      </c>
    </row>
    <row r="2528" spans="1:4" x14ac:dyDescent="0.25">
      <c r="A2528" s="63" t="s">
        <v>8099</v>
      </c>
      <c r="B2528" t="s">
        <v>1481</v>
      </c>
      <c r="C2528" t="s">
        <v>5043</v>
      </c>
      <c r="D2528" t="s">
        <v>8401</v>
      </c>
    </row>
    <row r="2529" spans="1:4" x14ac:dyDescent="0.25">
      <c r="A2529" s="63" t="s">
        <v>8100</v>
      </c>
      <c r="B2529" t="s">
        <v>1481</v>
      </c>
      <c r="C2529" t="s">
        <v>5043</v>
      </c>
      <c r="D2529" t="s">
        <v>8401</v>
      </c>
    </row>
    <row r="2530" spans="1:4" x14ac:dyDescent="0.25">
      <c r="A2530" s="63" t="s">
        <v>8101</v>
      </c>
      <c r="B2530" t="s">
        <v>1481</v>
      </c>
      <c r="C2530" t="s">
        <v>5043</v>
      </c>
      <c r="D2530" t="s">
        <v>8401</v>
      </c>
    </row>
    <row r="2531" spans="1:4" x14ac:dyDescent="0.25">
      <c r="A2531" s="63" t="s">
        <v>8102</v>
      </c>
      <c r="B2531" t="s">
        <v>1481</v>
      </c>
      <c r="C2531" t="s">
        <v>5043</v>
      </c>
      <c r="D2531" t="s">
        <v>8401</v>
      </c>
    </row>
    <row r="2532" spans="1:4" x14ac:dyDescent="0.25">
      <c r="A2532" s="63" t="s">
        <v>8103</v>
      </c>
      <c r="B2532" t="s">
        <v>1481</v>
      </c>
      <c r="C2532" t="s">
        <v>5043</v>
      </c>
      <c r="D2532" t="s">
        <v>8401</v>
      </c>
    </row>
    <row r="2533" spans="1:4" x14ac:dyDescent="0.25">
      <c r="A2533" s="63" t="s">
        <v>8104</v>
      </c>
      <c r="B2533" t="s">
        <v>1481</v>
      </c>
      <c r="C2533" t="s">
        <v>5043</v>
      </c>
      <c r="D2533" t="s">
        <v>8401</v>
      </c>
    </row>
    <row r="2534" spans="1:4" x14ac:dyDescent="0.25">
      <c r="A2534" s="63" t="s">
        <v>7230</v>
      </c>
      <c r="B2534" t="s">
        <v>1481</v>
      </c>
      <c r="C2534" t="s">
        <v>5043</v>
      </c>
      <c r="D2534" t="s">
        <v>8401</v>
      </c>
    </row>
    <row r="2535" spans="1:4" x14ac:dyDescent="0.25">
      <c r="A2535" s="63" t="s">
        <v>6543</v>
      </c>
      <c r="B2535" t="s">
        <v>1481</v>
      </c>
      <c r="C2535" t="s">
        <v>5043</v>
      </c>
      <c r="D2535" t="s">
        <v>8401</v>
      </c>
    </row>
    <row r="2536" spans="1:4" x14ac:dyDescent="0.25">
      <c r="A2536" s="63" t="s">
        <v>6544</v>
      </c>
      <c r="B2536" t="s">
        <v>1481</v>
      </c>
      <c r="C2536" t="s">
        <v>5043</v>
      </c>
      <c r="D2536" t="s">
        <v>8401</v>
      </c>
    </row>
    <row r="2537" spans="1:4" x14ac:dyDescent="0.25">
      <c r="A2537" s="63" t="s">
        <v>8105</v>
      </c>
      <c r="B2537" t="s">
        <v>1937</v>
      </c>
      <c r="C2537" t="s">
        <v>5043</v>
      </c>
      <c r="D2537" t="s">
        <v>8401</v>
      </c>
    </row>
    <row r="2538" spans="1:4" x14ac:dyDescent="0.25">
      <c r="A2538" s="63" t="s">
        <v>8106</v>
      </c>
      <c r="B2538" t="s">
        <v>1937</v>
      </c>
      <c r="C2538" t="s">
        <v>5043</v>
      </c>
      <c r="D2538" t="s">
        <v>8401</v>
      </c>
    </row>
    <row r="2539" spans="1:4" x14ac:dyDescent="0.25">
      <c r="A2539" s="63" t="s">
        <v>2661</v>
      </c>
      <c r="B2539" t="s">
        <v>2268</v>
      </c>
      <c r="C2539" t="s">
        <v>5043</v>
      </c>
      <c r="D2539" t="s">
        <v>8401</v>
      </c>
    </row>
    <row r="2540" spans="1:4" x14ac:dyDescent="0.25">
      <c r="A2540" s="63" t="s">
        <v>8107</v>
      </c>
      <c r="B2540" t="s">
        <v>2268</v>
      </c>
      <c r="C2540" t="s">
        <v>5043</v>
      </c>
      <c r="D2540" t="s">
        <v>8401</v>
      </c>
    </row>
    <row r="2541" spans="1:4" x14ac:dyDescent="0.25">
      <c r="A2541" s="63" t="s">
        <v>3846</v>
      </c>
      <c r="B2541" t="s">
        <v>2268</v>
      </c>
      <c r="C2541" t="s">
        <v>5043</v>
      </c>
      <c r="D2541" t="s">
        <v>8401</v>
      </c>
    </row>
    <row r="2542" spans="1:4" x14ac:dyDescent="0.25">
      <c r="A2542" s="63" t="s">
        <v>3847</v>
      </c>
      <c r="B2542" t="s">
        <v>2268</v>
      </c>
      <c r="C2542" t="s">
        <v>5043</v>
      </c>
      <c r="D2542" t="s">
        <v>8401</v>
      </c>
    </row>
    <row r="2543" spans="1:4" x14ac:dyDescent="0.25">
      <c r="A2543" s="63" t="s">
        <v>8108</v>
      </c>
      <c r="B2543" t="s">
        <v>1859</v>
      </c>
      <c r="C2543" t="s">
        <v>5043</v>
      </c>
      <c r="D2543" t="s">
        <v>8401</v>
      </c>
    </row>
    <row r="2544" spans="1:4" x14ac:dyDescent="0.25">
      <c r="A2544" s="63" t="s">
        <v>3848</v>
      </c>
      <c r="B2544" t="s">
        <v>1859</v>
      </c>
      <c r="C2544" t="s">
        <v>5043</v>
      </c>
      <c r="D2544" t="s">
        <v>8401</v>
      </c>
    </row>
    <row r="2545" spans="1:4" x14ac:dyDescent="0.25">
      <c r="A2545" s="63" t="s">
        <v>3849</v>
      </c>
      <c r="B2545" t="s">
        <v>1859</v>
      </c>
      <c r="C2545" t="s">
        <v>5043</v>
      </c>
      <c r="D2545" t="s">
        <v>8401</v>
      </c>
    </row>
    <row r="2546" spans="1:4" x14ac:dyDescent="0.25">
      <c r="A2546" s="63" t="s">
        <v>2571</v>
      </c>
      <c r="B2546" t="s">
        <v>2098</v>
      </c>
      <c r="C2546" t="s">
        <v>5043</v>
      </c>
      <c r="D2546" t="s">
        <v>8401</v>
      </c>
    </row>
    <row r="2547" spans="1:4" x14ac:dyDescent="0.25">
      <c r="A2547" s="63" t="s">
        <v>6713</v>
      </c>
      <c r="B2547" t="s">
        <v>2098</v>
      </c>
      <c r="C2547" t="s">
        <v>5043</v>
      </c>
      <c r="D2547" t="s">
        <v>8401</v>
      </c>
    </row>
    <row r="2548" spans="1:4" x14ac:dyDescent="0.25">
      <c r="A2548" s="63" t="s">
        <v>6714</v>
      </c>
      <c r="B2548" t="s">
        <v>2098</v>
      </c>
      <c r="C2548" t="s">
        <v>5043</v>
      </c>
      <c r="D2548" t="s">
        <v>8401</v>
      </c>
    </row>
    <row r="2549" spans="1:4" x14ac:dyDescent="0.25">
      <c r="A2549" s="63" t="s">
        <v>3850</v>
      </c>
      <c r="B2549" t="s">
        <v>2470</v>
      </c>
      <c r="C2549" t="s">
        <v>5043</v>
      </c>
      <c r="D2549" t="s">
        <v>8401</v>
      </c>
    </row>
    <row r="2550" spans="1:4" x14ac:dyDescent="0.25">
      <c r="A2550" s="63" t="s">
        <v>3851</v>
      </c>
      <c r="B2550" t="s">
        <v>2470</v>
      </c>
      <c r="C2550" t="s">
        <v>5043</v>
      </c>
      <c r="D2550" t="s">
        <v>8401</v>
      </c>
    </row>
    <row r="2551" spans="1:4" x14ac:dyDescent="0.25">
      <c r="A2551" s="63" t="s">
        <v>3852</v>
      </c>
      <c r="B2551" t="s">
        <v>2468</v>
      </c>
      <c r="C2551" t="s">
        <v>5043</v>
      </c>
      <c r="D2551" t="s">
        <v>8401</v>
      </c>
    </row>
    <row r="2552" spans="1:4" x14ac:dyDescent="0.25">
      <c r="A2552" s="63" t="s">
        <v>3853</v>
      </c>
      <c r="B2552" t="s">
        <v>2468</v>
      </c>
      <c r="C2552" t="s">
        <v>5043</v>
      </c>
      <c r="D2552" t="s">
        <v>8401</v>
      </c>
    </row>
    <row r="2553" spans="1:4" x14ac:dyDescent="0.25">
      <c r="A2553" s="63" t="s">
        <v>3854</v>
      </c>
      <c r="B2553" t="s">
        <v>2468</v>
      </c>
      <c r="C2553" t="s">
        <v>5043</v>
      </c>
      <c r="D2553" t="s">
        <v>8401</v>
      </c>
    </row>
    <row r="2554" spans="1:4" x14ac:dyDescent="0.25">
      <c r="A2554" s="63" t="s">
        <v>3855</v>
      </c>
      <c r="B2554" t="s">
        <v>2469</v>
      </c>
      <c r="C2554" t="s">
        <v>5043</v>
      </c>
      <c r="D2554" t="s">
        <v>8401</v>
      </c>
    </row>
    <row r="2555" spans="1:4" x14ac:dyDescent="0.25">
      <c r="A2555" s="63" t="s">
        <v>3856</v>
      </c>
      <c r="B2555" t="s">
        <v>2469</v>
      </c>
      <c r="C2555" t="s">
        <v>5043</v>
      </c>
      <c r="D2555" t="s">
        <v>8401</v>
      </c>
    </row>
    <row r="2556" spans="1:4" x14ac:dyDescent="0.25">
      <c r="A2556" s="63" t="s">
        <v>3857</v>
      </c>
      <c r="B2556" t="s">
        <v>2471</v>
      </c>
      <c r="C2556" t="s">
        <v>5043</v>
      </c>
      <c r="D2556" t="s">
        <v>8401</v>
      </c>
    </row>
    <row r="2557" spans="1:4" x14ac:dyDescent="0.25">
      <c r="A2557" s="63" t="s">
        <v>3858</v>
      </c>
      <c r="B2557" t="s">
        <v>1873</v>
      </c>
      <c r="C2557" t="s">
        <v>5043</v>
      </c>
      <c r="D2557" t="s">
        <v>8401</v>
      </c>
    </row>
    <row r="2558" spans="1:4" x14ac:dyDescent="0.25">
      <c r="A2558" s="63" t="s">
        <v>8109</v>
      </c>
      <c r="B2558" t="s">
        <v>1873</v>
      </c>
      <c r="C2558" t="s">
        <v>5043</v>
      </c>
      <c r="D2558" t="s">
        <v>8401</v>
      </c>
    </row>
    <row r="2559" spans="1:4" x14ac:dyDescent="0.25">
      <c r="A2559" s="63" t="s">
        <v>2582</v>
      </c>
      <c r="B2559" t="s">
        <v>1873</v>
      </c>
      <c r="C2559" t="s">
        <v>5043</v>
      </c>
      <c r="D2559" t="s">
        <v>8401</v>
      </c>
    </row>
    <row r="2560" spans="1:4" x14ac:dyDescent="0.25">
      <c r="A2560" s="63" t="s">
        <v>6862</v>
      </c>
      <c r="B2560" t="s">
        <v>8110</v>
      </c>
      <c r="C2560" t="s">
        <v>5043</v>
      </c>
      <c r="D2560" t="s">
        <v>8401</v>
      </c>
    </row>
    <row r="2561" spans="1:4" x14ac:dyDescent="0.25">
      <c r="A2561" s="63" t="s">
        <v>8111</v>
      </c>
      <c r="B2561" t="s">
        <v>1871</v>
      </c>
      <c r="C2561" t="s">
        <v>5043</v>
      </c>
      <c r="D2561" t="s">
        <v>8401</v>
      </c>
    </row>
    <row r="2562" spans="1:4" x14ac:dyDescent="0.25">
      <c r="A2562" s="63" t="s">
        <v>8112</v>
      </c>
      <c r="B2562" t="s">
        <v>1871</v>
      </c>
      <c r="C2562" t="s">
        <v>5043</v>
      </c>
      <c r="D2562" t="s">
        <v>8401</v>
      </c>
    </row>
    <row r="2563" spans="1:4" x14ac:dyDescent="0.25">
      <c r="A2563" s="63" t="s">
        <v>8113</v>
      </c>
      <c r="B2563" t="s">
        <v>1857</v>
      </c>
      <c r="C2563" t="s">
        <v>5043</v>
      </c>
      <c r="D2563" t="s">
        <v>8401</v>
      </c>
    </row>
    <row r="2564" spans="1:4" x14ac:dyDescent="0.25">
      <c r="A2564" s="63" t="s">
        <v>8114</v>
      </c>
      <c r="B2564" t="s">
        <v>1857</v>
      </c>
      <c r="C2564" t="s">
        <v>5043</v>
      </c>
      <c r="D2564" t="s">
        <v>8401</v>
      </c>
    </row>
    <row r="2565" spans="1:4" x14ac:dyDescent="0.25">
      <c r="A2565" s="63" t="s">
        <v>6021</v>
      </c>
      <c r="B2565" t="s">
        <v>1857</v>
      </c>
      <c r="C2565" t="s">
        <v>5043</v>
      </c>
      <c r="D2565" t="s">
        <v>8401</v>
      </c>
    </row>
    <row r="2566" spans="1:4" x14ac:dyDescent="0.25">
      <c r="A2566" s="63" t="s">
        <v>2553</v>
      </c>
      <c r="B2566" t="s">
        <v>2536</v>
      </c>
      <c r="C2566" t="s">
        <v>5043</v>
      </c>
      <c r="D2566" t="s">
        <v>8401</v>
      </c>
    </row>
    <row r="2567" spans="1:4" x14ac:dyDescent="0.25">
      <c r="A2567" s="63" t="s">
        <v>2554</v>
      </c>
      <c r="B2567" t="s">
        <v>2536</v>
      </c>
      <c r="C2567" t="s">
        <v>5043</v>
      </c>
      <c r="D2567" t="s">
        <v>8401</v>
      </c>
    </row>
    <row r="2568" spans="1:4" x14ac:dyDescent="0.25">
      <c r="A2568" s="63" t="s">
        <v>6281</v>
      </c>
      <c r="B2568" t="s">
        <v>1480</v>
      </c>
      <c r="C2568" t="s">
        <v>5043</v>
      </c>
      <c r="D2568" t="s">
        <v>8401</v>
      </c>
    </row>
    <row r="2569" spans="1:4" x14ac:dyDescent="0.25">
      <c r="A2569" s="63" t="s">
        <v>3859</v>
      </c>
      <c r="B2569" t="s">
        <v>1480</v>
      </c>
      <c r="C2569" t="s">
        <v>5043</v>
      </c>
      <c r="D2569" t="s">
        <v>8401</v>
      </c>
    </row>
    <row r="2570" spans="1:4" x14ac:dyDescent="0.25">
      <c r="A2570" s="63" t="s">
        <v>3860</v>
      </c>
      <c r="B2570" t="s">
        <v>1480</v>
      </c>
      <c r="C2570" t="s">
        <v>5043</v>
      </c>
      <c r="D2570" t="s">
        <v>8401</v>
      </c>
    </row>
    <row r="2571" spans="1:4" x14ac:dyDescent="0.25">
      <c r="A2571" s="63" t="s">
        <v>8115</v>
      </c>
      <c r="B2571" t="s">
        <v>2233</v>
      </c>
      <c r="C2571" t="s">
        <v>5043</v>
      </c>
      <c r="D2571" t="s">
        <v>8401</v>
      </c>
    </row>
    <row r="2572" spans="1:4" x14ac:dyDescent="0.25">
      <c r="A2572" s="63" t="s">
        <v>3861</v>
      </c>
      <c r="B2572" t="s">
        <v>1872</v>
      </c>
      <c r="C2572" t="s">
        <v>5043</v>
      </c>
      <c r="D2572" t="s">
        <v>8401</v>
      </c>
    </row>
    <row r="2573" spans="1:4" x14ac:dyDescent="0.25">
      <c r="A2573" s="63" t="s">
        <v>6024</v>
      </c>
      <c r="B2573" t="s">
        <v>1858</v>
      </c>
      <c r="C2573" t="s">
        <v>5043</v>
      </c>
      <c r="D2573" t="s">
        <v>8401</v>
      </c>
    </row>
    <row r="2574" spans="1:4" x14ac:dyDescent="0.25">
      <c r="A2574" s="63" t="s">
        <v>6025</v>
      </c>
      <c r="B2574" t="s">
        <v>1858</v>
      </c>
      <c r="C2574" t="s">
        <v>5043</v>
      </c>
      <c r="D2574" t="s">
        <v>8401</v>
      </c>
    </row>
    <row r="2575" spans="1:4" x14ac:dyDescent="0.25">
      <c r="A2575" s="63" t="s">
        <v>6026</v>
      </c>
      <c r="B2575" t="s">
        <v>1858</v>
      </c>
      <c r="C2575" t="s">
        <v>5043</v>
      </c>
      <c r="D2575" t="s">
        <v>8401</v>
      </c>
    </row>
    <row r="2576" spans="1:4" x14ac:dyDescent="0.25">
      <c r="A2576" s="63" t="s">
        <v>3862</v>
      </c>
      <c r="B2576" t="s">
        <v>1858</v>
      </c>
      <c r="C2576" t="s">
        <v>5043</v>
      </c>
      <c r="D2576" t="s">
        <v>8401</v>
      </c>
    </row>
    <row r="2577" spans="1:4" x14ac:dyDescent="0.25">
      <c r="A2577" s="63" t="s">
        <v>3863</v>
      </c>
      <c r="B2577" t="s">
        <v>1858</v>
      </c>
      <c r="C2577" t="s">
        <v>5043</v>
      </c>
      <c r="D2577" t="s">
        <v>8401</v>
      </c>
    </row>
    <row r="2578" spans="1:4" x14ac:dyDescent="0.25">
      <c r="A2578" s="63" t="s">
        <v>6036</v>
      </c>
      <c r="B2578" t="s">
        <v>1932</v>
      </c>
      <c r="C2578" t="s">
        <v>5043</v>
      </c>
      <c r="D2578" t="s">
        <v>8401</v>
      </c>
    </row>
    <row r="2579" spans="1:4" x14ac:dyDescent="0.25">
      <c r="A2579" s="63" t="s">
        <v>6037</v>
      </c>
      <c r="B2579" t="s">
        <v>1932</v>
      </c>
      <c r="C2579" t="s">
        <v>5043</v>
      </c>
      <c r="D2579" t="s">
        <v>8401</v>
      </c>
    </row>
    <row r="2580" spans="1:4" x14ac:dyDescent="0.25">
      <c r="A2580" s="63" t="s">
        <v>6763</v>
      </c>
      <c r="B2580" t="s">
        <v>1870</v>
      </c>
      <c r="C2580" t="s">
        <v>5043</v>
      </c>
      <c r="D2580" t="s">
        <v>8401</v>
      </c>
    </row>
    <row r="2581" spans="1:4" x14ac:dyDescent="0.25">
      <c r="A2581" s="63" t="s">
        <v>3864</v>
      </c>
      <c r="B2581" t="s">
        <v>1870</v>
      </c>
      <c r="C2581" t="s">
        <v>5043</v>
      </c>
      <c r="D2581" t="s">
        <v>8401</v>
      </c>
    </row>
    <row r="2582" spans="1:4" x14ac:dyDescent="0.25">
      <c r="A2582" s="63" t="s">
        <v>3865</v>
      </c>
      <c r="B2582" t="s">
        <v>1870</v>
      </c>
      <c r="C2582" t="s">
        <v>5043</v>
      </c>
      <c r="D2582" t="s">
        <v>8401</v>
      </c>
    </row>
    <row r="2583" spans="1:4" x14ac:dyDescent="0.25">
      <c r="A2583" s="63" t="s">
        <v>3866</v>
      </c>
      <c r="B2583" t="s">
        <v>1870</v>
      </c>
      <c r="C2583" t="s">
        <v>5043</v>
      </c>
      <c r="D2583" t="s">
        <v>8401</v>
      </c>
    </row>
    <row r="2584" spans="1:4" x14ac:dyDescent="0.25">
      <c r="A2584" s="63" t="s">
        <v>3867</v>
      </c>
      <c r="B2584" t="s">
        <v>2448</v>
      </c>
      <c r="C2584" t="s">
        <v>5043</v>
      </c>
      <c r="D2584" t="s">
        <v>8401</v>
      </c>
    </row>
    <row r="2585" spans="1:4" x14ac:dyDescent="0.25">
      <c r="A2585" s="63" t="s">
        <v>5583</v>
      </c>
      <c r="B2585" t="s">
        <v>1533</v>
      </c>
      <c r="C2585" t="s">
        <v>5043</v>
      </c>
      <c r="D2585" t="s">
        <v>8401</v>
      </c>
    </row>
    <row r="2586" spans="1:4" x14ac:dyDescent="0.25">
      <c r="A2586" s="63" t="s">
        <v>5584</v>
      </c>
      <c r="B2586" t="s">
        <v>1533</v>
      </c>
      <c r="C2586" t="s">
        <v>5043</v>
      </c>
      <c r="D2586" t="s">
        <v>8401</v>
      </c>
    </row>
    <row r="2587" spans="1:4" x14ac:dyDescent="0.25">
      <c r="A2587" s="63" t="s">
        <v>5585</v>
      </c>
      <c r="B2587" t="s">
        <v>1533</v>
      </c>
      <c r="C2587" t="s">
        <v>5043</v>
      </c>
      <c r="D2587" t="s">
        <v>8401</v>
      </c>
    </row>
    <row r="2588" spans="1:4" x14ac:dyDescent="0.25">
      <c r="A2588" s="63" t="s">
        <v>8116</v>
      </c>
      <c r="B2588" t="s">
        <v>1533</v>
      </c>
      <c r="C2588" t="s">
        <v>5043</v>
      </c>
      <c r="D2588" t="s">
        <v>8401</v>
      </c>
    </row>
    <row r="2589" spans="1:4" x14ac:dyDescent="0.25">
      <c r="A2589" s="63" t="s">
        <v>5833</v>
      </c>
      <c r="B2589" t="s">
        <v>1533</v>
      </c>
      <c r="C2589" t="s">
        <v>5043</v>
      </c>
      <c r="D2589" t="s">
        <v>8401</v>
      </c>
    </row>
    <row r="2590" spans="1:4" x14ac:dyDescent="0.25">
      <c r="A2590" s="63" t="s">
        <v>3868</v>
      </c>
      <c r="B2590" t="s">
        <v>1533</v>
      </c>
      <c r="C2590" t="s">
        <v>5043</v>
      </c>
      <c r="D2590" t="s">
        <v>8401</v>
      </c>
    </row>
    <row r="2591" spans="1:4" x14ac:dyDescent="0.25">
      <c r="A2591" s="63" t="s">
        <v>6565</v>
      </c>
      <c r="B2591" t="s">
        <v>2447</v>
      </c>
      <c r="C2591" t="s">
        <v>5043</v>
      </c>
      <c r="D2591" t="s">
        <v>8401</v>
      </c>
    </row>
    <row r="2592" spans="1:4" x14ac:dyDescent="0.25">
      <c r="A2592" s="63" t="s">
        <v>6566</v>
      </c>
      <c r="B2592" t="s">
        <v>2447</v>
      </c>
      <c r="C2592" t="s">
        <v>5043</v>
      </c>
      <c r="D2592" t="s">
        <v>8401</v>
      </c>
    </row>
    <row r="2593" spans="1:4" x14ac:dyDescent="0.25">
      <c r="A2593" s="63" t="s">
        <v>6572</v>
      </c>
      <c r="B2593" t="s">
        <v>2447</v>
      </c>
      <c r="C2593" t="s">
        <v>5043</v>
      </c>
      <c r="D2593" t="s">
        <v>8401</v>
      </c>
    </row>
    <row r="2594" spans="1:4" x14ac:dyDescent="0.25">
      <c r="A2594" s="63" t="s">
        <v>6573</v>
      </c>
      <c r="B2594" t="s">
        <v>2447</v>
      </c>
      <c r="C2594" t="s">
        <v>5043</v>
      </c>
      <c r="D2594" t="s">
        <v>8401</v>
      </c>
    </row>
    <row r="2595" spans="1:4" x14ac:dyDescent="0.25">
      <c r="A2595" s="63" t="s">
        <v>8117</v>
      </c>
      <c r="B2595" t="s">
        <v>8118</v>
      </c>
      <c r="C2595" t="s">
        <v>5043</v>
      </c>
      <c r="D2595" t="s">
        <v>8401</v>
      </c>
    </row>
    <row r="2596" spans="1:4" x14ac:dyDescent="0.25">
      <c r="A2596" s="63" t="s">
        <v>8119</v>
      </c>
      <c r="B2596" t="s">
        <v>8118</v>
      </c>
      <c r="C2596" t="s">
        <v>5043</v>
      </c>
      <c r="D2596" t="s">
        <v>8401</v>
      </c>
    </row>
    <row r="2597" spans="1:4" x14ac:dyDescent="0.25">
      <c r="A2597" s="63" t="s">
        <v>6962</v>
      </c>
      <c r="B2597" t="s">
        <v>1304</v>
      </c>
      <c r="C2597" t="s">
        <v>5043</v>
      </c>
      <c r="D2597" t="s">
        <v>8401</v>
      </c>
    </row>
    <row r="2598" spans="1:4" x14ac:dyDescent="0.25">
      <c r="A2598" s="63" t="s">
        <v>3869</v>
      </c>
      <c r="B2598" t="s">
        <v>2429</v>
      </c>
      <c r="C2598" t="s">
        <v>5043</v>
      </c>
      <c r="D2598" t="s">
        <v>8401</v>
      </c>
    </row>
    <row r="2599" spans="1:4" x14ac:dyDescent="0.25">
      <c r="A2599" s="63" t="s">
        <v>3870</v>
      </c>
      <c r="B2599" t="s">
        <v>2429</v>
      </c>
      <c r="C2599" t="s">
        <v>5043</v>
      </c>
      <c r="D2599" t="s">
        <v>8401</v>
      </c>
    </row>
    <row r="2600" spans="1:4" x14ac:dyDescent="0.25">
      <c r="A2600" s="63" t="s">
        <v>3871</v>
      </c>
      <c r="B2600" t="s">
        <v>2429</v>
      </c>
      <c r="C2600" t="s">
        <v>5043</v>
      </c>
      <c r="D2600" t="s">
        <v>8401</v>
      </c>
    </row>
    <row r="2601" spans="1:4" x14ac:dyDescent="0.25">
      <c r="A2601" s="63" t="s">
        <v>3872</v>
      </c>
      <c r="B2601" t="s">
        <v>2429</v>
      </c>
      <c r="C2601" t="s">
        <v>5043</v>
      </c>
      <c r="D2601" t="s">
        <v>8401</v>
      </c>
    </row>
    <row r="2602" spans="1:4" x14ac:dyDescent="0.25">
      <c r="A2602" s="63" t="s">
        <v>3873</v>
      </c>
      <c r="B2602" t="s">
        <v>2429</v>
      </c>
      <c r="C2602" t="s">
        <v>5043</v>
      </c>
      <c r="D2602" t="s">
        <v>8401</v>
      </c>
    </row>
    <row r="2603" spans="1:4" x14ac:dyDescent="0.25">
      <c r="A2603" s="63" t="s">
        <v>8120</v>
      </c>
      <c r="B2603" t="s">
        <v>1709</v>
      </c>
      <c r="C2603" t="s">
        <v>5043</v>
      </c>
      <c r="D2603" t="s">
        <v>8401</v>
      </c>
    </row>
    <row r="2604" spans="1:4" x14ac:dyDescent="0.25">
      <c r="A2604" s="63" t="s">
        <v>8121</v>
      </c>
      <c r="B2604" t="s">
        <v>1709</v>
      </c>
      <c r="C2604" t="s">
        <v>5043</v>
      </c>
      <c r="D2604" t="s">
        <v>8401</v>
      </c>
    </row>
    <row r="2605" spans="1:4" x14ac:dyDescent="0.25">
      <c r="A2605" s="63" t="s">
        <v>3874</v>
      </c>
      <c r="B2605" t="s">
        <v>1709</v>
      </c>
      <c r="C2605" t="s">
        <v>5043</v>
      </c>
      <c r="D2605" t="s">
        <v>8401</v>
      </c>
    </row>
    <row r="2606" spans="1:4" x14ac:dyDescent="0.25">
      <c r="A2606" s="63" t="s">
        <v>8122</v>
      </c>
      <c r="B2606" t="s">
        <v>1709</v>
      </c>
      <c r="C2606" t="s">
        <v>5043</v>
      </c>
      <c r="D2606" t="s">
        <v>8401</v>
      </c>
    </row>
    <row r="2607" spans="1:4" x14ac:dyDescent="0.25">
      <c r="A2607" s="63" t="s">
        <v>8123</v>
      </c>
      <c r="B2607" t="s">
        <v>1709</v>
      </c>
      <c r="C2607" t="s">
        <v>5043</v>
      </c>
      <c r="D2607" t="s">
        <v>8401</v>
      </c>
    </row>
    <row r="2608" spans="1:4" x14ac:dyDescent="0.25">
      <c r="A2608" s="63" t="s">
        <v>3875</v>
      </c>
      <c r="B2608" t="s">
        <v>1913</v>
      </c>
      <c r="C2608" t="s">
        <v>5043</v>
      </c>
      <c r="D2608" t="s">
        <v>8401</v>
      </c>
    </row>
    <row r="2609" spans="1:4" x14ac:dyDescent="0.25">
      <c r="A2609" s="63" t="s">
        <v>3876</v>
      </c>
      <c r="B2609" t="s">
        <v>1913</v>
      </c>
      <c r="C2609" t="s">
        <v>5043</v>
      </c>
      <c r="D2609" t="s">
        <v>8401</v>
      </c>
    </row>
    <row r="2610" spans="1:4" x14ac:dyDescent="0.25">
      <c r="A2610" s="63" t="s">
        <v>3877</v>
      </c>
      <c r="B2610" t="s">
        <v>1913</v>
      </c>
      <c r="C2610" t="s">
        <v>5043</v>
      </c>
      <c r="D2610" t="s">
        <v>8401</v>
      </c>
    </row>
    <row r="2611" spans="1:4" x14ac:dyDescent="0.25">
      <c r="A2611" s="63" t="s">
        <v>3878</v>
      </c>
      <c r="B2611" t="s">
        <v>1913</v>
      </c>
      <c r="C2611" t="s">
        <v>5043</v>
      </c>
      <c r="D2611" t="s">
        <v>8401</v>
      </c>
    </row>
    <row r="2612" spans="1:4" x14ac:dyDescent="0.25">
      <c r="A2612" s="63" t="s">
        <v>3879</v>
      </c>
      <c r="B2612" t="s">
        <v>1913</v>
      </c>
      <c r="C2612" t="s">
        <v>5043</v>
      </c>
      <c r="D2612" t="s">
        <v>8401</v>
      </c>
    </row>
    <row r="2613" spans="1:4" x14ac:dyDescent="0.25">
      <c r="A2613" s="63" t="s">
        <v>3880</v>
      </c>
      <c r="B2613" t="s">
        <v>1913</v>
      </c>
      <c r="C2613" t="s">
        <v>5043</v>
      </c>
      <c r="D2613" t="s">
        <v>8401</v>
      </c>
    </row>
    <row r="2614" spans="1:4" x14ac:dyDescent="0.25">
      <c r="A2614" s="63" t="s">
        <v>3881</v>
      </c>
      <c r="B2614" t="s">
        <v>1913</v>
      </c>
      <c r="C2614" t="s">
        <v>5043</v>
      </c>
      <c r="D2614" t="s">
        <v>8401</v>
      </c>
    </row>
    <row r="2615" spans="1:4" x14ac:dyDescent="0.25">
      <c r="A2615" s="63" t="s">
        <v>3882</v>
      </c>
      <c r="B2615" t="s">
        <v>1913</v>
      </c>
      <c r="C2615" t="s">
        <v>5043</v>
      </c>
      <c r="D2615" t="s">
        <v>8401</v>
      </c>
    </row>
    <row r="2616" spans="1:4" x14ac:dyDescent="0.25">
      <c r="A2616" s="63" t="s">
        <v>3883</v>
      </c>
      <c r="B2616" t="s">
        <v>1911</v>
      </c>
      <c r="C2616" t="s">
        <v>5043</v>
      </c>
      <c r="D2616" t="s">
        <v>8401</v>
      </c>
    </row>
    <row r="2617" spans="1:4" x14ac:dyDescent="0.25">
      <c r="A2617" s="63" t="s">
        <v>3884</v>
      </c>
      <c r="B2617" t="s">
        <v>1912</v>
      </c>
      <c r="C2617" t="s">
        <v>5043</v>
      </c>
      <c r="D2617" t="s">
        <v>8401</v>
      </c>
    </row>
    <row r="2618" spans="1:4" x14ac:dyDescent="0.25">
      <c r="A2618" s="63" t="s">
        <v>3885</v>
      </c>
      <c r="B2618" t="s">
        <v>1694</v>
      </c>
      <c r="C2618" t="s">
        <v>5043</v>
      </c>
      <c r="D2618" t="s">
        <v>8401</v>
      </c>
    </row>
    <row r="2619" spans="1:4" x14ac:dyDescent="0.25">
      <c r="A2619" s="63" t="s">
        <v>8124</v>
      </c>
      <c r="B2619" t="s">
        <v>1694</v>
      </c>
      <c r="C2619" t="s">
        <v>5043</v>
      </c>
      <c r="D2619" t="s">
        <v>8401</v>
      </c>
    </row>
    <row r="2620" spans="1:4" x14ac:dyDescent="0.25">
      <c r="A2620" s="63" t="s">
        <v>3886</v>
      </c>
      <c r="B2620" t="s">
        <v>1909</v>
      </c>
      <c r="C2620" t="s">
        <v>5043</v>
      </c>
      <c r="D2620" t="s">
        <v>8401</v>
      </c>
    </row>
    <row r="2621" spans="1:4" x14ac:dyDescent="0.25">
      <c r="A2621" s="63" t="s">
        <v>3887</v>
      </c>
      <c r="B2621" t="s">
        <v>1690</v>
      </c>
      <c r="C2621" t="s">
        <v>5043</v>
      </c>
      <c r="D2621" t="s">
        <v>8401</v>
      </c>
    </row>
    <row r="2622" spans="1:4" x14ac:dyDescent="0.25">
      <c r="A2622" s="63" t="s">
        <v>3888</v>
      </c>
      <c r="B2622" t="s">
        <v>1690</v>
      </c>
      <c r="C2622" t="s">
        <v>5043</v>
      </c>
      <c r="D2622" t="s">
        <v>8401</v>
      </c>
    </row>
    <row r="2623" spans="1:4" x14ac:dyDescent="0.25">
      <c r="A2623" s="63" t="s">
        <v>6908</v>
      </c>
      <c r="B2623" t="s">
        <v>2117</v>
      </c>
      <c r="C2623" t="s">
        <v>5043</v>
      </c>
      <c r="D2623" t="s">
        <v>8401</v>
      </c>
    </row>
    <row r="2624" spans="1:4" x14ac:dyDescent="0.25">
      <c r="A2624" s="63" t="s">
        <v>3889</v>
      </c>
      <c r="B2624" t="s">
        <v>1910</v>
      </c>
      <c r="C2624" t="s">
        <v>5043</v>
      </c>
      <c r="D2624" t="s">
        <v>8401</v>
      </c>
    </row>
    <row r="2625" spans="1:4" x14ac:dyDescent="0.25">
      <c r="A2625" s="63" t="s">
        <v>3890</v>
      </c>
      <c r="B2625" t="s">
        <v>1908</v>
      </c>
      <c r="C2625" t="s">
        <v>5043</v>
      </c>
      <c r="D2625" t="s">
        <v>8401</v>
      </c>
    </row>
    <row r="2626" spans="1:4" x14ac:dyDescent="0.25">
      <c r="A2626" s="63" t="s">
        <v>3891</v>
      </c>
      <c r="B2626" t="s">
        <v>1908</v>
      </c>
      <c r="C2626" t="s">
        <v>5043</v>
      </c>
      <c r="D2626" t="s">
        <v>8401</v>
      </c>
    </row>
    <row r="2627" spans="1:4" x14ac:dyDescent="0.25">
      <c r="A2627" s="63" t="s">
        <v>8125</v>
      </c>
      <c r="B2627" t="s">
        <v>2011</v>
      </c>
      <c r="C2627" t="s">
        <v>5043</v>
      </c>
      <c r="D2627" t="s">
        <v>8401</v>
      </c>
    </row>
    <row r="2628" spans="1:4" x14ac:dyDescent="0.25">
      <c r="A2628" s="63" t="s">
        <v>3892</v>
      </c>
      <c r="B2628" t="s">
        <v>2452</v>
      </c>
      <c r="C2628" t="s">
        <v>5043</v>
      </c>
      <c r="D2628" t="s">
        <v>8401</v>
      </c>
    </row>
    <row r="2629" spans="1:4" x14ac:dyDescent="0.25">
      <c r="A2629" s="63" t="s">
        <v>3893</v>
      </c>
      <c r="B2629" t="s">
        <v>2452</v>
      </c>
      <c r="C2629" t="s">
        <v>5043</v>
      </c>
      <c r="D2629" t="s">
        <v>8401</v>
      </c>
    </row>
    <row r="2630" spans="1:4" x14ac:dyDescent="0.25">
      <c r="A2630" s="63" t="s">
        <v>3894</v>
      </c>
      <c r="B2630" t="s">
        <v>2145</v>
      </c>
      <c r="C2630" t="s">
        <v>5043</v>
      </c>
      <c r="D2630" t="s">
        <v>8401</v>
      </c>
    </row>
    <row r="2631" spans="1:4" x14ac:dyDescent="0.25">
      <c r="A2631" s="63" t="s">
        <v>8126</v>
      </c>
      <c r="B2631" t="s">
        <v>1555</v>
      </c>
      <c r="C2631" t="s">
        <v>5043</v>
      </c>
      <c r="D2631" t="s">
        <v>8401</v>
      </c>
    </row>
    <row r="2632" spans="1:4" x14ac:dyDescent="0.25">
      <c r="A2632" s="63" t="s">
        <v>8127</v>
      </c>
      <c r="B2632" t="s">
        <v>1555</v>
      </c>
      <c r="C2632" t="s">
        <v>5043</v>
      </c>
      <c r="D2632" t="s">
        <v>8401</v>
      </c>
    </row>
    <row r="2633" spans="1:4" x14ac:dyDescent="0.25">
      <c r="A2633" s="63" t="s">
        <v>3895</v>
      </c>
      <c r="B2633" t="s">
        <v>2453</v>
      </c>
      <c r="C2633" t="s">
        <v>5043</v>
      </c>
      <c r="D2633" t="s">
        <v>8401</v>
      </c>
    </row>
    <row r="2634" spans="1:4" x14ac:dyDescent="0.25">
      <c r="A2634" s="63" t="s">
        <v>3896</v>
      </c>
      <c r="B2634" t="s">
        <v>2453</v>
      </c>
      <c r="C2634" t="s">
        <v>5043</v>
      </c>
      <c r="D2634" t="s">
        <v>8401</v>
      </c>
    </row>
    <row r="2635" spans="1:4" x14ac:dyDescent="0.25">
      <c r="A2635" s="63" t="s">
        <v>3897</v>
      </c>
      <c r="B2635" t="s">
        <v>1448</v>
      </c>
      <c r="C2635" t="s">
        <v>5043</v>
      </c>
      <c r="D2635" t="s">
        <v>8401</v>
      </c>
    </row>
    <row r="2636" spans="1:4" x14ac:dyDescent="0.25">
      <c r="A2636" s="63" t="s">
        <v>3898</v>
      </c>
      <c r="B2636" t="s">
        <v>1448</v>
      </c>
      <c r="C2636" t="s">
        <v>5043</v>
      </c>
      <c r="D2636" t="s">
        <v>8401</v>
      </c>
    </row>
    <row r="2637" spans="1:4" x14ac:dyDescent="0.25">
      <c r="A2637" s="63" t="s">
        <v>8128</v>
      </c>
      <c r="B2637" t="s">
        <v>1448</v>
      </c>
      <c r="C2637" t="s">
        <v>5043</v>
      </c>
      <c r="D2637" t="s">
        <v>8401</v>
      </c>
    </row>
    <row r="2638" spans="1:4" x14ac:dyDescent="0.25">
      <c r="A2638" s="63" t="s">
        <v>8129</v>
      </c>
      <c r="B2638" t="s">
        <v>1448</v>
      </c>
      <c r="C2638" t="s">
        <v>5043</v>
      </c>
      <c r="D2638" t="s">
        <v>8401</v>
      </c>
    </row>
    <row r="2639" spans="1:4" x14ac:dyDescent="0.25">
      <c r="A2639" s="63" t="s">
        <v>3899</v>
      </c>
      <c r="B2639" t="s">
        <v>1948</v>
      </c>
      <c r="C2639" t="s">
        <v>5043</v>
      </c>
      <c r="D2639" t="s">
        <v>8401</v>
      </c>
    </row>
    <row r="2640" spans="1:4" x14ac:dyDescent="0.25">
      <c r="A2640" s="63" t="s">
        <v>3900</v>
      </c>
      <c r="B2640" t="s">
        <v>1948</v>
      </c>
      <c r="C2640" t="s">
        <v>5043</v>
      </c>
      <c r="D2640" t="s">
        <v>8401</v>
      </c>
    </row>
    <row r="2641" spans="1:4" x14ac:dyDescent="0.25">
      <c r="A2641" s="63" t="s">
        <v>3901</v>
      </c>
      <c r="B2641" t="s">
        <v>1948</v>
      </c>
      <c r="C2641" t="s">
        <v>5043</v>
      </c>
      <c r="D2641" t="s">
        <v>8401</v>
      </c>
    </row>
    <row r="2642" spans="1:4" x14ac:dyDescent="0.25">
      <c r="A2642" s="63" t="s">
        <v>3902</v>
      </c>
      <c r="B2642" t="s">
        <v>1948</v>
      </c>
      <c r="C2642" t="s">
        <v>5043</v>
      </c>
      <c r="D2642" t="s">
        <v>8401</v>
      </c>
    </row>
    <row r="2643" spans="1:4" x14ac:dyDescent="0.25">
      <c r="A2643" s="63" t="s">
        <v>6064</v>
      </c>
      <c r="B2643" t="s">
        <v>1811</v>
      </c>
      <c r="C2643" t="s">
        <v>5043</v>
      </c>
      <c r="D2643" t="s">
        <v>8401</v>
      </c>
    </row>
    <row r="2644" spans="1:4" x14ac:dyDescent="0.25">
      <c r="A2644" s="63" t="s">
        <v>6065</v>
      </c>
      <c r="B2644" t="s">
        <v>1811</v>
      </c>
      <c r="C2644" t="s">
        <v>5043</v>
      </c>
      <c r="D2644" t="s">
        <v>8401</v>
      </c>
    </row>
    <row r="2645" spans="1:4" x14ac:dyDescent="0.25">
      <c r="A2645" s="63" t="s">
        <v>6066</v>
      </c>
      <c r="B2645" t="s">
        <v>1811</v>
      </c>
      <c r="C2645" t="s">
        <v>5043</v>
      </c>
      <c r="D2645" t="s">
        <v>8401</v>
      </c>
    </row>
    <row r="2646" spans="1:4" x14ac:dyDescent="0.25">
      <c r="A2646" s="63" t="s">
        <v>8130</v>
      </c>
      <c r="B2646" t="s">
        <v>1811</v>
      </c>
      <c r="C2646" t="s">
        <v>5043</v>
      </c>
      <c r="D2646" t="s">
        <v>8401</v>
      </c>
    </row>
    <row r="2647" spans="1:4" x14ac:dyDescent="0.25">
      <c r="A2647" s="63" t="s">
        <v>8131</v>
      </c>
      <c r="B2647" t="s">
        <v>1796</v>
      </c>
      <c r="C2647" t="s">
        <v>5043</v>
      </c>
      <c r="D2647" t="s">
        <v>8401</v>
      </c>
    </row>
    <row r="2648" spans="1:4" x14ac:dyDescent="0.25">
      <c r="A2648" s="63" t="s">
        <v>8132</v>
      </c>
      <c r="B2648" t="s">
        <v>1495</v>
      </c>
      <c r="C2648" t="s">
        <v>5043</v>
      </c>
      <c r="D2648" t="s">
        <v>8401</v>
      </c>
    </row>
    <row r="2649" spans="1:4" x14ac:dyDescent="0.25">
      <c r="A2649" s="63" t="s">
        <v>8133</v>
      </c>
      <c r="B2649" t="s">
        <v>2428</v>
      </c>
      <c r="C2649" t="s">
        <v>5043</v>
      </c>
      <c r="D2649" t="s">
        <v>8401</v>
      </c>
    </row>
    <row r="2650" spans="1:4" x14ac:dyDescent="0.25">
      <c r="A2650" s="63" t="s">
        <v>8134</v>
      </c>
      <c r="B2650" t="s">
        <v>2428</v>
      </c>
      <c r="C2650" t="s">
        <v>5043</v>
      </c>
      <c r="D2650" t="s">
        <v>8401</v>
      </c>
    </row>
    <row r="2651" spans="1:4" x14ac:dyDescent="0.25">
      <c r="A2651" s="63" t="s">
        <v>8135</v>
      </c>
      <c r="B2651" t="s">
        <v>2428</v>
      </c>
      <c r="C2651" t="s">
        <v>5043</v>
      </c>
      <c r="D2651" t="s">
        <v>8401</v>
      </c>
    </row>
    <row r="2652" spans="1:4" x14ac:dyDescent="0.25">
      <c r="A2652" s="63" t="s">
        <v>2555</v>
      </c>
      <c r="B2652" t="s">
        <v>2428</v>
      </c>
      <c r="C2652" t="s">
        <v>5043</v>
      </c>
      <c r="D2652" t="s">
        <v>8401</v>
      </c>
    </row>
    <row r="2653" spans="1:4" x14ac:dyDescent="0.25">
      <c r="A2653" s="63" t="s">
        <v>8136</v>
      </c>
      <c r="B2653" t="s">
        <v>2373</v>
      </c>
      <c r="C2653" t="s">
        <v>5043</v>
      </c>
      <c r="D2653" t="s">
        <v>8401</v>
      </c>
    </row>
    <row r="2654" spans="1:4" x14ac:dyDescent="0.25">
      <c r="A2654" s="63" t="s">
        <v>5401</v>
      </c>
      <c r="B2654" t="s">
        <v>2494</v>
      </c>
      <c r="C2654" t="s">
        <v>5043</v>
      </c>
      <c r="D2654" t="s">
        <v>8401</v>
      </c>
    </row>
    <row r="2655" spans="1:4" x14ac:dyDescent="0.25">
      <c r="A2655" s="63" t="s">
        <v>5402</v>
      </c>
      <c r="B2655" t="s">
        <v>2494</v>
      </c>
      <c r="C2655" t="s">
        <v>5043</v>
      </c>
      <c r="D2655" t="s">
        <v>8401</v>
      </c>
    </row>
    <row r="2656" spans="1:4" x14ac:dyDescent="0.25">
      <c r="A2656" s="63" t="s">
        <v>3932</v>
      </c>
      <c r="B2656" t="s">
        <v>1462</v>
      </c>
      <c r="C2656" t="s">
        <v>5043</v>
      </c>
      <c r="D2656" t="s">
        <v>8401</v>
      </c>
    </row>
    <row r="2657" spans="1:4" x14ac:dyDescent="0.25">
      <c r="A2657" s="63" t="s">
        <v>3933</v>
      </c>
      <c r="B2657" t="s">
        <v>1462</v>
      </c>
      <c r="C2657" t="s">
        <v>5043</v>
      </c>
      <c r="D2657" t="s">
        <v>8401</v>
      </c>
    </row>
    <row r="2658" spans="1:4" x14ac:dyDescent="0.25">
      <c r="A2658" s="63" t="s">
        <v>3934</v>
      </c>
      <c r="B2658" t="s">
        <v>1462</v>
      </c>
      <c r="C2658" t="s">
        <v>5043</v>
      </c>
      <c r="D2658" t="s">
        <v>8401</v>
      </c>
    </row>
    <row r="2659" spans="1:4" x14ac:dyDescent="0.25">
      <c r="A2659" s="63" t="s">
        <v>3935</v>
      </c>
      <c r="B2659" t="s">
        <v>1462</v>
      </c>
      <c r="C2659" t="s">
        <v>5043</v>
      </c>
      <c r="D2659" t="s">
        <v>8401</v>
      </c>
    </row>
    <row r="2660" spans="1:4" x14ac:dyDescent="0.25">
      <c r="A2660" s="63" t="s">
        <v>3936</v>
      </c>
      <c r="B2660" t="s">
        <v>1462</v>
      </c>
      <c r="C2660" t="s">
        <v>5043</v>
      </c>
      <c r="D2660" t="s">
        <v>8401</v>
      </c>
    </row>
    <row r="2661" spans="1:4" x14ac:dyDescent="0.25">
      <c r="A2661" s="63" t="s">
        <v>3937</v>
      </c>
      <c r="B2661" t="s">
        <v>1462</v>
      </c>
      <c r="C2661" t="s">
        <v>5043</v>
      </c>
      <c r="D2661" t="s">
        <v>8401</v>
      </c>
    </row>
    <row r="2662" spans="1:4" x14ac:dyDescent="0.25">
      <c r="A2662" s="63" t="s">
        <v>3938</v>
      </c>
      <c r="B2662" t="s">
        <v>1462</v>
      </c>
      <c r="C2662" t="s">
        <v>5043</v>
      </c>
      <c r="D2662" t="s">
        <v>8401</v>
      </c>
    </row>
    <row r="2663" spans="1:4" x14ac:dyDescent="0.25">
      <c r="A2663" s="63" t="s">
        <v>3939</v>
      </c>
      <c r="B2663" t="s">
        <v>1462</v>
      </c>
      <c r="C2663" t="s">
        <v>5043</v>
      </c>
      <c r="D2663" t="s">
        <v>8401</v>
      </c>
    </row>
    <row r="2664" spans="1:4" x14ac:dyDescent="0.25">
      <c r="A2664" s="63" t="s">
        <v>7113</v>
      </c>
      <c r="B2664" t="s">
        <v>8137</v>
      </c>
      <c r="C2664" t="s">
        <v>5043</v>
      </c>
      <c r="D2664" t="s">
        <v>8401</v>
      </c>
    </row>
    <row r="2665" spans="1:4" x14ac:dyDescent="0.25">
      <c r="A2665" s="63" t="s">
        <v>8393</v>
      </c>
      <c r="B2665" t="s">
        <v>8137</v>
      </c>
      <c r="C2665" t="s">
        <v>5043</v>
      </c>
      <c r="D2665" t="s">
        <v>8401</v>
      </c>
    </row>
    <row r="2666" spans="1:4" x14ac:dyDescent="0.25">
      <c r="A2666" s="63" t="s">
        <v>3940</v>
      </c>
      <c r="B2666" t="s">
        <v>2674</v>
      </c>
      <c r="C2666" t="s">
        <v>5043</v>
      </c>
      <c r="D2666" t="s">
        <v>8401</v>
      </c>
    </row>
    <row r="2667" spans="1:4" x14ac:dyDescent="0.25">
      <c r="A2667" s="63" t="s">
        <v>3941</v>
      </c>
      <c r="B2667" t="s">
        <v>2674</v>
      </c>
      <c r="C2667" t="s">
        <v>5043</v>
      </c>
      <c r="D2667" t="s">
        <v>8401</v>
      </c>
    </row>
    <row r="2668" spans="1:4" x14ac:dyDescent="0.25">
      <c r="A2668" s="63" t="s">
        <v>8138</v>
      </c>
      <c r="B2668" t="s">
        <v>2484</v>
      </c>
      <c r="C2668" t="s">
        <v>5043</v>
      </c>
      <c r="D2668" t="s">
        <v>8401</v>
      </c>
    </row>
    <row r="2669" spans="1:4" x14ac:dyDescent="0.25">
      <c r="A2669" s="63" t="s">
        <v>8139</v>
      </c>
      <c r="B2669" t="s">
        <v>2484</v>
      </c>
      <c r="C2669" t="s">
        <v>5043</v>
      </c>
      <c r="D2669" t="s">
        <v>8401</v>
      </c>
    </row>
    <row r="2670" spans="1:4" x14ac:dyDescent="0.25">
      <c r="A2670" s="63" t="s">
        <v>3942</v>
      </c>
      <c r="B2670" t="s">
        <v>1463</v>
      </c>
      <c r="C2670" t="s">
        <v>5043</v>
      </c>
      <c r="D2670" t="s">
        <v>8401</v>
      </c>
    </row>
    <row r="2671" spans="1:4" x14ac:dyDescent="0.25">
      <c r="A2671" s="63" t="s">
        <v>3943</v>
      </c>
      <c r="B2671" t="s">
        <v>1464</v>
      </c>
      <c r="C2671" t="s">
        <v>5043</v>
      </c>
      <c r="D2671" t="s">
        <v>8401</v>
      </c>
    </row>
    <row r="2672" spans="1:4" x14ac:dyDescent="0.25">
      <c r="A2672" s="63" t="s">
        <v>3944</v>
      </c>
      <c r="B2672" t="s">
        <v>1464</v>
      </c>
      <c r="C2672" t="s">
        <v>5043</v>
      </c>
      <c r="D2672" t="s">
        <v>8401</v>
      </c>
    </row>
    <row r="2673" spans="1:4" x14ac:dyDescent="0.25">
      <c r="A2673" s="63" t="s">
        <v>8140</v>
      </c>
      <c r="B2673" t="s">
        <v>1747</v>
      </c>
      <c r="C2673" t="s">
        <v>5043</v>
      </c>
      <c r="D2673" t="s">
        <v>8401</v>
      </c>
    </row>
    <row r="2674" spans="1:4" x14ac:dyDescent="0.25">
      <c r="A2674" s="63" t="s">
        <v>3945</v>
      </c>
      <c r="B2674" t="s">
        <v>1465</v>
      </c>
      <c r="C2674" t="s">
        <v>5043</v>
      </c>
      <c r="D2674" t="s">
        <v>8401</v>
      </c>
    </row>
    <row r="2675" spans="1:4" x14ac:dyDescent="0.25">
      <c r="A2675" s="63" t="s">
        <v>8141</v>
      </c>
      <c r="B2675" t="s">
        <v>1804</v>
      </c>
      <c r="C2675" t="s">
        <v>5043</v>
      </c>
      <c r="D2675" t="s">
        <v>8401</v>
      </c>
    </row>
    <row r="2676" spans="1:4" x14ac:dyDescent="0.25">
      <c r="A2676" s="63" t="s">
        <v>8142</v>
      </c>
      <c r="B2676" t="s">
        <v>1804</v>
      </c>
      <c r="C2676" t="s">
        <v>5043</v>
      </c>
      <c r="D2676" t="s">
        <v>8401</v>
      </c>
    </row>
    <row r="2677" spans="1:4" x14ac:dyDescent="0.25">
      <c r="A2677" s="63" t="s">
        <v>3946</v>
      </c>
      <c r="B2677" t="s">
        <v>1746</v>
      </c>
      <c r="C2677" t="s">
        <v>5043</v>
      </c>
      <c r="D2677" t="s">
        <v>8401</v>
      </c>
    </row>
    <row r="2678" spans="1:4" x14ac:dyDescent="0.25">
      <c r="A2678" s="63" t="s">
        <v>3947</v>
      </c>
      <c r="B2678" t="s">
        <v>1746</v>
      </c>
      <c r="C2678" t="s">
        <v>5043</v>
      </c>
      <c r="D2678" t="s">
        <v>8401</v>
      </c>
    </row>
    <row r="2679" spans="1:4" x14ac:dyDescent="0.25">
      <c r="A2679" s="63" t="s">
        <v>3948</v>
      </c>
      <c r="B2679" t="s">
        <v>1746</v>
      </c>
      <c r="C2679" t="s">
        <v>5043</v>
      </c>
      <c r="D2679" t="s">
        <v>8401</v>
      </c>
    </row>
    <row r="2680" spans="1:4" x14ac:dyDescent="0.25">
      <c r="A2680" s="63" t="s">
        <v>3949</v>
      </c>
      <c r="B2680" t="s">
        <v>1746</v>
      </c>
      <c r="C2680" t="s">
        <v>5043</v>
      </c>
      <c r="D2680" t="s">
        <v>8401</v>
      </c>
    </row>
    <row r="2681" spans="1:4" x14ac:dyDescent="0.25">
      <c r="A2681" s="63" t="s">
        <v>3950</v>
      </c>
      <c r="B2681" t="s">
        <v>1746</v>
      </c>
      <c r="C2681" t="s">
        <v>5043</v>
      </c>
      <c r="D2681" t="s">
        <v>8401</v>
      </c>
    </row>
    <row r="2682" spans="1:4" x14ac:dyDescent="0.25">
      <c r="A2682" s="63" t="s">
        <v>3951</v>
      </c>
      <c r="B2682" t="s">
        <v>1491</v>
      </c>
      <c r="C2682" t="s">
        <v>5043</v>
      </c>
      <c r="D2682" t="s">
        <v>8401</v>
      </c>
    </row>
    <row r="2683" spans="1:4" x14ac:dyDescent="0.25">
      <c r="A2683" s="63" t="s">
        <v>3952</v>
      </c>
      <c r="B2683" t="s">
        <v>2238</v>
      </c>
      <c r="C2683" t="s">
        <v>5043</v>
      </c>
      <c r="D2683" t="s">
        <v>8401</v>
      </c>
    </row>
    <row r="2684" spans="1:4" x14ac:dyDescent="0.25">
      <c r="A2684" s="63" t="s">
        <v>3953</v>
      </c>
      <c r="B2684" t="s">
        <v>1626</v>
      </c>
      <c r="C2684" t="s">
        <v>5043</v>
      </c>
      <c r="D2684" t="s">
        <v>8401</v>
      </c>
    </row>
    <row r="2685" spans="1:4" x14ac:dyDescent="0.25">
      <c r="A2685" s="63" t="s">
        <v>3954</v>
      </c>
      <c r="B2685" t="s">
        <v>1626</v>
      </c>
      <c r="C2685" t="s">
        <v>5043</v>
      </c>
      <c r="D2685" t="s">
        <v>8401</v>
      </c>
    </row>
    <row r="2686" spans="1:4" x14ac:dyDescent="0.25">
      <c r="A2686" s="63" t="s">
        <v>3955</v>
      </c>
      <c r="B2686" t="s">
        <v>1867</v>
      </c>
      <c r="C2686" t="s">
        <v>5043</v>
      </c>
      <c r="D2686" t="s">
        <v>8401</v>
      </c>
    </row>
    <row r="2687" spans="1:4" x14ac:dyDescent="0.25">
      <c r="A2687" s="63" t="s">
        <v>3956</v>
      </c>
      <c r="B2687" t="s">
        <v>2237</v>
      </c>
      <c r="C2687" t="s">
        <v>5043</v>
      </c>
      <c r="D2687" t="s">
        <v>8401</v>
      </c>
    </row>
    <row r="2688" spans="1:4" x14ac:dyDescent="0.25">
      <c r="A2688" s="63" t="s">
        <v>3957</v>
      </c>
      <c r="B2688" t="s">
        <v>1674</v>
      </c>
      <c r="C2688" t="s">
        <v>5043</v>
      </c>
      <c r="D2688" t="s">
        <v>8401</v>
      </c>
    </row>
    <row r="2689" spans="1:4" x14ac:dyDescent="0.25">
      <c r="A2689" s="63" t="s">
        <v>3958</v>
      </c>
      <c r="B2689" t="s">
        <v>1674</v>
      </c>
      <c r="C2689" t="s">
        <v>5043</v>
      </c>
      <c r="D2689" t="s">
        <v>8401</v>
      </c>
    </row>
    <row r="2690" spans="1:4" x14ac:dyDescent="0.25">
      <c r="A2690" s="63" t="s">
        <v>3959</v>
      </c>
      <c r="B2690" t="s">
        <v>1674</v>
      </c>
      <c r="C2690" t="s">
        <v>5043</v>
      </c>
      <c r="D2690" t="s">
        <v>8401</v>
      </c>
    </row>
    <row r="2691" spans="1:4" x14ac:dyDescent="0.25">
      <c r="A2691" s="63" t="s">
        <v>3960</v>
      </c>
      <c r="B2691" t="s">
        <v>1849</v>
      </c>
      <c r="C2691" t="s">
        <v>5043</v>
      </c>
      <c r="D2691" t="s">
        <v>8401</v>
      </c>
    </row>
    <row r="2692" spans="1:4" x14ac:dyDescent="0.25">
      <c r="A2692" s="63" t="s">
        <v>3961</v>
      </c>
      <c r="B2692" t="s">
        <v>1842</v>
      </c>
      <c r="C2692" t="s">
        <v>5043</v>
      </c>
      <c r="D2692" t="s">
        <v>8401</v>
      </c>
    </row>
    <row r="2693" spans="1:4" x14ac:dyDescent="0.25">
      <c r="A2693" s="63" t="s">
        <v>3962</v>
      </c>
      <c r="B2693" t="s">
        <v>1673</v>
      </c>
      <c r="C2693" t="s">
        <v>5043</v>
      </c>
      <c r="D2693" t="s">
        <v>8401</v>
      </c>
    </row>
    <row r="2694" spans="1:4" x14ac:dyDescent="0.25">
      <c r="A2694" s="63" t="s">
        <v>8143</v>
      </c>
      <c r="B2694" t="s">
        <v>1673</v>
      </c>
      <c r="C2694" t="s">
        <v>5043</v>
      </c>
      <c r="D2694" t="s">
        <v>8401</v>
      </c>
    </row>
    <row r="2695" spans="1:4" x14ac:dyDescent="0.25">
      <c r="A2695" s="63" t="s">
        <v>3963</v>
      </c>
      <c r="B2695" t="s">
        <v>2236</v>
      </c>
      <c r="C2695" t="s">
        <v>5043</v>
      </c>
      <c r="D2695" t="s">
        <v>8401</v>
      </c>
    </row>
    <row r="2696" spans="1:4" x14ac:dyDescent="0.25">
      <c r="A2696" s="63" t="s">
        <v>3964</v>
      </c>
      <c r="B2696" t="s">
        <v>1961</v>
      </c>
      <c r="C2696" t="s">
        <v>5043</v>
      </c>
      <c r="D2696" t="s">
        <v>8401</v>
      </c>
    </row>
    <row r="2697" spans="1:4" x14ac:dyDescent="0.25">
      <c r="A2697" s="63" t="s">
        <v>3965</v>
      </c>
      <c r="B2697" t="s">
        <v>1961</v>
      </c>
      <c r="C2697" t="s">
        <v>5043</v>
      </c>
      <c r="D2697" t="s">
        <v>8401</v>
      </c>
    </row>
    <row r="2698" spans="1:4" x14ac:dyDescent="0.25">
      <c r="A2698" s="63" t="s">
        <v>3966</v>
      </c>
      <c r="B2698" t="s">
        <v>1961</v>
      </c>
      <c r="C2698" t="s">
        <v>5043</v>
      </c>
      <c r="D2698" t="s">
        <v>8401</v>
      </c>
    </row>
    <row r="2699" spans="1:4" x14ac:dyDescent="0.25">
      <c r="A2699" s="63" t="s">
        <v>3967</v>
      </c>
      <c r="B2699" t="s">
        <v>1961</v>
      </c>
      <c r="C2699" t="s">
        <v>5043</v>
      </c>
      <c r="D2699" t="s">
        <v>8401</v>
      </c>
    </row>
    <row r="2700" spans="1:4" x14ac:dyDescent="0.25">
      <c r="A2700" s="63" t="s">
        <v>3968</v>
      </c>
      <c r="B2700" t="s">
        <v>1961</v>
      </c>
      <c r="C2700" t="s">
        <v>5043</v>
      </c>
      <c r="D2700" t="s">
        <v>8401</v>
      </c>
    </row>
    <row r="2701" spans="1:4" x14ac:dyDescent="0.25">
      <c r="A2701" s="63" t="s">
        <v>3969</v>
      </c>
      <c r="B2701" t="s">
        <v>2235</v>
      </c>
      <c r="C2701" t="s">
        <v>5043</v>
      </c>
      <c r="D2701" t="s">
        <v>8401</v>
      </c>
    </row>
    <row r="2702" spans="1:4" x14ac:dyDescent="0.25">
      <c r="A2702" s="63" t="s">
        <v>3970</v>
      </c>
      <c r="B2702" t="s">
        <v>1317</v>
      </c>
      <c r="C2702" t="s">
        <v>5043</v>
      </c>
      <c r="D2702" t="s">
        <v>8401</v>
      </c>
    </row>
    <row r="2703" spans="1:4" x14ac:dyDescent="0.25">
      <c r="A2703" s="63" t="s">
        <v>3971</v>
      </c>
      <c r="B2703" t="s">
        <v>1317</v>
      </c>
      <c r="C2703" t="s">
        <v>5043</v>
      </c>
      <c r="D2703" t="s">
        <v>8401</v>
      </c>
    </row>
    <row r="2704" spans="1:4" x14ac:dyDescent="0.25">
      <c r="A2704" s="63" t="s">
        <v>3972</v>
      </c>
      <c r="B2704" t="s">
        <v>1317</v>
      </c>
      <c r="C2704" t="s">
        <v>5043</v>
      </c>
      <c r="D2704" t="s">
        <v>8401</v>
      </c>
    </row>
    <row r="2705" spans="1:4" x14ac:dyDescent="0.25">
      <c r="A2705" s="63" t="s">
        <v>3973</v>
      </c>
      <c r="B2705" t="s">
        <v>1317</v>
      </c>
      <c r="C2705" t="s">
        <v>5043</v>
      </c>
      <c r="D2705" t="s">
        <v>8401</v>
      </c>
    </row>
    <row r="2706" spans="1:4" x14ac:dyDescent="0.25">
      <c r="A2706" s="63" t="s">
        <v>3974</v>
      </c>
      <c r="B2706" t="s">
        <v>1316</v>
      </c>
      <c r="C2706" t="s">
        <v>5043</v>
      </c>
      <c r="D2706" t="s">
        <v>8401</v>
      </c>
    </row>
    <row r="2707" spans="1:4" x14ac:dyDescent="0.25">
      <c r="A2707" s="63" t="s">
        <v>3975</v>
      </c>
      <c r="B2707" t="s">
        <v>1316</v>
      </c>
      <c r="C2707" t="s">
        <v>5043</v>
      </c>
      <c r="D2707" t="s">
        <v>8401</v>
      </c>
    </row>
    <row r="2708" spans="1:4" x14ac:dyDescent="0.25">
      <c r="A2708" s="63" t="s">
        <v>3976</v>
      </c>
      <c r="B2708" t="s">
        <v>1315</v>
      </c>
      <c r="C2708" t="s">
        <v>5043</v>
      </c>
      <c r="D2708" t="s">
        <v>8401</v>
      </c>
    </row>
    <row r="2709" spans="1:4" x14ac:dyDescent="0.25">
      <c r="A2709" s="63" t="s">
        <v>3977</v>
      </c>
      <c r="B2709" t="s">
        <v>1315</v>
      </c>
      <c r="C2709" t="s">
        <v>5043</v>
      </c>
      <c r="D2709" t="s">
        <v>8401</v>
      </c>
    </row>
    <row r="2710" spans="1:4" x14ac:dyDescent="0.25">
      <c r="A2710" s="63" t="s">
        <v>3978</v>
      </c>
      <c r="B2710" t="s">
        <v>1315</v>
      </c>
      <c r="C2710" t="s">
        <v>5043</v>
      </c>
      <c r="D2710" t="s">
        <v>8401</v>
      </c>
    </row>
    <row r="2711" spans="1:4" x14ac:dyDescent="0.25">
      <c r="A2711" s="63" t="s">
        <v>3979</v>
      </c>
      <c r="B2711" t="s">
        <v>1315</v>
      </c>
      <c r="C2711" t="s">
        <v>5043</v>
      </c>
      <c r="D2711" t="s">
        <v>8401</v>
      </c>
    </row>
    <row r="2712" spans="1:4" x14ac:dyDescent="0.25">
      <c r="A2712" s="63" t="s">
        <v>3980</v>
      </c>
      <c r="B2712" t="s">
        <v>1315</v>
      </c>
      <c r="C2712" t="s">
        <v>5043</v>
      </c>
      <c r="D2712" t="s">
        <v>8401</v>
      </c>
    </row>
    <row r="2713" spans="1:4" x14ac:dyDescent="0.25">
      <c r="A2713" s="63" t="s">
        <v>3981</v>
      </c>
      <c r="B2713" t="s">
        <v>1315</v>
      </c>
      <c r="C2713" t="s">
        <v>5043</v>
      </c>
      <c r="D2713" t="s">
        <v>8401</v>
      </c>
    </row>
    <row r="2714" spans="1:4" x14ac:dyDescent="0.25">
      <c r="A2714" s="63" t="s">
        <v>3982</v>
      </c>
      <c r="B2714" t="s">
        <v>1315</v>
      </c>
      <c r="C2714" t="s">
        <v>5043</v>
      </c>
      <c r="D2714" t="s">
        <v>8401</v>
      </c>
    </row>
    <row r="2715" spans="1:4" x14ac:dyDescent="0.25">
      <c r="A2715" s="63" t="s">
        <v>3983</v>
      </c>
      <c r="B2715" t="s">
        <v>2072</v>
      </c>
      <c r="C2715" t="s">
        <v>5043</v>
      </c>
      <c r="D2715" t="s">
        <v>8401</v>
      </c>
    </row>
    <row r="2716" spans="1:4" x14ac:dyDescent="0.25">
      <c r="A2716" s="63" t="s">
        <v>3984</v>
      </c>
      <c r="B2716" t="s">
        <v>2073</v>
      </c>
      <c r="C2716" t="s">
        <v>5043</v>
      </c>
      <c r="D2716" t="s">
        <v>8401</v>
      </c>
    </row>
    <row r="2717" spans="1:4" x14ac:dyDescent="0.25">
      <c r="A2717" s="63" t="s">
        <v>8144</v>
      </c>
      <c r="B2717" t="s">
        <v>1601</v>
      </c>
      <c r="C2717" t="s">
        <v>5043</v>
      </c>
      <c r="D2717" t="s">
        <v>8401</v>
      </c>
    </row>
    <row r="2718" spans="1:4" x14ac:dyDescent="0.25">
      <c r="A2718" s="63" t="s">
        <v>8145</v>
      </c>
      <c r="B2718" t="s">
        <v>1601</v>
      </c>
      <c r="C2718" t="s">
        <v>5043</v>
      </c>
      <c r="D2718" t="s">
        <v>8401</v>
      </c>
    </row>
    <row r="2719" spans="1:4" x14ac:dyDescent="0.25">
      <c r="A2719" s="63" t="s">
        <v>8146</v>
      </c>
      <c r="B2719" t="s">
        <v>1601</v>
      </c>
      <c r="C2719" t="s">
        <v>5043</v>
      </c>
      <c r="D2719" t="s">
        <v>8401</v>
      </c>
    </row>
    <row r="2720" spans="1:4" x14ac:dyDescent="0.25">
      <c r="A2720" s="63" t="s">
        <v>3985</v>
      </c>
      <c r="B2720" t="s">
        <v>1601</v>
      </c>
      <c r="C2720" t="s">
        <v>5043</v>
      </c>
      <c r="D2720" t="s">
        <v>8401</v>
      </c>
    </row>
    <row r="2721" spans="1:4" x14ac:dyDescent="0.25">
      <c r="A2721" s="63" t="s">
        <v>3986</v>
      </c>
      <c r="B2721" t="s">
        <v>1601</v>
      </c>
      <c r="C2721" t="s">
        <v>5043</v>
      </c>
      <c r="D2721" t="s">
        <v>8401</v>
      </c>
    </row>
    <row r="2722" spans="1:4" x14ac:dyDescent="0.25">
      <c r="A2722" s="63" t="s">
        <v>3987</v>
      </c>
      <c r="B2722" t="s">
        <v>1601</v>
      </c>
      <c r="C2722" t="s">
        <v>5043</v>
      </c>
      <c r="D2722" t="s">
        <v>8401</v>
      </c>
    </row>
    <row r="2723" spans="1:4" x14ac:dyDescent="0.25">
      <c r="A2723" s="63" t="s">
        <v>3988</v>
      </c>
      <c r="B2723" t="s">
        <v>1601</v>
      </c>
      <c r="C2723" t="s">
        <v>5043</v>
      </c>
      <c r="D2723" t="s">
        <v>8401</v>
      </c>
    </row>
    <row r="2724" spans="1:4" x14ac:dyDescent="0.25">
      <c r="A2724" s="63" t="s">
        <v>3989</v>
      </c>
      <c r="B2724" t="s">
        <v>1601</v>
      </c>
      <c r="C2724" t="s">
        <v>5043</v>
      </c>
      <c r="D2724" t="s">
        <v>8401</v>
      </c>
    </row>
    <row r="2725" spans="1:4" x14ac:dyDescent="0.25">
      <c r="A2725" s="63" t="s">
        <v>3990</v>
      </c>
      <c r="B2725" t="s">
        <v>2074</v>
      </c>
      <c r="C2725" t="s">
        <v>5043</v>
      </c>
      <c r="D2725" t="s">
        <v>8401</v>
      </c>
    </row>
    <row r="2726" spans="1:4" x14ac:dyDescent="0.25">
      <c r="A2726" s="63" t="s">
        <v>3991</v>
      </c>
      <c r="B2726" t="s">
        <v>2074</v>
      </c>
      <c r="C2726" t="s">
        <v>5043</v>
      </c>
      <c r="D2726" t="s">
        <v>8401</v>
      </c>
    </row>
    <row r="2727" spans="1:4" x14ac:dyDescent="0.25">
      <c r="A2727" s="63" t="s">
        <v>3992</v>
      </c>
      <c r="B2727" t="s">
        <v>2074</v>
      </c>
      <c r="C2727" t="s">
        <v>5043</v>
      </c>
      <c r="D2727" t="s">
        <v>8401</v>
      </c>
    </row>
    <row r="2728" spans="1:4" x14ac:dyDescent="0.25">
      <c r="A2728" s="63" t="s">
        <v>3993</v>
      </c>
      <c r="B2728" t="s">
        <v>2074</v>
      </c>
      <c r="C2728" t="s">
        <v>5043</v>
      </c>
      <c r="D2728" t="s">
        <v>8401</v>
      </c>
    </row>
    <row r="2729" spans="1:4" x14ac:dyDescent="0.25">
      <c r="A2729" s="63" t="s">
        <v>3994</v>
      </c>
      <c r="B2729" t="s">
        <v>2075</v>
      </c>
      <c r="C2729" t="s">
        <v>5043</v>
      </c>
      <c r="D2729" t="s">
        <v>8401</v>
      </c>
    </row>
    <row r="2730" spans="1:4" x14ac:dyDescent="0.25">
      <c r="A2730" s="63" t="s">
        <v>8147</v>
      </c>
      <c r="B2730" t="s">
        <v>1600</v>
      </c>
      <c r="C2730" t="s">
        <v>5043</v>
      </c>
      <c r="D2730" t="s">
        <v>8401</v>
      </c>
    </row>
    <row r="2731" spans="1:4" x14ac:dyDescent="0.25">
      <c r="A2731" s="63" t="s">
        <v>3995</v>
      </c>
      <c r="B2731" t="s">
        <v>1361</v>
      </c>
      <c r="C2731" t="s">
        <v>5043</v>
      </c>
      <c r="D2731" t="s">
        <v>8401</v>
      </c>
    </row>
    <row r="2732" spans="1:4" x14ac:dyDescent="0.25">
      <c r="A2732" s="63" t="s">
        <v>3996</v>
      </c>
      <c r="B2732" t="s">
        <v>1361</v>
      </c>
      <c r="C2732" t="s">
        <v>5043</v>
      </c>
      <c r="D2732" t="s">
        <v>8401</v>
      </c>
    </row>
    <row r="2733" spans="1:4" x14ac:dyDescent="0.25">
      <c r="A2733" s="63" t="s">
        <v>3997</v>
      </c>
      <c r="B2733" t="s">
        <v>1361</v>
      </c>
      <c r="C2733" t="s">
        <v>5043</v>
      </c>
      <c r="D2733" t="s">
        <v>8401</v>
      </c>
    </row>
    <row r="2734" spans="1:4" x14ac:dyDescent="0.25">
      <c r="A2734" s="63" t="s">
        <v>3998</v>
      </c>
      <c r="B2734" t="s">
        <v>2676</v>
      </c>
      <c r="C2734" t="s">
        <v>5043</v>
      </c>
      <c r="D2734" t="s">
        <v>8401</v>
      </c>
    </row>
    <row r="2735" spans="1:4" x14ac:dyDescent="0.25">
      <c r="A2735" s="63" t="s">
        <v>3999</v>
      </c>
      <c r="B2735" t="s">
        <v>1419</v>
      </c>
      <c r="C2735" t="s">
        <v>5043</v>
      </c>
      <c r="D2735" t="s">
        <v>8401</v>
      </c>
    </row>
    <row r="2736" spans="1:4" x14ac:dyDescent="0.25">
      <c r="A2736" s="63" t="s">
        <v>4000</v>
      </c>
      <c r="B2736" t="s">
        <v>1419</v>
      </c>
      <c r="C2736" t="s">
        <v>5043</v>
      </c>
      <c r="D2736" t="s">
        <v>8401</v>
      </c>
    </row>
    <row r="2737" spans="1:4" x14ac:dyDescent="0.25">
      <c r="A2737" s="63" t="s">
        <v>4001</v>
      </c>
      <c r="B2737" t="s">
        <v>1419</v>
      </c>
      <c r="C2737" t="s">
        <v>5043</v>
      </c>
      <c r="D2737" t="s">
        <v>8401</v>
      </c>
    </row>
    <row r="2738" spans="1:4" x14ac:dyDescent="0.25">
      <c r="A2738" s="63" t="s">
        <v>4002</v>
      </c>
      <c r="B2738" t="s">
        <v>1419</v>
      </c>
      <c r="C2738" t="s">
        <v>5043</v>
      </c>
      <c r="D2738" t="s">
        <v>8401</v>
      </c>
    </row>
    <row r="2739" spans="1:4" x14ac:dyDescent="0.25">
      <c r="A2739" s="63" t="s">
        <v>8148</v>
      </c>
      <c r="B2739" t="s">
        <v>1419</v>
      </c>
      <c r="C2739" t="s">
        <v>5043</v>
      </c>
      <c r="D2739" t="s">
        <v>8401</v>
      </c>
    </row>
    <row r="2740" spans="1:4" x14ac:dyDescent="0.25">
      <c r="A2740" s="63" t="s">
        <v>4003</v>
      </c>
      <c r="B2740" t="s">
        <v>1419</v>
      </c>
      <c r="C2740" t="s">
        <v>5043</v>
      </c>
      <c r="D2740" t="s">
        <v>8401</v>
      </c>
    </row>
    <row r="2741" spans="1:4" x14ac:dyDescent="0.25">
      <c r="A2741" s="63" t="s">
        <v>4004</v>
      </c>
      <c r="B2741" t="s">
        <v>1419</v>
      </c>
      <c r="C2741" t="s">
        <v>5043</v>
      </c>
      <c r="D2741" t="s">
        <v>8401</v>
      </c>
    </row>
    <row r="2742" spans="1:4" x14ac:dyDescent="0.25">
      <c r="A2742" s="63" t="s">
        <v>4005</v>
      </c>
      <c r="B2742" t="s">
        <v>1865</v>
      </c>
      <c r="C2742" t="s">
        <v>5043</v>
      </c>
      <c r="D2742" t="s">
        <v>8401</v>
      </c>
    </row>
    <row r="2743" spans="1:4" x14ac:dyDescent="0.25">
      <c r="A2743" s="63" t="s">
        <v>4006</v>
      </c>
      <c r="B2743" t="s">
        <v>1363</v>
      </c>
      <c r="C2743" t="s">
        <v>5043</v>
      </c>
      <c r="D2743" t="s">
        <v>8401</v>
      </c>
    </row>
    <row r="2744" spans="1:4" x14ac:dyDescent="0.25">
      <c r="A2744" s="63" t="s">
        <v>5101</v>
      </c>
      <c r="B2744" t="s">
        <v>1307</v>
      </c>
      <c r="C2744" t="s">
        <v>5043</v>
      </c>
      <c r="D2744" t="s">
        <v>8401</v>
      </c>
    </row>
    <row r="2745" spans="1:4" x14ac:dyDescent="0.25">
      <c r="A2745" s="63" t="s">
        <v>5102</v>
      </c>
      <c r="B2745" t="s">
        <v>1307</v>
      </c>
      <c r="C2745" t="s">
        <v>5043</v>
      </c>
      <c r="D2745" t="s">
        <v>8401</v>
      </c>
    </row>
    <row r="2746" spans="1:4" x14ac:dyDescent="0.25">
      <c r="A2746" s="63" t="s">
        <v>5327</v>
      </c>
      <c r="B2746" t="s">
        <v>1307</v>
      </c>
      <c r="C2746" t="s">
        <v>5043</v>
      </c>
      <c r="D2746" t="s">
        <v>8401</v>
      </c>
    </row>
    <row r="2747" spans="1:4" x14ac:dyDescent="0.25">
      <c r="A2747" s="63" t="s">
        <v>5328</v>
      </c>
      <c r="B2747" t="s">
        <v>1307</v>
      </c>
      <c r="C2747" t="s">
        <v>5043</v>
      </c>
      <c r="D2747" t="s">
        <v>8401</v>
      </c>
    </row>
    <row r="2748" spans="1:4" x14ac:dyDescent="0.25">
      <c r="A2748" s="63" t="s">
        <v>8149</v>
      </c>
      <c r="B2748" t="s">
        <v>1307</v>
      </c>
      <c r="C2748" t="s">
        <v>5043</v>
      </c>
      <c r="D2748" t="s">
        <v>8401</v>
      </c>
    </row>
    <row r="2749" spans="1:4" x14ac:dyDescent="0.25">
      <c r="A2749" s="63" t="s">
        <v>4007</v>
      </c>
      <c r="B2749" t="s">
        <v>1720</v>
      </c>
      <c r="C2749" t="s">
        <v>5043</v>
      </c>
      <c r="D2749" t="s">
        <v>8401</v>
      </c>
    </row>
    <row r="2750" spans="1:4" x14ac:dyDescent="0.25">
      <c r="A2750" s="63" t="s">
        <v>4008</v>
      </c>
      <c r="B2750" t="s">
        <v>1720</v>
      </c>
      <c r="C2750" t="s">
        <v>5043</v>
      </c>
      <c r="D2750" t="s">
        <v>8401</v>
      </c>
    </row>
    <row r="2751" spans="1:4" x14ac:dyDescent="0.25">
      <c r="A2751" s="63" t="s">
        <v>4009</v>
      </c>
      <c r="B2751" t="s">
        <v>1720</v>
      </c>
      <c r="C2751" t="s">
        <v>5043</v>
      </c>
      <c r="D2751" t="s">
        <v>8401</v>
      </c>
    </row>
    <row r="2752" spans="1:4" x14ac:dyDescent="0.25">
      <c r="A2752" s="63" t="s">
        <v>4010</v>
      </c>
      <c r="B2752" t="s">
        <v>1720</v>
      </c>
      <c r="C2752" t="s">
        <v>5043</v>
      </c>
      <c r="D2752" t="s">
        <v>8401</v>
      </c>
    </row>
    <row r="2753" spans="1:4" x14ac:dyDescent="0.25">
      <c r="A2753" s="63" t="s">
        <v>4011</v>
      </c>
      <c r="B2753" t="s">
        <v>1720</v>
      </c>
      <c r="C2753" t="s">
        <v>5043</v>
      </c>
      <c r="D2753" t="s">
        <v>8401</v>
      </c>
    </row>
    <row r="2754" spans="1:4" x14ac:dyDescent="0.25">
      <c r="A2754" s="63" t="s">
        <v>4012</v>
      </c>
      <c r="B2754" t="s">
        <v>1720</v>
      </c>
      <c r="C2754" t="s">
        <v>5043</v>
      </c>
      <c r="D2754" t="s">
        <v>8401</v>
      </c>
    </row>
    <row r="2755" spans="1:4" x14ac:dyDescent="0.25">
      <c r="A2755" s="63" t="s">
        <v>4013</v>
      </c>
      <c r="B2755" t="s">
        <v>1720</v>
      </c>
      <c r="C2755" t="s">
        <v>5043</v>
      </c>
      <c r="D2755" t="s">
        <v>8401</v>
      </c>
    </row>
    <row r="2756" spans="1:4" x14ac:dyDescent="0.25">
      <c r="A2756" s="63" t="s">
        <v>5152</v>
      </c>
      <c r="B2756" t="s">
        <v>1720</v>
      </c>
      <c r="C2756" t="s">
        <v>5043</v>
      </c>
      <c r="D2756" t="s">
        <v>8401</v>
      </c>
    </row>
    <row r="2757" spans="1:4" x14ac:dyDescent="0.25">
      <c r="A2757" s="63" t="s">
        <v>5153</v>
      </c>
      <c r="B2757" t="s">
        <v>1720</v>
      </c>
      <c r="C2757" t="s">
        <v>5043</v>
      </c>
      <c r="D2757" t="s">
        <v>8401</v>
      </c>
    </row>
    <row r="2758" spans="1:4" x14ac:dyDescent="0.25">
      <c r="A2758" s="63" t="s">
        <v>5154</v>
      </c>
      <c r="B2758" t="s">
        <v>1720</v>
      </c>
      <c r="C2758" t="s">
        <v>5043</v>
      </c>
      <c r="D2758" t="s">
        <v>8401</v>
      </c>
    </row>
    <row r="2759" spans="1:4" x14ac:dyDescent="0.25">
      <c r="A2759" s="63" t="s">
        <v>5155</v>
      </c>
      <c r="B2759" t="s">
        <v>1720</v>
      </c>
      <c r="C2759" t="s">
        <v>5043</v>
      </c>
      <c r="D2759" t="s">
        <v>8401</v>
      </c>
    </row>
    <row r="2760" spans="1:4" x14ac:dyDescent="0.25">
      <c r="A2760" s="63" t="s">
        <v>5156</v>
      </c>
      <c r="B2760" t="s">
        <v>1720</v>
      </c>
      <c r="C2760" t="s">
        <v>5043</v>
      </c>
      <c r="D2760" t="s">
        <v>8401</v>
      </c>
    </row>
    <row r="2761" spans="1:4" x14ac:dyDescent="0.25">
      <c r="A2761" s="63" t="s">
        <v>5157</v>
      </c>
      <c r="B2761" t="s">
        <v>1720</v>
      </c>
      <c r="C2761" t="s">
        <v>5043</v>
      </c>
      <c r="D2761" t="s">
        <v>8401</v>
      </c>
    </row>
    <row r="2762" spans="1:4" x14ac:dyDescent="0.25">
      <c r="A2762" s="63" t="s">
        <v>5158</v>
      </c>
      <c r="B2762" t="s">
        <v>1720</v>
      </c>
      <c r="C2762" t="s">
        <v>5043</v>
      </c>
      <c r="D2762" t="s">
        <v>8401</v>
      </c>
    </row>
    <row r="2763" spans="1:4" x14ac:dyDescent="0.25">
      <c r="A2763" s="63" t="s">
        <v>4014</v>
      </c>
      <c r="B2763" t="s">
        <v>1362</v>
      </c>
      <c r="C2763" t="s">
        <v>5043</v>
      </c>
      <c r="D2763" t="s">
        <v>8401</v>
      </c>
    </row>
    <row r="2764" spans="1:4" x14ac:dyDescent="0.25">
      <c r="A2764" s="63" t="s">
        <v>4015</v>
      </c>
      <c r="B2764" t="s">
        <v>1362</v>
      </c>
      <c r="C2764" t="s">
        <v>5043</v>
      </c>
      <c r="D2764" t="s">
        <v>8401</v>
      </c>
    </row>
    <row r="2765" spans="1:4" x14ac:dyDescent="0.25">
      <c r="A2765" s="63" t="s">
        <v>4016</v>
      </c>
      <c r="B2765" t="s">
        <v>1965</v>
      </c>
      <c r="C2765" t="s">
        <v>5043</v>
      </c>
      <c r="D2765" t="s">
        <v>8401</v>
      </c>
    </row>
    <row r="2766" spans="1:4" x14ac:dyDescent="0.25">
      <c r="A2766" s="63" t="s">
        <v>4017</v>
      </c>
      <c r="B2766" t="s">
        <v>1364</v>
      </c>
      <c r="C2766" t="s">
        <v>5043</v>
      </c>
      <c r="D2766" t="s">
        <v>8401</v>
      </c>
    </row>
    <row r="2767" spans="1:4" x14ac:dyDescent="0.25">
      <c r="A2767" s="63" t="s">
        <v>4018</v>
      </c>
      <c r="B2767" t="s">
        <v>1364</v>
      </c>
      <c r="C2767" t="s">
        <v>5043</v>
      </c>
      <c r="D2767" t="s">
        <v>8401</v>
      </c>
    </row>
    <row r="2768" spans="1:4" x14ac:dyDescent="0.25">
      <c r="A2768" s="63" t="s">
        <v>4019</v>
      </c>
      <c r="B2768" t="s">
        <v>2244</v>
      </c>
      <c r="C2768" t="s">
        <v>5043</v>
      </c>
      <c r="D2768" t="s">
        <v>8401</v>
      </c>
    </row>
    <row r="2769" spans="1:4" x14ac:dyDescent="0.25">
      <c r="A2769" s="63" t="s">
        <v>4020</v>
      </c>
      <c r="B2769" t="s">
        <v>1365</v>
      </c>
      <c r="C2769" t="s">
        <v>5043</v>
      </c>
      <c r="D2769" t="s">
        <v>8401</v>
      </c>
    </row>
    <row r="2770" spans="1:4" x14ac:dyDescent="0.25">
      <c r="A2770" s="63" t="s">
        <v>4021</v>
      </c>
      <c r="B2770" t="s">
        <v>1365</v>
      </c>
      <c r="C2770" t="s">
        <v>5043</v>
      </c>
      <c r="D2770" t="s">
        <v>8401</v>
      </c>
    </row>
    <row r="2771" spans="1:4" x14ac:dyDescent="0.25">
      <c r="A2771" s="63" t="s">
        <v>4022</v>
      </c>
      <c r="B2771" t="s">
        <v>2250</v>
      </c>
      <c r="C2771" t="s">
        <v>5043</v>
      </c>
      <c r="D2771" t="s">
        <v>8401</v>
      </c>
    </row>
    <row r="2772" spans="1:4" x14ac:dyDescent="0.25">
      <c r="A2772" s="63" t="s">
        <v>4023</v>
      </c>
      <c r="B2772" t="s">
        <v>1366</v>
      </c>
      <c r="C2772" t="s">
        <v>5043</v>
      </c>
      <c r="D2772" t="s">
        <v>8401</v>
      </c>
    </row>
    <row r="2773" spans="1:4" x14ac:dyDescent="0.25">
      <c r="A2773" s="63" t="s">
        <v>4024</v>
      </c>
      <c r="B2773" t="s">
        <v>1366</v>
      </c>
      <c r="C2773" t="s">
        <v>5043</v>
      </c>
      <c r="D2773" t="s">
        <v>8401</v>
      </c>
    </row>
    <row r="2774" spans="1:4" x14ac:dyDescent="0.25">
      <c r="A2774" s="63" t="s">
        <v>4025</v>
      </c>
      <c r="B2774" t="s">
        <v>1366</v>
      </c>
      <c r="C2774" t="s">
        <v>5043</v>
      </c>
      <c r="D2774" t="s">
        <v>8401</v>
      </c>
    </row>
    <row r="2775" spans="1:4" x14ac:dyDescent="0.25">
      <c r="A2775" s="63" t="s">
        <v>4026</v>
      </c>
      <c r="B2775" t="s">
        <v>1366</v>
      </c>
      <c r="C2775" t="s">
        <v>5043</v>
      </c>
      <c r="D2775" t="s">
        <v>8401</v>
      </c>
    </row>
    <row r="2776" spans="1:4" x14ac:dyDescent="0.25">
      <c r="A2776" s="63" t="s">
        <v>4027</v>
      </c>
      <c r="B2776" t="s">
        <v>1366</v>
      </c>
      <c r="C2776" t="s">
        <v>5043</v>
      </c>
      <c r="D2776" t="s">
        <v>8401</v>
      </c>
    </row>
    <row r="2777" spans="1:4" x14ac:dyDescent="0.25">
      <c r="A2777" s="63" t="s">
        <v>4028</v>
      </c>
      <c r="B2777" t="s">
        <v>1366</v>
      </c>
      <c r="C2777" t="s">
        <v>5043</v>
      </c>
      <c r="D2777" t="s">
        <v>8401</v>
      </c>
    </row>
    <row r="2778" spans="1:4" x14ac:dyDescent="0.25">
      <c r="A2778" s="63" t="s">
        <v>8150</v>
      </c>
      <c r="B2778" t="s">
        <v>2411</v>
      </c>
      <c r="C2778" t="s">
        <v>5043</v>
      </c>
      <c r="D2778" t="s">
        <v>8401</v>
      </c>
    </row>
    <row r="2779" spans="1:4" x14ac:dyDescent="0.25">
      <c r="A2779" s="63" t="s">
        <v>8151</v>
      </c>
      <c r="B2779" t="s">
        <v>1357</v>
      </c>
      <c r="C2779" t="s">
        <v>5043</v>
      </c>
      <c r="D2779" t="s">
        <v>8401</v>
      </c>
    </row>
    <row r="2780" spans="1:4" x14ac:dyDescent="0.25">
      <c r="A2780" s="63" t="s">
        <v>4029</v>
      </c>
      <c r="B2780" t="s">
        <v>2114</v>
      </c>
      <c r="C2780" t="s">
        <v>5043</v>
      </c>
      <c r="D2780" t="s">
        <v>8401</v>
      </c>
    </row>
    <row r="2781" spans="1:4" x14ac:dyDescent="0.25">
      <c r="A2781" s="63" t="s">
        <v>4030</v>
      </c>
      <c r="B2781" t="s">
        <v>2114</v>
      </c>
      <c r="C2781" t="s">
        <v>5043</v>
      </c>
      <c r="D2781" t="s">
        <v>8401</v>
      </c>
    </row>
    <row r="2782" spans="1:4" x14ac:dyDescent="0.25">
      <c r="A2782" s="63" t="s">
        <v>4031</v>
      </c>
      <c r="B2782" t="s">
        <v>1714</v>
      </c>
      <c r="C2782" t="s">
        <v>5043</v>
      </c>
      <c r="D2782" t="s">
        <v>8401</v>
      </c>
    </row>
    <row r="2783" spans="1:4" x14ac:dyDescent="0.25">
      <c r="A2783" s="63" t="s">
        <v>2647</v>
      </c>
      <c r="B2783" t="s">
        <v>1714</v>
      </c>
      <c r="C2783" t="s">
        <v>5043</v>
      </c>
      <c r="D2783" t="s">
        <v>8401</v>
      </c>
    </row>
    <row r="2784" spans="1:4" x14ac:dyDescent="0.25">
      <c r="A2784" s="63" t="s">
        <v>4032</v>
      </c>
      <c r="B2784" t="s">
        <v>1714</v>
      </c>
      <c r="C2784" t="s">
        <v>5043</v>
      </c>
      <c r="D2784" t="s">
        <v>8401</v>
      </c>
    </row>
    <row r="2785" spans="1:4" x14ac:dyDescent="0.25">
      <c r="A2785" s="63" t="s">
        <v>4033</v>
      </c>
      <c r="B2785" t="s">
        <v>1714</v>
      </c>
      <c r="C2785" t="s">
        <v>5043</v>
      </c>
      <c r="D2785" t="s">
        <v>8401</v>
      </c>
    </row>
    <row r="2786" spans="1:4" x14ac:dyDescent="0.25">
      <c r="A2786" s="63" t="s">
        <v>2654</v>
      </c>
      <c r="B2786" t="s">
        <v>1714</v>
      </c>
      <c r="C2786" t="s">
        <v>5043</v>
      </c>
      <c r="D2786" t="s">
        <v>8401</v>
      </c>
    </row>
    <row r="2787" spans="1:4" x14ac:dyDescent="0.25">
      <c r="A2787" s="63" t="s">
        <v>4034</v>
      </c>
      <c r="B2787" t="s">
        <v>1530</v>
      </c>
      <c r="C2787" t="s">
        <v>5043</v>
      </c>
      <c r="D2787" t="s">
        <v>8401</v>
      </c>
    </row>
    <row r="2788" spans="1:4" x14ac:dyDescent="0.25">
      <c r="A2788" s="63" t="s">
        <v>4035</v>
      </c>
      <c r="B2788" t="s">
        <v>1530</v>
      </c>
      <c r="C2788" t="s">
        <v>5043</v>
      </c>
      <c r="D2788" t="s">
        <v>8401</v>
      </c>
    </row>
    <row r="2789" spans="1:4" x14ac:dyDescent="0.25">
      <c r="A2789" s="63" t="s">
        <v>8152</v>
      </c>
      <c r="B2789" t="s">
        <v>1530</v>
      </c>
      <c r="C2789" t="s">
        <v>5043</v>
      </c>
      <c r="D2789" t="s">
        <v>8401</v>
      </c>
    </row>
    <row r="2790" spans="1:4" x14ac:dyDescent="0.25">
      <c r="A2790" s="63" t="s">
        <v>8153</v>
      </c>
      <c r="B2790" t="s">
        <v>1530</v>
      </c>
      <c r="C2790" t="s">
        <v>5043</v>
      </c>
      <c r="D2790" t="s">
        <v>8401</v>
      </c>
    </row>
    <row r="2791" spans="1:4" x14ac:dyDescent="0.25">
      <c r="A2791" s="63" t="s">
        <v>8154</v>
      </c>
      <c r="B2791" t="s">
        <v>1530</v>
      </c>
      <c r="C2791" t="s">
        <v>5043</v>
      </c>
      <c r="D2791" t="s">
        <v>8401</v>
      </c>
    </row>
    <row r="2792" spans="1:4" x14ac:dyDescent="0.25">
      <c r="A2792" s="63" t="s">
        <v>8155</v>
      </c>
      <c r="B2792" t="s">
        <v>1530</v>
      </c>
      <c r="C2792" t="s">
        <v>5043</v>
      </c>
      <c r="D2792" t="s">
        <v>8401</v>
      </c>
    </row>
    <row r="2793" spans="1:4" x14ac:dyDescent="0.25">
      <c r="A2793" s="63" t="s">
        <v>8156</v>
      </c>
      <c r="B2793" t="s">
        <v>1530</v>
      </c>
      <c r="C2793" t="s">
        <v>5043</v>
      </c>
      <c r="D2793" t="s">
        <v>8401</v>
      </c>
    </row>
    <row r="2794" spans="1:4" x14ac:dyDescent="0.25">
      <c r="A2794" s="63" t="s">
        <v>8157</v>
      </c>
      <c r="B2794" t="s">
        <v>8158</v>
      </c>
      <c r="C2794" t="s">
        <v>5043</v>
      </c>
      <c r="D2794" t="s">
        <v>8402</v>
      </c>
    </row>
    <row r="2795" spans="1:4" x14ac:dyDescent="0.25">
      <c r="A2795" s="63" t="s">
        <v>5638</v>
      </c>
      <c r="B2795" t="s">
        <v>8158</v>
      </c>
      <c r="C2795" t="s">
        <v>5043</v>
      </c>
      <c r="D2795" t="s">
        <v>8402</v>
      </c>
    </row>
    <row r="2796" spans="1:4" x14ac:dyDescent="0.25">
      <c r="A2796" s="63" t="s">
        <v>6204</v>
      </c>
      <c r="B2796" t="s">
        <v>8158</v>
      </c>
      <c r="C2796" t="s">
        <v>5043</v>
      </c>
      <c r="D2796" t="s">
        <v>8402</v>
      </c>
    </row>
    <row r="2797" spans="1:4" x14ac:dyDescent="0.25">
      <c r="A2797" s="63" t="s">
        <v>8159</v>
      </c>
      <c r="B2797" t="s">
        <v>8158</v>
      </c>
      <c r="C2797" t="s">
        <v>5043</v>
      </c>
      <c r="D2797" t="s">
        <v>8402</v>
      </c>
    </row>
    <row r="2798" spans="1:4" x14ac:dyDescent="0.25">
      <c r="A2798" s="63" t="s">
        <v>8160</v>
      </c>
      <c r="B2798" t="s">
        <v>1757</v>
      </c>
      <c r="C2798" t="s">
        <v>5043</v>
      </c>
      <c r="D2798" t="s">
        <v>8401</v>
      </c>
    </row>
    <row r="2799" spans="1:4" x14ac:dyDescent="0.25">
      <c r="A2799" s="63" t="s">
        <v>8161</v>
      </c>
      <c r="B2799" t="s">
        <v>1757</v>
      </c>
      <c r="C2799" t="s">
        <v>5043</v>
      </c>
      <c r="D2799" t="s">
        <v>8401</v>
      </c>
    </row>
    <row r="2800" spans="1:4" x14ac:dyDescent="0.25">
      <c r="A2800" s="63" t="s">
        <v>8162</v>
      </c>
      <c r="B2800" t="s">
        <v>1757</v>
      </c>
      <c r="C2800" t="s">
        <v>5043</v>
      </c>
      <c r="D2800" t="s">
        <v>8401</v>
      </c>
    </row>
    <row r="2801" spans="1:4" x14ac:dyDescent="0.25">
      <c r="A2801" s="63" t="s">
        <v>8163</v>
      </c>
      <c r="B2801" t="s">
        <v>1757</v>
      </c>
      <c r="C2801" t="s">
        <v>5043</v>
      </c>
      <c r="D2801" t="s">
        <v>8401</v>
      </c>
    </row>
    <row r="2802" spans="1:4" x14ac:dyDescent="0.25">
      <c r="A2802" s="63" t="s">
        <v>5718</v>
      </c>
      <c r="B2802" t="s">
        <v>1635</v>
      </c>
      <c r="C2802" t="s">
        <v>5043</v>
      </c>
      <c r="D2802" t="s">
        <v>8401</v>
      </c>
    </row>
    <row r="2803" spans="1:4" x14ac:dyDescent="0.25">
      <c r="A2803" s="63" t="s">
        <v>4036</v>
      </c>
      <c r="B2803" t="s">
        <v>1212</v>
      </c>
      <c r="C2803" t="s">
        <v>5043</v>
      </c>
      <c r="D2803" t="s">
        <v>8401</v>
      </c>
    </row>
    <row r="2804" spans="1:4" x14ac:dyDescent="0.25">
      <c r="A2804" s="63" t="s">
        <v>4037</v>
      </c>
      <c r="B2804" t="s">
        <v>1212</v>
      </c>
      <c r="C2804" t="s">
        <v>5043</v>
      </c>
      <c r="D2804" t="s">
        <v>8401</v>
      </c>
    </row>
    <row r="2805" spans="1:4" x14ac:dyDescent="0.25">
      <c r="A2805" s="63" t="s">
        <v>4038</v>
      </c>
      <c r="B2805" t="s">
        <v>1212</v>
      </c>
      <c r="C2805" t="s">
        <v>5043</v>
      </c>
      <c r="D2805" t="s">
        <v>8401</v>
      </c>
    </row>
    <row r="2806" spans="1:4" x14ac:dyDescent="0.25">
      <c r="A2806" s="63" t="s">
        <v>4039</v>
      </c>
      <c r="B2806" t="s">
        <v>1212</v>
      </c>
      <c r="C2806" t="s">
        <v>5043</v>
      </c>
      <c r="D2806" t="s">
        <v>8401</v>
      </c>
    </row>
    <row r="2807" spans="1:4" x14ac:dyDescent="0.25">
      <c r="A2807" s="63" t="s">
        <v>4040</v>
      </c>
      <c r="B2807" t="s">
        <v>1212</v>
      </c>
      <c r="C2807" t="s">
        <v>5043</v>
      </c>
      <c r="D2807" t="s">
        <v>8401</v>
      </c>
    </row>
    <row r="2808" spans="1:4" x14ac:dyDescent="0.25">
      <c r="A2808" s="63" t="s">
        <v>4041</v>
      </c>
      <c r="B2808" t="s">
        <v>1212</v>
      </c>
      <c r="C2808" t="s">
        <v>5043</v>
      </c>
      <c r="D2808" t="s">
        <v>8401</v>
      </c>
    </row>
    <row r="2809" spans="1:4" x14ac:dyDescent="0.25">
      <c r="A2809" s="63" t="s">
        <v>4042</v>
      </c>
      <c r="B2809" t="s">
        <v>1212</v>
      </c>
      <c r="C2809" t="s">
        <v>5043</v>
      </c>
      <c r="D2809" t="s">
        <v>8401</v>
      </c>
    </row>
    <row r="2810" spans="1:4" x14ac:dyDescent="0.25">
      <c r="A2810" s="63" t="s">
        <v>4043</v>
      </c>
      <c r="B2810" t="s">
        <v>1212</v>
      </c>
      <c r="C2810" t="s">
        <v>5043</v>
      </c>
      <c r="D2810" t="s">
        <v>8401</v>
      </c>
    </row>
    <row r="2811" spans="1:4" x14ac:dyDescent="0.25">
      <c r="A2811" s="63" t="s">
        <v>4044</v>
      </c>
      <c r="B2811" t="s">
        <v>1212</v>
      </c>
      <c r="C2811" t="s">
        <v>5043</v>
      </c>
      <c r="D2811" t="s">
        <v>8401</v>
      </c>
    </row>
    <row r="2812" spans="1:4" x14ac:dyDescent="0.25">
      <c r="A2812" s="63" t="s">
        <v>4045</v>
      </c>
      <c r="B2812" t="s">
        <v>1212</v>
      </c>
      <c r="C2812" t="s">
        <v>5043</v>
      </c>
      <c r="D2812" t="s">
        <v>8401</v>
      </c>
    </row>
    <row r="2813" spans="1:4" x14ac:dyDescent="0.25">
      <c r="A2813" s="63" t="s">
        <v>8164</v>
      </c>
      <c r="B2813" t="s">
        <v>8165</v>
      </c>
      <c r="C2813" t="s">
        <v>5043</v>
      </c>
      <c r="D2813" t="s">
        <v>8401</v>
      </c>
    </row>
    <row r="2814" spans="1:4" x14ac:dyDescent="0.25">
      <c r="A2814" s="63" t="s">
        <v>5719</v>
      </c>
      <c r="B2814" t="s">
        <v>2265</v>
      </c>
      <c r="C2814" t="s">
        <v>5043</v>
      </c>
      <c r="D2814" t="s">
        <v>8401</v>
      </c>
    </row>
    <row r="2815" spans="1:4" x14ac:dyDescent="0.25">
      <c r="A2815" s="63" t="s">
        <v>7155</v>
      </c>
      <c r="B2815" t="s">
        <v>1627</v>
      </c>
      <c r="C2815" t="s">
        <v>5043</v>
      </c>
      <c r="D2815" t="s">
        <v>8401</v>
      </c>
    </row>
    <row r="2816" spans="1:4" x14ac:dyDescent="0.25">
      <c r="A2816" s="63" t="s">
        <v>7156</v>
      </c>
      <c r="B2816" t="s">
        <v>1627</v>
      </c>
      <c r="C2816" t="s">
        <v>5043</v>
      </c>
      <c r="D2816" t="s">
        <v>8401</v>
      </c>
    </row>
    <row r="2817" spans="1:4" x14ac:dyDescent="0.25">
      <c r="A2817" s="63" t="s">
        <v>4046</v>
      </c>
      <c r="B2817" t="s">
        <v>1211</v>
      </c>
      <c r="C2817" t="s">
        <v>5043</v>
      </c>
      <c r="D2817" t="s">
        <v>8401</v>
      </c>
    </row>
    <row r="2818" spans="1:4" x14ac:dyDescent="0.25">
      <c r="A2818" s="63" t="s">
        <v>8166</v>
      </c>
      <c r="B2818" t="s">
        <v>2333</v>
      </c>
      <c r="C2818" t="s">
        <v>5043</v>
      </c>
      <c r="D2818" t="s">
        <v>8401</v>
      </c>
    </row>
    <row r="2819" spans="1:4" x14ac:dyDescent="0.25">
      <c r="A2819" s="63" t="s">
        <v>5729</v>
      </c>
      <c r="B2819" t="s">
        <v>1710</v>
      </c>
      <c r="C2819" t="s">
        <v>5043</v>
      </c>
      <c r="D2819" t="s">
        <v>8401</v>
      </c>
    </row>
    <row r="2820" spans="1:4" x14ac:dyDescent="0.25">
      <c r="A2820" s="63" t="s">
        <v>5722</v>
      </c>
      <c r="B2820" t="s">
        <v>2266</v>
      </c>
      <c r="C2820" t="s">
        <v>5043</v>
      </c>
      <c r="D2820" t="s">
        <v>8401</v>
      </c>
    </row>
    <row r="2821" spans="1:4" x14ac:dyDescent="0.25">
      <c r="A2821" s="63" t="s">
        <v>4047</v>
      </c>
      <c r="B2821" t="s">
        <v>1970</v>
      </c>
      <c r="C2821" t="s">
        <v>5043</v>
      </c>
      <c r="D2821" t="s">
        <v>8401</v>
      </c>
    </row>
    <row r="2822" spans="1:4" x14ac:dyDescent="0.25">
      <c r="A2822" s="63" t="s">
        <v>8167</v>
      </c>
      <c r="B2822" t="s">
        <v>1970</v>
      </c>
      <c r="C2822" t="s">
        <v>5043</v>
      </c>
      <c r="D2822" t="s">
        <v>8401</v>
      </c>
    </row>
    <row r="2823" spans="1:4" x14ac:dyDescent="0.25">
      <c r="A2823" s="63" t="s">
        <v>8168</v>
      </c>
      <c r="B2823" t="s">
        <v>1970</v>
      </c>
      <c r="C2823" t="s">
        <v>5043</v>
      </c>
      <c r="D2823" t="s">
        <v>8401</v>
      </c>
    </row>
    <row r="2824" spans="1:4" x14ac:dyDescent="0.25">
      <c r="A2824" s="63" t="s">
        <v>8169</v>
      </c>
      <c r="B2824" t="s">
        <v>1970</v>
      </c>
      <c r="C2824" t="s">
        <v>5043</v>
      </c>
      <c r="D2824" t="s">
        <v>8401</v>
      </c>
    </row>
    <row r="2825" spans="1:4" x14ac:dyDescent="0.25">
      <c r="A2825" s="63" t="s">
        <v>8170</v>
      </c>
      <c r="B2825" t="s">
        <v>1970</v>
      </c>
      <c r="C2825" t="s">
        <v>5043</v>
      </c>
      <c r="D2825" t="s">
        <v>8401</v>
      </c>
    </row>
    <row r="2826" spans="1:4" x14ac:dyDescent="0.25">
      <c r="A2826" s="63" t="s">
        <v>8171</v>
      </c>
      <c r="B2826" t="s">
        <v>1970</v>
      </c>
      <c r="C2826" t="s">
        <v>5043</v>
      </c>
      <c r="D2826" t="s">
        <v>8401</v>
      </c>
    </row>
    <row r="2827" spans="1:4" x14ac:dyDescent="0.25">
      <c r="A2827" s="63" t="s">
        <v>8172</v>
      </c>
      <c r="B2827" t="s">
        <v>1970</v>
      </c>
      <c r="C2827" t="s">
        <v>5043</v>
      </c>
      <c r="D2827" t="s">
        <v>8401</v>
      </c>
    </row>
    <row r="2828" spans="1:4" x14ac:dyDescent="0.25">
      <c r="A2828" s="63" t="s">
        <v>4048</v>
      </c>
      <c r="B2828" t="s">
        <v>1213</v>
      </c>
      <c r="C2828" t="s">
        <v>5043</v>
      </c>
      <c r="D2828" t="s">
        <v>8401</v>
      </c>
    </row>
    <row r="2829" spans="1:4" x14ac:dyDescent="0.25">
      <c r="A2829" s="63" t="s">
        <v>4049</v>
      </c>
      <c r="B2829" t="s">
        <v>1213</v>
      </c>
      <c r="C2829" t="s">
        <v>5043</v>
      </c>
      <c r="D2829" t="s">
        <v>8401</v>
      </c>
    </row>
    <row r="2830" spans="1:4" x14ac:dyDescent="0.25">
      <c r="A2830" s="63" t="s">
        <v>4050</v>
      </c>
      <c r="B2830" t="s">
        <v>1213</v>
      </c>
      <c r="C2830" t="s">
        <v>5043</v>
      </c>
      <c r="D2830" t="s">
        <v>8401</v>
      </c>
    </row>
    <row r="2831" spans="1:4" x14ac:dyDescent="0.25">
      <c r="A2831" s="63" t="s">
        <v>8173</v>
      </c>
      <c r="B2831" t="s">
        <v>1973</v>
      </c>
      <c r="C2831" t="s">
        <v>5043</v>
      </c>
      <c r="D2831" t="s">
        <v>8401</v>
      </c>
    </row>
    <row r="2832" spans="1:4" x14ac:dyDescent="0.25">
      <c r="A2832" s="63" t="s">
        <v>8174</v>
      </c>
      <c r="B2832" t="s">
        <v>1973</v>
      </c>
      <c r="C2832" t="s">
        <v>5043</v>
      </c>
      <c r="D2832" t="s">
        <v>8401</v>
      </c>
    </row>
    <row r="2833" spans="1:4" x14ac:dyDescent="0.25">
      <c r="A2833" s="63" t="s">
        <v>8175</v>
      </c>
      <c r="B2833" t="s">
        <v>1206</v>
      </c>
      <c r="C2833" t="s">
        <v>5043</v>
      </c>
      <c r="D2833" t="s">
        <v>8401</v>
      </c>
    </row>
    <row r="2834" spans="1:4" x14ac:dyDescent="0.25">
      <c r="A2834" s="63" t="s">
        <v>8176</v>
      </c>
      <c r="B2834" t="s">
        <v>1206</v>
      </c>
      <c r="C2834" t="s">
        <v>5043</v>
      </c>
      <c r="D2834" t="s">
        <v>8401</v>
      </c>
    </row>
    <row r="2835" spans="1:4" x14ac:dyDescent="0.25">
      <c r="A2835" s="63" t="s">
        <v>8177</v>
      </c>
      <c r="B2835" t="s">
        <v>1206</v>
      </c>
      <c r="C2835" t="s">
        <v>5043</v>
      </c>
      <c r="D2835" t="s">
        <v>8401</v>
      </c>
    </row>
    <row r="2836" spans="1:4" x14ac:dyDescent="0.25">
      <c r="A2836" s="63" t="s">
        <v>8178</v>
      </c>
      <c r="B2836" t="s">
        <v>1206</v>
      </c>
      <c r="C2836" t="s">
        <v>5043</v>
      </c>
      <c r="D2836" t="s">
        <v>8401</v>
      </c>
    </row>
    <row r="2837" spans="1:4" x14ac:dyDescent="0.25">
      <c r="A2837" s="63" t="s">
        <v>5075</v>
      </c>
      <c r="B2837" t="s">
        <v>1209</v>
      </c>
      <c r="C2837" t="s">
        <v>5043</v>
      </c>
      <c r="D2837" t="s">
        <v>8401</v>
      </c>
    </row>
    <row r="2838" spans="1:4" x14ac:dyDescent="0.25">
      <c r="A2838" s="63" t="s">
        <v>5076</v>
      </c>
      <c r="B2838" t="s">
        <v>1209</v>
      </c>
      <c r="C2838" t="s">
        <v>5043</v>
      </c>
      <c r="D2838" t="s">
        <v>8401</v>
      </c>
    </row>
    <row r="2839" spans="1:4" x14ac:dyDescent="0.25">
      <c r="A2839" s="63" t="s">
        <v>4051</v>
      </c>
      <c r="B2839" t="s">
        <v>1209</v>
      </c>
      <c r="C2839" t="s">
        <v>5043</v>
      </c>
      <c r="D2839" t="s">
        <v>8401</v>
      </c>
    </row>
    <row r="2840" spans="1:4" x14ac:dyDescent="0.25">
      <c r="A2840" s="63" t="s">
        <v>5077</v>
      </c>
      <c r="B2840" t="s">
        <v>1209</v>
      </c>
      <c r="C2840" t="s">
        <v>5043</v>
      </c>
      <c r="D2840" t="s">
        <v>8401</v>
      </c>
    </row>
    <row r="2841" spans="1:4" x14ac:dyDescent="0.25">
      <c r="A2841" s="63" t="s">
        <v>5079</v>
      </c>
      <c r="B2841" t="s">
        <v>1209</v>
      </c>
      <c r="C2841" t="s">
        <v>5043</v>
      </c>
      <c r="D2841" t="s">
        <v>8401</v>
      </c>
    </row>
    <row r="2842" spans="1:4" x14ac:dyDescent="0.25">
      <c r="A2842" s="63" t="s">
        <v>5094</v>
      </c>
      <c r="B2842" t="s">
        <v>1209</v>
      </c>
      <c r="C2842" t="s">
        <v>5043</v>
      </c>
      <c r="D2842" t="s">
        <v>8401</v>
      </c>
    </row>
    <row r="2843" spans="1:4" x14ac:dyDescent="0.25">
      <c r="A2843" s="63" t="s">
        <v>8179</v>
      </c>
      <c r="B2843" t="s">
        <v>1209</v>
      </c>
      <c r="C2843" t="s">
        <v>5043</v>
      </c>
      <c r="D2843" t="s">
        <v>8401</v>
      </c>
    </row>
    <row r="2844" spans="1:4" x14ac:dyDescent="0.25">
      <c r="A2844" s="63" t="s">
        <v>4052</v>
      </c>
      <c r="B2844" t="s">
        <v>1268</v>
      </c>
      <c r="C2844" t="s">
        <v>5043</v>
      </c>
      <c r="D2844" t="s">
        <v>8401</v>
      </c>
    </row>
    <row r="2845" spans="1:4" x14ac:dyDescent="0.25">
      <c r="A2845" s="63" t="s">
        <v>4053</v>
      </c>
      <c r="B2845" t="s">
        <v>1268</v>
      </c>
      <c r="C2845" t="s">
        <v>5043</v>
      </c>
      <c r="D2845" t="s">
        <v>8401</v>
      </c>
    </row>
    <row r="2846" spans="1:4" x14ac:dyDescent="0.25">
      <c r="A2846" s="63" t="s">
        <v>4054</v>
      </c>
      <c r="B2846" t="s">
        <v>1268</v>
      </c>
      <c r="C2846" t="s">
        <v>5043</v>
      </c>
      <c r="D2846" t="s">
        <v>8401</v>
      </c>
    </row>
    <row r="2847" spans="1:4" x14ac:dyDescent="0.25">
      <c r="A2847" s="63" t="s">
        <v>4055</v>
      </c>
      <c r="B2847" t="s">
        <v>1268</v>
      </c>
      <c r="C2847" t="s">
        <v>5043</v>
      </c>
      <c r="D2847" t="s">
        <v>8401</v>
      </c>
    </row>
    <row r="2848" spans="1:4" x14ac:dyDescent="0.25">
      <c r="A2848" s="63" t="s">
        <v>4056</v>
      </c>
      <c r="B2848" t="s">
        <v>1268</v>
      </c>
      <c r="C2848" t="s">
        <v>5043</v>
      </c>
      <c r="D2848" t="s">
        <v>8401</v>
      </c>
    </row>
    <row r="2849" spans="1:4" x14ac:dyDescent="0.25">
      <c r="A2849" s="63" t="s">
        <v>4057</v>
      </c>
      <c r="B2849" t="s">
        <v>1268</v>
      </c>
      <c r="C2849" t="s">
        <v>5043</v>
      </c>
      <c r="D2849" t="s">
        <v>8401</v>
      </c>
    </row>
    <row r="2850" spans="1:4" x14ac:dyDescent="0.25">
      <c r="A2850" s="63" t="s">
        <v>4058</v>
      </c>
      <c r="B2850" t="s">
        <v>1268</v>
      </c>
      <c r="C2850" t="s">
        <v>5043</v>
      </c>
      <c r="D2850" t="s">
        <v>8401</v>
      </c>
    </row>
    <row r="2851" spans="1:4" x14ac:dyDescent="0.25">
      <c r="A2851" s="63" t="s">
        <v>4059</v>
      </c>
      <c r="B2851" t="s">
        <v>1268</v>
      </c>
      <c r="C2851" t="s">
        <v>5043</v>
      </c>
      <c r="D2851" t="s">
        <v>8401</v>
      </c>
    </row>
    <row r="2852" spans="1:4" x14ac:dyDescent="0.25">
      <c r="A2852" s="63" t="s">
        <v>4060</v>
      </c>
      <c r="B2852" t="s">
        <v>1268</v>
      </c>
      <c r="C2852" t="s">
        <v>5043</v>
      </c>
      <c r="D2852" t="s">
        <v>8401</v>
      </c>
    </row>
    <row r="2853" spans="1:4" x14ac:dyDescent="0.25">
      <c r="A2853" s="63" t="s">
        <v>6177</v>
      </c>
      <c r="B2853" t="s">
        <v>1268</v>
      </c>
      <c r="C2853" t="s">
        <v>5043</v>
      </c>
      <c r="D2853" t="s">
        <v>8401</v>
      </c>
    </row>
    <row r="2854" spans="1:4" x14ac:dyDescent="0.25">
      <c r="A2854" s="63" t="s">
        <v>8180</v>
      </c>
      <c r="B2854" t="s">
        <v>1268</v>
      </c>
      <c r="C2854" t="s">
        <v>5043</v>
      </c>
      <c r="D2854" t="s">
        <v>8401</v>
      </c>
    </row>
    <row r="2855" spans="1:4" x14ac:dyDescent="0.25">
      <c r="A2855" s="63" t="s">
        <v>8181</v>
      </c>
      <c r="B2855" t="s">
        <v>1268</v>
      </c>
      <c r="C2855" t="s">
        <v>5043</v>
      </c>
      <c r="D2855" t="s">
        <v>8401</v>
      </c>
    </row>
    <row r="2856" spans="1:4" x14ac:dyDescent="0.25">
      <c r="A2856" s="63" t="s">
        <v>8182</v>
      </c>
      <c r="B2856" t="s">
        <v>1268</v>
      </c>
      <c r="C2856" t="s">
        <v>5043</v>
      </c>
      <c r="D2856" t="s">
        <v>8401</v>
      </c>
    </row>
    <row r="2857" spans="1:4" x14ac:dyDescent="0.25">
      <c r="A2857" s="63" t="s">
        <v>8183</v>
      </c>
      <c r="B2857" t="s">
        <v>1268</v>
      </c>
      <c r="C2857" t="s">
        <v>5043</v>
      </c>
      <c r="D2857" t="s">
        <v>8401</v>
      </c>
    </row>
    <row r="2858" spans="1:4" x14ac:dyDescent="0.25">
      <c r="A2858" s="63" t="s">
        <v>8184</v>
      </c>
      <c r="B2858" t="s">
        <v>1268</v>
      </c>
      <c r="C2858" t="s">
        <v>5043</v>
      </c>
      <c r="D2858" t="s">
        <v>8401</v>
      </c>
    </row>
    <row r="2859" spans="1:4" x14ac:dyDescent="0.25">
      <c r="A2859" s="63" t="s">
        <v>8185</v>
      </c>
      <c r="B2859" t="s">
        <v>1268</v>
      </c>
      <c r="C2859" t="s">
        <v>5043</v>
      </c>
      <c r="D2859" t="s">
        <v>8401</v>
      </c>
    </row>
    <row r="2860" spans="1:4" x14ac:dyDescent="0.25">
      <c r="A2860" s="63" t="s">
        <v>4596</v>
      </c>
      <c r="B2860" t="s">
        <v>1416</v>
      </c>
      <c r="C2860" t="s">
        <v>5043</v>
      </c>
      <c r="D2860" t="s">
        <v>8401</v>
      </c>
    </row>
    <row r="2861" spans="1:4" x14ac:dyDescent="0.25">
      <c r="A2861" s="63" t="s">
        <v>7228</v>
      </c>
      <c r="B2861" t="s">
        <v>1416</v>
      </c>
      <c r="C2861" t="s">
        <v>5043</v>
      </c>
      <c r="D2861" t="s">
        <v>8401</v>
      </c>
    </row>
    <row r="2862" spans="1:4" x14ac:dyDescent="0.25">
      <c r="A2862" s="63" t="s">
        <v>7105</v>
      </c>
      <c r="B2862" t="s">
        <v>1416</v>
      </c>
      <c r="C2862" t="s">
        <v>5043</v>
      </c>
      <c r="D2862" t="s">
        <v>8401</v>
      </c>
    </row>
    <row r="2863" spans="1:4" x14ac:dyDescent="0.25">
      <c r="A2863" s="63" t="s">
        <v>7106</v>
      </c>
      <c r="B2863" t="s">
        <v>1416</v>
      </c>
      <c r="C2863" t="s">
        <v>5043</v>
      </c>
      <c r="D2863" t="s">
        <v>8401</v>
      </c>
    </row>
    <row r="2864" spans="1:4" x14ac:dyDescent="0.25">
      <c r="A2864" s="63" t="s">
        <v>4061</v>
      </c>
      <c r="B2864" t="s">
        <v>1416</v>
      </c>
      <c r="C2864" t="s">
        <v>5043</v>
      </c>
      <c r="D2864" t="s">
        <v>8401</v>
      </c>
    </row>
    <row r="2865" spans="1:4" x14ac:dyDescent="0.25">
      <c r="A2865" s="63" t="s">
        <v>4062</v>
      </c>
      <c r="B2865" t="s">
        <v>1416</v>
      </c>
      <c r="C2865" t="s">
        <v>5043</v>
      </c>
      <c r="D2865" t="s">
        <v>8401</v>
      </c>
    </row>
    <row r="2866" spans="1:4" x14ac:dyDescent="0.25">
      <c r="A2866" s="63" t="s">
        <v>4063</v>
      </c>
      <c r="B2866" t="s">
        <v>1416</v>
      </c>
      <c r="C2866" t="s">
        <v>5043</v>
      </c>
      <c r="D2866" t="s">
        <v>8401</v>
      </c>
    </row>
    <row r="2867" spans="1:4" x14ac:dyDescent="0.25">
      <c r="A2867" s="63" t="s">
        <v>4064</v>
      </c>
      <c r="B2867" t="s">
        <v>1416</v>
      </c>
      <c r="C2867" t="s">
        <v>5043</v>
      </c>
      <c r="D2867" t="s">
        <v>8401</v>
      </c>
    </row>
    <row r="2868" spans="1:4" x14ac:dyDescent="0.25">
      <c r="A2868" s="63" t="s">
        <v>4065</v>
      </c>
      <c r="B2868" t="s">
        <v>1416</v>
      </c>
      <c r="C2868" t="s">
        <v>5043</v>
      </c>
      <c r="D2868" t="s">
        <v>8401</v>
      </c>
    </row>
    <row r="2869" spans="1:4" x14ac:dyDescent="0.25">
      <c r="A2869" s="63" t="s">
        <v>4066</v>
      </c>
      <c r="B2869" t="s">
        <v>1416</v>
      </c>
      <c r="C2869" t="s">
        <v>5043</v>
      </c>
      <c r="D2869" t="s">
        <v>8401</v>
      </c>
    </row>
    <row r="2870" spans="1:4" x14ac:dyDescent="0.25">
      <c r="A2870" s="63" t="s">
        <v>6009</v>
      </c>
      <c r="B2870" t="s">
        <v>1266</v>
      </c>
      <c r="C2870" t="s">
        <v>5043</v>
      </c>
      <c r="D2870" t="s">
        <v>8401</v>
      </c>
    </row>
    <row r="2871" spans="1:4" x14ac:dyDescent="0.25">
      <c r="A2871" s="63" t="s">
        <v>5798</v>
      </c>
      <c r="B2871" t="s">
        <v>1266</v>
      </c>
      <c r="C2871" t="s">
        <v>5043</v>
      </c>
      <c r="D2871" t="s">
        <v>8401</v>
      </c>
    </row>
    <row r="2872" spans="1:4" x14ac:dyDescent="0.25">
      <c r="A2872" s="63" t="s">
        <v>8186</v>
      </c>
      <c r="B2872" t="s">
        <v>1266</v>
      </c>
      <c r="C2872" t="s">
        <v>5043</v>
      </c>
      <c r="D2872" t="s">
        <v>8401</v>
      </c>
    </row>
    <row r="2873" spans="1:4" x14ac:dyDescent="0.25">
      <c r="A2873" s="63" t="s">
        <v>4067</v>
      </c>
      <c r="B2873" t="s">
        <v>1266</v>
      </c>
      <c r="C2873" t="s">
        <v>5043</v>
      </c>
      <c r="D2873" t="s">
        <v>8401</v>
      </c>
    </row>
    <row r="2874" spans="1:4" x14ac:dyDescent="0.25">
      <c r="A2874" s="63" t="s">
        <v>4068</v>
      </c>
      <c r="B2874" t="s">
        <v>1863</v>
      </c>
      <c r="C2874" t="s">
        <v>5043</v>
      </c>
      <c r="D2874" t="s">
        <v>8401</v>
      </c>
    </row>
    <row r="2875" spans="1:4" x14ac:dyDescent="0.25">
      <c r="A2875" s="63" t="s">
        <v>4069</v>
      </c>
      <c r="B2875" t="s">
        <v>1863</v>
      </c>
      <c r="C2875" t="s">
        <v>5043</v>
      </c>
      <c r="D2875" t="s">
        <v>8401</v>
      </c>
    </row>
    <row r="2876" spans="1:4" x14ac:dyDescent="0.25">
      <c r="A2876" s="63" t="s">
        <v>6080</v>
      </c>
      <c r="B2876" t="s">
        <v>1861</v>
      </c>
      <c r="C2876" t="s">
        <v>5043</v>
      </c>
      <c r="D2876" t="s">
        <v>8401</v>
      </c>
    </row>
    <row r="2877" spans="1:4" x14ac:dyDescent="0.25">
      <c r="A2877" s="63" t="s">
        <v>5350</v>
      </c>
      <c r="B2877" t="s">
        <v>1861</v>
      </c>
      <c r="C2877" t="s">
        <v>5043</v>
      </c>
      <c r="D2877" t="s">
        <v>8401</v>
      </c>
    </row>
    <row r="2878" spans="1:4" x14ac:dyDescent="0.25">
      <c r="A2878" s="63" t="s">
        <v>4070</v>
      </c>
      <c r="B2878" t="s">
        <v>1861</v>
      </c>
      <c r="C2878" t="s">
        <v>5043</v>
      </c>
      <c r="D2878" t="s">
        <v>8401</v>
      </c>
    </row>
    <row r="2879" spans="1:4" x14ac:dyDescent="0.25">
      <c r="A2879" s="63" t="s">
        <v>4071</v>
      </c>
      <c r="B2879" t="s">
        <v>1861</v>
      </c>
      <c r="C2879" t="s">
        <v>5043</v>
      </c>
      <c r="D2879" t="s">
        <v>8401</v>
      </c>
    </row>
    <row r="2880" spans="1:4" x14ac:dyDescent="0.25">
      <c r="A2880" s="63" t="s">
        <v>4072</v>
      </c>
      <c r="B2880" t="s">
        <v>2004</v>
      </c>
      <c r="C2880" t="s">
        <v>5043</v>
      </c>
      <c r="D2880" t="s">
        <v>8401</v>
      </c>
    </row>
    <row r="2881" spans="1:4" x14ac:dyDescent="0.25">
      <c r="A2881" s="63" t="s">
        <v>4073</v>
      </c>
      <c r="B2881" t="s">
        <v>2005</v>
      </c>
      <c r="C2881" t="s">
        <v>5043</v>
      </c>
      <c r="D2881" t="s">
        <v>8401</v>
      </c>
    </row>
    <row r="2882" spans="1:4" x14ac:dyDescent="0.25">
      <c r="A2882" s="63" t="s">
        <v>4074</v>
      </c>
      <c r="B2882" t="s">
        <v>1418</v>
      </c>
      <c r="C2882" t="s">
        <v>5043</v>
      </c>
      <c r="D2882" t="s">
        <v>8401</v>
      </c>
    </row>
    <row r="2883" spans="1:4" x14ac:dyDescent="0.25">
      <c r="A2883" s="63" t="s">
        <v>4075</v>
      </c>
      <c r="B2883" t="s">
        <v>1418</v>
      </c>
      <c r="C2883" t="s">
        <v>5043</v>
      </c>
      <c r="D2883" t="s">
        <v>8401</v>
      </c>
    </row>
    <row r="2884" spans="1:4" x14ac:dyDescent="0.25">
      <c r="A2884" s="63" t="s">
        <v>6478</v>
      </c>
      <c r="B2884" t="s">
        <v>1418</v>
      </c>
      <c r="C2884" t="s">
        <v>5043</v>
      </c>
      <c r="D2884" t="s">
        <v>8401</v>
      </c>
    </row>
    <row r="2885" spans="1:4" x14ac:dyDescent="0.25">
      <c r="A2885" s="63" t="s">
        <v>8187</v>
      </c>
      <c r="B2885" t="s">
        <v>2416</v>
      </c>
      <c r="C2885" t="s">
        <v>5043</v>
      </c>
      <c r="D2885" t="s">
        <v>8401</v>
      </c>
    </row>
    <row r="2886" spans="1:4" x14ac:dyDescent="0.25">
      <c r="A2886" s="63" t="s">
        <v>4076</v>
      </c>
      <c r="B2886" t="s">
        <v>1369</v>
      </c>
      <c r="C2886" t="s">
        <v>5043</v>
      </c>
      <c r="D2886" t="s">
        <v>8401</v>
      </c>
    </row>
    <row r="2887" spans="1:4" x14ac:dyDescent="0.25">
      <c r="A2887" s="63" t="s">
        <v>6257</v>
      </c>
      <c r="B2887" t="s">
        <v>2271</v>
      </c>
      <c r="C2887" t="s">
        <v>5043</v>
      </c>
      <c r="D2887" t="s">
        <v>8401</v>
      </c>
    </row>
    <row r="2888" spans="1:4" x14ac:dyDescent="0.25">
      <c r="A2888" s="63" t="s">
        <v>6258</v>
      </c>
      <c r="B2888" t="s">
        <v>2271</v>
      </c>
      <c r="C2888" t="s">
        <v>5043</v>
      </c>
      <c r="D2888" t="s">
        <v>8401</v>
      </c>
    </row>
    <row r="2889" spans="1:4" x14ac:dyDescent="0.25">
      <c r="A2889" s="63" t="s">
        <v>6860</v>
      </c>
      <c r="B2889" t="s">
        <v>2461</v>
      </c>
      <c r="C2889" t="s">
        <v>5043</v>
      </c>
      <c r="D2889" t="s">
        <v>8401</v>
      </c>
    </row>
    <row r="2890" spans="1:4" x14ac:dyDescent="0.25">
      <c r="A2890" s="63" t="s">
        <v>6861</v>
      </c>
      <c r="B2890" t="s">
        <v>2461</v>
      </c>
      <c r="C2890" t="s">
        <v>5043</v>
      </c>
      <c r="D2890" t="s">
        <v>8401</v>
      </c>
    </row>
    <row r="2891" spans="1:4" x14ac:dyDescent="0.25">
      <c r="A2891" s="63" t="s">
        <v>8188</v>
      </c>
      <c r="B2891" t="s">
        <v>1613</v>
      </c>
      <c r="C2891" t="s">
        <v>5043</v>
      </c>
      <c r="D2891" t="s">
        <v>8401</v>
      </c>
    </row>
    <row r="2892" spans="1:4" x14ac:dyDescent="0.25">
      <c r="A2892" s="63" t="s">
        <v>4077</v>
      </c>
      <c r="B2892" t="s">
        <v>2154</v>
      </c>
      <c r="C2892" t="s">
        <v>5043</v>
      </c>
      <c r="D2892" t="s">
        <v>8401</v>
      </c>
    </row>
    <row r="2893" spans="1:4" x14ac:dyDescent="0.25">
      <c r="A2893" s="63" t="s">
        <v>7236</v>
      </c>
      <c r="B2893" t="s">
        <v>2222</v>
      </c>
      <c r="C2893" t="s">
        <v>5043</v>
      </c>
      <c r="D2893" t="s">
        <v>8401</v>
      </c>
    </row>
    <row r="2894" spans="1:4" x14ac:dyDescent="0.25">
      <c r="A2894" s="63" t="s">
        <v>4078</v>
      </c>
      <c r="B2894" t="s">
        <v>2003</v>
      </c>
      <c r="C2894" t="s">
        <v>5043</v>
      </c>
      <c r="D2894" t="s">
        <v>8401</v>
      </c>
    </row>
    <row r="2895" spans="1:4" x14ac:dyDescent="0.25">
      <c r="A2895" s="63" t="s">
        <v>4079</v>
      </c>
      <c r="B2895" t="s">
        <v>2003</v>
      </c>
      <c r="C2895" t="s">
        <v>5043</v>
      </c>
      <c r="D2895" t="s">
        <v>8401</v>
      </c>
    </row>
    <row r="2896" spans="1:4" x14ac:dyDescent="0.25">
      <c r="A2896" s="63" t="s">
        <v>4080</v>
      </c>
      <c r="B2896" t="s">
        <v>2003</v>
      </c>
      <c r="C2896" t="s">
        <v>5043</v>
      </c>
      <c r="D2896" t="s">
        <v>8401</v>
      </c>
    </row>
    <row r="2897" spans="1:4" x14ac:dyDescent="0.25">
      <c r="A2897" s="63" t="s">
        <v>4081</v>
      </c>
      <c r="B2897" t="s">
        <v>2673</v>
      </c>
      <c r="C2897" t="s">
        <v>5043</v>
      </c>
      <c r="D2897" t="s">
        <v>8401</v>
      </c>
    </row>
    <row r="2898" spans="1:4" x14ac:dyDescent="0.25">
      <c r="A2898" s="63" t="s">
        <v>4082</v>
      </c>
      <c r="B2898" t="s">
        <v>2673</v>
      </c>
      <c r="C2898" t="s">
        <v>5043</v>
      </c>
      <c r="D2898" t="s">
        <v>8401</v>
      </c>
    </row>
    <row r="2899" spans="1:4" x14ac:dyDescent="0.25">
      <c r="A2899" s="63" t="s">
        <v>4083</v>
      </c>
      <c r="B2899" t="s">
        <v>2673</v>
      </c>
      <c r="C2899" t="s">
        <v>5043</v>
      </c>
      <c r="D2899" t="s">
        <v>8401</v>
      </c>
    </row>
    <row r="2900" spans="1:4" x14ac:dyDescent="0.25">
      <c r="A2900" s="63" t="s">
        <v>4084</v>
      </c>
      <c r="B2900" t="s">
        <v>2673</v>
      </c>
      <c r="C2900" t="s">
        <v>5043</v>
      </c>
      <c r="D2900" t="s">
        <v>8401</v>
      </c>
    </row>
    <row r="2901" spans="1:4" x14ac:dyDescent="0.25">
      <c r="A2901" s="63" t="s">
        <v>4085</v>
      </c>
      <c r="B2901" t="s">
        <v>2673</v>
      </c>
      <c r="C2901" t="s">
        <v>5043</v>
      </c>
      <c r="D2901" t="s">
        <v>8401</v>
      </c>
    </row>
    <row r="2902" spans="1:4" x14ac:dyDescent="0.25">
      <c r="A2902" s="63" t="s">
        <v>4086</v>
      </c>
      <c r="B2902" t="s">
        <v>2673</v>
      </c>
      <c r="C2902" t="s">
        <v>5043</v>
      </c>
      <c r="D2902" t="s">
        <v>8401</v>
      </c>
    </row>
    <row r="2903" spans="1:4" x14ac:dyDescent="0.25">
      <c r="A2903" s="63" t="s">
        <v>4087</v>
      </c>
      <c r="B2903" t="s">
        <v>2677</v>
      </c>
      <c r="C2903" t="s">
        <v>5043</v>
      </c>
      <c r="D2903" t="s">
        <v>8401</v>
      </c>
    </row>
    <row r="2904" spans="1:4" x14ac:dyDescent="0.25">
      <c r="A2904" s="63" t="s">
        <v>8189</v>
      </c>
      <c r="B2904" t="s">
        <v>1430</v>
      </c>
      <c r="C2904" t="s">
        <v>5043</v>
      </c>
      <c r="D2904" t="s">
        <v>8401</v>
      </c>
    </row>
    <row r="2905" spans="1:4" x14ac:dyDescent="0.25">
      <c r="A2905" s="63" t="s">
        <v>8190</v>
      </c>
      <c r="B2905" t="s">
        <v>2304</v>
      </c>
      <c r="C2905" t="s">
        <v>5043</v>
      </c>
      <c r="D2905" t="s">
        <v>8401</v>
      </c>
    </row>
    <row r="2906" spans="1:4" x14ac:dyDescent="0.25">
      <c r="A2906" s="63" t="s">
        <v>4088</v>
      </c>
      <c r="B2906" t="s">
        <v>1850</v>
      </c>
      <c r="C2906" t="s">
        <v>5043</v>
      </c>
      <c r="D2906" t="s">
        <v>8401</v>
      </c>
    </row>
    <row r="2907" spans="1:4" x14ac:dyDescent="0.25">
      <c r="A2907" s="63" t="s">
        <v>4089</v>
      </c>
      <c r="B2907" t="s">
        <v>1850</v>
      </c>
      <c r="C2907" t="s">
        <v>5043</v>
      </c>
      <c r="D2907" t="s">
        <v>8401</v>
      </c>
    </row>
    <row r="2908" spans="1:4" x14ac:dyDescent="0.25">
      <c r="A2908" s="63" t="s">
        <v>4090</v>
      </c>
      <c r="B2908" t="s">
        <v>1850</v>
      </c>
      <c r="C2908" t="s">
        <v>5043</v>
      </c>
      <c r="D2908" t="s">
        <v>8401</v>
      </c>
    </row>
    <row r="2909" spans="1:4" x14ac:dyDescent="0.25">
      <c r="A2909" s="63" t="s">
        <v>4091</v>
      </c>
      <c r="B2909" t="s">
        <v>1850</v>
      </c>
      <c r="C2909" t="s">
        <v>5043</v>
      </c>
      <c r="D2909" t="s">
        <v>8401</v>
      </c>
    </row>
    <row r="2910" spans="1:4" x14ac:dyDescent="0.25">
      <c r="A2910" s="63" t="s">
        <v>4092</v>
      </c>
      <c r="B2910" t="s">
        <v>1850</v>
      </c>
      <c r="C2910" t="s">
        <v>5043</v>
      </c>
      <c r="D2910" t="s">
        <v>8401</v>
      </c>
    </row>
    <row r="2911" spans="1:4" x14ac:dyDescent="0.25">
      <c r="A2911" s="63" t="s">
        <v>4093</v>
      </c>
      <c r="B2911" t="s">
        <v>1850</v>
      </c>
      <c r="C2911" t="s">
        <v>5043</v>
      </c>
      <c r="D2911" t="s">
        <v>8401</v>
      </c>
    </row>
    <row r="2912" spans="1:4" x14ac:dyDescent="0.25">
      <c r="A2912" s="63" t="s">
        <v>8191</v>
      </c>
      <c r="B2912" t="s">
        <v>2380</v>
      </c>
      <c r="C2912" t="s">
        <v>5043</v>
      </c>
      <c r="D2912" t="s">
        <v>8401</v>
      </c>
    </row>
    <row r="2913" spans="1:4" x14ac:dyDescent="0.25">
      <c r="A2913" s="63" t="s">
        <v>8192</v>
      </c>
      <c r="B2913" t="s">
        <v>2380</v>
      </c>
      <c r="C2913" t="s">
        <v>5043</v>
      </c>
      <c r="D2913" t="s">
        <v>8401</v>
      </c>
    </row>
    <row r="2914" spans="1:4" x14ac:dyDescent="0.25">
      <c r="A2914" s="63" t="s">
        <v>8193</v>
      </c>
      <c r="B2914" t="s">
        <v>2380</v>
      </c>
      <c r="C2914" t="s">
        <v>5043</v>
      </c>
      <c r="D2914" t="s">
        <v>8401</v>
      </c>
    </row>
    <row r="2915" spans="1:4" x14ac:dyDescent="0.25">
      <c r="A2915" s="63" t="s">
        <v>4094</v>
      </c>
      <c r="B2915" t="s">
        <v>1254</v>
      </c>
      <c r="C2915" t="s">
        <v>5043</v>
      </c>
      <c r="D2915" t="s">
        <v>8401</v>
      </c>
    </row>
    <row r="2916" spans="1:4" x14ac:dyDescent="0.25">
      <c r="A2916" s="63" t="s">
        <v>4095</v>
      </c>
      <c r="B2916" t="s">
        <v>1254</v>
      </c>
      <c r="C2916" t="s">
        <v>5043</v>
      </c>
      <c r="D2916" t="s">
        <v>8401</v>
      </c>
    </row>
    <row r="2917" spans="1:4" x14ac:dyDescent="0.25">
      <c r="A2917" s="63" t="s">
        <v>4096</v>
      </c>
      <c r="B2917" t="s">
        <v>1254</v>
      </c>
      <c r="C2917" t="s">
        <v>5043</v>
      </c>
      <c r="D2917" t="s">
        <v>8401</v>
      </c>
    </row>
    <row r="2918" spans="1:4" x14ac:dyDescent="0.25">
      <c r="A2918" s="63" t="s">
        <v>4097</v>
      </c>
      <c r="B2918" t="s">
        <v>1254</v>
      </c>
      <c r="C2918" t="s">
        <v>5043</v>
      </c>
      <c r="D2918" t="s">
        <v>8401</v>
      </c>
    </row>
    <row r="2919" spans="1:4" x14ac:dyDescent="0.25">
      <c r="A2919" s="63" t="s">
        <v>4098</v>
      </c>
      <c r="B2919" t="s">
        <v>1254</v>
      </c>
      <c r="C2919" t="s">
        <v>5043</v>
      </c>
      <c r="D2919" t="s">
        <v>8401</v>
      </c>
    </row>
    <row r="2920" spans="1:4" x14ac:dyDescent="0.25">
      <c r="A2920" s="63" t="s">
        <v>4099</v>
      </c>
      <c r="B2920" t="s">
        <v>1254</v>
      </c>
      <c r="C2920" t="s">
        <v>5043</v>
      </c>
      <c r="D2920" t="s">
        <v>8401</v>
      </c>
    </row>
    <row r="2921" spans="1:4" x14ac:dyDescent="0.25">
      <c r="A2921" s="63" t="s">
        <v>4100</v>
      </c>
      <c r="B2921" t="s">
        <v>1253</v>
      </c>
      <c r="C2921" t="s">
        <v>5043</v>
      </c>
      <c r="D2921" t="s">
        <v>8401</v>
      </c>
    </row>
    <row r="2922" spans="1:4" x14ac:dyDescent="0.25">
      <c r="A2922" s="63" t="s">
        <v>4101</v>
      </c>
      <c r="B2922" t="s">
        <v>1253</v>
      </c>
      <c r="C2922" t="s">
        <v>5043</v>
      </c>
      <c r="D2922" t="s">
        <v>8401</v>
      </c>
    </row>
    <row r="2923" spans="1:4" x14ac:dyDescent="0.25">
      <c r="A2923" s="63" t="s">
        <v>4102</v>
      </c>
      <c r="B2923" t="s">
        <v>1253</v>
      </c>
      <c r="C2923" t="s">
        <v>5043</v>
      </c>
      <c r="D2923" t="s">
        <v>8401</v>
      </c>
    </row>
    <row r="2924" spans="1:4" x14ac:dyDescent="0.25">
      <c r="A2924" s="63" t="s">
        <v>8194</v>
      </c>
      <c r="B2924" t="s">
        <v>1192</v>
      </c>
      <c r="C2924" t="s">
        <v>5043</v>
      </c>
      <c r="D2924" t="s">
        <v>8401</v>
      </c>
    </row>
    <row r="2925" spans="1:4" x14ac:dyDescent="0.25">
      <c r="A2925" s="63" t="s">
        <v>8195</v>
      </c>
      <c r="B2925" t="s">
        <v>1192</v>
      </c>
      <c r="C2925" t="s">
        <v>5043</v>
      </c>
      <c r="D2925" t="s">
        <v>8401</v>
      </c>
    </row>
    <row r="2926" spans="1:4" x14ac:dyDescent="0.25">
      <c r="A2926" s="63" t="s">
        <v>8196</v>
      </c>
      <c r="B2926" t="s">
        <v>1192</v>
      </c>
      <c r="C2926" t="s">
        <v>5043</v>
      </c>
      <c r="D2926" t="s">
        <v>8401</v>
      </c>
    </row>
    <row r="2927" spans="1:4" x14ac:dyDescent="0.25">
      <c r="A2927" s="63" t="s">
        <v>8197</v>
      </c>
      <c r="B2927" t="s">
        <v>1192</v>
      </c>
      <c r="C2927" t="s">
        <v>5043</v>
      </c>
      <c r="D2927" t="s">
        <v>8401</v>
      </c>
    </row>
    <row r="2928" spans="1:4" x14ac:dyDescent="0.25">
      <c r="A2928" s="63" t="s">
        <v>8198</v>
      </c>
      <c r="B2928" t="s">
        <v>1192</v>
      </c>
      <c r="C2928" t="s">
        <v>5043</v>
      </c>
      <c r="D2928" t="s">
        <v>8401</v>
      </c>
    </row>
    <row r="2929" spans="1:4" x14ac:dyDescent="0.25">
      <c r="A2929" s="63" t="s">
        <v>8199</v>
      </c>
      <c r="B2929" t="s">
        <v>1192</v>
      </c>
      <c r="C2929" t="s">
        <v>5043</v>
      </c>
      <c r="D2929" t="s">
        <v>8401</v>
      </c>
    </row>
    <row r="2930" spans="1:4" x14ac:dyDescent="0.25">
      <c r="A2930" s="63" t="s">
        <v>8200</v>
      </c>
      <c r="B2930" t="s">
        <v>1192</v>
      </c>
      <c r="C2930" t="s">
        <v>5043</v>
      </c>
      <c r="D2930" t="s">
        <v>8401</v>
      </c>
    </row>
    <row r="2931" spans="1:4" x14ac:dyDescent="0.25">
      <c r="A2931" s="63" t="s">
        <v>8201</v>
      </c>
      <c r="B2931" t="s">
        <v>1192</v>
      </c>
      <c r="C2931" t="s">
        <v>5043</v>
      </c>
      <c r="D2931" t="s">
        <v>8401</v>
      </c>
    </row>
    <row r="2932" spans="1:4" x14ac:dyDescent="0.25">
      <c r="A2932" s="63" t="s">
        <v>5092</v>
      </c>
      <c r="B2932" t="s">
        <v>1192</v>
      </c>
      <c r="C2932" t="s">
        <v>5043</v>
      </c>
      <c r="D2932" t="s">
        <v>8401</v>
      </c>
    </row>
    <row r="2933" spans="1:4" x14ac:dyDescent="0.25">
      <c r="A2933" s="63" t="s">
        <v>5312</v>
      </c>
      <c r="B2933" t="s">
        <v>1192</v>
      </c>
      <c r="C2933" t="s">
        <v>5043</v>
      </c>
      <c r="D2933" t="s">
        <v>8401</v>
      </c>
    </row>
    <row r="2934" spans="1:4" x14ac:dyDescent="0.25">
      <c r="A2934" s="63" t="s">
        <v>8202</v>
      </c>
      <c r="B2934" t="s">
        <v>1192</v>
      </c>
      <c r="C2934" t="s">
        <v>5043</v>
      </c>
      <c r="D2934" t="s">
        <v>8401</v>
      </c>
    </row>
    <row r="2935" spans="1:4" x14ac:dyDescent="0.25">
      <c r="A2935" s="63" t="s">
        <v>8203</v>
      </c>
      <c r="B2935" t="s">
        <v>1921</v>
      </c>
      <c r="C2935" t="s">
        <v>5043</v>
      </c>
      <c r="D2935" t="s">
        <v>8401</v>
      </c>
    </row>
    <row r="2936" spans="1:4" x14ac:dyDescent="0.25">
      <c r="A2936" s="63" t="s">
        <v>5062</v>
      </c>
      <c r="B2936" t="s">
        <v>1255</v>
      </c>
      <c r="C2936" t="s">
        <v>5043</v>
      </c>
      <c r="D2936" t="s">
        <v>8401</v>
      </c>
    </row>
    <row r="2937" spans="1:4" x14ac:dyDescent="0.25">
      <c r="A2937" s="63" t="s">
        <v>5063</v>
      </c>
      <c r="B2937" t="s">
        <v>1255</v>
      </c>
      <c r="C2937" t="s">
        <v>5043</v>
      </c>
      <c r="D2937" t="s">
        <v>8401</v>
      </c>
    </row>
    <row r="2938" spans="1:4" x14ac:dyDescent="0.25">
      <c r="A2938" s="63" t="s">
        <v>8204</v>
      </c>
      <c r="B2938" t="s">
        <v>1255</v>
      </c>
      <c r="C2938" t="s">
        <v>5043</v>
      </c>
      <c r="D2938" t="s">
        <v>8401</v>
      </c>
    </row>
    <row r="2939" spans="1:4" x14ac:dyDescent="0.25">
      <c r="A2939" s="63" t="s">
        <v>8205</v>
      </c>
      <c r="B2939" t="s">
        <v>1255</v>
      </c>
      <c r="C2939" t="s">
        <v>5043</v>
      </c>
      <c r="D2939" t="s">
        <v>8401</v>
      </c>
    </row>
    <row r="2940" spans="1:4" x14ac:dyDescent="0.25">
      <c r="A2940" s="63" t="s">
        <v>8206</v>
      </c>
      <c r="B2940" t="s">
        <v>1255</v>
      </c>
      <c r="C2940" t="s">
        <v>5043</v>
      </c>
      <c r="D2940" t="s">
        <v>8401</v>
      </c>
    </row>
    <row r="2941" spans="1:4" x14ac:dyDescent="0.25">
      <c r="A2941" s="63" t="s">
        <v>8207</v>
      </c>
      <c r="B2941" t="s">
        <v>1255</v>
      </c>
      <c r="C2941" t="s">
        <v>5043</v>
      </c>
      <c r="D2941" t="s">
        <v>8401</v>
      </c>
    </row>
    <row r="2942" spans="1:4" x14ac:dyDescent="0.25">
      <c r="A2942" s="63" t="s">
        <v>8208</v>
      </c>
      <c r="B2942" t="s">
        <v>1255</v>
      </c>
      <c r="C2942" t="s">
        <v>5043</v>
      </c>
      <c r="D2942" t="s">
        <v>8401</v>
      </c>
    </row>
    <row r="2943" spans="1:4" x14ac:dyDescent="0.25">
      <c r="A2943" s="63" t="s">
        <v>8209</v>
      </c>
      <c r="B2943" t="s">
        <v>1255</v>
      </c>
      <c r="C2943" t="s">
        <v>5043</v>
      </c>
      <c r="D2943" t="s">
        <v>8401</v>
      </c>
    </row>
    <row r="2944" spans="1:4" x14ac:dyDescent="0.25">
      <c r="A2944" s="63" t="s">
        <v>8210</v>
      </c>
      <c r="B2944" t="s">
        <v>1255</v>
      </c>
      <c r="C2944" t="s">
        <v>5043</v>
      </c>
      <c r="D2944" t="s">
        <v>8401</v>
      </c>
    </row>
    <row r="2945" spans="1:4" x14ac:dyDescent="0.25">
      <c r="A2945" s="63" t="s">
        <v>8211</v>
      </c>
      <c r="B2945" t="s">
        <v>1255</v>
      </c>
      <c r="C2945" t="s">
        <v>5043</v>
      </c>
      <c r="D2945" t="s">
        <v>8401</v>
      </c>
    </row>
    <row r="2946" spans="1:4" x14ac:dyDescent="0.25">
      <c r="A2946" s="63" t="s">
        <v>8212</v>
      </c>
      <c r="B2946" t="s">
        <v>1255</v>
      </c>
      <c r="C2946" t="s">
        <v>5043</v>
      </c>
      <c r="D2946" t="s">
        <v>8401</v>
      </c>
    </row>
    <row r="2947" spans="1:4" x14ac:dyDescent="0.25">
      <c r="A2947" s="63" t="s">
        <v>8213</v>
      </c>
      <c r="B2947" t="s">
        <v>1255</v>
      </c>
      <c r="C2947" t="s">
        <v>5043</v>
      </c>
      <c r="D2947" t="s">
        <v>8401</v>
      </c>
    </row>
    <row r="2948" spans="1:4" x14ac:dyDescent="0.25">
      <c r="A2948" s="63" t="s">
        <v>8214</v>
      </c>
      <c r="B2948" t="s">
        <v>1255</v>
      </c>
      <c r="C2948" t="s">
        <v>5043</v>
      </c>
      <c r="D2948" t="s">
        <v>8401</v>
      </c>
    </row>
    <row r="2949" spans="1:4" x14ac:dyDescent="0.25">
      <c r="A2949" s="63" t="s">
        <v>8215</v>
      </c>
      <c r="B2949" t="s">
        <v>1255</v>
      </c>
      <c r="C2949" t="s">
        <v>5043</v>
      </c>
      <c r="D2949" t="s">
        <v>8401</v>
      </c>
    </row>
    <row r="2950" spans="1:4" x14ac:dyDescent="0.25">
      <c r="A2950" s="63" t="s">
        <v>8216</v>
      </c>
      <c r="B2950" t="s">
        <v>1255</v>
      </c>
      <c r="C2950" t="s">
        <v>5043</v>
      </c>
      <c r="D2950" t="s">
        <v>8401</v>
      </c>
    </row>
    <row r="2951" spans="1:4" x14ac:dyDescent="0.25">
      <c r="A2951" s="63" t="s">
        <v>4103</v>
      </c>
      <c r="B2951" t="s">
        <v>1252</v>
      </c>
      <c r="C2951" t="s">
        <v>5043</v>
      </c>
      <c r="D2951" t="s">
        <v>8401</v>
      </c>
    </row>
    <row r="2952" spans="1:4" x14ac:dyDescent="0.25">
      <c r="A2952" s="63" t="s">
        <v>4104</v>
      </c>
      <c r="B2952" t="s">
        <v>1252</v>
      </c>
      <c r="C2952" t="s">
        <v>5043</v>
      </c>
      <c r="D2952" t="s">
        <v>8401</v>
      </c>
    </row>
    <row r="2953" spans="1:4" x14ac:dyDescent="0.25">
      <c r="A2953" s="63" t="s">
        <v>4105</v>
      </c>
      <c r="B2953" t="s">
        <v>1578</v>
      </c>
      <c r="C2953" t="s">
        <v>5043</v>
      </c>
      <c r="D2953" t="s">
        <v>8401</v>
      </c>
    </row>
    <row r="2954" spans="1:4" x14ac:dyDescent="0.25">
      <c r="A2954" s="63" t="s">
        <v>4106</v>
      </c>
      <c r="B2954" t="s">
        <v>1578</v>
      </c>
      <c r="C2954" t="s">
        <v>5043</v>
      </c>
      <c r="D2954" t="s">
        <v>8401</v>
      </c>
    </row>
    <row r="2955" spans="1:4" x14ac:dyDescent="0.25">
      <c r="A2955" s="63" t="s">
        <v>4107</v>
      </c>
      <c r="B2955" t="s">
        <v>1959</v>
      </c>
      <c r="C2955" t="s">
        <v>5043</v>
      </c>
      <c r="D2955" t="s">
        <v>8401</v>
      </c>
    </row>
    <row r="2956" spans="1:4" x14ac:dyDescent="0.25">
      <c r="A2956" s="63" t="s">
        <v>8217</v>
      </c>
      <c r="B2956" t="s">
        <v>2108</v>
      </c>
      <c r="C2956" t="s">
        <v>5043</v>
      </c>
      <c r="D2956" t="s">
        <v>8401</v>
      </c>
    </row>
    <row r="2957" spans="1:4" x14ac:dyDescent="0.25">
      <c r="A2957" s="63" t="s">
        <v>7055</v>
      </c>
      <c r="B2957" t="s">
        <v>1822</v>
      </c>
      <c r="C2957" t="s">
        <v>5043</v>
      </c>
      <c r="D2957" t="s">
        <v>8401</v>
      </c>
    </row>
    <row r="2958" spans="1:4" x14ac:dyDescent="0.25">
      <c r="A2958" s="63" t="s">
        <v>8218</v>
      </c>
      <c r="B2958" t="s">
        <v>1241</v>
      </c>
      <c r="C2958" t="s">
        <v>5043</v>
      </c>
      <c r="D2958" t="s">
        <v>8401</v>
      </c>
    </row>
    <row r="2959" spans="1:4" x14ac:dyDescent="0.25">
      <c r="A2959" s="63" t="s">
        <v>5887</v>
      </c>
      <c r="B2959" t="s">
        <v>1241</v>
      </c>
      <c r="C2959" t="s">
        <v>5043</v>
      </c>
      <c r="D2959" t="s">
        <v>8401</v>
      </c>
    </row>
    <row r="2960" spans="1:4" x14ac:dyDescent="0.25">
      <c r="A2960" s="63" t="s">
        <v>5888</v>
      </c>
      <c r="B2960" t="s">
        <v>1241</v>
      </c>
      <c r="C2960" t="s">
        <v>5043</v>
      </c>
      <c r="D2960" t="s">
        <v>8401</v>
      </c>
    </row>
    <row r="2961" spans="1:4" x14ac:dyDescent="0.25">
      <c r="A2961" s="63" t="s">
        <v>8219</v>
      </c>
      <c r="B2961" t="s">
        <v>1241</v>
      </c>
      <c r="C2961" t="s">
        <v>5043</v>
      </c>
      <c r="D2961" t="s">
        <v>8401</v>
      </c>
    </row>
    <row r="2962" spans="1:4" x14ac:dyDescent="0.25">
      <c r="A2962" s="63" t="s">
        <v>4108</v>
      </c>
      <c r="B2962" t="s">
        <v>1251</v>
      </c>
      <c r="C2962" t="s">
        <v>5043</v>
      </c>
      <c r="D2962" t="s">
        <v>8401</v>
      </c>
    </row>
    <row r="2963" spans="1:4" x14ac:dyDescent="0.25">
      <c r="A2963" s="63" t="s">
        <v>4109</v>
      </c>
      <c r="B2963" t="s">
        <v>1251</v>
      </c>
      <c r="C2963" t="s">
        <v>5043</v>
      </c>
      <c r="D2963" t="s">
        <v>8401</v>
      </c>
    </row>
    <row r="2964" spans="1:4" x14ac:dyDescent="0.25">
      <c r="A2964" s="63" t="s">
        <v>4110</v>
      </c>
      <c r="B2964" t="s">
        <v>2249</v>
      </c>
      <c r="C2964" t="s">
        <v>5043</v>
      </c>
      <c r="D2964" t="s">
        <v>8401</v>
      </c>
    </row>
    <row r="2965" spans="1:4" x14ac:dyDescent="0.25">
      <c r="A2965" s="63" t="s">
        <v>4111</v>
      </c>
      <c r="B2965" t="s">
        <v>2045</v>
      </c>
      <c r="C2965" t="s">
        <v>5043</v>
      </c>
      <c r="D2965" t="s">
        <v>8401</v>
      </c>
    </row>
    <row r="2966" spans="1:4" x14ac:dyDescent="0.25">
      <c r="A2966" s="63" t="s">
        <v>4112</v>
      </c>
      <c r="B2966" t="s">
        <v>2045</v>
      </c>
      <c r="C2966" t="s">
        <v>5043</v>
      </c>
      <c r="D2966" t="s">
        <v>8401</v>
      </c>
    </row>
    <row r="2967" spans="1:4" x14ac:dyDescent="0.25">
      <c r="A2967" s="63" t="s">
        <v>4113</v>
      </c>
      <c r="B2967" t="s">
        <v>2299</v>
      </c>
      <c r="C2967" t="s">
        <v>5043</v>
      </c>
      <c r="D2967" t="s">
        <v>8401</v>
      </c>
    </row>
    <row r="2968" spans="1:4" x14ac:dyDescent="0.25">
      <c r="A2968" s="63" t="s">
        <v>4114</v>
      </c>
      <c r="B2968" t="s">
        <v>2299</v>
      </c>
      <c r="C2968" t="s">
        <v>5043</v>
      </c>
      <c r="D2968" t="s">
        <v>8401</v>
      </c>
    </row>
    <row r="2969" spans="1:4" x14ac:dyDescent="0.25">
      <c r="A2969" s="63" t="s">
        <v>4115</v>
      </c>
      <c r="B2969" t="s">
        <v>1550</v>
      </c>
      <c r="C2969" t="s">
        <v>5043</v>
      </c>
      <c r="D2969" t="s">
        <v>8401</v>
      </c>
    </row>
    <row r="2970" spans="1:4" x14ac:dyDescent="0.25">
      <c r="A2970" s="63" t="s">
        <v>4116</v>
      </c>
      <c r="B2970" t="s">
        <v>1550</v>
      </c>
      <c r="C2970" t="s">
        <v>5043</v>
      </c>
      <c r="D2970" t="s">
        <v>8401</v>
      </c>
    </row>
    <row r="2971" spans="1:4" x14ac:dyDescent="0.25">
      <c r="A2971" s="63" t="s">
        <v>4117</v>
      </c>
      <c r="B2971" t="s">
        <v>1550</v>
      </c>
      <c r="C2971" t="s">
        <v>5043</v>
      </c>
      <c r="D2971" t="s">
        <v>8401</v>
      </c>
    </row>
    <row r="2972" spans="1:4" x14ac:dyDescent="0.25">
      <c r="A2972" s="63" t="s">
        <v>4118</v>
      </c>
      <c r="B2972" t="s">
        <v>2407</v>
      </c>
      <c r="C2972" t="s">
        <v>5043</v>
      </c>
      <c r="D2972" t="s">
        <v>8401</v>
      </c>
    </row>
    <row r="2973" spans="1:4" x14ac:dyDescent="0.25">
      <c r="A2973" s="63" t="s">
        <v>4119</v>
      </c>
      <c r="B2973" t="s">
        <v>2407</v>
      </c>
      <c r="C2973" t="s">
        <v>5043</v>
      </c>
      <c r="D2973" t="s">
        <v>8401</v>
      </c>
    </row>
    <row r="2974" spans="1:4" x14ac:dyDescent="0.25">
      <c r="A2974" s="63" t="s">
        <v>4120</v>
      </c>
      <c r="B2974" t="s">
        <v>2406</v>
      </c>
      <c r="C2974" t="s">
        <v>5043</v>
      </c>
      <c r="D2974" t="s">
        <v>8401</v>
      </c>
    </row>
    <row r="2975" spans="1:4" x14ac:dyDescent="0.25">
      <c r="A2975" s="63" t="s">
        <v>4121</v>
      </c>
      <c r="B2975" t="s">
        <v>2406</v>
      </c>
      <c r="C2975" t="s">
        <v>5043</v>
      </c>
      <c r="D2975" t="s">
        <v>8401</v>
      </c>
    </row>
    <row r="2976" spans="1:4" x14ac:dyDescent="0.25">
      <c r="A2976" s="63" t="s">
        <v>4122</v>
      </c>
      <c r="B2976" t="s">
        <v>2406</v>
      </c>
      <c r="C2976" t="s">
        <v>5043</v>
      </c>
      <c r="D2976" t="s">
        <v>8401</v>
      </c>
    </row>
    <row r="2977" spans="1:4" x14ac:dyDescent="0.25">
      <c r="A2977" s="63" t="s">
        <v>8220</v>
      </c>
      <c r="B2977" t="s">
        <v>1800</v>
      </c>
      <c r="C2977" t="s">
        <v>5043</v>
      </c>
      <c r="D2977" t="s">
        <v>8401</v>
      </c>
    </row>
    <row r="2978" spans="1:4" x14ac:dyDescent="0.25">
      <c r="A2978" s="63" t="s">
        <v>8221</v>
      </c>
      <c r="B2978" t="s">
        <v>1800</v>
      </c>
      <c r="C2978" t="s">
        <v>5043</v>
      </c>
      <c r="D2978" t="s">
        <v>8401</v>
      </c>
    </row>
    <row r="2979" spans="1:4" x14ac:dyDescent="0.25">
      <c r="A2979" s="63" t="s">
        <v>6248</v>
      </c>
      <c r="B2979" t="s">
        <v>1644</v>
      </c>
      <c r="C2979" t="s">
        <v>5043</v>
      </c>
      <c r="D2979" t="s">
        <v>8401</v>
      </c>
    </row>
    <row r="2980" spans="1:4" x14ac:dyDescent="0.25">
      <c r="A2980" s="63" t="s">
        <v>6249</v>
      </c>
      <c r="B2980" t="s">
        <v>1644</v>
      </c>
      <c r="C2980" t="s">
        <v>5043</v>
      </c>
      <c r="D2980" t="s">
        <v>8401</v>
      </c>
    </row>
    <row r="2981" spans="1:4" x14ac:dyDescent="0.25">
      <c r="A2981" s="63" t="s">
        <v>6251</v>
      </c>
      <c r="B2981" t="s">
        <v>1644</v>
      </c>
      <c r="C2981" t="s">
        <v>5043</v>
      </c>
      <c r="D2981" t="s">
        <v>8401</v>
      </c>
    </row>
    <row r="2982" spans="1:4" x14ac:dyDescent="0.25">
      <c r="A2982" s="63" t="s">
        <v>4123</v>
      </c>
      <c r="B2982" t="s">
        <v>1552</v>
      </c>
      <c r="C2982" t="s">
        <v>5043</v>
      </c>
      <c r="D2982" t="s">
        <v>8401</v>
      </c>
    </row>
    <row r="2983" spans="1:4" x14ac:dyDescent="0.25">
      <c r="A2983" s="63" t="s">
        <v>8222</v>
      </c>
      <c r="B2983" t="s">
        <v>2458</v>
      </c>
      <c r="C2983" t="s">
        <v>5043</v>
      </c>
      <c r="D2983" t="s">
        <v>8401</v>
      </c>
    </row>
    <row r="2984" spans="1:4" x14ac:dyDescent="0.25">
      <c r="A2984" s="63" t="s">
        <v>6042</v>
      </c>
      <c r="B2984" t="s">
        <v>1711</v>
      </c>
      <c r="C2984" t="s">
        <v>5043</v>
      </c>
      <c r="D2984" t="s">
        <v>8401</v>
      </c>
    </row>
    <row r="2985" spans="1:4" x14ac:dyDescent="0.25">
      <c r="A2985" s="63" t="s">
        <v>6043</v>
      </c>
      <c r="B2985" t="s">
        <v>1711</v>
      </c>
      <c r="C2985" t="s">
        <v>5043</v>
      </c>
      <c r="D2985" t="s">
        <v>8401</v>
      </c>
    </row>
    <row r="2986" spans="1:4" x14ac:dyDescent="0.25">
      <c r="A2986" s="63" t="s">
        <v>6044</v>
      </c>
      <c r="B2986" t="s">
        <v>1711</v>
      </c>
      <c r="C2986" t="s">
        <v>5043</v>
      </c>
      <c r="D2986" t="s">
        <v>8401</v>
      </c>
    </row>
    <row r="2987" spans="1:4" x14ac:dyDescent="0.25">
      <c r="A2987" s="63" t="s">
        <v>6045</v>
      </c>
      <c r="B2987" t="s">
        <v>1711</v>
      </c>
      <c r="C2987" t="s">
        <v>5043</v>
      </c>
      <c r="D2987" t="s">
        <v>8401</v>
      </c>
    </row>
    <row r="2988" spans="1:4" x14ac:dyDescent="0.25">
      <c r="A2988" s="63" t="s">
        <v>6046</v>
      </c>
      <c r="B2988" t="s">
        <v>1711</v>
      </c>
      <c r="C2988" t="s">
        <v>5043</v>
      </c>
      <c r="D2988" t="s">
        <v>8401</v>
      </c>
    </row>
    <row r="2989" spans="1:4" x14ac:dyDescent="0.25">
      <c r="A2989" s="63" t="s">
        <v>6047</v>
      </c>
      <c r="B2989" t="s">
        <v>1711</v>
      </c>
      <c r="C2989" t="s">
        <v>5043</v>
      </c>
      <c r="D2989" t="s">
        <v>8401</v>
      </c>
    </row>
    <row r="2990" spans="1:4" x14ac:dyDescent="0.25">
      <c r="A2990" s="63" t="s">
        <v>4124</v>
      </c>
      <c r="B2990" t="s">
        <v>1711</v>
      </c>
      <c r="C2990" t="s">
        <v>5043</v>
      </c>
      <c r="D2990" t="s">
        <v>8401</v>
      </c>
    </row>
    <row r="2991" spans="1:4" x14ac:dyDescent="0.25">
      <c r="A2991" s="63" t="s">
        <v>4125</v>
      </c>
      <c r="B2991" t="s">
        <v>1711</v>
      </c>
      <c r="C2991" t="s">
        <v>5043</v>
      </c>
      <c r="D2991" t="s">
        <v>8401</v>
      </c>
    </row>
    <row r="2992" spans="1:4" x14ac:dyDescent="0.25">
      <c r="A2992" s="63" t="s">
        <v>4126</v>
      </c>
      <c r="B2992" t="s">
        <v>1711</v>
      </c>
      <c r="C2992" t="s">
        <v>5043</v>
      </c>
      <c r="D2992" t="s">
        <v>8401</v>
      </c>
    </row>
    <row r="2993" spans="1:4" x14ac:dyDescent="0.25">
      <c r="A2993" s="63" t="s">
        <v>4127</v>
      </c>
      <c r="B2993" t="s">
        <v>1711</v>
      </c>
      <c r="C2993" t="s">
        <v>5043</v>
      </c>
      <c r="D2993" t="s">
        <v>8401</v>
      </c>
    </row>
    <row r="2994" spans="1:4" x14ac:dyDescent="0.25">
      <c r="A2994" s="63" t="s">
        <v>4128</v>
      </c>
      <c r="B2994" t="s">
        <v>1711</v>
      </c>
      <c r="C2994" t="s">
        <v>5043</v>
      </c>
      <c r="D2994" t="s">
        <v>8401</v>
      </c>
    </row>
    <row r="2995" spans="1:4" x14ac:dyDescent="0.25">
      <c r="A2995" s="63" t="s">
        <v>4129</v>
      </c>
      <c r="B2995" t="s">
        <v>1759</v>
      </c>
      <c r="C2995" t="s">
        <v>5043</v>
      </c>
      <c r="D2995" t="s">
        <v>8401</v>
      </c>
    </row>
    <row r="2996" spans="1:4" x14ac:dyDescent="0.25">
      <c r="A2996" s="63" t="s">
        <v>4130</v>
      </c>
      <c r="B2996" t="s">
        <v>1759</v>
      </c>
      <c r="C2996" t="s">
        <v>5043</v>
      </c>
      <c r="D2996" t="s">
        <v>8401</v>
      </c>
    </row>
    <row r="2997" spans="1:4" x14ac:dyDescent="0.25">
      <c r="A2997" s="63" t="s">
        <v>4131</v>
      </c>
      <c r="B2997" t="s">
        <v>1759</v>
      </c>
      <c r="C2997" t="s">
        <v>5043</v>
      </c>
      <c r="D2997" t="s">
        <v>8401</v>
      </c>
    </row>
    <row r="2998" spans="1:4" x14ac:dyDescent="0.25">
      <c r="A2998" s="63" t="s">
        <v>4132</v>
      </c>
      <c r="B2998" t="s">
        <v>1759</v>
      </c>
      <c r="C2998" t="s">
        <v>5043</v>
      </c>
      <c r="D2998" t="s">
        <v>8401</v>
      </c>
    </row>
    <row r="2999" spans="1:4" x14ac:dyDescent="0.25">
      <c r="A2999" s="63" t="s">
        <v>4133</v>
      </c>
      <c r="B2999" t="s">
        <v>1759</v>
      </c>
      <c r="C2999" t="s">
        <v>5043</v>
      </c>
      <c r="D2999" t="s">
        <v>8401</v>
      </c>
    </row>
    <row r="3000" spans="1:4" x14ac:dyDescent="0.25">
      <c r="A3000" s="63" t="s">
        <v>4134</v>
      </c>
      <c r="B3000" t="s">
        <v>1759</v>
      </c>
      <c r="C3000" t="s">
        <v>5043</v>
      </c>
      <c r="D3000" t="s">
        <v>8401</v>
      </c>
    </row>
    <row r="3001" spans="1:4" x14ac:dyDescent="0.25">
      <c r="A3001" s="63" t="s">
        <v>4135</v>
      </c>
      <c r="B3001" t="s">
        <v>1759</v>
      </c>
      <c r="C3001" t="s">
        <v>5043</v>
      </c>
      <c r="D3001" t="s">
        <v>8401</v>
      </c>
    </row>
    <row r="3002" spans="1:4" x14ac:dyDescent="0.25">
      <c r="A3002" s="63" t="s">
        <v>4136</v>
      </c>
      <c r="B3002" t="s">
        <v>1759</v>
      </c>
      <c r="C3002" t="s">
        <v>5043</v>
      </c>
      <c r="D3002" t="s">
        <v>8401</v>
      </c>
    </row>
    <row r="3003" spans="1:4" x14ac:dyDescent="0.25">
      <c r="A3003" s="63" t="s">
        <v>4137</v>
      </c>
      <c r="B3003" t="s">
        <v>1759</v>
      </c>
      <c r="C3003" t="s">
        <v>5043</v>
      </c>
      <c r="D3003" t="s">
        <v>8401</v>
      </c>
    </row>
    <row r="3004" spans="1:4" x14ac:dyDescent="0.25">
      <c r="A3004" s="63" t="s">
        <v>8223</v>
      </c>
      <c r="B3004" t="s">
        <v>1759</v>
      </c>
      <c r="C3004" t="s">
        <v>5043</v>
      </c>
      <c r="D3004" t="s">
        <v>8401</v>
      </c>
    </row>
    <row r="3005" spans="1:4" x14ac:dyDescent="0.25">
      <c r="A3005" s="63" t="s">
        <v>8224</v>
      </c>
      <c r="B3005" t="s">
        <v>1759</v>
      </c>
      <c r="C3005" t="s">
        <v>5043</v>
      </c>
      <c r="D3005" t="s">
        <v>8401</v>
      </c>
    </row>
    <row r="3006" spans="1:4" x14ac:dyDescent="0.25">
      <c r="A3006" s="63" t="s">
        <v>8225</v>
      </c>
      <c r="B3006" t="s">
        <v>1759</v>
      </c>
      <c r="C3006" t="s">
        <v>5043</v>
      </c>
      <c r="D3006" t="s">
        <v>8401</v>
      </c>
    </row>
    <row r="3007" spans="1:4" x14ac:dyDescent="0.25">
      <c r="A3007" s="63" t="s">
        <v>8226</v>
      </c>
      <c r="B3007" t="s">
        <v>1759</v>
      </c>
      <c r="C3007" t="s">
        <v>5043</v>
      </c>
      <c r="D3007" t="s">
        <v>8401</v>
      </c>
    </row>
    <row r="3008" spans="1:4" x14ac:dyDescent="0.25">
      <c r="A3008" s="63" t="s">
        <v>4138</v>
      </c>
      <c r="B3008" t="s">
        <v>2405</v>
      </c>
      <c r="C3008" t="s">
        <v>5043</v>
      </c>
      <c r="D3008" t="s">
        <v>8401</v>
      </c>
    </row>
    <row r="3009" spans="1:4" x14ac:dyDescent="0.25">
      <c r="A3009" s="63" t="s">
        <v>4139</v>
      </c>
      <c r="B3009" t="s">
        <v>1562</v>
      </c>
      <c r="C3009" t="s">
        <v>5043</v>
      </c>
      <c r="D3009" t="s">
        <v>8401</v>
      </c>
    </row>
    <row r="3010" spans="1:4" x14ac:dyDescent="0.25">
      <c r="A3010" s="63" t="s">
        <v>4140</v>
      </c>
      <c r="B3010" t="s">
        <v>1562</v>
      </c>
      <c r="C3010" t="s">
        <v>5043</v>
      </c>
      <c r="D3010" t="s">
        <v>8401</v>
      </c>
    </row>
    <row r="3011" spans="1:4" x14ac:dyDescent="0.25">
      <c r="A3011" s="63" t="s">
        <v>4141</v>
      </c>
      <c r="B3011" t="s">
        <v>1562</v>
      </c>
      <c r="C3011" t="s">
        <v>5043</v>
      </c>
      <c r="D3011" t="s">
        <v>8401</v>
      </c>
    </row>
    <row r="3012" spans="1:4" x14ac:dyDescent="0.25">
      <c r="A3012" s="63" t="s">
        <v>4142</v>
      </c>
      <c r="B3012" t="s">
        <v>1562</v>
      </c>
      <c r="C3012" t="s">
        <v>5043</v>
      </c>
      <c r="D3012" t="s">
        <v>8401</v>
      </c>
    </row>
    <row r="3013" spans="1:4" x14ac:dyDescent="0.25">
      <c r="A3013" s="63" t="s">
        <v>4143</v>
      </c>
      <c r="B3013" t="s">
        <v>1562</v>
      </c>
      <c r="C3013" t="s">
        <v>5043</v>
      </c>
      <c r="D3013" t="s">
        <v>8401</v>
      </c>
    </row>
    <row r="3014" spans="1:4" x14ac:dyDescent="0.25">
      <c r="A3014" s="63" t="s">
        <v>4144</v>
      </c>
      <c r="B3014" t="s">
        <v>1562</v>
      </c>
      <c r="C3014" t="s">
        <v>5043</v>
      </c>
      <c r="D3014" t="s">
        <v>8401</v>
      </c>
    </row>
    <row r="3015" spans="1:4" x14ac:dyDescent="0.25">
      <c r="A3015" s="63" t="s">
        <v>8227</v>
      </c>
      <c r="B3015" t="s">
        <v>1562</v>
      </c>
      <c r="C3015" t="s">
        <v>5043</v>
      </c>
      <c r="D3015" t="s">
        <v>8401</v>
      </c>
    </row>
    <row r="3016" spans="1:4" x14ac:dyDescent="0.25">
      <c r="A3016" s="63" t="s">
        <v>4145</v>
      </c>
      <c r="B3016" t="s">
        <v>1352</v>
      </c>
      <c r="C3016" t="s">
        <v>5043</v>
      </c>
      <c r="D3016" t="s">
        <v>8401</v>
      </c>
    </row>
    <row r="3017" spans="1:4" x14ac:dyDescent="0.25">
      <c r="A3017" s="63" t="s">
        <v>4146</v>
      </c>
      <c r="B3017" t="s">
        <v>1352</v>
      </c>
      <c r="C3017" t="s">
        <v>5043</v>
      </c>
      <c r="D3017" t="s">
        <v>8401</v>
      </c>
    </row>
    <row r="3018" spans="1:4" x14ac:dyDescent="0.25">
      <c r="A3018" s="63" t="s">
        <v>8228</v>
      </c>
      <c r="B3018" t="s">
        <v>1636</v>
      </c>
      <c r="C3018" t="s">
        <v>5043</v>
      </c>
      <c r="D3018" t="s">
        <v>8401</v>
      </c>
    </row>
    <row r="3019" spans="1:4" x14ac:dyDescent="0.25">
      <c r="A3019" s="63" t="s">
        <v>5080</v>
      </c>
      <c r="B3019" t="s">
        <v>1636</v>
      </c>
      <c r="C3019" t="s">
        <v>5043</v>
      </c>
      <c r="D3019" t="s">
        <v>8401</v>
      </c>
    </row>
    <row r="3020" spans="1:4" x14ac:dyDescent="0.25">
      <c r="A3020" s="63" t="s">
        <v>8229</v>
      </c>
      <c r="B3020" t="s">
        <v>1636</v>
      </c>
      <c r="C3020" t="s">
        <v>5043</v>
      </c>
      <c r="D3020" t="s">
        <v>8401</v>
      </c>
    </row>
    <row r="3021" spans="1:4" x14ac:dyDescent="0.25">
      <c r="A3021" s="63" t="s">
        <v>5427</v>
      </c>
      <c r="B3021" t="s">
        <v>1636</v>
      </c>
      <c r="C3021" t="s">
        <v>5043</v>
      </c>
      <c r="D3021" t="s">
        <v>8401</v>
      </c>
    </row>
    <row r="3022" spans="1:4" x14ac:dyDescent="0.25">
      <c r="A3022" s="63" t="s">
        <v>5428</v>
      </c>
      <c r="B3022" t="s">
        <v>1636</v>
      </c>
      <c r="C3022" t="s">
        <v>5043</v>
      </c>
      <c r="D3022" t="s">
        <v>8401</v>
      </c>
    </row>
    <row r="3023" spans="1:4" x14ac:dyDescent="0.25">
      <c r="A3023" s="63" t="s">
        <v>4147</v>
      </c>
      <c r="B3023" t="s">
        <v>1636</v>
      </c>
      <c r="C3023" t="s">
        <v>5043</v>
      </c>
      <c r="D3023" t="s">
        <v>8401</v>
      </c>
    </row>
    <row r="3024" spans="1:4" x14ac:dyDescent="0.25">
      <c r="A3024" s="63" t="s">
        <v>4148</v>
      </c>
      <c r="B3024" t="s">
        <v>1636</v>
      </c>
      <c r="C3024" t="s">
        <v>5043</v>
      </c>
      <c r="D3024" t="s">
        <v>8401</v>
      </c>
    </row>
    <row r="3025" spans="1:4" x14ac:dyDescent="0.25">
      <c r="A3025" s="63" t="s">
        <v>4149</v>
      </c>
      <c r="B3025" t="s">
        <v>1636</v>
      </c>
      <c r="C3025" t="s">
        <v>5043</v>
      </c>
      <c r="D3025" t="s">
        <v>8401</v>
      </c>
    </row>
    <row r="3026" spans="1:4" x14ac:dyDescent="0.25">
      <c r="A3026" s="63" t="s">
        <v>4150</v>
      </c>
      <c r="B3026" t="s">
        <v>1636</v>
      </c>
      <c r="C3026" t="s">
        <v>5043</v>
      </c>
      <c r="D3026" t="s">
        <v>8401</v>
      </c>
    </row>
    <row r="3027" spans="1:4" x14ac:dyDescent="0.25">
      <c r="A3027" s="63" t="s">
        <v>4151</v>
      </c>
      <c r="B3027" t="s">
        <v>1636</v>
      </c>
      <c r="C3027" t="s">
        <v>5043</v>
      </c>
      <c r="D3027" t="s">
        <v>8401</v>
      </c>
    </row>
    <row r="3028" spans="1:4" x14ac:dyDescent="0.25">
      <c r="A3028" s="63" t="s">
        <v>4152</v>
      </c>
      <c r="B3028" t="s">
        <v>1636</v>
      </c>
      <c r="C3028" t="s">
        <v>5043</v>
      </c>
      <c r="D3028" t="s">
        <v>8401</v>
      </c>
    </row>
    <row r="3029" spans="1:4" x14ac:dyDescent="0.25">
      <c r="A3029" s="63" t="s">
        <v>4153</v>
      </c>
      <c r="B3029" t="s">
        <v>1636</v>
      </c>
      <c r="C3029" t="s">
        <v>5043</v>
      </c>
      <c r="D3029" t="s">
        <v>8401</v>
      </c>
    </row>
    <row r="3030" spans="1:4" x14ac:dyDescent="0.25">
      <c r="A3030" s="63" t="s">
        <v>4154</v>
      </c>
      <c r="B3030" t="s">
        <v>1636</v>
      </c>
      <c r="C3030" t="s">
        <v>5043</v>
      </c>
      <c r="D3030" t="s">
        <v>8401</v>
      </c>
    </row>
    <row r="3031" spans="1:4" x14ac:dyDescent="0.25">
      <c r="A3031" s="63" t="s">
        <v>4155</v>
      </c>
      <c r="B3031" t="s">
        <v>1636</v>
      </c>
      <c r="C3031" t="s">
        <v>5043</v>
      </c>
      <c r="D3031" t="s">
        <v>8401</v>
      </c>
    </row>
    <row r="3032" spans="1:4" x14ac:dyDescent="0.25">
      <c r="A3032" s="63" t="s">
        <v>8230</v>
      </c>
      <c r="B3032" t="s">
        <v>2093</v>
      </c>
      <c r="C3032" t="s">
        <v>5043</v>
      </c>
      <c r="D3032" t="s">
        <v>8401</v>
      </c>
    </row>
    <row r="3033" spans="1:4" x14ac:dyDescent="0.25">
      <c r="A3033" s="63" t="s">
        <v>5817</v>
      </c>
      <c r="B3033" t="s">
        <v>2093</v>
      </c>
      <c r="C3033" t="s">
        <v>5043</v>
      </c>
      <c r="D3033" t="s">
        <v>8401</v>
      </c>
    </row>
    <row r="3034" spans="1:4" x14ac:dyDescent="0.25">
      <c r="A3034" s="63" t="s">
        <v>4156</v>
      </c>
      <c r="B3034" t="s">
        <v>2046</v>
      </c>
      <c r="C3034" t="s">
        <v>5043</v>
      </c>
      <c r="D3034" t="s">
        <v>8401</v>
      </c>
    </row>
    <row r="3035" spans="1:4" x14ac:dyDescent="0.25">
      <c r="A3035" s="63" t="s">
        <v>4157</v>
      </c>
      <c r="B3035" t="s">
        <v>2046</v>
      </c>
      <c r="C3035" t="s">
        <v>5043</v>
      </c>
      <c r="D3035" t="s">
        <v>8401</v>
      </c>
    </row>
    <row r="3036" spans="1:4" x14ac:dyDescent="0.25">
      <c r="A3036" s="63" t="s">
        <v>8231</v>
      </c>
      <c r="B3036" t="s">
        <v>1487</v>
      </c>
      <c r="C3036" t="s">
        <v>5043</v>
      </c>
      <c r="D3036" t="s">
        <v>8401</v>
      </c>
    </row>
    <row r="3037" spans="1:4" x14ac:dyDescent="0.25">
      <c r="A3037" s="63" t="s">
        <v>8232</v>
      </c>
      <c r="B3037" t="s">
        <v>1487</v>
      </c>
      <c r="C3037" t="s">
        <v>5043</v>
      </c>
      <c r="D3037" t="s">
        <v>8401</v>
      </c>
    </row>
    <row r="3038" spans="1:4" x14ac:dyDescent="0.25">
      <c r="A3038" s="63" t="s">
        <v>5865</v>
      </c>
      <c r="B3038" t="s">
        <v>1487</v>
      </c>
      <c r="C3038" t="s">
        <v>5043</v>
      </c>
      <c r="D3038" t="s">
        <v>8401</v>
      </c>
    </row>
    <row r="3039" spans="1:4" x14ac:dyDescent="0.25">
      <c r="A3039" s="63" t="s">
        <v>8233</v>
      </c>
      <c r="B3039" t="s">
        <v>1210</v>
      </c>
      <c r="C3039" t="s">
        <v>5043</v>
      </c>
      <c r="D3039" t="s">
        <v>8401</v>
      </c>
    </row>
    <row r="3040" spans="1:4" x14ac:dyDescent="0.25">
      <c r="A3040" s="63" t="s">
        <v>8234</v>
      </c>
      <c r="B3040" t="s">
        <v>1210</v>
      </c>
      <c r="C3040" t="s">
        <v>5043</v>
      </c>
      <c r="D3040" t="s">
        <v>8401</v>
      </c>
    </row>
    <row r="3041" spans="1:4" x14ac:dyDescent="0.25">
      <c r="A3041" s="63" t="s">
        <v>8235</v>
      </c>
      <c r="B3041" t="s">
        <v>1210</v>
      </c>
      <c r="C3041" t="s">
        <v>5043</v>
      </c>
      <c r="D3041" t="s">
        <v>8401</v>
      </c>
    </row>
    <row r="3042" spans="1:4" x14ac:dyDescent="0.25">
      <c r="A3042" s="63" t="s">
        <v>8236</v>
      </c>
      <c r="B3042" t="s">
        <v>1210</v>
      </c>
      <c r="C3042" t="s">
        <v>5043</v>
      </c>
      <c r="D3042" t="s">
        <v>8401</v>
      </c>
    </row>
    <row r="3043" spans="1:4" x14ac:dyDescent="0.25">
      <c r="A3043" s="63" t="s">
        <v>5839</v>
      </c>
      <c r="B3043" t="s">
        <v>1210</v>
      </c>
      <c r="C3043" t="s">
        <v>5043</v>
      </c>
      <c r="D3043" t="s">
        <v>8401</v>
      </c>
    </row>
    <row r="3044" spans="1:4" x14ac:dyDescent="0.25">
      <c r="A3044" s="63" t="s">
        <v>8237</v>
      </c>
      <c r="B3044" t="s">
        <v>1604</v>
      </c>
      <c r="C3044" t="s">
        <v>5043</v>
      </c>
      <c r="D3044" t="s">
        <v>8401</v>
      </c>
    </row>
    <row r="3045" spans="1:4" x14ac:dyDescent="0.25">
      <c r="A3045" s="63" t="s">
        <v>8238</v>
      </c>
      <c r="B3045" t="s">
        <v>1604</v>
      </c>
      <c r="C3045" t="s">
        <v>5043</v>
      </c>
      <c r="D3045" t="s">
        <v>8401</v>
      </c>
    </row>
    <row r="3046" spans="1:4" x14ac:dyDescent="0.25">
      <c r="A3046" s="63" t="s">
        <v>8239</v>
      </c>
      <c r="B3046" t="s">
        <v>1604</v>
      </c>
      <c r="C3046" t="s">
        <v>5043</v>
      </c>
      <c r="D3046" t="s">
        <v>8401</v>
      </c>
    </row>
    <row r="3047" spans="1:4" x14ac:dyDescent="0.25">
      <c r="A3047" s="63" t="s">
        <v>8240</v>
      </c>
      <c r="B3047" t="s">
        <v>1604</v>
      </c>
      <c r="C3047" t="s">
        <v>5043</v>
      </c>
      <c r="D3047" t="s">
        <v>8401</v>
      </c>
    </row>
    <row r="3048" spans="1:4" x14ac:dyDescent="0.25">
      <c r="A3048" s="63" t="s">
        <v>8241</v>
      </c>
      <c r="B3048" t="s">
        <v>1604</v>
      </c>
      <c r="C3048" t="s">
        <v>5043</v>
      </c>
      <c r="D3048" t="s">
        <v>8401</v>
      </c>
    </row>
    <row r="3049" spans="1:4" x14ac:dyDescent="0.25">
      <c r="A3049" s="63" t="s">
        <v>8242</v>
      </c>
      <c r="B3049" t="s">
        <v>1604</v>
      </c>
      <c r="C3049" t="s">
        <v>5043</v>
      </c>
      <c r="D3049" t="s">
        <v>8401</v>
      </c>
    </row>
    <row r="3050" spans="1:4" x14ac:dyDescent="0.25">
      <c r="A3050" s="63" t="s">
        <v>8243</v>
      </c>
      <c r="B3050" t="s">
        <v>1604</v>
      </c>
      <c r="C3050" t="s">
        <v>5043</v>
      </c>
      <c r="D3050" t="s">
        <v>8401</v>
      </c>
    </row>
    <row r="3051" spans="1:4" x14ac:dyDescent="0.25">
      <c r="A3051" s="63" t="s">
        <v>5867</v>
      </c>
      <c r="B3051" t="s">
        <v>1604</v>
      </c>
      <c r="C3051" t="s">
        <v>5043</v>
      </c>
      <c r="D3051" t="s">
        <v>8401</v>
      </c>
    </row>
    <row r="3052" spans="1:4" x14ac:dyDescent="0.25">
      <c r="A3052" s="63" t="s">
        <v>8244</v>
      </c>
      <c r="B3052" t="s">
        <v>1604</v>
      </c>
      <c r="C3052" t="s">
        <v>5043</v>
      </c>
      <c r="D3052" t="s">
        <v>8401</v>
      </c>
    </row>
    <row r="3053" spans="1:4" x14ac:dyDescent="0.25">
      <c r="A3053" s="63" t="s">
        <v>8245</v>
      </c>
      <c r="B3053" t="s">
        <v>1604</v>
      </c>
      <c r="C3053" t="s">
        <v>5043</v>
      </c>
      <c r="D3053" t="s">
        <v>8401</v>
      </c>
    </row>
    <row r="3054" spans="1:4" x14ac:dyDescent="0.25">
      <c r="A3054" s="63" t="s">
        <v>8246</v>
      </c>
      <c r="B3054" t="s">
        <v>1605</v>
      </c>
      <c r="C3054" t="s">
        <v>5043</v>
      </c>
      <c r="D3054" t="s">
        <v>8401</v>
      </c>
    </row>
    <row r="3055" spans="1:4" x14ac:dyDescent="0.25">
      <c r="A3055" s="63" t="s">
        <v>8247</v>
      </c>
      <c r="B3055" t="s">
        <v>2002</v>
      </c>
      <c r="C3055" t="s">
        <v>5043</v>
      </c>
      <c r="D3055" t="s">
        <v>8401</v>
      </c>
    </row>
    <row r="3056" spans="1:4" x14ac:dyDescent="0.25">
      <c r="A3056" s="63" t="s">
        <v>8248</v>
      </c>
      <c r="B3056" t="s">
        <v>2002</v>
      </c>
      <c r="C3056" t="s">
        <v>5043</v>
      </c>
      <c r="D3056" t="s">
        <v>8401</v>
      </c>
    </row>
    <row r="3057" spans="1:4" x14ac:dyDescent="0.25">
      <c r="A3057" s="63" t="s">
        <v>6928</v>
      </c>
      <c r="B3057" t="s">
        <v>2002</v>
      </c>
      <c r="C3057" t="s">
        <v>5043</v>
      </c>
      <c r="D3057" t="s">
        <v>8401</v>
      </c>
    </row>
    <row r="3058" spans="1:4" x14ac:dyDescent="0.25">
      <c r="A3058" s="63" t="s">
        <v>8249</v>
      </c>
      <c r="B3058" t="s">
        <v>2002</v>
      </c>
      <c r="C3058" t="s">
        <v>5043</v>
      </c>
      <c r="D3058" t="s">
        <v>8401</v>
      </c>
    </row>
    <row r="3059" spans="1:4" x14ac:dyDescent="0.25">
      <c r="A3059" s="63" t="s">
        <v>8250</v>
      </c>
      <c r="B3059" t="s">
        <v>1516</v>
      </c>
      <c r="C3059" t="s">
        <v>5043</v>
      </c>
      <c r="D3059" t="s">
        <v>8401</v>
      </c>
    </row>
    <row r="3060" spans="1:4" x14ac:dyDescent="0.25">
      <c r="A3060" s="63" t="s">
        <v>4158</v>
      </c>
      <c r="B3060" t="s">
        <v>2047</v>
      </c>
      <c r="C3060" t="s">
        <v>5043</v>
      </c>
      <c r="D3060" t="s">
        <v>8401</v>
      </c>
    </row>
    <row r="3061" spans="1:4" x14ac:dyDescent="0.25">
      <c r="A3061" s="63" t="s">
        <v>4159</v>
      </c>
      <c r="B3061" t="s">
        <v>2047</v>
      </c>
      <c r="C3061" t="s">
        <v>5043</v>
      </c>
      <c r="D3061" t="s">
        <v>8401</v>
      </c>
    </row>
    <row r="3062" spans="1:4" x14ac:dyDescent="0.25">
      <c r="A3062" s="63" t="s">
        <v>4160</v>
      </c>
      <c r="B3062" t="s">
        <v>1545</v>
      </c>
      <c r="C3062" t="s">
        <v>5043</v>
      </c>
      <c r="D3062" t="s">
        <v>8401</v>
      </c>
    </row>
    <row r="3063" spans="1:4" x14ac:dyDescent="0.25">
      <c r="A3063" s="63" t="s">
        <v>4161</v>
      </c>
      <c r="B3063" t="s">
        <v>1544</v>
      </c>
      <c r="C3063" t="s">
        <v>5043</v>
      </c>
      <c r="D3063" t="s">
        <v>8401</v>
      </c>
    </row>
    <row r="3064" spans="1:4" x14ac:dyDescent="0.25">
      <c r="A3064" s="63" t="s">
        <v>7059</v>
      </c>
      <c r="B3064" t="s">
        <v>1824</v>
      </c>
      <c r="C3064" t="s">
        <v>5043</v>
      </c>
      <c r="D3064" t="s">
        <v>8401</v>
      </c>
    </row>
    <row r="3065" spans="1:4" x14ac:dyDescent="0.25">
      <c r="A3065" s="63" t="s">
        <v>8251</v>
      </c>
      <c r="B3065" t="s">
        <v>1666</v>
      </c>
      <c r="C3065" t="s">
        <v>5043</v>
      </c>
      <c r="D3065" t="s">
        <v>8401</v>
      </c>
    </row>
    <row r="3066" spans="1:4" x14ac:dyDescent="0.25">
      <c r="A3066" s="63" t="s">
        <v>4162</v>
      </c>
      <c r="B3066" t="s">
        <v>1543</v>
      </c>
      <c r="C3066" t="s">
        <v>5043</v>
      </c>
      <c r="D3066" t="s">
        <v>8401</v>
      </c>
    </row>
    <row r="3067" spans="1:4" x14ac:dyDescent="0.25">
      <c r="A3067" s="63" t="s">
        <v>4163</v>
      </c>
      <c r="B3067" t="s">
        <v>1542</v>
      </c>
      <c r="C3067" t="s">
        <v>5043</v>
      </c>
      <c r="D3067" t="s">
        <v>8401</v>
      </c>
    </row>
    <row r="3068" spans="1:4" x14ac:dyDescent="0.25">
      <c r="A3068" s="63" t="s">
        <v>4164</v>
      </c>
      <c r="B3068" t="s">
        <v>1542</v>
      </c>
      <c r="C3068" t="s">
        <v>5043</v>
      </c>
      <c r="D3068" t="s">
        <v>8401</v>
      </c>
    </row>
    <row r="3069" spans="1:4" x14ac:dyDescent="0.25">
      <c r="A3069" s="63" t="s">
        <v>4165</v>
      </c>
      <c r="B3069" t="s">
        <v>1542</v>
      </c>
      <c r="C3069" t="s">
        <v>5043</v>
      </c>
      <c r="D3069" t="s">
        <v>8401</v>
      </c>
    </row>
    <row r="3070" spans="1:4" x14ac:dyDescent="0.25">
      <c r="A3070" s="63" t="s">
        <v>4166</v>
      </c>
      <c r="B3070" t="s">
        <v>1542</v>
      </c>
      <c r="C3070" t="s">
        <v>5043</v>
      </c>
      <c r="D3070" t="s">
        <v>8401</v>
      </c>
    </row>
    <row r="3071" spans="1:4" x14ac:dyDescent="0.25">
      <c r="A3071" s="63" t="s">
        <v>4167</v>
      </c>
      <c r="B3071" t="s">
        <v>1542</v>
      </c>
      <c r="C3071" t="s">
        <v>5043</v>
      </c>
      <c r="D3071" t="s">
        <v>8401</v>
      </c>
    </row>
    <row r="3072" spans="1:4" x14ac:dyDescent="0.25">
      <c r="A3072" s="63" t="s">
        <v>4168</v>
      </c>
      <c r="B3072" t="s">
        <v>1547</v>
      </c>
      <c r="C3072" t="s">
        <v>5043</v>
      </c>
      <c r="D3072" t="s">
        <v>8401</v>
      </c>
    </row>
    <row r="3073" spans="1:4" x14ac:dyDescent="0.25">
      <c r="A3073" s="63" t="s">
        <v>8252</v>
      </c>
      <c r="B3073" t="s">
        <v>1864</v>
      </c>
      <c r="C3073" t="s">
        <v>5043</v>
      </c>
      <c r="D3073" t="s">
        <v>8401</v>
      </c>
    </row>
    <row r="3074" spans="1:4" x14ac:dyDescent="0.25">
      <c r="A3074" s="63" t="s">
        <v>8253</v>
      </c>
      <c r="B3074" t="s">
        <v>1864</v>
      </c>
      <c r="C3074" t="s">
        <v>5043</v>
      </c>
      <c r="D3074" t="s">
        <v>8401</v>
      </c>
    </row>
    <row r="3075" spans="1:4" x14ac:dyDescent="0.25">
      <c r="A3075" s="63" t="s">
        <v>4169</v>
      </c>
      <c r="B3075" t="s">
        <v>1546</v>
      </c>
      <c r="C3075" t="s">
        <v>5043</v>
      </c>
      <c r="D3075" t="s">
        <v>8401</v>
      </c>
    </row>
    <row r="3076" spans="1:4" x14ac:dyDescent="0.25">
      <c r="A3076" s="63" t="s">
        <v>8254</v>
      </c>
      <c r="B3076" t="s">
        <v>1868</v>
      </c>
      <c r="C3076" t="s">
        <v>5043</v>
      </c>
      <c r="D3076" t="s">
        <v>8401</v>
      </c>
    </row>
    <row r="3077" spans="1:4" x14ac:dyDescent="0.25">
      <c r="A3077" s="63" t="s">
        <v>4170</v>
      </c>
      <c r="B3077" t="s">
        <v>2217</v>
      </c>
      <c r="C3077" t="s">
        <v>5043</v>
      </c>
      <c r="D3077" t="s">
        <v>8401</v>
      </c>
    </row>
    <row r="3078" spans="1:4" x14ac:dyDescent="0.25">
      <c r="A3078" s="63" t="s">
        <v>5786</v>
      </c>
      <c r="B3078" t="s">
        <v>1470</v>
      </c>
      <c r="C3078" t="s">
        <v>5043</v>
      </c>
      <c r="D3078" t="s">
        <v>8401</v>
      </c>
    </row>
    <row r="3079" spans="1:4" x14ac:dyDescent="0.25">
      <c r="A3079" s="63" t="s">
        <v>7135</v>
      </c>
      <c r="B3079" t="s">
        <v>1470</v>
      </c>
      <c r="C3079" t="s">
        <v>5043</v>
      </c>
      <c r="D3079" t="s">
        <v>8401</v>
      </c>
    </row>
    <row r="3080" spans="1:4" x14ac:dyDescent="0.25">
      <c r="A3080" s="63" t="s">
        <v>7136</v>
      </c>
      <c r="B3080" t="s">
        <v>1470</v>
      </c>
      <c r="C3080" t="s">
        <v>5043</v>
      </c>
      <c r="D3080" t="s">
        <v>8401</v>
      </c>
    </row>
    <row r="3081" spans="1:4" x14ac:dyDescent="0.25">
      <c r="A3081" s="63" t="s">
        <v>4171</v>
      </c>
      <c r="B3081" t="s">
        <v>2218</v>
      </c>
      <c r="C3081" t="s">
        <v>5043</v>
      </c>
      <c r="D3081" t="s">
        <v>8401</v>
      </c>
    </row>
    <row r="3082" spans="1:4" x14ac:dyDescent="0.25">
      <c r="A3082" s="63" t="s">
        <v>4172</v>
      </c>
      <c r="B3082" t="s">
        <v>2218</v>
      </c>
      <c r="C3082" t="s">
        <v>5043</v>
      </c>
      <c r="D3082" t="s">
        <v>8401</v>
      </c>
    </row>
    <row r="3083" spans="1:4" x14ac:dyDescent="0.25">
      <c r="A3083" s="63" t="s">
        <v>4173</v>
      </c>
      <c r="B3083" t="s">
        <v>2218</v>
      </c>
      <c r="C3083" t="s">
        <v>5043</v>
      </c>
      <c r="D3083" t="s">
        <v>8401</v>
      </c>
    </row>
    <row r="3084" spans="1:4" x14ac:dyDescent="0.25">
      <c r="A3084" s="63" t="s">
        <v>4174</v>
      </c>
      <c r="B3084" t="s">
        <v>2218</v>
      </c>
      <c r="C3084" t="s">
        <v>5043</v>
      </c>
      <c r="D3084" t="s">
        <v>8401</v>
      </c>
    </row>
    <row r="3085" spans="1:4" x14ac:dyDescent="0.25">
      <c r="A3085" s="63" t="s">
        <v>4175</v>
      </c>
      <c r="B3085" t="s">
        <v>2219</v>
      </c>
      <c r="C3085" t="s">
        <v>5043</v>
      </c>
      <c r="D3085" t="s">
        <v>8401</v>
      </c>
    </row>
    <row r="3086" spans="1:4" x14ac:dyDescent="0.25">
      <c r="A3086" s="63" t="s">
        <v>4176</v>
      </c>
      <c r="B3086" t="s">
        <v>1511</v>
      </c>
      <c r="C3086" t="s">
        <v>5043</v>
      </c>
      <c r="D3086" t="s">
        <v>8401</v>
      </c>
    </row>
    <row r="3087" spans="1:4" x14ac:dyDescent="0.25">
      <c r="A3087" s="63" t="s">
        <v>4177</v>
      </c>
      <c r="B3087" t="s">
        <v>1511</v>
      </c>
      <c r="C3087" t="s">
        <v>5043</v>
      </c>
      <c r="D3087" t="s">
        <v>8401</v>
      </c>
    </row>
    <row r="3088" spans="1:4" x14ac:dyDescent="0.25">
      <c r="A3088" s="63" t="s">
        <v>4178</v>
      </c>
      <c r="B3088" t="s">
        <v>1511</v>
      </c>
      <c r="C3088" t="s">
        <v>5043</v>
      </c>
      <c r="D3088" t="s">
        <v>8401</v>
      </c>
    </row>
    <row r="3089" spans="1:4" x14ac:dyDescent="0.25">
      <c r="A3089" s="63" t="s">
        <v>4179</v>
      </c>
      <c r="B3089" t="s">
        <v>1511</v>
      </c>
      <c r="C3089" t="s">
        <v>5043</v>
      </c>
      <c r="D3089" t="s">
        <v>8401</v>
      </c>
    </row>
    <row r="3090" spans="1:4" x14ac:dyDescent="0.25">
      <c r="A3090" s="63" t="s">
        <v>4180</v>
      </c>
      <c r="B3090" t="s">
        <v>1511</v>
      </c>
      <c r="C3090" t="s">
        <v>5043</v>
      </c>
      <c r="D3090" t="s">
        <v>8401</v>
      </c>
    </row>
    <row r="3091" spans="1:4" x14ac:dyDescent="0.25">
      <c r="A3091" s="63" t="s">
        <v>4181</v>
      </c>
      <c r="B3091" t="s">
        <v>1511</v>
      </c>
      <c r="C3091" t="s">
        <v>5043</v>
      </c>
      <c r="D3091" t="s">
        <v>8401</v>
      </c>
    </row>
    <row r="3092" spans="1:4" x14ac:dyDescent="0.25">
      <c r="A3092" s="63" t="s">
        <v>4182</v>
      </c>
      <c r="B3092" t="s">
        <v>1511</v>
      </c>
      <c r="C3092" t="s">
        <v>5043</v>
      </c>
      <c r="D3092" t="s">
        <v>8401</v>
      </c>
    </row>
    <row r="3093" spans="1:4" x14ac:dyDescent="0.25">
      <c r="A3093" s="63" t="s">
        <v>6189</v>
      </c>
      <c r="B3093" t="s">
        <v>1511</v>
      </c>
      <c r="C3093" t="s">
        <v>5043</v>
      </c>
      <c r="D3093" t="s">
        <v>8401</v>
      </c>
    </row>
    <row r="3094" spans="1:4" x14ac:dyDescent="0.25">
      <c r="A3094" s="63" t="s">
        <v>4183</v>
      </c>
      <c r="B3094" t="s">
        <v>2433</v>
      </c>
      <c r="C3094" t="s">
        <v>5043</v>
      </c>
      <c r="D3094" t="s">
        <v>8401</v>
      </c>
    </row>
    <row r="3095" spans="1:4" x14ac:dyDescent="0.25">
      <c r="A3095" s="63" t="s">
        <v>6780</v>
      </c>
      <c r="B3095" t="s">
        <v>2391</v>
      </c>
      <c r="C3095" t="s">
        <v>5043</v>
      </c>
      <c r="D3095" t="s">
        <v>8401</v>
      </c>
    </row>
    <row r="3096" spans="1:4" x14ac:dyDescent="0.25">
      <c r="A3096" s="63" t="s">
        <v>4184</v>
      </c>
      <c r="B3096" t="s">
        <v>1310</v>
      </c>
      <c r="C3096" t="s">
        <v>5043</v>
      </c>
      <c r="D3096" t="s">
        <v>8401</v>
      </c>
    </row>
    <row r="3097" spans="1:4" x14ac:dyDescent="0.25">
      <c r="A3097" s="63" t="s">
        <v>4185</v>
      </c>
      <c r="B3097" t="s">
        <v>1310</v>
      </c>
      <c r="C3097" t="s">
        <v>5043</v>
      </c>
      <c r="D3097" t="s">
        <v>8401</v>
      </c>
    </row>
    <row r="3098" spans="1:4" x14ac:dyDescent="0.25">
      <c r="A3098" s="63" t="s">
        <v>4186</v>
      </c>
      <c r="B3098" t="s">
        <v>2107</v>
      </c>
      <c r="C3098" t="s">
        <v>5043</v>
      </c>
      <c r="D3098" t="s">
        <v>8401</v>
      </c>
    </row>
    <row r="3099" spans="1:4" x14ac:dyDescent="0.25">
      <c r="A3099" s="63" t="s">
        <v>4187</v>
      </c>
      <c r="B3099" t="s">
        <v>2107</v>
      </c>
      <c r="C3099" t="s">
        <v>5043</v>
      </c>
      <c r="D3099" t="s">
        <v>8401</v>
      </c>
    </row>
    <row r="3100" spans="1:4" x14ac:dyDescent="0.25">
      <c r="A3100" s="63" t="s">
        <v>4188</v>
      </c>
      <c r="B3100" t="s">
        <v>2106</v>
      </c>
      <c r="C3100" t="s">
        <v>5043</v>
      </c>
      <c r="D3100" t="s">
        <v>8401</v>
      </c>
    </row>
    <row r="3101" spans="1:4" x14ac:dyDescent="0.25">
      <c r="A3101" s="63" t="s">
        <v>4189</v>
      </c>
      <c r="B3101" t="s">
        <v>2106</v>
      </c>
      <c r="C3101" t="s">
        <v>5043</v>
      </c>
      <c r="D3101" t="s">
        <v>8401</v>
      </c>
    </row>
    <row r="3102" spans="1:4" x14ac:dyDescent="0.25">
      <c r="A3102" s="63" t="s">
        <v>4190</v>
      </c>
      <c r="B3102" t="s">
        <v>2220</v>
      </c>
      <c r="C3102" t="s">
        <v>5043</v>
      </c>
      <c r="D3102" t="s">
        <v>8401</v>
      </c>
    </row>
    <row r="3103" spans="1:4" x14ac:dyDescent="0.25">
      <c r="A3103" s="63" t="s">
        <v>4191</v>
      </c>
      <c r="B3103" t="s">
        <v>1930</v>
      </c>
      <c r="C3103" t="s">
        <v>5043</v>
      </c>
      <c r="D3103" t="s">
        <v>8401</v>
      </c>
    </row>
    <row r="3104" spans="1:4" x14ac:dyDescent="0.25">
      <c r="A3104" s="63" t="s">
        <v>8255</v>
      </c>
      <c r="B3104" t="s">
        <v>1930</v>
      </c>
      <c r="C3104" t="s">
        <v>5043</v>
      </c>
      <c r="D3104" t="s">
        <v>8401</v>
      </c>
    </row>
    <row r="3105" spans="1:4" x14ac:dyDescent="0.25">
      <c r="A3105" s="63" t="s">
        <v>4192</v>
      </c>
      <c r="B3105" t="s">
        <v>2368</v>
      </c>
      <c r="C3105" t="s">
        <v>5043</v>
      </c>
      <c r="D3105" t="s">
        <v>8401</v>
      </c>
    </row>
    <row r="3106" spans="1:4" x14ac:dyDescent="0.25">
      <c r="A3106" s="63" t="s">
        <v>4193</v>
      </c>
      <c r="B3106" t="s">
        <v>2368</v>
      </c>
      <c r="C3106" t="s">
        <v>5043</v>
      </c>
      <c r="D3106" t="s">
        <v>8401</v>
      </c>
    </row>
    <row r="3107" spans="1:4" x14ac:dyDescent="0.25">
      <c r="A3107" s="63" t="s">
        <v>8256</v>
      </c>
      <c r="B3107" t="s">
        <v>1929</v>
      </c>
      <c r="C3107" t="s">
        <v>5043</v>
      </c>
      <c r="D3107" t="s">
        <v>8401</v>
      </c>
    </row>
    <row r="3108" spans="1:4" x14ac:dyDescent="0.25">
      <c r="A3108" s="63" t="s">
        <v>8257</v>
      </c>
      <c r="B3108" t="s">
        <v>1929</v>
      </c>
      <c r="C3108" t="s">
        <v>5043</v>
      </c>
      <c r="D3108" t="s">
        <v>8401</v>
      </c>
    </row>
    <row r="3109" spans="1:4" x14ac:dyDescent="0.25">
      <c r="A3109" s="63" t="s">
        <v>8258</v>
      </c>
      <c r="B3109" t="s">
        <v>1929</v>
      </c>
      <c r="C3109" t="s">
        <v>5043</v>
      </c>
      <c r="D3109" t="s">
        <v>8401</v>
      </c>
    </row>
    <row r="3110" spans="1:4" x14ac:dyDescent="0.25">
      <c r="A3110" s="63" t="s">
        <v>8259</v>
      </c>
      <c r="B3110" t="s">
        <v>1929</v>
      </c>
      <c r="C3110" t="s">
        <v>5043</v>
      </c>
      <c r="D3110" t="s">
        <v>8401</v>
      </c>
    </row>
    <row r="3111" spans="1:4" x14ac:dyDescent="0.25">
      <c r="A3111" s="63" t="s">
        <v>4194</v>
      </c>
      <c r="B3111" t="s">
        <v>1703</v>
      </c>
      <c r="C3111" t="s">
        <v>5043</v>
      </c>
      <c r="D3111" t="s">
        <v>8401</v>
      </c>
    </row>
    <row r="3112" spans="1:4" x14ac:dyDescent="0.25">
      <c r="A3112" s="63" t="s">
        <v>4195</v>
      </c>
      <c r="B3112" t="s">
        <v>1701</v>
      </c>
      <c r="C3112" t="s">
        <v>5043</v>
      </c>
      <c r="D3112" t="s">
        <v>8401</v>
      </c>
    </row>
    <row r="3113" spans="1:4" x14ac:dyDescent="0.25">
      <c r="A3113" s="63" t="s">
        <v>2610</v>
      </c>
      <c r="B3113" t="s">
        <v>2611</v>
      </c>
      <c r="C3113" t="s">
        <v>5043</v>
      </c>
      <c r="D3113" t="s">
        <v>8401</v>
      </c>
    </row>
    <row r="3114" spans="1:4" x14ac:dyDescent="0.25">
      <c r="A3114" s="63" t="s">
        <v>6819</v>
      </c>
      <c r="B3114" t="s">
        <v>8260</v>
      </c>
      <c r="C3114" t="s">
        <v>5043</v>
      </c>
      <c r="D3114" t="s">
        <v>8401</v>
      </c>
    </row>
    <row r="3115" spans="1:4" x14ac:dyDescent="0.25">
      <c r="A3115" s="63" t="s">
        <v>5866</v>
      </c>
      <c r="B3115" t="s">
        <v>1488</v>
      </c>
      <c r="C3115" t="s">
        <v>5043</v>
      </c>
      <c r="D3115" t="s">
        <v>8401</v>
      </c>
    </row>
    <row r="3116" spans="1:4" x14ac:dyDescent="0.25">
      <c r="A3116" s="63" t="s">
        <v>4196</v>
      </c>
      <c r="B3116" t="s">
        <v>2221</v>
      </c>
      <c r="C3116" t="s">
        <v>5043</v>
      </c>
      <c r="D3116" t="s">
        <v>8401</v>
      </c>
    </row>
    <row r="3117" spans="1:4" x14ac:dyDescent="0.25">
      <c r="A3117" s="63" t="s">
        <v>4197</v>
      </c>
      <c r="B3117" t="s">
        <v>2033</v>
      </c>
      <c r="C3117" t="s">
        <v>5043</v>
      </c>
      <c r="D3117" t="s">
        <v>8401</v>
      </c>
    </row>
    <row r="3118" spans="1:4" x14ac:dyDescent="0.25">
      <c r="A3118" s="63" t="s">
        <v>4198</v>
      </c>
      <c r="B3118" t="s">
        <v>1702</v>
      </c>
      <c r="C3118" t="s">
        <v>5043</v>
      </c>
      <c r="D3118" t="s">
        <v>8401</v>
      </c>
    </row>
    <row r="3119" spans="1:4" x14ac:dyDescent="0.25">
      <c r="A3119" s="63" t="s">
        <v>5923</v>
      </c>
      <c r="B3119" t="s">
        <v>2041</v>
      </c>
      <c r="C3119" t="s">
        <v>5043</v>
      </c>
      <c r="D3119" t="s">
        <v>8401</v>
      </c>
    </row>
    <row r="3120" spans="1:4" x14ac:dyDescent="0.25">
      <c r="A3120" s="63" t="s">
        <v>5922</v>
      </c>
      <c r="B3120" t="s">
        <v>2042</v>
      </c>
      <c r="C3120" t="s">
        <v>5043</v>
      </c>
      <c r="D3120" t="s">
        <v>8401</v>
      </c>
    </row>
    <row r="3121" spans="1:4" x14ac:dyDescent="0.25">
      <c r="A3121" s="63" t="s">
        <v>4199</v>
      </c>
      <c r="B3121" t="s">
        <v>1802</v>
      </c>
      <c r="C3121" t="s">
        <v>5043</v>
      </c>
      <c r="D3121" t="s">
        <v>8401</v>
      </c>
    </row>
    <row r="3122" spans="1:4" x14ac:dyDescent="0.25">
      <c r="A3122" s="63" t="s">
        <v>4200</v>
      </c>
      <c r="B3122" t="s">
        <v>1802</v>
      </c>
      <c r="C3122" t="s">
        <v>5043</v>
      </c>
      <c r="D3122" t="s">
        <v>8401</v>
      </c>
    </row>
    <row r="3123" spans="1:4" x14ac:dyDescent="0.25">
      <c r="A3123" s="63" t="s">
        <v>4201</v>
      </c>
      <c r="B3123" t="s">
        <v>1801</v>
      </c>
      <c r="C3123" t="s">
        <v>5043</v>
      </c>
      <c r="D3123" t="s">
        <v>8401</v>
      </c>
    </row>
    <row r="3124" spans="1:4" x14ac:dyDescent="0.25">
      <c r="A3124" s="63" t="s">
        <v>4202</v>
      </c>
      <c r="B3124" t="s">
        <v>1801</v>
      </c>
      <c r="C3124" t="s">
        <v>5043</v>
      </c>
      <c r="D3124" t="s">
        <v>8401</v>
      </c>
    </row>
    <row r="3125" spans="1:4" x14ac:dyDescent="0.25">
      <c r="A3125" s="63" t="s">
        <v>4203</v>
      </c>
      <c r="B3125" t="s">
        <v>1647</v>
      </c>
      <c r="C3125" t="s">
        <v>5043</v>
      </c>
      <c r="D3125" t="s">
        <v>8401</v>
      </c>
    </row>
    <row r="3126" spans="1:4" x14ac:dyDescent="0.25">
      <c r="A3126" s="63" t="s">
        <v>4204</v>
      </c>
      <c r="B3126" t="s">
        <v>1647</v>
      </c>
      <c r="C3126" t="s">
        <v>5043</v>
      </c>
      <c r="D3126" t="s">
        <v>8401</v>
      </c>
    </row>
    <row r="3127" spans="1:4" x14ac:dyDescent="0.25">
      <c r="A3127" s="63" t="s">
        <v>4205</v>
      </c>
      <c r="B3127" t="s">
        <v>1856</v>
      </c>
      <c r="C3127" t="s">
        <v>5043</v>
      </c>
      <c r="D3127" t="s">
        <v>8401</v>
      </c>
    </row>
    <row r="3128" spans="1:4" x14ac:dyDescent="0.25">
      <c r="A3128" s="63" t="s">
        <v>4206</v>
      </c>
      <c r="B3128" t="s">
        <v>1856</v>
      </c>
      <c r="C3128" t="s">
        <v>5043</v>
      </c>
      <c r="D3128" t="s">
        <v>8401</v>
      </c>
    </row>
    <row r="3129" spans="1:4" x14ac:dyDescent="0.25">
      <c r="A3129" s="63" t="s">
        <v>4207</v>
      </c>
      <c r="B3129" t="s">
        <v>1856</v>
      </c>
      <c r="C3129" t="s">
        <v>5043</v>
      </c>
      <c r="D3129" t="s">
        <v>8401</v>
      </c>
    </row>
    <row r="3130" spans="1:4" x14ac:dyDescent="0.25">
      <c r="A3130" s="63" t="s">
        <v>4208</v>
      </c>
      <c r="B3130" t="s">
        <v>1856</v>
      </c>
      <c r="C3130" t="s">
        <v>5043</v>
      </c>
      <c r="D3130" t="s">
        <v>8401</v>
      </c>
    </row>
    <row r="3131" spans="1:4" x14ac:dyDescent="0.25">
      <c r="A3131" s="63" t="s">
        <v>4209</v>
      </c>
      <c r="B3131" t="s">
        <v>1856</v>
      </c>
      <c r="C3131" t="s">
        <v>5043</v>
      </c>
      <c r="D3131" t="s">
        <v>8401</v>
      </c>
    </row>
    <row r="3132" spans="1:4" x14ac:dyDescent="0.25">
      <c r="A3132" s="63" t="s">
        <v>4210</v>
      </c>
      <c r="B3132" t="s">
        <v>1856</v>
      </c>
      <c r="C3132" t="s">
        <v>5043</v>
      </c>
      <c r="D3132" t="s">
        <v>8401</v>
      </c>
    </row>
    <row r="3133" spans="1:4" x14ac:dyDescent="0.25">
      <c r="A3133" s="63" t="s">
        <v>4211</v>
      </c>
      <c r="B3133" t="s">
        <v>1856</v>
      </c>
      <c r="C3133" t="s">
        <v>5043</v>
      </c>
      <c r="D3133" t="s">
        <v>8401</v>
      </c>
    </row>
    <row r="3134" spans="1:4" x14ac:dyDescent="0.25">
      <c r="A3134" s="63" t="s">
        <v>4212</v>
      </c>
      <c r="B3134" t="s">
        <v>1856</v>
      </c>
      <c r="C3134" t="s">
        <v>5043</v>
      </c>
      <c r="D3134" t="s">
        <v>8401</v>
      </c>
    </row>
    <row r="3135" spans="1:4" x14ac:dyDescent="0.25">
      <c r="A3135" s="63" t="s">
        <v>4213</v>
      </c>
      <c r="B3135" t="s">
        <v>1856</v>
      </c>
      <c r="C3135" t="s">
        <v>5043</v>
      </c>
      <c r="D3135" t="s">
        <v>8401</v>
      </c>
    </row>
    <row r="3136" spans="1:4" x14ac:dyDescent="0.25">
      <c r="A3136" s="63" t="s">
        <v>4214</v>
      </c>
      <c r="B3136" t="s">
        <v>1856</v>
      </c>
      <c r="C3136" t="s">
        <v>5043</v>
      </c>
      <c r="D3136" t="s">
        <v>8401</v>
      </c>
    </row>
    <row r="3137" spans="1:4" x14ac:dyDescent="0.25">
      <c r="A3137" s="63" t="s">
        <v>4215</v>
      </c>
      <c r="B3137" t="s">
        <v>1856</v>
      </c>
      <c r="C3137" t="s">
        <v>5043</v>
      </c>
      <c r="D3137" t="s">
        <v>8401</v>
      </c>
    </row>
    <row r="3138" spans="1:4" x14ac:dyDescent="0.25">
      <c r="A3138" s="63" t="s">
        <v>4216</v>
      </c>
      <c r="B3138" t="s">
        <v>1856</v>
      </c>
      <c r="C3138" t="s">
        <v>5043</v>
      </c>
      <c r="D3138" t="s">
        <v>8401</v>
      </c>
    </row>
    <row r="3139" spans="1:4" x14ac:dyDescent="0.25">
      <c r="A3139" s="63" t="s">
        <v>4217</v>
      </c>
      <c r="B3139" t="s">
        <v>1856</v>
      </c>
      <c r="C3139" t="s">
        <v>5043</v>
      </c>
      <c r="D3139" t="s">
        <v>8401</v>
      </c>
    </row>
    <row r="3140" spans="1:4" x14ac:dyDescent="0.25">
      <c r="A3140" s="63" t="s">
        <v>4218</v>
      </c>
      <c r="B3140" t="s">
        <v>1856</v>
      </c>
      <c r="C3140" t="s">
        <v>5043</v>
      </c>
      <c r="D3140" t="s">
        <v>8401</v>
      </c>
    </row>
    <row r="3141" spans="1:4" x14ac:dyDescent="0.25">
      <c r="A3141" s="63" t="s">
        <v>4219</v>
      </c>
      <c r="B3141" t="s">
        <v>1856</v>
      </c>
      <c r="C3141" t="s">
        <v>5043</v>
      </c>
      <c r="D3141" t="s">
        <v>8401</v>
      </c>
    </row>
    <row r="3142" spans="1:4" x14ac:dyDescent="0.25">
      <c r="A3142" s="63" t="s">
        <v>4220</v>
      </c>
      <c r="B3142" t="s">
        <v>1856</v>
      </c>
      <c r="C3142" t="s">
        <v>5043</v>
      </c>
      <c r="D3142" t="s">
        <v>8401</v>
      </c>
    </row>
    <row r="3143" spans="1:4" x14ac:dyDescent="0.25">
      <c r="A3143" s="63" t="s">
        <v>4221</v>
      </c>
      <c r="B3143" t="s">
        <v>1856</v>
      </c>
      <c r="C3143" t="s">
        <v>5043</v>
      </c>
      <c r="D3143" t="s">
        <v>8401</v>
      </c>
    </row>
    <row r="3144" spans="1:4" x14ac:dyDescent="0.25">
      <c r="A3144" s="63" t="s">
        <v>4222</v>
      </c>
      <c r="B3144" t="s">
        <v>1856</v>
      </c>
      <c r="C3144" t="s">
        <v>5043</v>
      </c>
      <c r="D3144" t="s">
        <v>8401</v>
      </c>
    </row>
    <row r="3145" spans="1:4" x14ac:dyDescent="0.25">
      <c r="A3145" s="63" t="s">
        <v>4223</v>
      </c>
      <c r="B3145" t="s">
        <v>1856</v>
      </c>
      <c r="C3145" t="s">
        <v>5043</v>
      </c>
      <c r="D3145" t="s">
        <v>8401</v>
      </c>
    </row>
    <row r="3146" spans="1:4" x14ac:dyDescent="0.25">
      <c r="A3146" s="63" t="s">
        <v>4224</v>
      </c>
      <c r="B3146" t="s">
        <v>1856</v>
      </c>
      <c r="C3146" t="s">
        <v>5043</v>
      </c>
      <c r="D3146" t="s">
        <v>8401</v>
      </c>
    </row>
    <row r="3147" spans="1:4" x14ac:dyDescent="0.25">
      <c r="A3147" s="63" t="s">
        <v>4225</v>
      </c>
      <c r="B3147" t="s">
        <v>1856</v>
      </c>
      <c r="C3147" t="s">
        <v>5043</v>
      </c>
      <c r="D3147" t="s">
        <v>8401</v>
      </c>
    </row>
    <row r="3148" spans="1:4" x14ac:dyDescent="0.25">
      <c r="A3148" s="63" t="s">
        <v>4226</v>
      </c>
      <c r="B3148" t="s">
        <v>1856</v>
      </c>
      <c r="C3148" t="s">
        <v>5043</v>
      </c>
      <c r="D3148" t="s">
        <v>8401</v>
      </c>
    </row>
    <row r="3149" spans="1:4" x14ac:dyDescent="0.25">
      <c r="A3149" s="63" t="s">
        <v>6259</v>
      </c>
      <c r="B3149" t="s">
        <v>2270</v>
      </c>
      <c r="C3149" t="s">
        <v>5043</v>
      </c>
      <c r="D3149" t="s">
        <v>8401</v>
      </c>
    </row>
    <row r="3150" spans="1:4" x14ac:dyDescent="0.25">
      <c r="A3150" s="63" t="s">
        <v>6264</v>
      </c>
      <c r="B3150" t="s">
        <v>2270</v>
      </c>
      <c r="C3150" t="s">
        <v>5043</v>
      </c>
      <c r="D3150" t="s">
        <v>8401</v>
      </c>
    </row>
    <row r="3151" spans="1:4" x14ac:dyDescent="0.25">
      <c r="A3151" s="63" t="s">
        <v>4227</v>
      </c>
      <c r="B3151" t="s">
        <v>1631</v>
      </c>
      <c r="C3151" t="s">
        <v>5043</v>
      </c>
      <c r="D3151" t="s">
        <v>8401</v>
      </c>
    </row>
    <row r="3152" spans="1:4" x14ac:dyDescent="0.25">
      <c r="A3152" s="63" t="s">
        <v>4228</v>
      </c>
      <c r="B3152" t="s">
        <v>1631</v>
      </c>
      <c r="C3152" t="s">
        <v>5043</v>
      </c>
      <c r="D3152" t="s">
        <v>8401</v>
      </c>
    </row>
    <row r="3153" spans="1:4" x14ac:dyDescent="0.25">
      <c r="A3153" s="63" t="s">
        <v>5921</v>
      </c>
      <c r="B3153" t="s">
        <v>1631</v>
      </c>
      <c r="C3153" t="s">
        <v>5043</v>
      </c>
      <c r="D3153" t="s">
        <v>8401</v>
      </c>
    </row>
    <row r="3154" spans="1:4" x14ac:dyDescent="0.25">
      <c r="A3154" s="63" t="s">
        <v>4229</v>
      </c>
      <c r="B3154" t="s">
        <v>2376</v>
      </c>
      <c r="C3154" t="s">
        <v>5043</v>
      </c>
      <c r="D3154" t="s">
        <v>8401</v>
      </c>
    </row>
    <row r="3155" spans="1:4" x14ac:dyDescent="0.25">
      <c r="A3155" s="63" t="s">
        <v>8261</v>
      </c>
      <c r="B3155" t="s">
        <v>1582</v>
      </c>
      <c r="C3155" t="s">
        <v>5043</v>
      </c>
      <c r="D3155" t="s">
        <v>8401</v>
      </c>
    </row>
    <row r="3156" spans="1:4" x14ac:dyDescent="0.25">
      <c r="A3156" s="63" t="s">
        <v>4230</v>
      </c>
      <c r="B3156" t="s">
        <v>1789</v>
      </c>
      <c r="C3156" t="s">
        <v>5043</v>
      </c>
      <c r="D3156" t="s">
        <v>8401</v>
      </c>
    </row>
    <row r="3157" spans="1:4" x14ac:dyDescent="0.25">
      <c r="A3157" s="63" t="s">
        <v>4231</v>
      </c>
      <c r="B3157" t="s">
        <v>1789</v>
      </c>
      <c r="C3157" t="s">
        <v>5043</v>
      </c>
      <c r="D3157" t="s">
        <v>8401</v>
      </c>
    </row>
    <row r="3158" spans="1:4" x14ac:dyDescent="0.25">
      <c r="A3158" s="63" t="s">
        <v>4232</v>
      </c>
      <c r="B3158" t="s">
        <v>1789</v>
      </c>
      <c r="C3158" t="s">
        <v>5043</v>
      </c>
      <c r="D3158" t="s">
        <v>8401</v>
      </c>
    </row>
    <row r="3159" spans="1:4" x14ac:dyDescent="0.25">
      <c r="A3159" s="63" t="s">
        <v>4233</v>
      </c>
      <c r="B3159" t="s">
        <v>1789</v>
      </c>
      <c r="C3159" t="s">
        <v>5043</v>
      </c>
      <c r="D3159" t="s">
        <v>8401</v>
      </c>
    </row>
    <row r="3160" spans="1:4" x14ac:dyDescent="0.25">
      <c r="A3160" s="63" t="s">
        <v>4234</v>
      </c>
      <c r="B3160" t="s">
        <v>1789</v>
      </c>
      <c r="C3160" t="s">
        <v>5043</v>
      </c>
      <c r="D3160" t="s">
        <v>8401</v>
      </c>
    </row>
    <row r="3161" spans="1:4" x14ac:dyDescent="0.25">
      <c r="A3161" s="63" t="s">
        <v>4235</v>
      </c>
      <c r="B3161" t="s">
        <v>1789</v>
      </c>
      <c r="C3161" t="s">
        <v>5043</v>
      </c>
      <c r="D3161" t="s">
        <v>8401</v>
      </c>
    </row>
    <row r="3162" spans="1:4" x14ac:dyDescent="0.25">
      <c r="A3162" s="63" t="s">
        <v>4236</v>
      </c>
      <c r="B3162" t="s">
        <v>2374</v>
      </c>
      <c r="C3162" t="s">
        <v>5043</v>
      </c>
      <c r="D3162" t="s">
        <v>8401</v>
      </c>
    </row>
    <row r="3163" spans="1:4" x14ac:dyDescent="0.25">
      <c r="A3163" s="63" t="s">
        <v>4237</v>
      </c>
      <c r="B3163" t="s">
        <v>2374</v>
      </c>
      <c r="C3163" t="s">
        <v>5043</v>
      </c>
      <c r="D3163" t="s">
        <v>8401</v>
      </c>
    </row>
    <row r="3164" spans="1:4" x14ac:dyDescent="0.25">
      <c r="A3164" s="63" t="s">
        <v>4238</v>
      </c>
      <c r="B3164" t="s">
        <v>1574</v>
      </c>
      <c r="C3164" t="s">
        <v>5043</v>
      </c>
      <c r="D3164" t="s">
        <v>8401</v>
      </c>
    </row>
    <row r="3165" spans="1:4" x14ac:dyDescent="0.25">
      <c r="A3165" s="63" t="s">
        <v>4239</v>
      </c>
      <c r="B3165" t="s">
        <v>1574</v>
      </c>
      <c r="C3165" t="s">
        <v>5043</v>
      </c>
      <c r="D3165" t="s">
        <v>8401</v>
      </c>
    </row>
    <row r="3166" spans="1:4" x14ac:dyDescent="0.25">
      <c r="A3166" s="63" t="s">
        <v>4240</v>
      </c>
      <c r="B3166" t="s">
        <v>1839</v>
      </c>
      <c r="C3166" t="s">
        <v>5043</v>
      </c>
      <c r="D3166" t="s">
        <v>8401</v>
      </c>
    </row>
    <row r="3167" spans="1:4" x14ac:dyDescent="0.25">
      <c r="A3167" s="63" t="s">
        <v>4241</v>
      </c>
      <c r="B3167" t="s">
        <v>1839</v>
      </c>
      <c r="C3167" t="s">
        <v>5043</v>
      </c>
      <c r="D3167" t="s">
        <v>8401</v>
      </c>
    </row>
    <row r="3168" spans="1:4" x14ac:dyDescent="0.25">
      <c r="A3168" s="63" t="s">
        <v>4242</v>
      </c>
      <c r="B3168" t="s">
        <v>1839</v>
      </c>
      <c r="C3168" t="s">
        <v>5043</v>
      </c>
      <c r="D3168" t="s">
        <v>8401</v>
      </c>
    </row>
    <row r="3169" spans="1:4" x14ac:dyDescent="0.25">
      <c r="A3169" s="63" t="s">
        <v>4243</v>
      </c>
      <c r="B3169" t="s">
        <v>1839</v>
      </c>
      <c r="C3169" t="s">
        <v>5043</v>
      </c>
      <c r="D3169" t="s">
        <v>8401</v>
      </c>
    </row>
    <row r="3170" spans="1:4" x14ac:dyDescent="0.25">
      <c r="A3170" s="63" t="s">
        <v>4244</v>
      </c>
      <c r="B3170" t="s">
        <v>1839</v>
      </c>
      <c r="C3170" t="s">
        <v>5043</v>
      </c>
      <c r="D3170" t="s">
        <v>8401</v>
      </c>
    </row>
    <row r="3171" spans="1:4" x14ac:dyDescent="0.25">
      <c r="A3171" s="63" t="s">
        <v>4245</v>
      </c>
      <c r="B3171" t="s">
        <v>1839</v>
      </c>
      <c r="C3171" t="s">
        <v>5043</v>
      </c>
      <c r="D3171" t="s">
        <v>8401</v>
      </c>
    </row>
    <row r="3172" spans="1:4" x14ac:dyDescent="0.25">
      <c r="A3172" s="63" t="s">
        <v>4246</v>
      </c>
      <c r="B3172" t="s">
        <v>1839</v>
      </c>
      <c r="C3172" t="s">
        <v>5043</v>
      </c>
      <c r="D3172" t="s">
        <v>8401</v>
      </c>
    </row>
    <row r="3173" spans="1:4" x14ac:dyDescent="0.25">
      <c r="A3173" s="63" t="s">
        <v>4247</v>
      </c>
      <c r="B3173" t="s">
        <v>1972</v>
      </c>
      <c r="C3173" t="s">
        <v>5043</v>
      </c>
      <c r="D3173" t="s">
        <v>8401</v>
      </c>
    </row>
    <row r="3174" spans="1:4" x14ac:dyDescent="0.25">
      <c r="A3174" s="63" t="s">
        <v>4248</v>
      </c>
      <c r="B3174" t="s">
        <v>1972</v>
      </c>
      <c r="C3174" t="s">
        <v>5043</v>
      </c>
      <c r="D3174" t="s">
        <v>8401</v>
      </c>
    </row>
    <row r="3175" spans="1:4" x14ac:dyDescent="0.25">
      <c r="A3175" s="63" t="s">
        <v>8262</v>
      </c>
      <c r="B3175" t="s">
        <v>1972</v>
      </c>
      <c r="C3175" t="s">
        <v>5043</v>
      </c>
      <c r="D3175" t="s">
        <v>8401</v>
      </c>
    </row>
    <row r="3176" spans="1:4" x14ac:dyDescent="0.25">
      <c r="A3176" s="63" t="s">
        <v>8263</v>
      </c>
      <c r="B3176" t="s">
        <v>1972</v>
      </c>
      <c r="C3176" t="s">
        <v>5043</v>
      </c>
      <c r="D3176" t="s">
        <v>8401</v>
      </c>
    </row>
    <row r="3177" spans="1:4" x14ac:dyDescent="0.25">
      <c r="A3177" s="63" t="s">
        <v>8299</v>
      </c>
      <c r="B3177" t="s">
        <v>8300</v>
      </c>
      <c r="C3177" t="s">
        <v>5043</v>
      </c>
      <c r="D3177" t="s">
        <v>8401</v>
      </c>
    </row>
    <row r="3178" spans="1:4" x14ac:dyDescent="0.25">
      <c r="A3178" s="63" t="s">
        <v>4249</v>
      </c>
      <c r="B3178" t="s">
        <v>2001</v>
      </c>
      <c r="C3178" t="s">
        <v>5043</v>
      </c>
      <c r="D3178" t="s">
        <v>8401</v>
      </c>
    </row>
    <row r="3179" spans="1:4" x14ac:dyDescent="0.25">
      <c r="A3179" s="63" t="s">
        <v>4250</v>
      </c>
      <c r="B3179" t="s">
        <v>2001</v>
      </c>
      <c r="C3179" t="s">
        <v>5043</v>
      </c>
      <c r="D3179" t="s">
        <v>8401</v>
      </c>
    </row>
    <row r="3180" spans="1:4" x14ac:dyDescent="0.25">
      <c r="A3180" s="63" t="s">
        <v>4251</v>
      </c>
      <c r="B3180" t="s">
        <v>1756</v>
      </c>
      <c r="C3180" t="s">
        <v>5043</v>
      </c>
      <c r="D3180" t="s">
        <v>8401</v>
      </c>
    </row>
    <row r="3181" spans="1:4" x14ac:dyDescent="0.25">
      <c r="A3181" s="63" t="s">
        <v>4252</v>
      </c>
      <c r="B3181" t="s">
        <v>1756</v>
      </c>
      <c r="C3181" t="s">
        <v>5043</v>
      </c>
      <c r="D3181" t="s">
        <v>8401</v>
      </c>
    </row>
    <row r="3182" spans="1:4" x14ac:dyDescent="0.25">
      <c r="A3182" s="63" t="s">
        <v>4253</v>
      </c>
      <c r="B3182" t="s">
        <v>1756</v>
      </c>
      <c r="C3182" t="s">
        <v>5043</v>
      </c>
      <c r="D3182" t="s">
        <v>8401</v>
      </c>
    </row>
    <row r="3183" spans="1:4" x14ac:dyDescent="0.25">
      <c r="A3183" s="63" t="s">
        <v>4254</v>
      </c>
      <c r="B3183" t="s">
        <v>1756</v>
      </c>
      <c r="C3183" t="s">
        <v>5043</v>
      </c>
      <c r="D3183" t="s">
        <v>8401</v>
      </c>
    </row>
    <row r="3184" spans="1:4" x14ac:dyDescent="0.25">
      <c r="A3184" s="63" t="s">
        <v>8264</v>
      </c>
      <c r="B3184" t="s">
        <v>1632</v>
      </c>
      <c r="C3184" t="s">
        <v>5043</v>
      </c>
      <c r="D3184" t="s">
        <v>8401</v>
      </c>
    </row>
    <row r="3185" spans="1:4" x14ac:dyDescent="0.25">
      <c r="A3185" s="63" t="s">
        <v>5472</v>
      </c>
      <c r="B3185" t="s">
        <v>1945</v>
      </c>
      <c r="C3185" t="s">
        <v>5043</v>
      </c>
      <c r="D3185" t="s">
        <v>8401</v>
      </c>
    </row>
    <row r="3186" spans="1:4" x14ac:dyDescent="0.25">
      <c r="A3186" s="63" t="s">
        <v>4255</v>
      </c>
      <c r="B3186" t="s">
        <v>1945</v>
      </c>
      <c r="C3186" t="s">
        <v>5043</v>
      </c>
      <c r="D3186" t="s">
        <v>8401</v>
      </c>
    </row>
    <row r="3187" spans="1:4" x14ac:dyDescent="0.25">
      <c r="A3187" s="63" t="s">
        <v>4256</v>
      </c>
      <c r="B3187" t="s">
        <v>1945</v>
      </c>
      <c r="C3187" t="s">
        <v>5043</v>
      </c>
      <c r="D3187" t="s">
        <v>8401</v>
      </c>
    </row>
    <row r="3188" spans="1:4" x14ac:dyDescent="0.25">
      <c r="A3188" s="63" t="s">
        <v>4257</v>
      </c>
      <c r="B3188" t="s">
        <v>1945</v>
      </c>
      <c r="C3188" t="s">
        <v>5043</v>
      </c>
      <c r="D3188" t="s">
        <v>8401</v>
      </c>
    </row>
    <row r="3189" spans="1:4" x14ac:dyDescent="0.25">
      <c r="A3189" s="63" t="s">
        <v>4258</v>
      </c>
      <c r="B3189" t="s">
        <v>1945</v>
      </c>
      <c r="C3189" t="s">
        <v>5043</v>
      </c>
      <c r="D3189" t="s">
        <v>8401</v>
      </c>
    </row>
    <row r="3190" spans="1:4" x14ac:dyDescent="0.25">
      <c r="A3190" s="63" t="s">
        <v>6151</v>
      </c>
      <c r="B3190" t="s">
        <v>1945</v>
      </c>
      <c r="C3190" t="s">
        <v>5043</v>
      </c>
      <c r="D3190" t="s">
        <v>8401</v>
      </c>
    </row>
    <row r="3191" spans="1:4" x14ac:dyDescent="0.25">
      <c r="A3191" s="63" t="s">
        <v>6152</v>
      </c>
      <c r="B3191" t="s">
        <v>1945</v>
      </c>
      <c r="C3191" t="s">
        <v>5043</v>
      </c>
      <c r="D3191" t="s">
        <v>8401</v>
      </c>
    </row>
    <row r="3192" spans="1:4" x14ac:dyDescent="0.25">
      <c r="A3192" s="63" t="s">
        <v>6153</v>
      </c>
      <c r="B3192" t="s">
        <v>1945</v>
      </c>
      <c r="C3192" t="s">
        <v>5043</v>
      </c>
      <c r="D3192" t="s">
        <v>8401</v>
      </c>
    </row>
    <row r="3193" spans="1:4" x14ac:dyDescent="0.25">
      <c r="A3193" s="63" t="s">
        <v>8265</v>
      </c>
      <c r="B3193" t="s">
        <v>2123</v>
      </c>
      <c r="C3193" t="s">
        <v>5043</v>
      </c>
      <c r="D3193" t="s">
        <v>8401</v>
      </c>
    </row>
    <row r="3194" spans="1:4" x14ac:dyDescent="0.25">
      <c r="A3194" s="63" t="s">
        <v>4259</v>
      </c>
      <c r="B3194" t="s">
        <v>1325</v>
      </c>
      <c r="C3194" t="s">
        <v>5043</v>
      </c>
      <c r="D3194" t="s">
        <v>8401</v>
      </c>
    </row>
    <row r="3195" spans="1:4" x14ac:dyDescent="0.25">
      <c r="A3195" s="63" t="s">
        <v>4260</v>
      </c>
      <c r="B3195" t="s">
        <v>1325</v>
      </c>
      <c r="C3195" t="s">
        <v>5043</v>
      </c>
      <c r="D3195" t="s">
        <v>8401</v>
      </c>
    </row>
    <row r="3196" spans="1:4" x14ac:dyDescent="0.25">
      <c r="A3196" s="63" t="s">
        <v>4261</v>
      </c>
      <c r="B3196" t="s">
        <v>1325</v>
      </c>
      <c r="C3196" t="s">
        <v>5043</v>
      </c>
      <c r="D3196" t="s">
        <v>8401</v>
      </c>
    </row>
    <row r="3197" spans="1:4" x14ac:dyDescent="0.25">
      <c r="A3197" s="63" t="s">
        <v>4262</v>
      </c>
      <c r="B3197" t="s">
        <v>1325</v>
      </c>
      <c r="C3197" t="s">
        <v>5043</v>
      </c>
      <c r="D3197" t="s">
        <v>8401</v>
      </c>
    </row>
    <row r="3198" spans="1:4" x14ac:dyDescent="0.25">
      <c r="A3198" s="63" t="s">
        <v>4263</v>
      </c>
      <c r="B3198" t="s">
        <v>1325</v>
      </c>
      <c r="C3198" t="s">
        <v>5043</v>
      </c>
      <c r="D3198" t="s">
        <v>8401</v>
      </c>
    </row>
    <row r="3199" spans="1:4" x14ac:dyDescent="0.25">
      <c r="A3199" s="63" t="s">
        <v>4264</v>
      </c>
      <c r="B3199" t="s">
        <v>1325</v>
      </c>
      <c r="C3199" t="s">
        <v>5043</v>
      </c>
      <c r="D3199" t="s">
        <v>8401</v>
      </c>
    </row>
    <row r="3200" spans="1:4" x14ac:dyDescent="0.25">
      <c r="A3200" s="63" t="s">
        <v>4265</v>
      </c>
      <c r="B3200" t="s">
        <v>1325</v>
      </c>
      <c r="C3200" t="s">
        <v>5043</v>
      </c>
      <c r="D3200" t="s">
        <v>8401</v>
      </c>
    </row>
    <row r="3201" spans="1:4" x14ac:dyDescent="0.25">
      <c r="A3201" s="63" t="s">
        <v>4266</v>
      </c>
      <c r="B3201" t="s">
        <v>1299</v>
      </c>
      <c r="C3201" t="s">
        <v>5043</v>
      </c>
      <c r="D3201" t="s">
        <v>8401</v>
      </c>
    </row>
    <row r="3202" spans="1:4" x14ac:dyDescent="0.25">
      <c r="A3202" s="63" t="s">
        <v>4267</v>
      </c>
      <c r="B3202" t="s">
        <v>1299</v>
      </c>
      <c r="C3202" t="s">
        <v>5043</v>
      </c>
      <c r="D3202" t="s">
        <v>8401</v>
      </c>
    </row>
    <row r="3203" spans="1:4" x14ac:dyDescent="0.25">
      <c r="A3203" s="63" t="s">
        <v>4268</v>
      </c>
      <c r="B3203" t="s">
        <v>1299</v>
      </c>
      <c r="C3203" t="s">
        <v>5043</v>
      </c>
      <c r="D3203" t="s">
        <v>8401</v>
      </c>
    </row>
    <row r="3204" spans="1:4" x14ac:dyDescent="0.25">
      <c r="A3204" s="63" t="s">
        <v>6905</v>
      </c>
      <c r="B3204" t="s">
        <v>2116</v>
      </c>
      <c r="C3204" t="s">
        <v>5043</v>
      </c>
      <c r="D3204" t="s">
        <v>8401</v>
      </c>
    </row>
    <row r="3205" spans="1:4" x14ac:dyDescent="0.25">
      <c r="A3205" s="63" t="s">
        <v>6906</v>
      </c>
      <c r="B3205" t="s">
        <v>2116</v>
      </c>
      <c r="C3205" t="s">
        <v>5043</v>
      </c>
      <c r="D3205" t="s">
        <v>8401</v>
      </c>
    </row>
    <row r="3206" spans="1:4" x14ac:dyDescent="0.25">
      <c r="A3206" s="63" t="s">
        <v>8266</v>
      </c>
      <c r="B3206" t="s">
        <v>2116</v>
      </c>
      <c r="C3206" t="s">
        <v>5043</v>
      </c>
      <c r="D3206" t="s">
        <v>8401</v>
      </c>
    </row>
    <row r="3207" spans="1:4" x14ac:dyDescent="0.25">
      <c r="A3207" s="63" t="s">
        <v>4269</v>
      </c>
      <c r="B3207" t="s">
        <v>1272</v>
      </c>
      <c r="C3207" t="s">
        <v>5043</v>
      </c>
      <c r="D3207" t="s">
        <v>8401</v>
      </c>
    </row>
    <row r="3208" spans="1:4" x14ac:dyDescent="0.25">
      <c r="A3208" s="63" t="s">
        <v>4270</v>
      </c>
      <c r="B3208" t="s">
        <v>1272</v>
      </c>
      <c r="C3208" t="s">
        <v>5043</v>
      </c>
      <c r="D3208" t="s">
        <v>8401</v>
      </c>
    </row>
    <row r="3209" spans="1:4" x14ac:dyDescent="0.25">
      <c r="A3209" s="63" t="s">
        <v>4271</v>
      </c>
      <c r="B3209" t="s">
        <v>2375</v>
      </c>
      <c r="C3209" t="s">
        <v>5043</v>
      </c>
      <c r="D3209" t="s">
        <v>8401</v>
      </c>
    </row>
    <row r="3210" spans="1:4" x14ac:dyDescent="0.25">
      <c r="A3210" s="63" t="s">
        <v>4272</v>
      </c>
      <c r="B3210" t="s">
        <v>2375</v>
      </c>
      <c r="C3210" t="s">
        <v>5043</v>
      </c>
      <c r="D3210" t="s">
        <v>8401</v>
      </c>
    </row>
    <row r="3211" spans="1:4" x14ac:dyDescent="0.25">
      <c r="A3211" s="63" t="s">
        <v>4273</v>
      </c>
      <c r="B3211" t="s">
        <v>2377</v>
      </c>
      <c r="C3211" t="s">
        <v>5043</v>
      </c>
      <c r="D3211" t="s">
        <v>8401</v>
      </c>
    </row>
    <row r="3212" spans="1:4" x14ac:dyDescent="0.25">
      <c r="A3212" s="63" t="s">
        <v>4274</v>
      </c>
      <c r="B3212" t="s">
        <v>2377</v>
      </c>
      <c r="C3212" t="s">
        <v>5043</v>
      </c>
      <c r="D3212" t="s">
        <v>8401</v>
      </c>
    </row>
    <row r="3213" spans="1:4" x14ac:dyDescent="0.25">
      <c r="A3213" s="63" t="s">
        <v>4275</v>
      </c>
      <c r="B3213" t="s">
        <v>2378</v>
      </c>
      <c r="C3213" t="s">
        <v>5043</v>
      </c>
      <c r="D3213" t="s">
        <v>8401</v>
      </c>
    </row>
    <row r="3214" spans="1:4" x14ac:dyDescent="0.25">
      <c r="A3214" s="63" t="s">
        <v>4276</v>
      </c>
      <c r="B3214" t="s">
        <v>2378</v>
      </c>
      <c r="C3214" t="s">
        <v>5043</v>
      </c>
      <c r="D3214" t="s">
        <v>8401</v>
      </c>
    </row>
    <row r="3215" spans="1:4" x14ac:dyDescent="0.25">
      <c r="A3215" s="63" t="s">
        <v>4277</v>
      </c>
      <c r="B3215" t="s">
        <v>2379</v>
      </c>
      <c r="C3215" t="s">
        <v>5043</v>
      </c>
      <c r="D3215" t="s">
        <v>8401</v>
      </c>
    </row>
    <row r="3216" spans="1:4" x14ac:dyDescent="0.25">
      <c r="A3216" s="63" t="s">
        <v>4278</v>
      </c>
      <c r="B3216" t="s">
        <v>1813</v>
      </c>
      <c r="C3216" t="s">
        <v>5043</v>
      </c>
      <c r="D3216" t="s">
        <v>8401</v>
      </c>
    </row>
    <row r="3217" spans="1:4" x14ac:dyDescent="0.25">
      <c r="A3217" s="63" t="s">
        <v>2556</v>
      </c>
      <c r="B3217" t="s">
        <v>2542</v>
      </c>
      <c r="C3217" t="s">
        <v>5043</v>
      </c>
      <c r="D3217" t="s">
        <v>8401</v>
      </c>
    </row>
    <row r="3218" spans="1:4" x14ac:dyDescent="0.25">
      <c r="A3218" s="63" t="s">
        <v>5086</v>
      </c>
      <c r="B3218" t="s">
        <v>1663</v>
      </c>
      <c r="C3218" t="s">
        <v>5043</v>
      </c>
      <c r="D3218" t="s">
        <v>8401</v>
      </c>
    </row>
    <row r="3219" spans="1:4" x14ac:dyDescent="0.25">
      <c r="A3219" s="63" t="s">
        <v>4279</v>
      </c>
      <c r="B3219" t="s">
        <v>1812</v>
      </c>
      <c r="C3219" t="s">
        <v>5043</v>
      </c>
      <c r="D3219" t="s">
        <v>8401</v>
      </c>
    </row>
    <row r="3220" spans="1:4" x14ac:dyDescent="0.25">
      <c r="A3220" s="63" t="s">
        <v>4280</v>
      </c>
      <c r="B3220" t="s">
        <v>1812</v>
      </c>
      <c r="C3220" t="s">
        <v>5043</v>
      </c>
      <c r="D3220" t="s">
        <v>8401</v>
      </c>
    </row>
    <row r="3221" spans="1:4" x14ac:dyDescent="0.25">
      <c r="A3221" s="63" t="s">
        <v>8267</v>
      </c>
      <c r="B3221" t="s">
        <v>1640</v>
      </c>
      <c r="C3221" t="s">
        <v>5043</v>
      </c>
      <c r="D3221" t="s">
        <v>8401</v>
      </c>
    </row>
    <row r="3222" spans="1:4" x14ac:dyDescent="0.25">
      <c r="A3222" s="63" t="s">
        <v>8268</v>
      </c>
      <c r="B3222" t="s">
        <v>1640</v>
      </c>
      <c r="C3222" t="s">
        <v>5043</v>
      </c>
      <c r="D3222" t="s">
        <v>8401</v>
      </c>
    </row>
    <row r="3223" spans="1:4" x14ac:dyDescent="0.25">
      <c r="A3223" s="63" t="s">
        <v>4281</v>
      </c>
      <c r="B3223" t="s">
        <v>1640</v>
      </c>
      <c r="C3223" t="s">
        <v>5043</v>
      </c>
      <c r="D3223" t="s">
        <v>8401</v>
      </c>
    </row>
    <row r="3224" spans="1:4" x14ac:dyDescent="0.25">
      <c r="A3224" s="63" t="s">
        <v>4282</v>
      </c>
      <c r="B3224" t="s">
        <v>2347</v>
      </c>
      <c r="C3224" t="s">
        <v>5043</v>
      </c>
      <c r="D3224" t="s">
        <v>8401</v>
      </c>
    </row>
    <row r="3225" spans="1:4" x14ac:dyDescent="0.25">
      <c r="A3225" s="63" t="s">
        <v>4283</v>
      </c>
      <c r="B3225" t="s">
        <v>1946</v>
      </c>
      <c r="C3225" t="s">
        <v>5043</v>
      </c>
      <c r="D3225" t="s">
        <v>8401</v>
      </c>
    </row>
    <row r="3226" spans="1:4" x14ac:dyDescent="0.25">
      <c r="A3226" s="63" t="s">
        <v>4284</v>
      </c>
      <c r="B3226" t="s">
        <v>1946</v>
      </c>
      <c r="C3226" t="s">
        <v>5043</v>
      </c>
      <c r="D3226" t="s">
        <v>8401</v>
      </c>
    </row>
    <row r="3227" spans="1:4" x14ac:dyDescent="0.25">
      <c r="A3227" s="63" t="s">
        <v>5117</v>
      </c>
      <c r="B3227" t="s">
        <v>1946</v>
      </c>
      <c r="C3227" t="s">
        <v>5043</v>
      </c>
      <c r="D3227" t="s">
        <v>8401</v>
      </c>
    </row>
    <row r="3228" spans="1:4" x14ac:dyDescent="0.25">
      <c r="A3228" s="63" t="s">
        <v>7234</v>
      </c>
      <c r="B3228" t="s">
        <v>1946</v>
      </c>
      <c r="C3228" t="s">
        <v>5043</v>
      </c>
      <c r="D3228" t="s">
        <v>8401</v>
      </c>
    </row>
    <row r="3229" spans="1:4" x14ac:dyDescent="0.25">
      <c r="A3229" s="63" t="s">
        <v>4285</v>
      </c>
      <c r="B3229" t="s">
        <v>1589</v>
      </c>
      <c r="C3229" t="s">
        <v>5043</v>
      </c>
      <c r="D3229" t="s">
        <v>8401</v>
      </c>
    </row>
    <row r="3230" spans="1:4" x14ac:dyDescent="0.25">
      <c r="A3230" s="63" t="s">
        <v>4286</v>
      </c>
      <c r="B3230" t="s">
        <v>2348</v>
      </c>
      <c r="C3230" t="s">
        <v>5043</v>
      </c>
      <c r="D3230" t="s">
        <v>8401</v>
      </c>
    </row>
    <row r="3231" spans="1:4" x14ac:dyDescent="0.25">
      <c r="A3231" s="63" t="s">
        <v>8269</v>
      </c>
      <c r="B3231" t="s">
        <v>1942</v>
      </c>
      <c r="C3231" t="s">
        <v>5043</v>
      </c>
      <c r="D3231" t="s">
        <v>8401</v>
      </c>
    </row>
    <row r="3232" spans="1:4" x14ac:dyDescent="0.25">
      <c r="A3232" s="63" t="s">
        <v>8270</v>
      </c>
      <c r="B3232" t="s">
        <v>1942</v>
      </c>
      <c r="C3232" t="s">
        <v>5043</v>
      </c>
      <c r="D3232" t="s">
        <v>8401</v>
      </c>
    </row>
    <row r="3233" spans="1:4" x14ac:dyDescent="0.25">
      <c r="A3233" s="63" t="s">
        <v>5249</v>
      </c>
      <c r="B3233" t="s">
        <v>1590</v>
      </c>
      <c r="C3233" t="s">
        <v>5043</v>
      </c>
      <c r="D3233" t="s">
        <v>8401</v>
      </c>
    </row>
    <row r="3234" spans="1:4" x14ac:dyDescent="0.25">
      <c r="A3234" s="63" t="s">
        <v>5250</v>
      </c>
      <c r="B3234" t="s">
        <v>1590</v>
      </c>
      <c r="C3234" t="s">
        <v>5043</v>
      </c>
      <c r="D3234" t="s">
        <v>8401</v>
      </c>
    </row>
    <row r="3235" spans="1:4" x14ac:dyDescent="0.25">
      <c r="A3235" s="63" t="s">
        <v>5251</v>
      </c>
      <c r="B3235" t="s">
        <v>1590</v>
      </c>
      <c r="C3235" t="s">
        <v>5043</v>
      </c>
      <c r="D3235" t="s">
        <v>8401</v>
      </c>
    </row>
    <row r="3236" spans="1:4" x14ac:dyDescent="0.25">
      <c r="A3236" s="63" t="s">
        <v>5252</v>
      </c>
      <c r="B3236" t="s">
        <v>1590</v>
      </c>
      <c r="C3236" t="s">
        <v>5043</v>
      </c>
      <c r="D3236" t="s">
        <v>8401</v>
      </c>
    </row>
    <row r="3237" spans="1:4" x14ac:dyDescent="0.25">
      <c r="A3237" s="63" t="s">
        <v>5253</v>
      </c>
      <c r="B3237" t="s">
        <v>1590</v>
      </c>
      <c r="C3237" t="s">
        <v>5043</v>
      </c>
      <c r="D3237" t="s">
        <v>8401</v>
      </c>
    </row>
    <row r="3238" spans="1:4" x14ac:dyDescent="0.25">
      <c r="A3238" s="63" t="s">
        <v>5254</v>
      </c>
      <c r="B3238" t="s">
        <v>1590</v>
      </c>
      <c r="C3238" t="s">
        <v>5043</v>
      </c>
      <c r="D3238" t="s">
        <v>8401</v>
      </c>
    </row>
    <row r="3239" spans="1:4" x14ac:dyDescent="0.25">
      <c r="A3239" s="63" t="s">
        <v>5339</v>
      </c>
      <c r="B3239" t="s">
        <v>1518</v>
      </c>
      <c r="C3239" t="s">
        <v>5043</v>
      </c>
      <c r="D3239" t="s">
        <v>8401</v>
      </c>
    </row>
    <row r="3240" spans="1:4" x14ac:dyDescent="0.25">
      <c r="A3240" s="63" t="s">
        <v>8271</v>
      </c>
      <c r="B3240" t="s">
        <v>1518</v>
      </c>
      <c r="C3240" t="s">
        <v>5043</v>
      </c>
      <c r="D3240" t="s">
        <v>8401</v>
      </c>
    </row>
    <row r="3241" spans="1:4" x14ac:dyDescent="0.25">
      <c r="A3241" s="63" t="s">
        <v>5046</v>
      </c>
      <c r="B3241" t="s">
        <v>1518</v>
      </c>
      <c r="C3241" t="s">
        <v>5043</v>
      </c>
      <c r="D3241" t="s">
        <v>8401</v>
      </c>
    </row>
    <row r="3242" spans="1:4" x14ac:dyDescent="0.25">
      <c r="A3242" s="63" t="s">
        <v>4574</v>
      </c>
      <c r="B3242" t="s">
        <v>1518</v>
      </c>
      <c r="C3242" t="s">
        <v>5043</v>
      </c>
      <c r="D3242" t="s">
        <v>8401</v>
      </c>
    </row>
    <row r="3243" spans="1:4" x14ac:dyDescent="0.25">
      <c r="A3243" s="63" t="s">
        <v>8272</v>
      </c>
      <c r="B3243" t="s">
        <v>1518</v>
      </c>
      <c r="C3243" t="s">
        <v>5043</v>
      </c>
      <c r="D3243" t="s">
        <v>8401</v>
      </c>
    </row>
    <row r="3244" spans="1:4" x14ac:dyDescent="0.25">
      <c r="A3244" s="63" t="s">
        <v>8273</v>
      </c>
      <c r="B3244" t="s">
        <v>1518</v>
      </c>
      <c r="C3244" t="s">
        <v>5043</v>
      </c>
      <c r="D3244" t="s">
        <v>8401</v>
      </c>
    </row>
    <row r="3245" spans="1:4" x14ac:dyDescent="0.25">
      <c r="A3245" s="63" t="s">
        <v>8274</v>
      </c>
      <c r="B3245" t="s">
        <v>1518</v>
      </c>
      <c r="C3245" t="s">
        <v>5043</v>
      </c>
      <c r="D3245" t="s">
        <v>8401</v>
      </c>
    </row>
    <row r="3246" spans="1:4" x14ac:dyDescent="0.25">
      <c r="A3246" s="63" t="s">
        <v>8275</v>
      </c>
      <c r="B3246" t="s">
        <v>1518</v>
      </c>
      <c r="C3246" t="s">
        <v>5043</v>
      </c>
      <c r="D3246" t="s">
        <v>8401</v>
      </c>
    </row>
    <row r="3247" spans="1:4" x14ac:dyDescent="0.25">
      <c r="A3247" s="63" t="s">
        <v>8276</v>
      </c>
      <c r="B3247" t="s">
        <v>1518</v>
      </c>
      <c r="C3247" t="s">
        <v>5043</v>
      </c>
      <c r="D3247" t="s">
        <v>8401</v>
      </c>
    </row>
    <row r="3248" spans="1:4" x14ac:dyDescent="0.25">
      <c r="A3248" s="63" t="s">
        <v>4287</v>
      </c>
      <c r="B3248" t="s">
        <v>1322</v>
      </c>
      <c r="C3248" t="s">
        <v>5043</v>
      </c>
      <c r="D3248" t="s">
        <v>8401</v>
      </c>
    </row>
    <row r="3249" spans="1:4" x14ac:dyDescent="0.25">
      <c r="A3249" s="63" t="s">
        <v>8277</v>
      </c>
      <c r="B3249" t="s">
        <v>1322</v>
      </c>
      <c r="C3249" t="s">
        <v>5043</v>
      </c>
      <c r="D3249" t="s">
        <v>8401</v>
      </c>
    </row>
    <row r="3250" spans="1:4" x14ac:dyDescent="0.25">
      <c r="A3250" s="63" t="s">
        <v>5581</v>
      </c>
      <c r="B3250" t="s">
        <v>1532</v>
      </c>
      <c r="C3250" t="s">
        <v>5043</v>
      </c>
      <c r="D3250" t="s">
        <v>8401</v>
      </c>
    </row>
    <row r="3251" spans="1:4" x14ac:dyDescent="0.25">
      <c r="A3251" s="63" t="s">
        <v>4288</v>
      </c>
      <c r="B3251" t="s">
        <v>1532</v>
      </c>
      <c r="C3251" t="s">
        <v>5043</v>
      </c>
      <c r="D3251" t="s">
        <v>8401</v>
      </c>
    </row>
    <row r="3252" spans="1:4" x14ac:dyDescent="0.25">
      <c r="A3252" s="63" t="s">
        <v>5582</v>
      </c>
      <c r="B3252" t="s">
        <v>1532</v>
      </c>
      <c r="C3252" t="s">
        <v>5043</v>
      </c>
      <c r="D3252" t="s">
        <v>8401</v>
      </c>
    </row>
    <row r="3253" spans="1:4" x14ac:dyDescent="0.25">
      <c r="A3253" s="63" t="s">
        <v>4291</v>
      </c>
      <c r="B3253" t="s">
        <v>1943</v>
      </c>
      <c r="C3253" t="s">
        <v>5043</v>
      </c>
      <c r="D3253" t="s">
        <v>8401</v>
      </c>
    </row>
    <row r="3254" spans="1:4" x14ac:dyDescent="0.25">
      <c r="A3254" s="63" t="s">
        <v>4292</v>
      </c>
      <c r="B3254" t="s">
        <v>1943</v>
      </c>
      <c r="C3254" t="s">
        <v>5043</v>
      </c>
      <c r="D3254" t="s">
        <v>8401</v>
      </c>
    </row>
    <row r="3255" spans="1:4" x14ac:dyDescent="0.25">
      <c r="A3255" s="63" t="s">
        <v>4293</v>
      </c>
      <c r="B3255" t="s">
        <v>1943</v>
      </c>
      <c r="C3255" t="s">
        <v>5043</v>
      </c>
      <c r="D3255" t="s">
        <v>8401</v>
      </c>
    </row>
    <row r="3256" spans="1:4" x14ac:dyDescent="0.25">
      <c r="A3256" s="63" t="s">
        <v>4294</v>
      </c>
      <c r="B3256" t="s">
        <v>2349</v>
      </c>
      <c r="C3256" t="s">
        <v>5043</v>
      </c>
      <c r="D3256" t="s">
        <v>8401</v>
      </c>
    </row>
    <row r="3257" spans="1:4" x14ac:dyDescent="0.25">
      <c r="A3257" s="63" t="s">
        <v>4295</v>
      </c>
      <c r="B3257" t="s">
        <v>2349</v>
      </c>
      <c r="C3257" t="s">
        <v>5043</v>
      </c>
      <c r="D3257" t="s">
        <v>8401</v>
      </c>
    </row>
    <row r="3258" spans="1:4" x14ac:dyDescent="0.25">
      <c r="A3258" s="63" t="s">
        <v>4296</v>
      </c>
      <c r="B3258" t="s">
        <v>1670</v>
      </c>
      <c r="C3258" t="s">
        <v>5043</v>
      </c>
      <c r="D3258" t="s">
        <v>8401</v>
      </c>
    </row>
    <row r="3259" spans="1:4" x14ac:dyDescent="0.25">
      <c r="A3259" s="63" t="s">
        <v>4297</v>
      </c>
      <c r="B3259" t="s">
        <v>1670</v>
      </c>
      <c r="C3259" t="s">
        <v>5043</v>
      </c>
      <c r="D3259" t="s">
        <v>8401</v>
      </c>
    </row>
    <row r="3260" spans="1:4" x14ac:dyDescent="0.25">
      <c r="A3260" s="63" t="s">
        <v>4298</v>
      </c>
      <c r="B3260" t="s">
        <v>2143</v>
      </c>
      <c r="C3260" t="s">
        <v>5043</v>
      </c>
      <c r="D3260" t="s">
        <v>8401</v>
      </c>
    </row>
    <row r="3261" spans="1:4" x14ac:dyDescent="0.25">
      <c r="A3261" s="63" t="s">
        <v>4299</v>
      </c>
      <c r="B3261" t="s">
        <v>2143</v>
      </c>
      <c r="C3261" t="s">
        <v>5043</v>
      </c>
      <c r="D3261" t="s">
        <v>8401</v>
      </c>
    </row>
    <row r="3262" spans="1:4" x14ac:dyDescent="0.25">
      <c r="A3262" s="63" t="s">
        <v>4300</v>
      </c>
      <c r="B3262" t="s">
        <v>2143</v>
      </c>
      <c r="C3262" t="s">
        <v>5043</v>
      </c>
      <c r="D3262" t="s">
        <v>8401</v>
      </c>
    </row>
    <row r="3263" spans="1:4" x14ac:dyDescent="0.25">
      <c r="A3263" s="63" t="s">
        <v>4301</v>
      </c>
      <c r="B3263" t="s">
        <v>2143</v>
      </c>
      <c r="C3263" t="s">
        <v>5043</v>
      </c>
      <c r="D3263" t="s">
        <v>8401</v>
      </c>
    </row>
    <row r="3264" spans="1:4" x14ac:dyDescent="0.25">
      <c r="A3264" s="63" t="s">
        <v>4302</v>
      </c>
      <c r="B3264" t="s">
        <v>2143</v>
      </c>
      <c r="C3264" t="s">
        <v>5043</v>
      </c>
      <c r="D3264" t="s">
        <v>8401</v>
      </c>
    </row>
    <row r="3265" spans="1:4" x14ac:dyDescent="0.25">
      <c r="A3265" s="63" t="s">
        <v>4303</v>
      </c>
      <c r="B3265" t="s">
        <v>2143</v>
      </c>
      <c r="C3265" t="s">
        <v>5043</v>
      </c>
      <c r="D3265" t="s">
        <v>8401</v>
      </c>
    </row>
    <row r="3266" spans="1:4" x14ac:dyDescent="0.25">
      <c r="A3266" s="63" t="s">
        <v>4304</v>
      </c>
      <c r="B3266" t="s">
        <v>2143</v>
      </c>
      <c r="C3266" t="s">
        <v>5043</v>
      </c>
      <c r="D3266" t="s">
        <v>8401</v>
      </c>
    </row>
    <row r="3267" spans="1:4" x14ac:dyDescent="0.25">
      <c r="A3267" s="63" t="s">
        <v>4305</v>
      </c>
      <c r="B3267" t="s">
        <v>2143</v>
      </c>
      <c r="C3267" t="s">
        <v>5043</v>
      </c>
      <c r="D3267" t="s">
        <v>8401</v>
      </c>
    </row>
    <row r="3268" spans="1:4" x14ac:dyDescent="0.25">
      <c r="A3268" s="63" t="s">
        <v>4306</v>
      </c>
      <c r="B3268" t="s">
        <v>2143</v>
      </c>
      <c r="C3268" t="s">
        <v>5043</v>
      </c>
      <c r="D3268" t="s">
        <v>8401</v>
      </c>
    </row>
    <row r="3269" spans="1:4" x14ac:dyDescent="0.25">
      <c r="A3269" s="63" t="s">
        <v>4307</v>
      </c>
      <c r="B3269" t="s">
        <v>2143</v>
      </c>
      <c r="C3269" t="s">
        <v>5043</v>
      </c>
      <c r="D3269" t="s">
        <v>8401</v>
      </c>
    </row>
    <row r="3270" spans="1:4" x14ac:dyDescent="0.25">
      <c r="A3270" s="63" t="s">
        <v>8278</v>
      </c>
      <c r="B3270" t="s">
        <v>1239</v>
      </c>
      <c r="C3270" t="s">
        <v>5043</v>
      </c>
      <c r="D3270" t="s">
        <v>8401</v>
      </c>
    </row>
    <row r="3271" spans="1:4" x14ac:dyDescent="0.25">
      <c r="A3271" s="63" t="s">
        <v>8279</v>
      </c>
      <c r="B3271" t="s">
        <v>1239</v>
      </c>
      <c r="C3271" t="s">
        <v>5043</v>
      </c>
      <c r="D3271" t="s">
        <v>8401</v>
      </c>
    </row>
    <row r="3272" spans="1:4" x14ac:dyDescent="0.25">
      <c r="A3272" s="63" t="s">
        <v>4308</v>
      </c>
      <c r="B3272" t="s">
        <v>1239</v>
      </c>
      <c r="C3272" t="s">
        <v>5043</v>
      </c>
      <c r="D3272" t="s">
        <v>8401</v>
      </c>
    </row>
    <row r="3273" spans="1:4" x14ac:dyDescent="0.25">
      <c r="A3273" s="63" t="s">
        <v>4309</v>
      </c>
      <c r="B3273" t="s">
        <v>1239</v>
      </c>
      <c r="C3273" t="s">
        <v>5043</v>
      </c>
      <c r="D3273" t="s">
        <v>8401</v>
      </c>
    </row>
    <row r="3274" spans="1:4" x14ac:dyDescent="0.25">
      <c r="A3274" s="63" t="s">
        <v>4310</v>
      </c>
      <c r="B3274" t="s">
        <v>1239</v>
      </c>
      <c r="C3274" t="s">
        <v>5043</v>
      </c>
      <c r="D3274" t="s">
        <v>8401</v>
      </c>
    </row>
    <row r="3275" spans="1:4" x14ac:dyDescent="0.25">
      <c r="A3275" s="63" t="s">
        <v>4311</v>
      </c>
      <c r="B3275" t="s">
        <v>1239</v>
      </c>
      <c r="C3275" t="s">
        <v>5043</v>
      </c>
      <c r="D3275" t="s">
        <v>8401</v>
      </c>
    </row>
    <row r="3276" spans="1:4" x14ac:dyDescent="0.25">
      <c r="A3276" s="63" t="s">
        <v>4312</v>
      </c>
      <c r="B3276" t="s">
        <v>1239</v>
      </c>
      <c r="C3276" t="s">
        <v>5043</v>
      </c>
      <c r="D3276" t="s">
        <v>8401</v>
      </c>
    </row>
    <row r="3277" spans="1:4" x14ac:dyDescent="0.25">
      <c r="A3277" s="63" t="s">
        <v>4313</v>
      </c>
      <c r="B3277" t="s">
        <v>1239</v>
      </c>
      <c r="C3277" t="s">
        <v>5043</v>
      </c>
      <c r="D3277" t="s">
        <v>8401</v>
      </c>
    </row>
    <row r="3278" spans="1:4" x14ac:dyDescent="0.25">
      <c r="A3278" s="63" t="s">
        <v>4314</v>
      </c>
      <c r="B3278" t="s">
        <v>1239</v>
      </c>
      <c r="C3278" t="s">
        <v>5043</v>
      </c>
      <c r="D3278" t="s">
        <v>8401</v>
      </c>
    </row>
    <row r="3279" spans="1:4" x14ac:dyDescent="0.25">
      <c r="A3279" s="63" t="s">
        <v>4315</v>
      </c>
      <c r="B3279" t="s">
        <v>1239</v>
      </c>
      <c r="C3279" t="s">
        <v>5043</v>
      </c>
      <c r="D3279" t="s">
        <v>8401</v>
      </c>
    </row>
    <row r="3280" spans="1:4" x14ac:dyDescent="0.25">
      <c r="A3280" s="63" t="s">
        <v>4316</v>
      </c>
      <c r="B3280" t="s">
        <v>1239</v>
      </c>
      <c r="C3280" t="s">
        <v>5043</v>
      </c>
      <c r="D3280" t="s">
        <v>8401</v>
      </c>
    </row>
    <row r="3281" spans="1:4" x14ac:dyDescent="0.25">
      <c r="A3281" s="63" t="s">
        <v>4317</v>
      </c>
      <c r="B3281" t="s">
        <v>1239</v>
      </c>
      <c r="C3281" t="s">
        <v>5043</v>
      </c>
      <c r="D3281" t="s">
        <v>8401</v>
      </c>
    </row>
    <row r="3282" spans="1:4" x14ac:dyDescent="0.25">
      <c r="A3282" s="63" t="s">
        <v>4318</v>
      </c>
      <c r="B3282" t="s">
        <v>1239</v>
      </c>
      <c r="C3282" t="s">
        <v>5043</v>
      </c>
      <c r="D3282" t="s">
        <v>8401</v>
      </c>
    </row>
    <row r="3283" spans="1:4" x14ac:dyDescent="0.25">
      <c r="A3283" s="63" t="s">
        <v>4319</v>
      </c>
      <c r="B3283" t="s">
        <v>1239</v>
      </c>
      <c r="C3283" t="s">
        <v>5043</v>
      </c>
      <c r="D3283" t="s">
        <v>8401</v>
      </c>
    </row>
    <row r="3284" spans="1:4" x14ac:dyDescent="0.25">
      <c r="A3284" s="63" t="s">
        <v>4320</v>
      </c>
      <c r="B3284" t="s">
        <v>1239</v>
      </c>
      <c r="C3284" t="s">
        <v>5043</v>
      </c>
      <c r="D3284" t="s">
        <v>8401</v>
      </c>
    </row>
    <row r="3285" spans="1:4" x14ac:dyDescent="0.25">
      <c r="A3285" s="63" t="s">
        <v>4321</v>
      </c>
      <c r="B3285" t="s">
        <v>1239</v>
      </c>
      <c r="C3285" t="s">
        <v>5043</v>
      </c>
      <c r="D3285" t="s">
        <v>8401</v>
      </c>
    </row>
    <row r="3286" spans="1:4" x14ac:dyDescent="0.25">
      <c r="A3286" s="63" t="s">
        <v>4322</v>
      </c>
      <c r="B3286" t="s">
        <v>1239</v>
      </c>
      <c r="C3286" t="s">
        <v>5043</v>
      </c>
      <c r="D3286" t="s">
        <v>8401</v>
      </c>
    </row>
    <row r="3287" spans="1:4" x14ac:dyDescent="0.25">
      <c r="A3287" s="63" t="s">
        <v>4323</v>
      </c>
      <c r="B3287" t="s">
        <v>1239</v>
      </c>
      <c r="C3287" t="s">
        <v>5043</v>
      </c>
      <c r="D3287" t="s">
        <v>8401</v>
      </c>
    </row>
    <row r="3288" spans="1:4" x14ac:dyDescent="0.25">
      <c r="A3288" s="63" t="s">
        <v>4324</v>
      </c>
      <c r="B3288" t="s">
        <v>1239</v>
      </c>
      <c r="C3288" t="s">
        <v>5043</v>
      </c>
      <c r="D3288" t="s">
        <v>8401</v>
      </c>
    </row>
    <row r="3289" spans="1:4" x14ac:dyDescent="0.25">
      <c r="A3289" s="63" t="s">
        <v>4325</v>
      </c>
      <c r="B3289" t="s">
        <v>1239</v>
      </c>
      <c r="C3289" t="s">
        <v>5043</v>
      </c>
      <c r="D3289" t="s">
        <v>8401</v>
      </c>
    </row>
    <row r="3290" spans="1:4" x14ac:dyDescent="0.25">
      <c r="A3290" s="63" t="s">
        <v>4326</v>
      </c>
      <c r="B3290" t="s">
        <v>1239</v>
      </c>
      <c r="C3290" t="s">
        <v>5043</v>
      </c>
      <c r="D3290" t="s">
        <v>8401</v>
      </c>
    </row>
    <row r="3291" spans="1:4" x14ac:dyDescent="0.25">
      <c r="A3291" s="63" t="s">
        <v>4327</v>
      </c>
      <c r="B3291" t="s">
        <v>1239</v>
      </c>
      <c r="C3291" t="s">
        <v>5043</v>
      </c>
      <c r="D3291" t="s">
        <v>8401</v>
      </c>
    </row>
    <row r="3292" spans="1:4" x14ac:dyDescent="0.25">
      <c r="A3292" s="63" t="s">
        <v>4328</v>
      </c>
      <c r="B3292" t="s">
        <v>1239</v>
      </c>
      <c r="C3292" t="s">
        <v>5043</v>
      </c>
      <c r="D3292" t="s">
        <v>8401</v>
      </c>
    </row>
    <row r="3293" spans="1:4" x14ac:dyDescent="0.25">
      <c r="A3293" s="63" t="s">
        <v>4329</v>
      </c>
      <c r="B3293" t="s">
        <v>1239</v>
      </c>
      <c r="C3293" t="s">
        <v>5043</v>
      </c>
      <c r="D3293" t="s">
        <v>8401</v>
      </c>
    </row>
    <row r="3294" spans="1:4" x14ac:dyDescent="0.25">
      <c r="A3294" s="63" t="s">
        <v>4330</v>
      </c>
      <c r="B3294" t="s">
        <v>1239</v>
      </c>
      <c r="C3294" t="s">
        <v>5043</v>
      </c>
      <c r="D3294" t="s">
        <v>8401</v>
      </c>
    </row>
    <row r="3295" spans="1:4" x14ac:dyDescent="0.25">
      <c r="A3295" s="63" t="s">
        <v>4331</v>
      </c>
      <c r="B3295" t="s">
        <v>1239</v>
      </c>
      <c r="C3295" t="s">
        <v>5043</v>
      </c>
      <c r="D3295" t="s">
        <v>8401</v>
      </c>
    </row>
    <row r="3296" spans="1:4" x14ac:dyDescent="0.25">
      <c r="A3296" s="63" t="s">
        <v>4332</v>
      </c>
      <c r="B3296" t="s">
        <v>1239</v>
      </c>
      <c r="C3296" t="s">
        <v>5043</v>
      </c>
      <c r="D3296" t="s">
        <v>8401</v>
      </c>
    </row>
    <row r="3297" spans="1:4" x14ac:dyDescent="0.25">
      <c r="A3297" s="63" t="s">
        <v>4333</v>
      </c>
      <c r="B3297" t="s">
        <v>1239</v>
      </c>
      <c r="C3297" t="s">
        <v>5043</v>
      </c>
      <c r="D3297" t="s">
        <v>8401</v>
      </c>
    </row>
    <row r="3298" spans="1:4" x14ac:dyDescent="0.25">
      <c r="A3298" s="63" t="s">
        <v>4334</v>
      </c>
      <c r="B3298" t="s">
        <v>1239</v>
      </c>
      <c r="C3298" t="s">
        <v>5043</v>
      </c>
      <c r="D3298" t="s">
        <v>8401</v>
      </c>
    </row>
    <row r="3299" spans="1:4" x14ac:dyDescent="0.25">
      <c r="A3299" s="63" t="s">
        <v>4335</v>
      </c>
      <c r="B3299" t="s">
        <v>1239</v>
      </c>
      <c r="C3299" t="s">
        <v>5043</v>
      </c>
      <c r="D3299" t="s">
        <v>8401</v>
      </c>
    </row>
    <row r="3300" spans="1:4" x14ac:dyDescent="0.25">
      <c r="A3300" s="63" t="s">
        <v>4336</v>
      </c>
      <c r="B3300" t="s">
        <v>1239</v>
      </c>
      <c r="C3300" t="s">
        <v>5043</v>
      </c>
      <c r="D3300" t="s">
        <v>8401</v>
      </c>
    </row>
    <row r="3301" spans="1:4" x14ac:dyDescent="0.25">
      <c r="A3301" s="63" t="s">
        <v>4337</v>
      </c>
      <c r="B3301" t="s">
        <v>1239</v>
      </c>
      <c r="C3301" t="s">
        <v>5043</v>
      </c>
      <c r="D3301" t="s">
        <v>8401</v>
      </c>
    </row>
    <row r="3302" spans="1:4" x14ac:dyDescent="0.25">
      <c r="A3302" s="63" t="s">
        <v>4338</v>
      </c>
      <c r="B3302" t="s">
        <v>1239</v>
      </c>
      <c r="C3302" t="s">
        <v>5043</v>
      </c>
      <c r="D3302" t="s">
        <v>8401</v>
      </c>
    </row>
    <row r="3303" spans="1:4" x14ac:dyDescent="0.25">
      <c r="A3303" s="63" t="s">
        <v>4339</v>
      </c>
      <c r="B3303" t="s">
        <v>1239</v>
      </c>
      <c r="C3303" t="s">
        <v>5043</v>
      </c>
      <c r="D3303" t="s">
        <v>8401</v>
      </c>
    </row>
    <row r="3304" spans="1:4" x14ac:dyDescent="0.25">
      <c r="A3304" s="63" t="s">
        <v>4340</v>
      </c>
      <c r="B3304" t="s">
        <v>1239</v>
      </c>
      <c r="C3304" t="s">
        <v>5043</v>
      </c>
      <c r="D3304" t="s">
        <v>8401</v>
      </c>
    </row>
    <row r="3305" spans="1:4" x14ac:dyDescent="0.25">
      <c r="A3305" s="63" t="s">
        <v>4341</v>
      </c>
      <c r="B3305" t="s">
        <v>1239</v>
      </c>
      <c r="C3305" t="s">
        <v>5043</v>
      </c>
      <c r="D3305" t="s">
        <v>8401</v>
      </c>
    </row>
    <row r="3306" spans="1:4" x14ac:dyDescent="0.25">
      <c r="A3306" s="63" t="s">
        <v>4342</v>
      </c>
      <c r="B3306" t="s">
        <v>1239</v>
      </c>
      <c r="C3306" t="s">
        <v>5043</v>
      </c>
      <c r="D3306" t="s">
        <v>8401</v>
      </c>
    </row>
    <row r="3307" spans="1:4" x14ac:dyDescent="0.25">
      <c r="A3307" s="63" t="s">
        <v>4343</v>
      </c>
      <c r="B3307" t="s">
        <v>1239</v>
      </c>
      <c r="C3307" t="s">
        <v>5043</v>
      </c>
      <c r="D3307" t="s">
        <v>8401</v>
      </c>
    </row>
    <row r="3308" spans="1:4" x14ac:dyDescent="0.25">
      <c r="A3308" s="63" t="s">
        <v>4344</v>
      </c>
      <c r="B3308" t="s">
        <v>1239</v>
      </c>
      <c r="C3308" t="s">
        <v>5043</v>
      </c>
      <c r="D3308" t="s">
        <v>8401</v>
      </c>
    </row>
    <row r="3309" spans="1:4" x14ac:dyDescent="0.25">
      <c r="A3309" s="63" t="s">
        <v>4345</v>
      </c>
      <c r="B3309" t="s">
        <v>1239</v>
      </c>
      <c r="C3309" t="s">
        <v>5043</v>
      </c>
      <c r="D3309" t="s">
        <v>8401</v>
      </c>
    </row>
    <row r="3310" spans="1:4" x14ac:dyDescent="0.25">
      <c r="A3310" s="63" t="s">
        <v>4346</v>
      </c>
      <c r="B3310" t="s">
        <v>1239</v>
      </c>
      <c r="C3310" t="s">
        <v>5043</v>
      </c>
      <c r="D3310" t="s">
        <v>8401</v>
      </c>
    </row>
    <row r="3311" spans="1:4" x14ac:dyDescent="0.25">
      <c r="A3311" s="63" t="s">
        <v>4347</v>
      </c>
      <c r="B3311" t="s">
        <v>1239</v>
      </c>
      <c r="C3311" t="s">
        <v>5043</v>
      </c>
      <c r="D3311" t="s">
        <v>8401</v>
      </c>
    </row>
    <row r="3312" spans="1:4" x14ac:dyDescent="0.25">
      <c r="A3312" s="63" t="s">
        <v>4348</v>
      </c>
      <c r="B3312" t="s">
        <v>1239</v>
      </c>
      <c r="C3312" t="s">
        <v>5043</v>
      </c>
      <c r="D3312" t="s">
        <v>8401</v>
      </c>
    </row>
    <row r="3313" spans="1:4" x14ac:dyDescent="0.25">
      <c r="A3313" s="63" t="s">
        <v>4349</v>
      </c>
      <c r="B3313" t="s">
        <v>1239</v>
      </c>
      <c r="C3313" t="s">
        <v>5043</v>
      </c>
      <c r="D3313" t="s">
        <v>8401</v>
      </c>
    </row>
    <row r="3314" spans="1:4" x14ac:dyDescent="0.25">
      <c r="A3314" s="63" t="s">
        <v>5280</v>
      </c>
      <c r="B3314" t="s">
        <v>1239</v>
      </c>
      <c r="C3314" t="s">
        <v>5043</v>
      </c>
      <c r="D3314" t="s">
        <v>8401</v>
      </c>
    </row>
    <row r="3315" spans="1:4" x14ac:dyDescent="0.25">
      <c r="A3315" s="63" t="s">
        <v>5281</v>
      </c>
      <c r="B3315" t="s">
        <v>1239</v>
      </c>
      <c r="C3315" t="s">
        <v>5043</v>
      </c>
      <c r="D3315" t="s">
        <v>8401</v>
      </c>
    </row>
    <row r="3316" spans="1:4" x14ac:dyDescent="0.25">
      <c r="A3316" s="63" t="s">
        <v>8280</v>
      </c>
      <c r="B3316" t="s">
        <v>1477</v>
      </c>
      <c r="C3316" t="s">
        <v>5043</v>
      </c>
      <c r="D3316" t="s">
        <v>8401</v>
      </c>
    </row>
    <row r="3317" spans="1:4" x14ac:dyDescent="0.25">
      <c r="A3317" s="63" t="s">
        <v>8281</v>
      </c>
      <c r="B3317" t="s">
        <v>1477</v>
      </c>
      <c r="C3317" t="s">
        <v>5043</v>
      </c>
      <c r="D3317" t="s">
        <v>8401</v>
      </c>
    </row>
    <row r="3318" spans="1:4" x14ac:dyDescent="0.25">
      <c r="A3318" s="63" t="s">
        <v>4350</v>
      </c>
      <c r="B3318" t="s">
        <v>2181</v>
      </c>
      <c r="C3318" t="s">
        <v>5043</v>
      </c>
      <c r="D3318" t="s">
        <v>8401</v>
      </c>
    </row>
    <row r="3319" spans="1:4" x14ac:dyDescent="0.25">
      <c r="A3319" s="63" t="s">
        <v>4351</v>
      </c>
      <c r="B3319" t="s">
        <v>2181</v>
      </c>
      <c r="C3319" t="s">
        <v>5043</v>
      </c>
      <c r="D3319" t="s">
        <v>8401</v>
      </c>
    </row>
    <row r="3320" spans="1:4" x14ac:dyDescent="0.25">
      <c r="A3320" s="63" t="s">
        <v>4352</v>
      </c>
      <c r="B3320" t="s">
        <v>2181</v>
      </c>
      <c r="C3320" t="s">
        <v>5043</v>
      </c>
      <c r="D3320" t="s">
        <v>8401</v>
      </c>
    </row>
    <row r="3321" spans="1:4" x14ac:dyDescent="0.25">
      <c r="A3321" s="63" t="s">
        <v>2612</v>
      </c>
      <c r="B3321" t="s">
        <v>2613</v>
      </c>
      <c r="C3321" t="s">
        <v>5043</v>
      </c>
      <c r="D3321" t="s">
        <v>8401</v>
      </c>
    </row>
    <row r="3322" spans="1:4" x14ac:dyDescent="0.25">
      <c r="A3322" s="63" t="s">
        <v>2614</v>
      </c>
      <c r="B3322" t="s">
        <v>2613</v>
      </c>
      <c r="C3322" t="s">
        <v>5043</v>
      </c>
      <c r="D3322" t="s">
        <v>8401</v>
      </c>
    </row>
    <row r="3323" spans="1:4" x14ac:dyDescent="0.25">
      <c r="A3323" s="63" t="s">
        <v>2615</v>
      </c>
      <c r="B3323" t="s">
        <v>2613</v>
      </c>
      <c r="C3323" t="s">
        <v>5043</v>
      </c>
      <c r="D3323" t="s">
        <v>8401</v>
      </c>
    </row>
    <row r="3324" spans="1:4" x14ac:dyDescent="0.25">
      <c r="A3324" s="63" t="s">
        <v>2616</v>
      </c>
      <c r="B3324" t="s">
        <v>2613</v>
      </c>
      <c r="C3324" t="s">
        <v>5043</v>
      </c>
      <c r="D3324" t="s">
        <v>8401</v>
      </c>
    </row>
    <row r="3325" spans="1:4" x14ac:dyDescent="0.25">
      <c r="A3325" s="63" t="s">
        <v>2617</v>
      </c>
      <c r="B3325" t="s">
        <v>2618</v>
      </c>
      <c r="C3325" t="s">
        <v>5043</v>
      </c>
      <c r="D3325" t="s">
        <v>8401</v>
      </c>
    </row>
    <row r="3326" spans="1:4" x14ac:dyDescent="0.25">
      <c r="A3326" s="63" t="s">
        <v>4353</v>
      </c>
      <c r="B3326" t="s">
        <v>2345</v>
      </c>
      <c r="C3326" t="s">
        <v>5043</v>
      </c>
      <c r="D3326" t="s">
        <v>8401</v>
      </c>
    </row>
    <row r="3327" spans="1:4" x14ac:dyDescent="0.25">
      <c r="A3327" s="63" t="s">
        <v>4354</v>
      </c>
      <c r="B3327" t="s">
        <v>2346</v>
      </c>
      <c r="C3327" t="s">
        <v>5043</v>
      </c>
      <c r="D3327" t="s">
        <v>8401</v>
      </c>
    </row>
    <row r="3328" spans="1:4" x14ac:dyDescent="0.25">
      <c r="A3328" s="63" t="s">
        <v>4355</v>
      </c>
      <c r="B3328" t="s">
        <v>2346</v>
      </c>
      <c r="C3328" t="s">
        <v>5043</v>
      </c>
      <c r="D3328" t="s">
        <v>8401</v>
      </c>
    </row>
    <row r="3329" spans="1:4" x14ac:dyDescent="0.25">
      <c r="A3329" s="63" t="s">
        <v>4356</v>
      </c>
      <c r="B3329" t="s">
        <v>1762</v>
      </c>
      <c r="C3329" t="s">
        <v>5043</v>
      </c>
      <c r="D3329" t="s">
        <v>8401</v>
      </c>
    </row>
    <row r="3330" spans="1:4" x14ac:dyDescent="0.25">
      <c r="A3330" s="63" t="s">
        <v>4357</v>
      </c>
      <c r="B3330" t="s">
        <v>1762</v>
      </c>
      <c r="C3330" t="s">
        <v>5043</v>
      </c>
      <c r="D3330" t="s">
        <v>8401</v>
      </c>
    </row>
    <row r="3331" spans="1:4" x14ac:dyDescent="0.25">
      <c r="A3331" s="63" t="s">
        <v>4358</v>
      </c>
      <c r="B3331" t="s">
        <v>1762</v>
      </c>
      <c r="C3331" t="s">
        <v>5043</v>
      </c>
      <c r="D3331" t="s">
        <v>8401</v>
      </c>
    </row>
    <row r="3332" spans="1:4" x14ac:dyDescent="0.25">
      <c r="A3332" s="63" t="s">
        <v>4359</v>
      </c>
      <c r="B3332" t="s">
        <v>1762</v>
      </c>
      <c r="C3332" t="s">
        <v>5043</v>
      </c>
      <c r="D3332" t="s">
        <v>8401</v>
      </c>
    </row>
    <row r="3333" spans="1:4" x14ac:dyDescent="0.25">
      <c r="A3333" s="63" t="s">
        <v>4360</v>
      </c>
      <c r="B3333" t="s">
        <v>1762</v>
      </c>
      <c r="C3333" t="s">
        <v>5043</v>
      </c>
      <c r="D3333" t="s">
        <v>8401</v>
      </c>
    </row>
    <row r="3334" spans="1:4" x14ac:dyDescent="0.25">
      <c r="A3334" s="63" t="s">
        <v>4361</v>
      </c>
      <c r="B3334" t="s">
        <v>1762</v>
      </c>
      <c r="C3334" t="s">
        <v>5043</v>
      </c>
      <c r="D3334" t="s">
        <v>8401</v>
      </c>
    </row>
    <row r="3335" spans="1:4" x14ac:dyDescent="0.25">
      <c r="A3335" s="63" t="s">
        <v>4362</v>
      </c>
      <c r="B3335" t="s">
        <v>1762</v>
      </c>
      <c r="C3335" t="s">
        <v>5043</v>
      </c>
      <c r="D3335" t="s">
        <v>8401</v>
      </c>
    </row>
    <row r="3336" spans="1:4" x14ac:dyDescent="0.25">
      <c r="A3336" s="63" t="s">
        <v>4363</v>
      </c>
      <c r="B3336" t="s">
        <v>1761</v>
      </c>
      <c r="C3336" t="s">
        <v>5043</v>
      </c>
      <c r="D3336" t="s">
        <v>8401</v>
      </c>
    </row>
    <row r="3337" spans="1:4" x14ac:dyDescent="0.25">
      <c r="A3337" s="63" t="s">
        <v>4364</v>
      </c>
      <c r="B3337" t="s">
        <v>1760</v>
      </c>
      <c r="C3337" t="s">
        <v>5043</v>
      </c>
      <c r="D3337" t="s">
        <v>8401</v>
      </c>
    </row>
    <row r="3338" spans="1:4" x14ac:dyDescent="0.25">
      <c r="A3338" s="63" t="s">
        <v>4365</v>
      </c>
      <c r="B3338" t="s">
        <v>1760</v>
      </c>
      <c r="C3338" t="s">
        <v>5043</v>
      </c>
      <c r="D3338" t="s">
        <v>8401</v>
      </c>
    </row>
    <row r="3339" spans="1:4" x14ac:dyDescent="0.25">
      <c r="A3339" s="63" t="s">
        <v>4366</v>
      </c>
      <c r="B3339" t="s">
        <v>1760</v>
      </c>
      <c r="C3339" t="s">
        <v>5043</v>
      </c>
      <c r="D3339" t="s">
        <v>8401</v>
      </c>
    </row>
    <row r="3340" spans="1:4" x14ac:dyDescent="0.25">
      <c r="A3340" s="63" t="s">
        <v>4367</v>
      </c>
      <c r="B3340" t="s">
        <v>1760</v>
      </c>
      <c r="C3340" t="s">
        <v>5043</v>
      </c>
      <c r="D3340" t="s">
        <v>8401</v>
      </c>
    </row>
    <row r="3341" spans="1:4" x14ac:dyDescent="0.25">
      <c r="A3341" s="63" t="s">
        <v>4368</v>
      </c>
      <c r="B3341" t="s">
        <v>1760</v>
      </c>
      <c r="C3341" t="s">
        <v>5043</v>
      </c>
      <c r="D3341" t="s">
        <v>8401</v>
      </c>
    </row>
    <row r="3342" spans="1:4" x14ac:dyDescent="0.25">
      <c r="A3342" s="63" t="s">
        <v>4369</v>
      </c>
      <c r="B3342" t="s">
        <v>1760</v>
      </c>
      <c r="C3342" t="s">
        <v>5043</v>
      </c>
      <c r="D3342" t="s">
        <v>8401</v>
      </c>
    </row>
    <row r="3343" spans="1:4" x14ac:dyDescent="0.25">
      <c r="A3343" s="63" t="s">
        <v>4370</v>
      </c>
      <c r="B3343" t="s">
        <v>1186</v>
      </c>
      <c r="C3343" t="s">
        <v>5043</v>
      </c>
      <c r="D3343" t="s">
        <v>8401</v>
      </c>
    </row>
    <row r="3344" spans="1:4" x14ac:dyDescent="0.25">
      <c r="A3344" s="63" t="s">
        <v>4371</v>
      </c>
      <c r="B3344" t="s">
        <v>1186</v>
      </c>
      <c r="C3344" t="s">
        <v>5043</v>
      </c>
      <c r="D3344" t="s">
        <v>8401</v>
      </c>
    </row>
    <row r="3345" spans="1:4" x14ac:dyDescent="0.25">
      <c r="A3345" s="63" t="s">
        <v>4372</v>
      </c>
      <c r="B3345" t="s">
        <v>1186</v>
      </c>
      <c r="C3345" t="s">
        <v>5043</v>
      </c>
      <c r="D3345" t="s">
        <v>8401</v>
      </c>
    </row>
    <row r="3346" spans="1:4" x14ac:dyDescent="0.25">
      <c r="A3346" s="63" t="s">
        <v>4373</v>
      </c>
      <c r="B3346" t="s">
        <v>1186</v>
      </c>
      <c r="C3346" t="s">
        <v>5043</v>
      </c>
      <c r="D3346" t="s">
        <v>8401</v>
      </c>
    </row>
    <row r="3347" spans="1:4" x14ac:dyDescent="0.25">
      <c r="A3347" s="63" t="s">
        <v>4374</v>
      </c>
      <c r="B3347" t="s">
        <v>1186</v>
      </c>
      <c r="C3347" t="s">
        <v>5043</v>
      </c>
      <c r="D3347" t="s">
        <v>8401</v>
      </c>
    </row>
    <row r="3348" spans="1:4" x14ac:dyDescent="0.25">
      <c r="A3348" s="63" t="s">
        <v>4375</v>
      </c>
      <c r="B3348" t="s">
        <v>1186</v>
      </c>
      <c r="C3348" t="s">
        <v>5043</v>
      </c>
      <c r="D3348" t="s">
        <v>8401</v>
      </c>
    </row>
    <row r="3349" spans="1:4" x14ac:dyDescent="0.25">
      <c r="A3349" s="63" t="s">
        <v>4376</v>
      </c>
      <c r="B3349" t="s">
        <v>1186</v>
      </c>
      <c r="C3349" t="s">
        <v>5043</v>
      </c>
      <c r="D3349" t="s">
        <v>8401</v>
      </c>
    </row>
    <row r="3350" spans="1:4" x14ac:dyDescent="0.25">
      <c r="A3350" s="63" t="s">
        <v>4377</v>
      </c>
      <c r="B3350" t="s">
        <v>1186</v>
      </c>
      <c r="C3350" t="s">
        <v>5043</v>
      </c>
      <c r="D3350" t="s">
        <v>8401</v>
      </c>
    </row>
    <row r="3351" spans="1:4" x14ac:dyDescent="0.25">
      <c r="A3351" s="63" t="s">
        <v>4378</v>
      </c>
      <c r="B3351" t="s">
        <v>1186</v>
      </c>
      <c r="C3351" t="s">
        <v>5043</v>
      </c>
      <c r="D3351" t="s">
        <v>8401</v>
      </c>
    </row>
    <row r="3352" spans="1:4" x14ac:dyDescent="0.25">
      <c r="A3352" s="63" t="s">
        <v>4379</v>
      </c>
      <c r="B3352" t="s">
        <v>1186</v>
      </c>
      <c r="C3352" t="s">
        <v>5043</v>
      </c>
      <c r="D3352" t="s">
        <v>8401</v>
      </c>
    </row>
    <row r="3353" spans="1:4" x14ac:dyDescent="0.25">
      <c r="A3353" s="63" t="s">
        <v>4380</v>
      </c>
      <c r="B3353" t="s">
        <v>1186</v>
      </c>
      <c r="C3353" t="s">
        <v>5043</v>
      </c>
      <c r="D3353" t="s">
        <v>8401</v>
      </c>
    </row>
    <row r="3354" spans="1:4" x14ac:dyDescent="0.25">
      <c r="A3354" s="63" t="s">
        <v>4381</v>
      </c>
      <c r="B3354" t="s">
        <v>1186</v>
      </c>
      <c r="C3354" t="s">
        <v>5043</v>
      </c>
      <c r="D3354" t="s">
        <v>8401</v>
      </c>
    </row>
    <row r="3355" spans="1:4" x14ac:dyDescent="0.25">
      <c r="A3355" s="63" t="s">
        <v>4382</v>
      </c>
      <c r="B3355" t="s">
        <v>1186</v>
      </c>
      <c r="C3355" t="s">
        <v>5043</v>
      </c>
      <c r="D3355" t="s">
        <v>8401</v>
      </c>
    </row>
    <row r="3356" spans="1:4" x14ac:dyDescent="0.25">
      <c r="A3356" s="63" t="s">
        <v>4383</v>
      </c>
      <c r="B3356" t="s">
        <v>1186</v>
      </c>
      <c r="C3356" t="s">
        <v>5043</v>
      </c>
      <c r="D3356" t="s">
        <v>8401</v>
      </c>
    </row>
    <row r="3357" spans="1:4" x14ac:dyDescent="0.25">
      <c r="A3357" s="63" t="s">
        <v>4384</v>
      </c>
      <c r="B3357" t="s">
        <v>1186</v>
      </c>
      <c r="C3357" t="s">
        <v>5043</v>
      </c>
      <c r="D3357" t="s">
        <v>8401</v>
      </c>
    </row>
    <row r="3358" spans="1:4" x14ac:dyDescent="0.25">
      <c r="A3358" s="63" t="s">
        <v>4385</v>
      </c>
      <c r="B3358" t="s">
        <v>1186</v>
      </c>
      <c r="C3358" t="s">
        <v>5043</v>
      </c>
      <c r="D3358" t="s">
        <v>8401</v>
      </c>
    </row>
    <row r="3359" spans="1:4" x14ac:dyDescent="0.25">
      <c r="A3359" s="63" t="s">
        <v>4386</v>
      </c>
      <c r="B3359" t="s">
        <v>1186</v>
      </c>
      <c r="C3359" t="s">
        <v>5043</v>
      </c>
      <c r="D3359" t="s">
        <v>8401</v>
      </c>
    </row>
    <row r="3360" spans="1:4" x14ac:dyDescent="0.25">
      <c r="A3360" s="63" t="s">
        <v>4387</v>
      </c>
      <c r="B3360" t="s">
        <v>1186</v>
      </c>
      <c r="C3360" t="s">
        <v>5043</v>
      </c>
      <c r="D3360" t="s">
        <v>8401</v>
      </c>
    </row>
    <row r="3361" spans="1:4" x14ac:dyDescent="0.25">
      <c r="A3361" s="63" t="s">
        <v>4388</v>
      </c>
      <c r="B3361" t="s">
        <v>1186</v>
      </c>
      <c r="C3361" t="s">
        <v>5043</v>
      </c>
      <c r="D3361" t="s">
        <v>8401</v>
      </c>
    </row>
    <row r="3362" spans="1:4" x14ac:dyDescent="0.25">
      <c r="A3362" s="63" t="s">
        <v>4389</v>
      </c>
      <c r="B3362" t="s">
        <v>1186</v>
      </c>
      <c r="C3362" t="s">
        <v>5043</v>
      </c>
      <c r="D3362" t="s">
        <v>8401</v>
      </c>
    </row>
    <row r="3363" spans="1:4" x14ac:dyDescent="0.25">
      <c r="A3363" s="63" t="s">
        <v>4390</v>
      </c>
      <c r="B3363" t="s">
        <v>1186</v>
      </c>
      <c r="C3363" t="s">
        <v>5043</v>
      </c>
      <c r="D3363" t="s">
        <v>8401</v>
      </c>
    </row>
    <row r="3364" spans="1:4" x14ac:dyDescent="0.25">
      <c r="A3364" s="63" t="s">
        <v>4391</v>
      </c>
      <c r="B3364" t="s">
        <v>1186</v>
      </c>
      <c r="C3364" t="s">
        <v>5043</v>
      </c>
      <c r="D3364" t="s">
        <v>8401</v>
      </c>
    </row>
    <row r="3365" spans="1:4" x14ac:dyDescent="0.25">
      <c r="A3365" s="63" t="s">
        <v>4392</v>
      </c>
      <c r="B3365" t="s">
        <v>1186</v>
      </c>
      <c r="C3365" t="s">
        <v>5043</v>
      </c>
      <c r="D3365" t="s">
        <v>8401</v>
      </c>
    </row>
    <row r="3366" spans="1:4" x14ac:dyDescent="0.25">
      <c r="A3366" s="63" t="s">
        <v>4393</v>
      </c>
      <c r="B3366" t="s">
        <v>1186</v>
      </c>
      <c r="C3366" t="s">
        <v>5043</v>
      </c>
      <c r="D3366" t="s">
        <v>8401</v>
      </c>
    </row>
    <row r="3367" spans="1:4" x14ac:dyDescent="0.25">
      <c r="A3367" s="63" t="s">
        <v>4394</v>
      </c>
      <c r="B3367" t="s">
        <v>1186</v>
      </c>
      <c r="C3367" t="s">
        <v>5043</v>
      </c>
      <c r="D3367" t="s">
        <v>8401</v>
      </c>
    </row>
    <row r="3368" spans="1:4" x14ac:dyDescent="0.25">
      <c r="A3368" s="63" t="s">
        <v>4395</v>
      </c>
      <c r="B3368" t="s">
        <v>1186</v>
      </c>
      <c r="C3368" t="s">
        <v>5043</v>
      </c>
      <c r="D3368" t="s">
        <v>8401</v>
      </c>
    </row>
    <row r="3369" spans="1:4" x14ac:dyDescent="0.25">
      <c r="A3369" s="63" t="s">
        <v>4396</v>
      </c>
      <c r="B3369" t="s">
        <v>1186</v>
      </c>
      <c r="C3369" t="s">
        <v>5043</v>
      </c>
      <c r="D3369" t="s">
        <v>8401</v>
      </c>
    </row>
    <row r="3370" spans="1:4" x14ac:dyDescent="0.25">
      <c r="A3370" s="63" t="s">
        <v>4397</v>
      </c>
      <c r="B3370" t="s">
        <v>1186</v>
      </c>
      <c r="C3370" t="s">
        <v>5043</v>
      </c>
      <c r="D3370" t="s">
        <v>8401</v>
      </c>
    </row>
    <row r="3371" spans="1:4" x14ac:dyDescent="0.25">
      <c r="A3371" s="63" t="s">
        <v>4398</v>
      </c>
      <c r="B3371" t="s">
        <v>1186</v>
      </c>
      <c r="C3371" t="s">
        <v>5043</v>
      </c>
      <c r="D3371" t="s">
        <v>8401</v>
      </c>
    </row>
    <row r="3372" spans="1:4" x14ac:dyDescent="0.25">
      <c r="A3372" s="63" t="s">
        <v>4399</v>
      </c>
      <c r="B3372" t="s">
        <v>1186</v>
      </c>
      <c r="C3372" t="s">
        <v>5043</v>
      </c>
      <c r="D3372" t="s">
        <v>8401</v>
      </c>
    </row>
    <row r="3373" spans="1:4" x14ac:dyDescent="0.25">
      <c r="A3373" s="63" t="s">
        <v>4400</v>
      </c>
      <c r="B3373" t="s">
        <v>1186</v>
      </c>
      <c r="C3373" t="s">
        <v>5043</v>
      </c>
      <c r="D3373" t="s">
        <v>8401</v>
      </c>
    </row>
    <row r="3374" spans="1:4" x14ac:dyDescent="0.25">
      <c r="A3374" s="63" t="s">
        <v>4401</v>
      </c>
      <c r="B3374" t="s">
        <v>1186</v>
      </c>
      <c r="C3374" t="s">
        <v>5043</v>
      </c>
      <c r="D3374" t="s">
        <v>8401</v>
      </c>
    </row>
    <row r="3375" spans="1:4" x14ac:dyDescent="0.25">
      <c r="A3375" s="63" t="s">
        <v>4402</v>
      </c>
      <c r="B3375" t="s">
        <v>1186</v>
      </c>
      <c r="C3375" t="s">
        <v>5043</v>
      </c>
      <c r="D3375" t="s">
        <v>8401</v>
      </c>
    </row>
    <row r="3376" spans="1:4" x14ac:dyDescent="0.25">
      <c r="A3376" s="63" t="s">
        <v>4403</v>
      </c>
      <c r="B3376" t="s">
        <v>1186</v>
      </c>
      <c r="C3376" t="s">
        <v>5043</v>
      </c>
      <c r="D3376" t="s">
        <v>8401</v>
      </c>
    </row>
    <row r="3377" spans="1:4" x14ac:dyDescent="0.25">
      <c r="A3377" s="63" t="s">
        <v>4404</v>
      </c>
      <c r="B3377" t="s">
        <v>1186</v>
      </c>
      <c r="C3377" t="s">
        <v>5043</v>
      </c>
      <c r="D3377" t="s">
        <v>8401</v>
      </c>
    </row>
    <row r="3378" spans="1:4" x14ac:dyDescent="0.25">
      <c r="A3378" s="63" t="s">
        <v>4405</v>
      </c>
      <c r="B3378" t="s">
        <v>1186</v>
      </c>
      <c r="C3378" t="s">
        <v>5043</v>
      </c>
      <c r="D3378" t="s">
        <v>8401</v>
      </c>
    </row>
    <row r="3379" spans="1:4" x14ac:dyDescent="0.25">
      <c r="A3379" s="63" t="s">
        <v>4406</v>
      </c>
      <c r="B3379" t="s">
        <v>1186</v>
      </c>
      <c r="C3379" t="s">
        <v>5043</v>
      </c>
      <c r="D3379" t="s">
        <v>8401</v>
      </c>
    </row>
    <row r="3380" spans="1:4" x14ac:dyDescent="0.25">
      <c r="A3380" s="63" t="s">
        <v>4407</v>
      </c>
      <c r="B3380" t="s">
        <v>1186</v>
      </c>
      <c r="C3380" t="s">
        <v>5043</v>
      </c>
      <c r="D3380" t="s">
        <v>8401</v>
      </c>
    </row>
    <row r="3381" spans="1:4" x14ac:dyDescent="0.25">
      <c r="A3381" s="63" t="s">
        <v>4408</v>
      </c>
      <c r="B3381" t="s">
        <v>1186</v>
      </c>
      <c r="C3381" t="s">
        <v>5043</v>
      </c>
      <c r="D3381" t="s">
        <v>8401</v>
      </c>
    </row>
    <row r="3382" spans="1:4" x14ac:dyDescent="0.25">
      <c r="A3382" s="63" t="s">
        <v>4409</v>
      </c>
      <c r="B3382" t="s">
        <v>1186</v>
      </c>
      <c r="C3382" t="s">
        <v>5043</v>
      </c>
      <c r="D3382" t="s">
        <v>8401</v>
      </c>
    </row>
    <row r="3383" spans="1:4" x14ac:dyDescent="0.25">
      <c r="A3383" s="63" t="s">
        <v>4410</v>
      </c>
      <c r="B3383" t="s">
        <v>1186</v>
      </c>
      <c r="C3383" t="s">
        <v>5043</v>
      </c>
      <c r="D3383" t="s">
        <v>8401</v>
      </c>
    </row>
    <row r="3384" spans="1:4" x14ac:dyDescent="0.25">
      <c r="A3384" s="63" t="s">
        <v>4411</v>
      </c>
      <c r="B3384" t="s">
        <v>1186</v>
      </c>
      <c r="C3384" t="s">
        <v>5043</v>
      </c>
      <c r="D3384" t="s">
        <v>8401</v>
      </c>
    </row>
    <row r="3385" spans="1:4" x14ac:dyDescent="0.25">
      <c r="A3385" s="63" t="s">
        <v>4412</v>
      </c>
      <c r="B3385" t="s">
        <v>1186</v>
      </c>
      <c r="C3385" t="s">
        <v>5043</v>
      </c>
      <c r="D3385" t="s">
        <v>8401</v>
      </c>
    </row>
    <row r="3386" spans="1:4" x14ac:dyDescent="0.25">
      <c r="A3386" s="63" t="s">
        <v>4413</v>
      </c>
      <c r="B3386" t="s">
        <v>1186</v>
      </c>
      <c r="C3386" t="s">
        <v>5043</v>
      </c>
      <c r="D3386" t="s">
        <v>8401</v>
      </c>
    </row>
    <row r="3387" spans="1:4" x14ac:dyDescent="0.25">
      <c r="A3387" s="63" t="s">
        <v>4414</v>
      </c>
      <c r="B3387" t="s">
        <v>1186</v>
      </c>
      <c r="C3387" t="s">
        <v>5043</v>
      </c>
      <c r="D3387" t="s">
        <v>8401</v>
      </c>
    </row>
    <row r="3388" spans="1:4" x14ac:dyDescent="0.25">
      <c r="A3388" s="63" t="s">
        <v>4415</v>
      </c>
      <c r="B3388" t="s">
        <v>1186</v>
      </c>
      <c r="C3388" t="s">
        <v>5043</v>
      </c>
      <c r="D3388" t="s">
        <v>8401</v>
      </c>
    </row>
    <row r="3389" spans="1:4" x14ac:dyDescent="0.25">
      <c r="A3389" s="63" t="s">
        <v>4416</v>
      </c>
      <c r="B3389" t="s">
        <v>1186</v>
      </c>
      <c r="C3389" t="s">
        <v>5043</v>
      </c>
      <c r="D3389" t="s">
        <v>8401</v>
      </c>
    </row>
    <row r="3390" spans="1:4" x14ac:dyDescent="0.25">
      <c r="A3390" s="63" t="s">
        <v>4417</v>
      </c>
      <c r="B3390" t="s">
        <v>1186</v>
      </c>
      <c r="C3390" t="s">
        <v>5043</v>
      </c>
      <c r="D3390" t="s">
        <v>8401</v>
      </c>
    </row>
    <row r="3391" spans="1:4" x14ac:dyDescent="0.25">
      <c r="A3391" s="63" t="s">
        <v>4418</v>
      </c>
      <c r="B3391" t="s">
        <v>1186</v>
      </c>
      <c r="C3391" t="s">
        <v>5043</v>
      </c>
      <c r="D3391" t="s">
        <v>8401</v>
      </c>
    </row>
    <row r="3392" spans="1:4" x14ac:dyDescent="0.25">
      <c r="A3392" s="63" t="s">
        <v>4419</v>
      </c>
      <c r="B3392" t="s">
        <v>1186</v>
      </c>
      <c r="C3392" t="s">
        <v>5043</v>
      </c>
      <c r="D3392" t="s">
        <v>8401</v>
      </c>
    </row>
    <row r="3393" spans="1:4" x14ac:dyDescent="0.25">
      <c r="A3393" s="63" t="s">
        <v>4420</v>
      </c>
      <c r="B3393" t="s">
        <v>1186</v>
      </c>
      <c r="C3393" t="s">
        <v>5043</v>
      </c>
      <c r="D3393" t="s">
        <v>8401</v>
      </c>
    </row>
    <row r="3394" spans="1:4" x14ac:dyDescent="0.25">
      <c r="A3394" s="63" t="s">
        <v>4421</v>
      </c>
      <c r="B3394" t="s">
        <v>1186</v>
      </c>
      <c r="C3394" t="s">
        <v>5043</v>
      </c>
      <c r="D3394" t="s">
        <v>8401</v>
      </c>
    </row>
    <row r="3395" spans="1:4" x14ac:dyDescent="0.25">
      <c r="A3395" s="63" t="s">
        <v>4422</v>
      </c>
      <c r="B3395" t="s">
        <v>1186</v>
      </c>
      <c r="C3395" t="s">
        <v>5043</v>
      </c>
      <c r="D3395" t="s">
        <v>8401</v>
      </c>
    </row>
    <row r="3396" spans="1:4" x14ac:dyDescent="0.25">
      <c r="A3396" s="63" t="s">
        <v>4423</v>
      </c>
      <c r="B3396" t="s">
        <v>1186</v>
      </c>
      <c r="C3396" t="s">
        <v>5043</v>
      </c>
      <c r="D3396" t="s">
        <v>8401</v>
      </c>
    </row>
    <row r="3397" spans="1:4" x14ac:dyDescent="0.25">
      <c r="A3397" s="63" t="s">
        <v>4424</v>
      </c>
      <c r="B3397" t="s">
        <v>1186</v>
      </c>
      <c r="C3397" t="s">
        <v>5043</v>
      </c>
      <c r="D3397" t="s">
        <v>8401</v>
      </c>
    </row>
    <row r="3398" spans="1:4" x14ac:dyDescent="0.25">
      <c r="A3398" s="63" t="s">
        <v>4425</v>
      </c>
      <c r="B3398" t="s">
        <v>1186</v>
      </c>
      <c r="C3398" t="s">
        <v>5043</v>
      </c>
      <c r="D3398" t="s">
        <v>8401</v>
      </c>
    </row>
    <row r="3399" spans="1:4" x14ac:dyDescent="0.25">
      <c r="A3399" s="63" t="s">
        <v>4426</v>
      </c>
      <c r="B3399" t="s">
        <v>1186</v>
      </c>
      <c r="C3399" t="s">
        <v>5043</v>
      </c>
      <c r="D3399" t="s">
        <v>8401</v>
      </c>
    </row>
    <row r="3400" spans="1:4" x14ac:dyDescent="0.25">
      <c r="A3400" s="63" t="s">
        <v>4427</v>
      </c>
      <c r="B3400" t="s">
        <v>1186</v>
      </c>
      <c r="C3400" t="s">
        <v>5043</v>
      </c>
      <c r="D3400" t="s">
        <v>8401</v>
      </c>
    </row>
    <row r="3401" spans="1:4" x14ac:dyDescent="0.25">
      <c r="A3401" s="63" t="s">
        <v>4428</v>
      </c>
      <c r="B3401" t="s">
        <v>1186</v>
      </c>
      <c r="C3401" t="s">
        <v>5043</v>
      </c>
      <c r="D3401" t="s">
        <v>8401</v>
      </c>
    </row>
    <row r="3402" spans="1:4" x14ac:dyDescent="0.25">
      <c r="A3402" s="63" t="s">
        <v>4429</v>
      </c>
      <c r="B3402" t="s">
        <v>1186</v>
      </c>
      <c r="C3402" t="s">
        <v>5043</v>
      </c>
      <c r="D3402" t="s">
        <v>8401</v>
      </c>
    </row>
    <row r="3403" spans="1:4" x14ac:dyDescent="0.25">
      <c r="A3403" s="63" t="s">
        <v>4430</v>
      </c>
      <c r="B3403" t="s">
        <v>1186</v>
      </c>
      <c r="C3403" t="s">
        <v>5043</v>
      </c>
      <c r="D3403" t="s">
        <v>8401</v>
      </c>
    </row>
    <row r="3404" spans="1:4" x14ac:dyDescent="0.25">
      <c r="A3404" s="63" t="s">
        <v>4431</v>
      </c>
      <c r="B3404" t="s">
        <v>1186</v>
      </c>
      <c r="C3404" t="s">
        <v>5043</v>
      </c>
      <c r="D3404" t="s">
        <v>8401</v>
      </c>
    </row>
    <row r="3405" spans="1:4" x14ac:dyDescent="0.25">
      <c r="A3405" s="63" t="s">
        <v>4432</v>
      </c>
      <c r="B3405" t="s">
        <v>1186</v>
      </c>
      <c r="C3405" t="s">
        <v>5043</v>
      </c>
      <c r="D3405" t="s">
        <v>8401</v>
      </c>
    </row>
    <row r="3406" spans="1:4" x14ac:dyDescent="0.25">
      <c r="A3406" s="63" t="s">
        <v>4433</v>
      </c>
      <c r="B3406" t="s">
        <v>1186</v>
      </c>
      <c r="C3406" t="s">
        <v>5043</v>
      </c>
      <c r="D3406" t="s">
        <v>8401</v>
      </c>
    </row>
    <row r="3407" spans="1:4" x14ac:dyDescent="0.25">
      <c r="A3407" s="63" t="s">
        <v>4434</v>
      </c>
      <c r="B3407" t="s">
        <v>1186</v>
      </c>
      <c r="C3407" t="s">
        <v>5043</v>
      </c>
      <c r="D3407" t="s">
        <v>8401</v>
      </c>
    </row>
    <row r="3408" spans="1:4" x14ac:dyDescent="0.25">
      <c r="A3408" s="63" t="s">
        <v>4435</v>
      </c>
      <c r="B3408" t="s">
        <v>1186</v>
      </c>
      <c r="C3408" t="s">
        <v>5043</v>
      </c>
      <c r="D3408" t="s">
        <v>8401</v>
      </c>
    </row>
    <row r="3409" spans="1:4" x14ac:dyDescent="0.25">
      <c r="A3409" s="63" t="s">
        <v>4436</v>
      </c>
      <c r="B3409" t="s">
        <v>1186</v>
      </c>
      <c r="C3409" t="s">
        <v>5043</v>
      </c>
      <c r="D3409" t="s">
        <v>8401</v>
      </c>
    </row>
    <row r="3410" spans="1:4" x14ac:dyDescent="0.25">
      <c r="A3410" s="63" t="s">
        <v>4437</v>
      </c>
      <c r="B3410" t="s">
        <v>1186</v>
      </c>
      <c r="C3410" t="s">
        <v>5043</v>
      </c>
      <c r="D3410" t="s">
        <v>8401</v>
      </c>
    </row>
    <row r="3411" spans="1:4" x14ac:dyDescent="0.25">
      <c r="A3411" s="63" t="s">
        <v>4438</v>
      </c>
      <c r="B3411" t="s">
        <v>1186</v>
      </c>
      <c r="C3411" t="s">
        <v>5043</v>
      </c>
      <c r="D3411" t="s">
        <v>8401</v>
      </c>
    </row>
    <row r="3412" spans="1:4" x14ac:dyDescent="0.25">
      <c r="A3412" s="63" t="s">
        <v>4439</v>
      </c>
      <c r="B3412" t="s">
        <v>1186</v>
      </c>
      <c r="C3412" t="s">
        <v>5043</v>
      </c>
      <c r="D3412" t="s">
        <v>8401</v>
      </c>
    </row>
    <row r="3413" spans="1:4" x14ac:dyDescent="0.25">
      <c r="A3413" s="63" t="s">
        <v>4440</v>
      </c>
      <c r="B3413" t="s">
        <v>1186</v>
      </c>
      <c r="C3413" t="s">
        <v>5043</v>
      </c>
      <c r="D3413" t="s">
        <v>8401</v>
      </c>
    </row>
    <row r="3414" spans="1:4" x14ac:dyDescent="0.25">
      <c r="A3414" s="63" t="s">
        <v>4441</v>
      </c>
      <c r="B3414" t="s">
        <v>1186</v>
      </c>
      <c r="C3414" t="s">
        <v>5043</v>
      </c>
      <c r="D3414" t="s">
        <v>8401</v>
      </c>
    </row>
    <row r="3415" spans="1:4" x14ac:dyDescent="0.25">
      <c r="A3415" s="63" t="s">
        <v>4442</v>
      </c>
      <c r="B3415" t="s">
        <v>1186</v>
      </c>
      <c r="C3415" t="s">
        <v>5043</v>
      </c>
      <c r="D3415" t="s">
        <v>8401</v>
      </c>
    </row>
    <row r="3416" spans="1:4" x14ac:dyDescent="0.25">
      <c r="A3416" s="63" t="s">
        <v>4443</v>
      </c>
      <c r="B3416" t="s">
        <v>1186</v>
      </c>
      <c r="C3416" t="s">
        <v>5043</v>
      </c>
      <c r="D3416" t="s">
        <v>8401</v>
      </c>
    </row>
    <row r="3417" spans="1:4" x14ac:dyDescent="0.25">
      <c r="A3417" s="63" t="s">
        <v>4444</v>
      </c>
      <c r="B3417" t="s">
        <v>1186</v>
      </c>
      <c r="C3417" t="s">
        <v>5043</v>
      </c>
      <c r="D3417" t="s">
        <v>8401</v>
      </c>
    </row>
    <row r="3418" spans="1:4" x14ac:dyDescent="0.25">
      <c r="A3418" s="63" t="s">
        <v>4445</v>
      </c>
      <c r="B3418" t="s">
        <v>1186</v>
      </c>
      <c r="C3418" t="s">
        <v>5043</v>
      </c>
      <c r="D3418" t="s">
        <v>8401</v>
      </c>
    </row>
    <row r="3419" spans="1:4" x14ac:dyDescent="0.25">
      <c r="A3419" s="63" t="s">
        <v>4446</v>
      </c>
      <c r="B3419" t="s">
        <v>1186</v>
      </c>
      <c r="C3419" t="s">
        <v>5043</v>
      </c>
      <c r="D3419" t="s">
        <v>8401</v>
      </c>
    </row>
    <row r="3420" spans="1:4" x14ac:dyDescent="0.25">
      <c r="A3420" s="63" t="s">
        <v>4447</v>
      </c>
      <c r="B3420" t="s">
        <v>1186</v>
      </c>
      <c r="C3420" t="s">
        <v>5043</v>
      </c>
      <c r="D3420" t="s">
        <v>8401</v>
      </c>
    </row>
    <row r="3421" spans="1:4" x14ac:dyDescent="0.25">
      <c r="A3421" s="63" t="s">
        <v>4448</v>
      </c>
      <c r="B3421" t="s">
        <v>1186</v>
      </c>
      <c r="C3421" t="s">
        <v>5043</v>
      </c>
      <c r="D3421" t="s">
        <v>8401</v>
      </c>
    </row>
    <row r="3422" spans="1:4" x14ac:dyDescent="0.25">
      <c r="A3422" s="63" t="s">
        <v>4449</v>
      </c>
      <c r="B3422" t="s">
        <v>1186</v>
      </c>
      <c r="C3422" t="s">
        <v>5043</v>
      </c>
      <c r="D3422" t="s">
        <v>8401</v>
      </c>
    </row>
    <row r="3423" spans="1:4" x14ac:dyDescent="0.25">
      <c r="A3423" s="63" t="s">
        <v>4450</v>
      </c>
      <c r="B3423" t="s">
        <v>1186</v>
      </c>
      <c r="C3423" t="s">
        <v>5043</v>
      </c>
      <c r="D3423" t="s">
        <v>8401</v>
      </c>
    </row>
    <row r="3424" spans="1:4" x14ac:dyDescent="0.25">
      <c r="A3424" s="63" t="s">
        <v>4451</v>
      </c>
      <c r="B3424" t="s">
        <v>1186</v>
      </c>
      <c r="C3424" t="s">
        <v>5043</v>
      </c>
      <c r="D3424" t="s">
        <v>8401</v>
      </c>
    </row>
    <row r="3425" spans="1:4" x14ac:dyDescent="0.25">
      <c r="A3425" s="63" t="s">
        <v>4452</v>
      </c>
      <c r="B3425" t="s">
        <v>1186</v>
      </c>
      <c r="C3425" t="s">
        <v>5043</v>
      </c>
      <c r="D3425" t="s">
        <v>8401</v>
      </c>
    </row>
    <row r="3426" spans="1:4" x14ac:dyDescent="0.25">
      <c r="A3426" s="63" t="s">
        <v>4453</v>
      </c>
      <c r="B3426" t="s">
        <v>1186</v>
      </c>
      <c r="C3426" t="s">
        <v>5043</v>
      </c>
      <c r="D3426" t="s">
        <v>8401</v>
      </c>
    </row>
    <row r="3427" spans="1:4" x14ac:dyDescent="0.25">
      <c r="A3427" s="63" t="s">
        <v>4454</v>
      </c>
      <c r="B3427" t="s">
        <v>1186</v>
      </c>
      <c r="C3427" t="s">
        <v>5043</v>
      </c>
      <c r="D3427" t="s">
        <v>8401</v>
      </c>
    </row>
    <row r="3428" spans="1:4" x14ac:dyDescent="0.25">
      <c r="A3428" s="63" t="s">
        <v>4455</v>
      </c>
      <c r="B3428" t="s">
        <v>1186</v>
      </c>
      <c r="C3428" t="s">
        <v>5043</v>
      </c>
      <c r="D3428" t="s">
        <v>8401</v>
      </c>
    </row>
    <row r="3429" spans="1:4" x14ac:dyDescent="0.25">
      <c r="A3429" s="63" t="s">
        <v>4456</v>
      </c>
      <c r="B3429" t="s">
        <v>1186</v>
      </c>
      <c r="C3429" t="s">
        <v>5043</v>
      </c>
      <c r="D3429" t="s">
        <v>8401</v>
      </c>
    </row>
    <row r="3430" spans="1:4" x14ac:dyDescent="0.25">
      <c r="A3430" s="63" t="s">
        <v>4457</v>
      </c>
      <c r="B3430" t="s">
        <v>1186</v>
      </c>
      <c r="C3430" t="s">
        <v>5043</v>
      </c>
      <c r="D3430" t="s">
        <v>8401</v>
      </c>
    </row>
    <row r="3431" spans="1:4" x14ac:dyDescent="0.25">
      <c r="A3431" s="63" t="s">
        <v>4458</v>
      </c>
      <c r="B3431" t="s">
        <v>1186</v>
      </c>
      <c r="C3431" t="s">
        <v>5043</v>
      </c>
      <c r="D3431" t="s">
        <v>8401</v>
      </c>
    </row>
    <row r="3432" spans="1:4" x14ac:dyDescent="0.25">
      <c r="A3432" s="63" t="s">
        <v>4459</v>
      </c>
      <c r="B3432" t="s">
        <v>1186</v>
      </c>
      <c r="C3432" t="s">
        <v>5043</v>
      </c>
      <c r="D3432" t="s">
        <v>8401</v>
      </c>
    </row>
    <row r="3433" spans="1:4" x14ac:dyDescent="0.25">
      <c r="A3433" s="63" t="s">
        <v>4460</v>
      </c>
      <c r="B3433" t="s">
        <v>1186</v>
      </c>
      <c r="C3433" t="s">
        <v>5043</v>
      </c>
      <c r="D3433" t="s">
        <v>8401</v>
      </c>
    </row>
    <row r="3434" spans="1:4" x14ac:dyDescent="0.25">
      <c r="A3434" s="63" t="s">
        <v>4461</v>
      </c>
      <c r="B3434" t="s">
        <v>1186</v>
      </c>
      <c r="C3434" t="s">
        <v>5043</v>
      </c>
      <c r="D3434" t="s">
        <v>8401</v>
      </c>
    </row>
    <row r="3435" spans="1:4" x14ac:dyDescent="0.25">
      <c r="A3435" s="63" t="s">
        <v>4462</v>
      </c>
      <c r="B3435" t="s">
        <v>1186</v>
      </c>
      <c r="C3435" t="s">
        <v>5043</v>
      </c>
      <c r="D3435" t="s">
        <v>8401</v>
      </c>
    </row>
    <row r="3436" spans="1:4" x14ac:dyDescent="0.25">
      <c r="A3436" s="63" t="s">
        <v>4463</v>
      </c>
      <c r="B3436" t="s">
        <v>1186</v>
      </c>
      <c r="C3436" t="s">
        <v>5043</v>
      </c>
      <c r="D3436" t="s">
        <v>8401</v>
      </c>
    </row>
    <row r="3437" spans="1:4" x14ac:dyDescent="0.25">
      <c r="A3437" s="63" t="s">
        <v>4464</v>
      </c>
      <c r="B3437" t="s">
        <v>1951</v>
      </c>
      <c r="C3437" t="s">
        <v>5043</v>
      </c>
      <c r="D3437" t="s">
        <v>8401</v>
      </c>
    </row>
    <row r="3438" spans="1:4" x14ac:dyDescent="0.25">
      <c r="A3438" s="63" t="s">
        <v>4465</v>
      </c>
      <c r="B3438" t="s">
        <v>1951</v>
      </c>
      <c r="C3438" t="s">
        <v>5043</v>
      </c>
      <c r="D3438" t="s">
        <v>8401</v>
      </c>
    </row>
    <row r="3439" spans="1:4" x14ac:dyDescent="0.25">
      <c r="A3439" s="63" t="s">
        <v>4466</v>
      </c>
      <c r="B3439" t="s">
        <v>2267</v>
      </c>
      <c r="C3439" t="s">
        <v>5043</v>
      </c>
      <c r="D3439" t="s">
        <v>8401</v>
      </c>
    </row>
    <row r="3440" spans="1:4" x14ac:dyDescent="0.25">
      <c r="A3440" s="63" t="s">
        <v>4467</v>
      </c>
      <c r="B3440" t="s">
        <v>2267</v>
      </c>
      <c r="C3440" t="s">
        <v>5043</v>
      </c>
      <c r="D3440" t="s">
        <v>8401</v>
      </c>
    </row>
    <row r="3441" spans="1:4" x14ac:dyDescent="0.25">
      <c r="A3441" s="63" t="s">
        <v>4468</v>
      </c>
      <c r="B3441" t="s">
        <v>2267</v>
      </c>
      <c r="C3441" t="s">
        <v>5043</v>
      </c>
      <c r="D3441" t="s">
        <v>8401</v>
      </c>
    </row>
    <row r="3442" spans="1:4" x14ac:dyDescent="0.25">
      <c r="A3442" s="63" t="s">
        <v>2619</v>
      </c>
      <c r="B3442" t="s">
        <v>2267</v>
      </c>
      <c r="C3442" t="s">
        <v>5043</v>
      </c>
      <c r="D3442" t="s">
        <v>8401</v>
      </c>
    </row>
    <row r="3443" spans="1:4" x14ac:dyDescent="0.25">
      <c r="A3443" s="63" t="s">
        <v>2620</v>
      </c>
      <c r="B3443" t="s">
        <v>2267</v>
      </c>
      <c r="C3443" t="s">
        <v>5043</v>
      </c>
      <c r="D3443" t="s">
        <v>8401</v>
      </c>
    </row>
    <row r="3444" spans="1:4" x14ac:dyDescent="0.25">
      <c r="A3444" s="63" t="s">
        <v>4469</v>
      </c>
      <c r="B3444" t="s">
        <v>1950</v>
      </c>
      <c r="C3444" t="s">
        <v>5043</v>
      </c>
      <c r="D3444" t="s">
        <v>8401</v>
      </c>
    </row>
    <row r="3445" spans="1:4" x14ac:dyDescent="0.25">
      <c r="A3445" s="63" t="s">
        <v>4470</v>
      </c>
      <c r="B3445" t="s">
        <v>1949</v>
      </c>
      <c r="C3445" t="s">
        <v>5043</v>
      </c>
      <c r="D3445" t="s">
        <v>8401</v>
      </c>
    </row>
    <row r="3446" spans="1:4" x14ac:dyDescent="0.25">
      <c r="A3446" s="63" t="s">
        <v>4471</v>
      </c>
      <c r="B3446" t="s">
        <v>1949</v>
      </c>
      <c r="C3446" t="s">
        <v>5043</v>
      </c>
      <c r="D3446" t="s">
        <v>8401</v>
      </c>
    </row>
    <row r="3447" spans="1:4" x14ac:dyDescent="0.25">
      <c r="A3447" s="63" t="s">
        <v>4472</v>
      </c>
      <c r="B3447" t="s">
        <v>1862</v>
      </c>
      <c r="C3447" t="s">
        <v>5043</v>
      </c>
      <c r="D3447" t="s">
        <v>8401</v>
      </c>
    </row>
    <row r="3448" spans="1:4" x14ac:dyDescent="0.25">
      <c r="A3448" s="63" t="s">
        <v>4473</v>
      </c>
      <c r="B3448" t="s">
        <v>1415</v>
      </c>
      <c r="C3448" t="s">
        <v>5043</v>
      </c>
      <c r="D3448" t="s">
        <v>8401</v>
      </c>
    </row>
    <row r="3449" spans="1:4" x14ac:dyDescent="0.25">
      <c r="A3449" s="63" t="s">
        <v>4474</v>
      </c>
      <c r="B3449" t="s">
        <v>1415</v>
      </c>
      <c r="C3449" t="s">
        <v>5043</v>
      </c>
      <c r="D3449" t="s">
        <v>8401</v>
      </c>
    </row>
    <row r="3450" spans="1:4" x14ac:dyDescent="0.25">
      <c r="A3450" s="63" t="s">
        <v>4475</v>
      </c>
      <c r="B3450" t="s">
        <v>1415</v>
      </c>
      <c r="C3450" t="s">
        <v>5043</v>
      </c>
      <c r="D3450" t="s">
        <v>8401</v>
      </c>
    </row>
    <row r="3451" spans="1:4" x14ac:dyDescent="0.25">
      <c r="A3451" s="63" t="s">
        <v>4476</v>
      </c>
      <c r="B3451" t="s">
        <v>1415</v>
      </c>
      <c r="C3451" t="s">
        <v>5043</v>
      </c>
      <c r="D3451" t="s">
        <v>8401</v>
      </c>
    </row>
    <row r="3452" spans="1:4" x14ac:dyDescent="0.25">
      <c r="A3452" s="63" t="s">
        <v>4477</v>
      </c>
      <c r="B3452" t="s">
        <v>1415</v>
      </c>
      <c r="C3452" t="s">
        <v>5043</v>
      </c>
      <c r="D3452" t="s">
        <v>8401</v>
      </c>
    </row>
    <row r="3453" spans="1:4" x14ac:dyDescent="0.25">
      <c r="A3453" s="63" t="s">
        <v>4478</v>
      </c>
      <c r="B3453" t="s">
        <v>2418</v>
      </c>
      <c r="C3453" t="s">
        <v>5043</v>
      </c>
      <c r="D3453" t="s">
        <v>8401</v>
      </c>
    </row>
    <row r="3454" spans="1:4" x14ac:dyDescent="0.25">
      <c r="A3454" s="63" t="s">
        <v>4479</v>
      </c>
      <c r="B3454" t="s">
        <v>2419</v>
      </c>
      <c r="C3454" t="s">
        <v>5043</v>
      </c>
      <c r="D3454" t="s">
        <v>8401</v>
      </c>
    </row>
    <row r="3455" spans="1:4" x14ac:dyDescent="0.25">
      <c r="A3455" s="63" t="s">
        <v>4480</v>
      </c>
      <c r="B3455" t="s">
        <v>2422</v>
      </c>
      <c r="C3455" t="s">
        <v>5043</v>
      </c>
      <c r="D3455" t="s">
        <v>8401</v>
      </c>
    </row>
    <row r="3456" spans="1:4" x14ac:dyDescent="0.25">
      <c r="A3456" s="63" t="s">
        <v>4481</v>
      </c>
      <c r="B3456" t="s">
        <v>1885</v>
      </c>
      <c r="C3456" t="s">
        <v>5043</v>
      </c>
      <c r="D3456" t="s">
        <v>8401</v>
      </c>
    </row>
    <row r="3457" spans="1:4" x14ac:dyDescent="0.25">
      <c r="A3457" s="63" t="s">
        <v>4482</v>
      </c>
      <c r="B3457" t="s">
        <v>1885</v>
      </c>
      <c r="C3457" t="s">
        <v>5043</v>
      </c>
      <c r="D3457" t="s">
        <v>8401</v>
      </c>
    </row>
    <row r="3458" spans="1:4" x14ac:dyDescent="0.25">
      <c r="A3458" s="63" t="s">
        <v>4483</v>
      </c>
      <c r="B3458" t="s">
        <v>1886</v>
      </c>
      <c r="C3458" t="s">
        <v>5043</v>
      </c>
      <c r="D3458" t="s">
        <v>8401</v>
      </c>
    </row>
    <row r="3459" spans="1:4" x14ac:dyDescent="0.25">
      <c r="A3459" s="63" t="s">
        <v>4484</v>
      </c>
      <c r="B3459" t="s">
        <v>1248</v>
      </c>
      <c r="C3459" t="s">
        <v>5043</v>
      </c>
      <c r="D3459" t="s">
        <v>8401</v>
      </c>
    </row>
    <row r="3460" spans="1:4" x14ac:dyDescent="0.25">
      <c r="A3460" s="63" t="s">
        <v>4485</v>
      </c>
      <c r="B3460" t="s">
        <v>1248</v>
      </c>
      <c r="C3460" t="s">
        <v>5043</v>
      </c>
      <c r="D3460" t="s">
        <v>8401</v>
      </c>
    </row>
    <row r="3461" spans="1:4" x14ac:dyDescent="0.25">
      <c r="A3461" s="63" t="s">
        <v>4486</v>
      </c>
      <c r="B3461" t="s">
        <v>2420</v>
      </c>
      <c r="C3461" t="s">
        <v>5043</v>
      </c>
      <c r="D3461" t="s">
        <v>8401</v>
      </c>
    </row>
    <row r="3462" spans="1:4" x14ac:dyDescent="0.25">
      <c r="A3462" s="63" t="s">
        <v>4487</v>
      </c>
      <c r="B3462" t="s">
        <v>2420</v>
      </c>
      <c r="C3462" t="s">
        <v>5043</v>
      </c>
      <c r="D3462" t="s">
        <v>8401</v>
      </c>
    </row>
    <row r="3463" spans="1:4" x14ac:dyDescent="0.25">
      <c r="A3463" s="63" t="s">
        <v>4488</v>
      </c>
      <c r="B3463" t="s">
        <v>2146</v>
      </c>
      <c r="C3463" t="s">
        <v>5043</v>
      </c>
      <c r="D3463" t="s">
        <v>8401</v>
      </c>
    </row>
    <row r="3464" spans="1:4" x14ac:dyDescent="0.25">
      <c r="A3464" s="63" t="s">
        <v>8282</v>
      </c>
      <c r="B3464" t="s">
        <v>1897</v>
      </c>
      <c r="C3464" t="s">
        <v>5043</v>
      </c>
      <c r="D3464" t="s">
        <v>8401</v>
      </c>
    </row>
    <row r="3465" spans="1:4" x14ac:dyDescent="0.25">
      <c r="A3465" s="63" t="s">
        <v>8283</v>
      </c>
      <c r="B3465" t="s">
        <v>1897</v>
      </c>
      <c r="C3465" t="s">
        <v>5043</v>
      </c>
      <c r="D3465" t="s">
        <v>8401</v>
      </c>
    </row>
    <row r="3466" spans="1:4" x14ac:dyDescent="0.25">
      <c r="A3466" s="63" t="s">
        <v>4489</v>
      </c>
      <c r="B3466" t="s">
        <v>2421</v>
      </c>
      <c r="C3466" t="s">
        <v>5043</v>
      </c>
      <c r="D3466" t="s">
        <v>8401</v>
      </c>
    </row>
    <row r="3467" spans="1:4" x14ac:dyDescent="0.25">
      <c r="A3467" s="63" t="s">
        <v>4490</v>
      </c>
      <c r="B3467" t="s">
        <v>2421</v>
      </c>
      <c r="C3467" t="s">
        <v>5043</v>
      </c>
      <c r="D3467" t="s">
        <v>8401</v>
      </c>
    </row>
    <row r="3468" spans="1:4" x14ac:dyDescent="0.25">
      <c r="A3468" s="63" t="s">
        <v>4491</v>
      </c>
      <c r="B3468" t="s">
        <v>1754</v>
      </c>
      <c r="C3468" t="s">
        <v>5043</v>
      </c>
      <c r="D3468" t="s">
        <v>8401</v>
      </c>
    </row>
    <row r="3469" spans="1:4" x14ac:dyDescent="0.25">
      <c r="A3469" s="63" t="s">
        <v>4492</v>
      </c>
      <c r="B3469" t="s">
        <v>1754</v>
      </c>
      <c r="C3469" t="s">
        <v>5043</v>
      </c>
      <c r="D3469" t="s">
        <v>8401</v>
      </c>
    </row>
    <row r="3470" spans="1:4" x14ac:dyDescent="0.25">
      <c r="A3470" s="63" t="s">
        <v>4493</v>
      </c>
      <c r="B3470" t="s">
        <v>1754</v>
      </c>
      <c r="C3470" t="s">
        <v>5043</v>
      </c>
      <c r="D3470" t="s">
        <v>8401</v>
      </c>
    </row>
    <row r="3471" spans="1:4" x14ac:dyDescent="0.25">
      <c r="A3471" s="63" t="s">
        <v>4494</v>
      </c>
      <c r="B3471" t="s">
        <v>1754</v>
      </c>
      <c r="C3471" t="s">
        <v>5043</v>
      </c>
      <c r="D3471" t="s">
        <v>8401</v>
      </c>
    </row>
    <row r="3472" spans="1:4" x14ac:dyDescent="0.25">
      <c r="A3472" s="63" t="s">
        <v>4495</v>
      </c>
      <c r="B3472" t="s">
        <v>1896</v>
      </c>
      <c r="C3472" t="s">
        <v>5043</v>
      </c>
      <c r="D3472" t="s">
        <v>8401</v>
      </c>
    </row>
    <row r="3473" spans="1:4" x14ac:dyDescent="0.25">
      <c r="A3473" s="63" t="s">
        <v>4496</v>
      </c>
      <c r="B3473" t="s">
        <v>1896</v>
      </c>
      <c r="C3473" t="s">
        <v>5043</v>
      </c>
      <c r="D3473" t="s">
        <v>8401</v>
      </c>
    </row>
    <row r="3474" spans="1:4" x14ac:dyDescent="0.25">
      <c r="A3474" s="63" t="s">
        <v>4497</v>
      </c>
      <c r="B3474" t="s">
        <v>1896</v>
      </c>
      <c r="C3474" t="s">
        <v>5043</v>
      </c>
      <c r="D3474" t="s">
        <v>8401</v>
      </c>
    </row>
    <row r="3475" spans="1:4" x14ac:dyDescent="0.25">
      <c r="A3475" s="63" t="s">
        <v>4498</v>
      </c>
      <c r="B3475" t="s">
        <v>1896</v>
      </c>
      <c r="C3475" t="s">
        <v>5043</v>
      </c>
      <c r="D3475" t="s">
        <v>8401</v>
      </c>
    </row>
    <row r="3476" spans="1:4" x14ac:dyDescent="0.25">
      <c r="A3476" s="63" t="s">
        <v>4499</v>
      </c>
      <c r="B3476" t="s">
        <v>1896</v>
      </c>
      <c r="C3476" t="s">
        <v>5043</v>
      </c>
      <c r="D3476" t="s">
        <v>8401</v>
      </c>
    </row>
    <row r="3477" spans="1:4" x14ac:dyDescent="0.25">
      <c r="A3477" s="63" t="s">
        <v>4500</v>
      </c>
      <c r="B3477" t="s">
        <v>1896</v>
      </c>
      <c r="C3477" t="s">
        <v>5043</v>
      </c>
      <c r="D3477" t="s">
        <v>8401</v>
      </c>
    </row>
    <row r="3478" spans="1:4" x14ac:dyDescent="0.25">
      <c r="A3478" s="63" t="s">
        <v>4501</v>
      </c>
      <c r="B3478" t="s">
        <v>1896</v>
      </c>
      <c r="C3478" t="s">
        <v>5043</v>
      </c>
      <c r="D3478" t="s">
        <v>8401</v>
      </c>
    </row>
    <row r="3479" spans="1:4" x14ac:dyDescent="0.25">
      <c r="A3479" s="63" t="s">
        <v>4502</v>
      </c>
      <c r="B3479" t="s">
        <v>1896</v>
      </c>
      <c r="C3479" t="s">
        <v>5043</v>
      </c>
      <c r="D3479" t="s">
        <v>8401</v>
      </c>
    </row>
    <row r="3480" spans="1:4" x14ac:dyDescent="0.25">
      <c r="A3480" s="63" t="s">
        <v>4503</v>
      </c>
      <c r="B3480" t="s">
        <v>1896</v>
      </c>
      <c r="C3480" t="s">
        <v>5043</v>
      </c>
      <c r="D3480" t="s">
        <v>8401</v>
      </c>
    </row>
    <row r="3481" spans="1:4" x14ac:dyDescent="0.25">
      <c r="A3481" s="63" t="s">
        <v>4504</v>
      </c>
      <c r="B3481" t="s">
        <v>1896</v>
      </c>
      <c r="C3481" t="s">
        <v>5043</v>
      </c>
      <c r="D3481" t="s">
        <v>8401</v>
      </c>
    </row>
    <row r="3482" spans="1:4" x14ac:dyDescent="0.25">
      <c r="A3482" s="63" t="s">
        <v>4505</v>
      </c>
      <c r="B3482" t="s">
        <v>1952</v>
      </c>
      <c r="C3482" t="s">
        <v>5043</v>
      </c>
      <c r="D3482" t="s">
        <v>8401</v>
      </c>
    </row>
    <row r="3483" spans="1:4" x14ac:dyDescent="0.25">
      <c r="A3483" s="63" t="s">
        <v>4506</v>
      </c>
      <c r="B3483" t="s">
        <v>1952</v>
      </c>
      <c r="C3483" t="s">
        <v>5043</v>
      </c>
      <c r="D3483" t="s">
        <v>8401</v>
      </c>
    </row>
    <row r="3484" spans="1:4" x14ac:dyDescent="0.25">
      <c r="A3484" s="63" t="s">
        <v>4507</v>
      </c>
      <c r="B3484" t="s">
        <v>1952</v>
      </c>
      <c r="C3484" t="s">
        <v>5043</v>
      </c>
      <c r="D3484" t="s">
        <v>8401</v>
      </c>
    </row>
    <row r="3485" spans="1:4" x14ac:dyDescent="0.25">
      <c r="A3485" s="63" t="s">
        <v>4508</v>
      </c>
      <c r="B3485" t="s">
        <v>1952</v>
      </c>
      <c r="C3485" t="s">
        <v>5043</v>
      </c>
      <c r="D3485" t="s">
        <v>8401</v>
      </c>
    </row>
    <row r="3486" spans="1:4" x14ac:dyDescent="0.25">
      <c r="A3486" s="63" t="s">
        <v>4509</v>
      </c>
      <c r="B3486" t="s">
        <v>1952</v>
      </c>
      <c r="C3486" t="s">
        <v>5043</v>
      </c>
      <c r="D3486" t="s">
        <v>8401</v>
      </c>
    </row>
    <row r="3487" spans="1:4" x14ac:dyDescent="0.25">
      <c r="A3487" s="63" t="s">
        <v>4510</v>
      </c>
      <c r="B3487" t="s">
        <v>1952</v>
      </c>
      <c r="C3487" t="s">
        <v>5043</v>
      </c>
      <c r="D3487" t="s">
        <v>8401</v>
      </c>
    </row>
    <row r="3488" spans="1:4" x14ac:dyDescent="0.25">
      <c r="A3488" s="63" t="s">
        <v>4511</v>
      </c>
      <c r="B3488" t="s">
        <v>1952</v>
      </c>
      <c r="C3488" t="s">
        <v>5043</v>
      </c>
      <c r="D3488" t="s">
        <v>8401</v>
      </c>
    </row>
    <row r="3489" spans="1:4" x14ac:dyDescent="0.25">
      <c r="A3489" s="63" t="s">
        <v>4512</v>
      </c>
      <c r="B3489" t="s">
        <v>1952</v>
      </c>
      <c r="C3489" t="s">
        <v>5043</v>
      </c>
      <c r="D3489" t="s">
        <v>8401</v>
      </c>
    </row>
    <row r="3490" spans="1:4" x14ac:dyDescent="0.25">
      <c r="A3490" s="63" t="s">
        <v>4513</v>
      </c>
      <c r="B3490" t="s">
        <v>1952</v>
      </c>
      <c r="C3490" t="s">
        <v>5043</v>
      </c>
      <c r="D3490" t="s">
        <v>8401</v>
      </c>
    </row>
    <row r="3491" spans="1:4" x14ac:dyDescent="0.25">
      <c r="A3491" s="63" t="s">
        <v>4514</v>
      </c>
      <c r="B3491" t="s">
        <v>1952</v>
      </c>
      <c r="C3491" t="s">
        <v>5043</v>
      </c>
      <c r="D3491" t="s">
        <v>8401</v>
      </c>
    </row>
    <row r="3492" spans="1:4" x14ac:dyDescent="0.25">
      <c r="A3492" s="63" t="s">
        <v>4515</v>
      </c>
      <c r="B3492" t="s">
        <v>1952</v>
      </c>
      <c r="C3492" t="s">
        <v>5043</v>
      </c>
      <c r="D3492" t="s">
        <v>8401</v>
      </c>
    </row>
    <row r="3493" spans="1:4" x14ac:dyDescent="0.25">
      <c r="A3493" s="63" t="s">
        <v>4516</v>
      </c>
      <c r="B3493" t="s">
        <v>1952</v>
      </c>
      <c r="C3493" t="s">
        <v>5043</v>
      </c>
      <c r="D3493" t="s">
        <v>8401</v>
      </c>
    </row>
    <row r="3494" spans="1:4" x14ac:dyDescent="0.25">
      <c r="A3494" s="63" t="s">
        <v>4517</v>
      </c>
      <c r="B3494" t="s">
        <v>1893</v>
      </c>
      <c r="C3494" t="s">
        <v>5043</v>
      </c>
      <c r="D3494" t="s">
        <v>8401</v>
      </c>
    </row>
    <row r="3495" spans="1:4" x14ac:dyDescent="0.25">
      <c r="A3495" s="63" t="s">
        <v>4518</v>
      </c>
      <c r="B3495" t="s">
        <v>1893</v>
      </c>
      <c r="C3495" t="s">
        <v>5043</v>
      </c>
      <c r="D3495" t="s">
        <v>8401</v>
      </c>
    </row>
    <row r="3496" spans="1:4" x14ac:dyDescent="0.25">
      <c r="A3496" s="63" t="s">
        <v>4519</v>
      </c>
      <c r="B3496" t="s">
        <v>2477</v>
      </c>
      <c r="C3496" t="s">
        <v>5043</v>
      </c>
      <c r="D3496" t="s">
        <v>8401</v>
      </c>
    </row>
    <row r="3497" spans="1:4" x14ac:dyDescent="0.25">
      <c r="A3497" s="63" t="s">
        <v>4520</v>
      </c>
      <c r="B3497" t="s">
        <v>2477</v>
      </c>
      <c r="C3497" t="s">
        <v>5043</v>
      </c>
      <c r="D3497" t="s">
        <v>8401</v>
      </c>
    </row>
    <row r="3498" spans="1:4" x14ac:dyDescent="0.25">
      <c r="A3498" s="63" t="s">
        <v>4521</v>
      </c>
      <c r="B3498" t="s">
        <v>2477</v>
      </c>
      <c r="C3498" t="s">
        <v>5043</v>
      </c>
      <c r="D3498" t="s">
        <v>8401</v>
      </c>
    </row>
    <row r="3499" spans="1:4" x14ac:dyDescent="0.25">
      <c r="A3499" s="63" t="s">
        <v>4522</v>
      </c>
      <c r="B3499" t="s">
        <v>2477</v>
      </c>
      <c r="C3499" t="s">
        <v>5043</v>
      </c>
      <c r="D3499" t="s">
        <v>8401</v>
      </c>
    </row>
    <row r="3500" spans="1:4" x14ac:dyDescent="0.25">
      <c r="A3500" s="63" t="s">
        <v>4523</v>
      </c>
      <c r="B3500" t="s">
        <v>1810</v>
      </c>
      <c r="C3500" t="s">
        <v>5043</v>
      </c>
      <c r="D3500" t="s">
        <v>8401</v>
      </c>
    </row>
    <row r="3501" spans="1:4" x14ac:dyDescent="0.25">
      <c r="A3501" s="63" t="s">
        <v>4524</v>
      </c>
      <c r="B3501" t="s">
        <v>1810</v>
      </c>
      <c r="C3501" t="s">
        <v>5043</v>
      </c>
      <c r="D3501" t="s">
        <v>8401</v>
      </c>
    </row>
    <row r="3502" spans="1:4" x14ac:dyDescent="0.25">
      <c r="A3502" s="63" t="s">
        <v>4525</v>
      </c>
      <c r="B3502" t="s">
        <v>1810</v>
      </c>
      <c r="C3502" t="s">
        <v>5043</v>
      </c>
      <c r="D3502" t="s">
        <v>8401</v>
      </c>
    </row>
    <row r="3503" spans="1:4" x14ac:dyDescent="0.25">
      <c r="A3503" s="63" t="s">
        <v>4526</v>
      </c>
      <c r="B3503" t="s">
        <v>2476</v>
      </c>
      <c r="C3503" t="s">
        <v>5043</v>
      </c>
      <c r="D3503" t="s">
        <v>8401</v>
      </c>
    </row>
    <row r="3504" spans="1:4" x14ac:dyDescent="0.25">
      <c r="A3504" s="63" t="s">
        <v>4527</v>
      </c>
      <c r="B3504" t="s">
        <v>2475</v>
      </c>
      <c r="C3504" t="s">
        <v>5043</v>
      </c>
      <c r="D3504" t="s">
        <v>8401</v>
      </c>
    </row>
    <row r="3505" spans="1:4" x14ac:dyDescent="0.25">
      <c r="A3505" s="63" t="s">
        <v>4528</v>
      </c>
      <c r="B3505" t="s">
        <v>1609</v>
      </c>
      <c r="C3505" t="s">
        <v>5043</v>
      </c>
      <c r="D3505" t="s">
        <v>8401</v>
      </c>
    </row>
    <row r="3506" spans="1:4" x14ac:dyDescent="0.25">
      <c r="A3506" s="63" t="s">
        <v>4529</v>
      </c>
      <c r="B3506" t="s">
        <v>1609</v>
      </c>
      <c r="C3506" t="s">
        <v>5043</v>
      </c>
      <c r="D3506" t="s">
        <v>8401</v>
      </c>
    </row>
    <row r="3507" spans="1:4" x14ac:dyDescent="0.25">
      <c r="A3507" s="63" t="s">
        <v>4530</v>
      </c>
      <c r="B3507" t="s">
        <v>1609</v>
      </c>
      <c r="C3507" t="s">
        <v>5043</v>
      </c>
      <c r="D3507" t="s">
        <v>8401</v>
      </c>
    </row>
    <row r="3508" spans="1:4" x14ac:dyDescent="0.25">
      <c r="A3508" s="63" t="s">
        <v>4531</v>
      </c>
      <c r="B3508" t="s">
        <v>1609</v>
      </c>
      <c r="C3508" t="s">
        <v>5043</v>
      </c>
      <c r="D3508" t="s">
        <v>8401</v>
      </c>
    </row>
    <row r="3509" spans="1:4" x14ac:dyDescent="0.25">
      <c r="A3509" s="63" t="s">
        <v>4532</v>
      </c>
      <c r="B3509" t="s">
        <v>1609</v>
      </c>
      <c r="C3509" t="s">
        <v>5043</v>
      </c>
      <c r="D3509" t="s">
        <v>8401</v>
      </c>
    </row>
    <row r="3510" spans="1:4" x14ac:dyDescent="0.25">
      <c r="A3510" s="63" t="s">
        <v>4533</v>
      </c>
      <c r="B3510" t="s">
        <v>1609</v>
      </c>
      <c r="C3510" t="s">
        <v>5043</v>
      </c>
      <c r="D3510" t="s">
        <v>8401</v>
      </c>
    </row>
    <row r="3511" spans="1:4" x14ac:dyDescent="0.25">
      <c r="A3511" s="63" t="s">
        <v>4534</v>
      </c>
      <c r="B3511" t="s">
        <v>1971</v>
      </c>
      <c r="C3511" t="s">
        <v>5043</v>
      </c>
      <c r="D3511" t="s">
        <v>8401</v>
      </c>
    </row>
    <row r="3512" spans="1:4" x14ac:dyDescent="0.25">
      <c r="A3512" s="63" t="s">
        <v>4535</v>
      </c>
      <c r="B3512" t="s">
        <v>2141</v>
      </c>
      <c r="C3512" t="s">
        <v>5043</v>
      </c>
      <c r="D3512" t="s">
        <v>8401</v>
      </c>
    </row>
    <row r="3513" spans="1:4" x14ac:dyDescent="0.25">
      <c r="A3513" s="63" t="s">
        <v>6934</v>
      </c>
      <c r="B3513" t="s">
        <v>2344</v>
      </c>
      <c r="C3513" t="s">
        <v>5043</v>
      </c>
      <c r="D3513" t="s">
        <v>8401</v>
      </c>
    </row>
    <row r="3514" spans="1:4" x14ac:dyDescent="0.25">
      <c r="A3514" s="63" t="s">
        <v>4536</v>
      </c>
      <c r="B3514" t="s">
        <v>1892</v>
      </c>
      <c r="C3514" t="s">
        <v>5043</v>
      </c>
      <c r="D3514" t="s">
        <v>8401</v>
      </c>
    </row>
    <row r="3515" spans="1:4" x14ac:dyDescent="0.25">
      <c r="A3515" s="63" t="s">
        <v>4537</v>
      </c>
      <c r="B3515" t="s">
        <v>1895</v>
      </c>
      <c r="C3515" t="s">
        <v>5043</v>
      </c>
      <c r="D3515" t="s">
        <v>8401</v>
      </c>
    </row>
    <row r="3516" spans="1:4" x14ac:dyDescent="0.25">
      <c r="A3516" s="63" t="s">
        <v>4538</v>
      </c>
      <c r="B3516" t="s">
        <v>1894</v>
      </c>
      <c r="C3516" t="s">
        <v>5043</v>
      </c>
      <c r="D3516" t="s">
        <v>8401</v>
      </c>
    </row>
    <row r="3517" spans="1:4" x14ac:dyDescent="0.25">
      <c r="A3517" s="63" t="s">
        <v>8284</v>
      </c>
      <c r="B3517" t="s">
        <v>1320</v>
      </c>
      <c r="C3517" t="s">
        <v>5043</v>
      </c>
      <c r="D3517" t="s">
        <v>8401</v>
      </c>
    </row>
    <row r="3518" spans="1:4" x14ac:dyDescent="0.25">
      <c r="A3518" s="63" t="s">
        <v>8285</v>
      </c>
      <c r="B3518" t="s">
        <v>2279</v>
      </c>
      <c r="C3518" t="s">
        <v>5043</v>
      </c>
      <c r="D3518" t="s">
        <v>8401</v>
      </c>
    </row>
    <row r="3519" spans="1:4" x14ac:dyDescent="0.25">
      <c r="A3519" s="63" t="s">
        <v>4539</v>
      </c>
      <c r="B3519" t="s">
        <v>1196</v>
      </c>
      <c r="C3519" t="s">
        <v>5043</v>
      </c>
      <c r="D3519" t="s">
        <v>8401</v>
      </c>
    </row>
    <row r="3520" spans="1:4" x14ac:dyDescent="0.25">
      <c r="A3520" s="63" t="s">
        <v>4540</v>
      </c>
      <c r="B3520" t="s">
        <v>1196</v>
      </c>
      <c r="C3520" t="s">
        <v>5043</v>
      </c>
      <c r="D3520" t="s">
        <v>8401</v>
      </c>
    </row>
    <row r="3521" spans="1:4" x14ac:dyDescent="0.25">
      <c r="A3521" s="63" t="s">
        <v>4541</v>
      </c>
      <c r="B3521" t="s">
        <v>1196</v>
      </c>
      <c r="C3521" t="s">
        <v>5043</v>
      </c>
      <c r="D3521" t="s">
        <v>8401</v>
      </c>
    </row>
    <row r="3522" spans="1:4" x14ac:dyDescent="0.25">
      <c r="A3522" s="63" t="s">
        <v>4542</v>
      </c>
      <c r="B3522" t="s">
        <v>1196</v>
      </c>
      <c r="C3522" t="s">
        <v>5043</v>
      </c>
      <c r="D3522" t="s">
        <v>8401</v>
      </c>
    </row>
    <row r="3523" spans="1:4" x14ac:dyDescent="0.25">
      <c r="A3523" s="63" t="s">
        <v>4543</v>
      </c>
      <c r="B3523" t="s">
        <v>1196</v>
      </c>
      <c r="C3523" t="s">
        <v>5043</v>
      </c>
      <c r="D3523" t="s">
        <v>8401</v>
      </c>
    </row>
    <row r="3524" spans="1:4" x14ac:dyDescent="0.25">
      <c r="A3524" s="63" t="s">
        <v>4544</v>
      </c>
      <c r="B3524" t="s">
        <v>1196</v>
      </c>
      <c r="C3524" t="s">
        <v>5043</v>
      </c>
      <c r="D3524" t="s">
        <v>8401</v>
      </c>
    </row>
    <row r="3525" spans="1:4" x14ac:dyDescent="0.25">
      <c r="A3525" s="63" t="s">
        <v>4545</v>
      </c>
      <c r="B3525" t="s">
        <v>1890</v>
      </c>
      <c r="C3525" t="s">
        <v>5043</v>
      </c>
      <c r="D3525" t="s">
        <v>8401</v>
      </c>
    </row>
    <row r="3526" spans="1:4" x14ac:dyDescent="0.25">
      <c r="A3526" s="63" t="s">
        <v>4546</v>
      </c>
      <c r="B3526" t="s">
        <v>1889</v>
      </c>
      <c r="C3526" t="s">
        <v>5043</v>
      </c>
      <c r="D3526" t="s">
        <v>8401</v>
      </c>
    </row>
    <row r="3527" spans="1:4" x14ac:dyDescent="0.25">
      <c r="A3527" s="63" t="s">
        <v>8286</v>
      </c>
      <c r="B3527" t="s">
        <v>1263</v>
      </c>
      <c r="C3527" t="s">
        <v>5043</v>
      </c>
      <c r="D3527" t="s">
        <v>8401</v>
      </c>
    </row>
    <row r="3528" spans="1:4" x14ac:dyDescent="0.25">
      <c r="A3528" s="63" t="s">
        <v>8287</v>
      </c>
      <c r="B3528" t="s">
        <v>1803</v>
      </c>
      <c r="C3528" t="s">
        <v>5043</v>
      </c>
      <c r="D3528" t="s">
        <v>8401</v>
      </c>
    </row>
    <row r="3529" spans="1:4" x14ac:dyDescent="0.25">
      <c r="A3529" s="63" t="s">
        <v>4547</v>
      </c>
      <c r="B3529" t="s">
        <v>2142</v>
      </c>
      <c r="C3529" t="s">
        <v>5043</v>
      </c>
      <c r="D3529" t="s">
        <v>8401</v>
      </c>
    </row>
    <row r="3530" spans="1:4" x14ac:dyDescent="0.25">
      <c r="A3530" s="63" t="s">
        <v>8288</v>
      </c>
      <c r="B3530" t="s">
        <v>2032</v>
      </c>
      <c r="C3530" t="s">
        <v>5043</v>
      </c>
      <c r="D3530" t="s">
        <v>8401</v>
      </c>
    </row>
    <row r="3531" spans="1:4" x14ac:dyDescent="0.25">
      <c r="A3531" s="63" t="s">
        <v>4548</v>
      </c>
      <c r="B3531" t="s">
        <v>1486</v>
      </c>
      <c r="C3531" t="s">
        <v>5043</v>
      </c>
      <c r="D3531" t="s">
        <v>8401</v>
      </c>
    </row>
    <row r="3532" spans="1:4" x14ac:dyDescent="0.25">
      <c r="A3532" s="63" t="s">
        <v>8289</v>
      </c>
      <c r="B3532" t="s">
        <v>2052</v>
      </c>
      <c r="C3532" t="s">
        <v>5043</v>
      </c>
      <c r="D3532" t="s">
        <v>8401</v>
      </c>
    </row>
    <row r="3533" spans="1:4" x14ac:dyDescent="0.25">
      <c r="A3533" s="63" t="s">
        <v>4549</v>
      </c>
      <c r="B3533" t="s">
        <v>2052</v>
      </c>
      <c r="C3533" t="s">
        <v>5043</v>
      </c>
      <c r="D3533" t="s">
        <v>8401</v>
      </c>
    </row>
    <row r="3534" spans="1:4" x14ac:dyDescent="0.25">
      <c r="A3534" s="63" t="s">
        <v>4550</v>
      </c>
      <c r="B3534" t="s">
        <v>1611</v>
      </c>
      <c r="C3534" t="s">
        <v>5043</v>
      </c>
      <c r="D3534" t="s">
        <v>8401</v>
      </c>
    </row>
    <row r="3535" spans="1:4" x14ac:dyDescent="0.25">
      <c r="A3535" s="63" t="s">
        <v>4551</v>
      </c>
      <c r="B3535" t="s">
        <v>1611</v>
      </c>
      <c r="C3535" t="s">
        <v>5043</v>
      </c>
      <c r="D3535" t="s">
        <v>8401</v>
      </c>
    </row>
    <row r="3536" spans="1:4" x14ac:dyDescent="0.25">
      <c r="A3536" s="63" t="s">
        <v>4552</v>
      </c>
      <c r="B3536" t="s">
        <v>2251</v>
      </c>
      <c r="C3536" t="s">
        <v>5043</v>
      </c>
      <c r="D3536" t="s">
        <v>8401</v>
      </c>
    </row>
    <row r="3537" spans="1:4" x14ac:dyDescent="0.25">
      <c r="A3537" s="63" t="s">
        <v>4553</v>
      </c>
      <c r="B3537" t="s">
        <v>2251</v>
      </c>
      <c r="C3537" t="s">
        <v>5043</v>
      </c>
      <c r="D3537" t="s">
        <v>8401</v>
      </c>
    </row>
    <row r="3538" spans="1:4" x14ac:dyDescent="0.25">
      <c r="A3538" s="63" t="s">
        <v>8290</v>
      </c>
      <c r="B3538" t="s">
        <v>1776</v>
      </c>
      <c r="C3538" t="s">
        <v>5043</v>
      </c>
      <c r="D3538" t="s">
        <v>8401</v>
      </c>
    </row>
    <row r="3539" spans="1:4" x14ac:dyDescent="0.25">
      <c r="A3539" s="63" t="s">
        <v>8291</v>
      </c>
      <c r="B3539" t="s">
        <v>1777</v>
      </c>
      <c r="C3539" t="s">
        <v>5043</v>
      </c>
      <c r="D3539" t="s">
        <v>8401</v>
      </c>
    </row>
    <row r="3540" spans="1:4" x14ac:dyDescent="0.25">
      <c r="A3540" s="63" t="s">
        <v>4554</v>
      </c>
      <c r="B3540" t="s">
        <v>2010</v>
      </c>
      <c r="C3540" t="s">
        <v>5043</v>
      </c>
      <c r="D3540" t="s">
        <v>8401</v>
      </c>
    </row>
    <row r="3541" spans="1:4" x14ac:dyDescent="0.25">
      <c r="A3541" s="63" t="s">
        <v>4555</v>
      </c>
      <c r="B3541" t="s">
        <v>1891</v>
      </c>
      <c r="C3541" t="s">
        <v>5043</v>
      </c>
      <c r="D3541" t="s">
        <v>8401</v>
      </c>
    </row>
    <row r="3542" spans="1:4" x14ac:dyDescent="0.25">
      <c r="A3542" s="63" t="s">
        <v>4556</v>
      </c>
      <c r="B3542" t="s">
        <v>1888</v>
      </c>
      <c r="C3542" t="s">
        <v>5043</v>
      </c>
      <c r="D3542" t="s">
        <v>8401</v>
      </c>
    </row>
    <row r="3543" spans="1:4" x14ac:dyDescent="0.25">
      <c r="A3543" s="63" t="s">
        <v>4557</v>
      </c>
      <c r="B3543" t="s">
        <v>1368</v>
      </c>
      <c r="C3543" t="s">
        <v>5043</v>
      </c>
      <c r="D3543" t="s">
        <v>8401</v>
      </c>
    </row>
    <row r="3544" spans="1:4" x14ac:dyDescent="0.25">
      <c r="A3544" s="63" t="s">
        <v>4558</v>
      </c>
      <c r="B3544" t="s">
        <v>1368</v>
      </c>
      <c r="C3544" t="s">
        <v>5043</v>
      </c>
      <c r="D3544" t="s">
        <v>8401</v>
      </c>
    </row>
    <row r="3545" spans="1:4" x14ac:dyDescent="0.25">
      <c r="A3545" s="63" t="s">
        <v>8292</v>
      </c>
      <c r="B3545" t="s">
        <v>1368</v>
      </c>
      <c r="C3545" t="s">
        <v>5043</v>
      </c>
      <c r="D3545" t="s">
        <v>8401</v>
      </c>
    </row>
    <row r="3546" spans="1:4" x14ac:dyDescent="0.25">
      <c r="A3546" s="63" t="s">
        <v>8293</v>
      </c>
      <c r="B3546" t="s">
        <v>2115</v>
      </c>
      <c r="C3546" t="s">
        <v>5043</v>
      </c>
      <c r="D3546" t="s">
        <v>8401</v>
      </c>
    </row>
    <row r="3547" spans="1:4" x14ac:dyDescent="0.25">
      <c r="A3547" s="63" t="s">
        <v>4559</v>
      </c>
      <c r="B3547" t="s">
        <v>1260</v>
      </c>
      <c r="C3547" t="s">
        <v>5043</v>
      </c>
      <c r="D3547" t="s">
        <v>8401</v>
      </c>
    </row>
    <row r="3548" spans="1:4" x14ac:dyDescent="0.25">
      <c r="A3548" s="63" t="s">
        <v>4560</v>
      </c>
      <c r="B3548" t="s">
        <v>1887</v>
      </c>
      <c r="C3548" t="s">
        <v>5043</v>
      </c>
      <c r="D3548" t="s">
        <v>8401</v>
      </c>
    </row>
    <row r="3549" spans="1:4" x14ac:dyDescent="0.25">
      <c r="A3549" s="63" t="s">
        <v>4561</v>
      </c>
      <c r="B3549" t="s">
        <v>2384</v>
      </c>
      <c r="C3549" t="s">
        <v>5043</v>
      </c>
      <c r="D3549" t="s">
        <v>8401</v>
      </c>
    </row>
    <row r="3550" spans="1:4" x14ac:dyDescent="0.25">
      <c r="A3550" s="63" t="s">
        <v>4562</v>
      </c>
      <c r="B3550" t="s">
        <v>2385</v>
      </c>
      <c r="C3550" t="s">
        <v>5043</v>
      </c>
      <c r="D3550" t="s">
        <v>8401</v>
      </c>
    </row>
    <row r="3551" spans="1:4" x14ac:dyDescent="0.25">
      <c r="A3551" s="63" t="s">
        <v>4563</v>
      </c>
      <c r="B3551" t="s">
        <v>2386</v>
      </c>
      <c r="C3551" t="s">
        <v>5043</v>
      </c>
      <c r="D3551" t="s">
        <v>8401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2901"/>
  <sheetViews>
    <sheetView topLeftCell="A32" workbookViewId="0">
      <selection activeCell="F59" sqref="F59"/>
    </sheetView>
  </sheetViews>
  <sheetFormatPr defaultColWidth="9.140625" defaultRowHeight="11.25" x14ac:dyDescent="0.2"/>
  <cols>
    <col min="1" max="1" width="5" style="2" bestFit="1" customWidth="1"/>
    <col min="2" max="2" width="81.140625" style="2" bestFit="1" customWidth="1"/>
    <col min="3" max="3" width="8" style="2" bestFit="1" customWidth="1"/>
    <col min="4" max="4" width="13.7109375" style="2" bestFit="1" customWidth="1"/>
    <col min="5" max="16384" width="9.140625" style="2"/>
  </cols>
  <sheetData>
    <row r="1" spans="1:4" x14ac:dyDescent="0.2">
      <c r="A1" s="41" t="s">
        <v>4563</v>
      </c>
      <c r="B1" s="2" t="s">
        <v>840</v>
      </c>
      <c r="C1" s="2" t="s">
        <v>5043</v>
      </c>
      <c r="D1" s="2" t="s">
        <v>8401</v>
      </c>
    </row>
    <row r="2" spans="1:4" x14ac:dyDescent="0.2">
      <c r="A2" s="41" t="s">
        <v>5600</v>
      </c>
      <c r="B2" s="2" t="s">
        <v>841</v>
      </c>
      <c r="C2" s="2" t="s">
        <v>5043</v>
      </c>
      <c r="D2" s="2" t="s">
        <v>8401</v>
      </c>
    </row>
    <row r="3" spans="1:4" x14ac:dyDescent="0.2">
      <c r="A3" s="41" t="s">
        <v>5601</v>
      </c>
      <c r="B3" s="2" t="s">
        <v>1172</v>
      </c>
      <c r="C3" s="2" t="s">
        <v>5043</v>
      </c>
      <c r="D3" s="2" t="s">
        <v>8401</v>
      </c>
    </row>
    <row r="4" spans="1:4" x14ac:dyDescent="0.2">
      <c r="A4" s="41" t="s">
        <v>5602</v>
      </c>
      <c r="B4" s="2" t="s">
        <v>1172</v>
      </c>
      <c r="C4" s="2" t="s">
        <v>5043</v>
      </c>
      <c r="D4" s="2" t="s">
        <v>8401</v>
      </c>
    </row>
    <row r="5" spans="1:4" x14ac:dyDescent="0.2">
      <c r="A5" s="41" t="s">
        <v>2911</v>
      </c>
      <c r="B5" s="2" t="s">
        <v>842</v>
      </c>
      <c r="C5" s="2" t="s">
        <v>5043</v>
      </c>
      <c r="D5" s="2" t="s">
        <v>8404</v>
      </c>
    </row>
    <row r="6" spans="1:4" x14ac:dyDescent="0.2">
      <c r="A6" s="41" t="s">
        <v>2915</v>
      </c>
      <c r="B6" s="2" t="s">
        <v>842</v>
      </c>
      <c r="C6" s="2" t="s">
        <v>5043</v>
      </c>
      <c r="D6" s="2" t="s">
        <v>8404</v>
      </c>
    </row>
    <row r="7" spans="1:4" x14ac:dyDescent="0.2">
      <c r="A7" s="41" t="s">
        <v>2916</v>
      </c>
      <c r="B7" s="2" t="s">
        <v>842</v>
      </c>
      <c r="C7" s="2" t="s">
        <v>5043</v>
      </c>
      <c r="D7" s="2" t="s">
        <v>8404</v>
      </c>
    </row>
    <row r="8" spans="1:4" x14ac:dyDescent="0.2">
      <c r="A8" s="41" t="s">
        <v>2920</v>
      </c>
      <c r="B8" s="2" t="s">
        <v>842</v>
      </c>
      <c r="C8" s="2" t="s">
        <v>5043</v>
      </c>
      <c r="D8" s="2" t="s">
        <v>8404</v>
      </c>
    </row>
    <row r="9" spans="1:4" x14ac:dyDescent="0.2">
      <c r="A9" s="41" t="s">
        <v>2921</v>
      </c>
      <c r="B9" s="2" t="s">
        <v>842</v>
      </c>
      <c r="C9" s="2" t="s">
        <v>5043</v>
      </c>
      <c r="D9" s="2" t="s">
        <v>8404</v>
      </c>
    </row>
    <row r="10" spans="1:4" x14ac:dyDescent="0.2">
      <c r="A10" s="41" t="s">
        <v>2924</v>
      </c>
      <c r="B10" s="2" t="s">
        <v>842</v>
      </c>
      <c r="C10" s="2" t="s">
        <v>5043</v>
      </c>
      <c r="D10" s="2" t="s">
        <v>8404</v>
      </c>
    </row>
    <row r="11" spans="1:4" x14ac:dyDescent="0.2">
      <c r="A11" s="41" t="s">
        <v>2926</v>
      </c>
      <c r="B11" s="2" t="s">
        <v>842</v>
      </c>
      <c r="C11" s="2" t="s">
        <v>5043</v>
      </c>
      <c r="D11" s="2" t="s">
        <v>8404</v>
      </c>
    </row>
    <row r="12" spans="1:4" x14ac:dyDescent="0.2">
      <c r="A12" s="41" t="s">
        <v>2930</v>
      </c>
      <c r="B12" s="2" t="s">
        <v>842</v>
      </c>
      <c r="C12" s="2" t="s">
        <v>5043</v>
      </c>
      <c r="D12" s="2" t="s">
        <v>8404</v>
      </c>
    </row>
    <row r="13" spans="1:4" x14ac:dyDescent="0.2">
      <c r="A13" s="41" t="s">
        <v>2931</v>
      </c>
      <c r="B13" s="2" t="s">
        <v>842</v>
      </c>
      <c r="C13" s="2" t="s">
        <v>5043</v>
      </c>
      <c r="D13" s="2" t="s">
        <v>8404</v>
      </c>
    </row>
    <row r="14" spans="1:4" x14ac:dyDescent="0.2">
      <c r="A14" s="41" t="s">
        <v>2932</v>
      </c>
      <c r="B14" s="2" t="s">
        <v>842</v>
      </c>
      <c r="C14" s="2" t="s">
        <v>5043</v>
      </c>
      <c r="D14" s="2" t="s">
        <v>8404</v>
      </c>
    </row>
    <row r="15" spans="1:4" x14ac:dyDescent="0.2">
      <c r="A15" s="41" t="s">
        <v>2934</v>
      </c>
      <c r="B15" s="2" t="s">
        <v>842</v>
      </c>
      <c r="C15" s="2" t="s">
        <v>5043</v>
      </c>
      <c r="D15" s="2" t="s">
        <v>8404</v>
      </c>
    </row>
    <row r="16" spans="1:4" x14ac:dyDescent="0.2">
      <c r="A16" s="41" t="s">
        <v>2935</v>
      </c>
      <c r="B16" s="2" t="s">
        <v>842</v>
      </c>
      <c r="C16" s="2" t="s">
        <v>5043</v>
      </c>
      <c r="D16" s="2" t="s">
        <v>8404</v>
      </c>
    </row>
    <row r="17" spans="1:4" x14ac:dyDescent="0.2">
      <c r="A17" s="41" t="s">
        <v>2938</v>
      </c>
      <c r="B17" s="2" t="s">
        <v>842</v>
      </c>
      <c r="C17" s="2" t="s">
        <v>5043</v>
      </c>
      <c r="D17" s="2" t="s">
        <v>8404</v>
      </c>
    </row>
    <row r="18" spans="1:4" x14ac:dyDescent="0.2">
      <c r="A18" s="41" t="s">
        <v>2939</v>
      </c>
      <c r="B18" s="2" t="s">
        <v>842</v>
      </c>
      <c r="C18" s="2" t="s">
        <v>5043</v>
      </c>
      <c r="D18" s="2" t="s">
        <v>8404</v>
      </c>
    </row>
    <row r="19" spans="1:4" x14ac:dyDescent="0.2">
      <c r="A19" s="41" t="s">
        <v>2940</v>
      </c>
      <c r="B19" s="2" t="s">
        <v>842</v>
      </c>
      <c r="C19" s="2" t="s">
        <v>5043</v>
      </c>
      <c r="D19" s="2" t="s">
        <v>8404</v>
      </c>
    </row>
    <row r="20" spans="1:4" x14ac:dyDescent="0.2">
      <c r="A20" s="41" t="s">
        <v>2941</v>
      </c>
      <c r="B20" s="2" t="s">
        <v>842</v>
      </c>
      <c r="C20" s="2" t="s">
        <v>5043</v>
      </c>
      <c r="D20" s="2" t="s">
        <v>8404</v>
      </c>
    </row>
    <row r="21" spans="1:4" x14ac:dyDescent="0.2">
      <c r="A21" s="41" t="s">
        <v>2942</v>
      </c>
      <c r="B21" s="2" t="s">
        <v>842</v>
      </c>
      <c r="C21" s="2" t="s">
        <v>5043</v>
      </c>
      <c r="D21" s="2" t="s">
        <v>8404</v>
      </c>
    </row>
    <row r="22" spans="1:4" x14ac:dyDescent="0.2">
      <c r="A22" s="41" t="s">
        <v>2943</v>
      </c>
      <c r="B22" s="2" t="s">
        <v>842</v>
      </c>
      <c r="C22" s="2" t="s">
        <v>5043</v>
      </c>
      <c r="D22" s="2" t="s">
        <v>8404</v>
      </c>
    </row>
    <row r="23" spans="1:4" x14ac:dyDescent="0.2">
      <c r="A23" s="41" t="s">
        <v>2944</v>
      </c>
      <c r="B23" s="2" t="s">
        <v>842</v>
      </c>
      <c r="C23" s="2" t="s">
        <v>5043</v>
      </c>
      <c r="D23" s="2" t="s">
        <v>8404</v>
      </c>
    </row>
    <row r="24" spans="1:4" x14ac:dyDescent="0.2">
      <c r="A24" s="41" t="s">
        <v>2945</v>
      </c>
      <c r="B24" s="2" t="s">
        <v>842</v>
      </c>
      <c r="C24" s="2" t="s">
        <v>5043</v>
      </c>
      <c r="D24" s="2" t="s">
        <v>8404</v>
      </c>
    </row>
    <row r="25" spans="1:4" x14ac:dyDescent="0.2">
      <c r="A25" s="41" t="s">
        <v>2947</v>
      </c>
      <c r="B25" s="2" t="s">
        <v>842</v>
      </c>
      <c r="C25" s="2" t="s">
        <v>5043</v>
      </c>
      <c r="D25" s="2" t="s">
        <v>8404</v>
      </c>
    </row>
    <row r="26" spans="1:4" x14ac:dyDescent="0.2">
      <c r="A26" s="41" t="s">
        <v>2949</v>
      </c>
      <c r="B26" s="2" t="s">
        <v>842</v>
      </c>
      <c r="C26" s="2" t="s">
        <v>5043</v>
      </c>
      <c r="D26" s="2" t="s">
        <v>8404</v>
      </c>
    </row>
    <row r="27" spans="1:4" x14ac:dyDescent="0.2">
      <c r="A27" s="41" t="s">
        <v>2950</v>
      </c>
      <c r="B27" s="2" t="s">
        <v>842</v>
      </c>
      <c r="C27" s="2" t="s">
        <v>5043</v>
      </c>
      <c r="D27" s="2" t="s">
        <v>8404</v>
      </c>
    </row>
    <row r="28" spans="1:4" x14ac:dyDescent="0.2">
      <c r="A28" s="41" t="s">
        <v>2951</v>
      </c>
      <c r="B28" s="2" t="s">
        <v>842</v>
      </c>
      <c r="C28" s="2" t="s">
        <v>5043</v>
      </c>
      <c r="D28" s="2" t="s">
        <v>8404</v>
      </c>
    </row>
    <row r="29" spans="1:4" x14ac:dyDescent="0.2">
      <c r="A29" s="41" t="s">
        <v>2953</v>
      </c>
      <c r="B29" s="2" t="s">
        <v>842</v>
      </c>
      <c r="C29" s="2" t="s">
        <v>5043</v>
      </c>
      <c r="D29" s="2" t="s">
        <v>8404</v>
      </c>
    </row>
    <row r="30" spans="1:4" x14ac:dyDescent="0.2">
      <c r="A30" s="41" t="s">
        <v>2954</v>
      </c>
      <c r="B30" s="2" t="s">
        <v>842</v>
      </c>
      <c r="C30" s="2" t="s">
        <v>5043</v>
      </c>
      <c r="D30" s="2" t="s">
        <v>8404</v>
      </c>
    </row>
    <row r="31" spans="1:4" x14ac:dyDescent="0.2">
      <c r="A31" s="41" t="s">
        <v>2958</v>
      </c>
      <c r="B31" s="2" t="s">
        <v>842</v>
      </c>
      <c r="C31" s="2" t="s">
        <v>5043</v>
      </c>
      <c r="D31" s="2" t="s">
        <v>8404</v>
      </c>
    </row>
    <row r="32" spans="1:4" x14ac:dyDescent="0.2">
      <c r="A32" s="41" t="s">
        <v>2960</v>
      </c>
      <c r="B32" s="2" t="s">
        <v>842</v>
      </c>
      <c r="C32" s="2" t="s">
        <v>5043</v>
      </c>
      <c r="D32" s="2" t="s">
        <v>8404</v>
      </c>
    </row>
    <row r="33" spans="1:4" x14ac:dyDescent="0.2">
      <c r="A33" s="41" t="s">
        <v>2961</v>
      </c>
      <c r="B33" s="2" t="s">
        <v>842</v>
      </c>
      <c r="C33" s="2" t="s">
        <v>5043</v>
      </c>
      <c r="D33" s="2" t="s">
        <v>8404</v>
      </c>
    </row>
    <row r="34" spans="1:4" x14ac:dyDescent="0.2">
      <c r="A34" s="41" t="s">
        <v>2970</v>
      </c>
      <c r="B34" s="2" t="s">
        <v>842</v>
      </c>
      <c r="C34" s="2" t="s">
        <v>5043</v>
      </c>
      <c r="D34" s="2" t="s">
        <v>8404</v>
      </c>
    </row>
    <row r="35" spans="1:4" x14ac:dyDescent="0.2">
      <c r="A35" s="41" t="s">
        <v>2973</v>
      </c>
      <c r="B35" s="2" t="s">
        <v>842</v>
      </c>
      <c r="C35" s="2" t="s">
        <v>5043</v>
      </c>
      <c r="D35" s="2" t="s">
        <v>8404</v>
      </c>
    </row>
    <row r="36" spans="1:4" x14ac:dyDescent="0.2">
      <c r="A36" s="41" t="s">
        <v>2975</v>
      </c>
      <c r="B36" s="2" t="s">
        <v>842</v>
      </c>
      <c r="C36" s="2" t="s">
        <v>5043</v>
      </c>
      <c r="D36" s="2" t="s">
        <v>8404</v>
      </c>
    </row>
    <row r="37" spans="1:4" x14ac:dyDescent="0.2">
      <c r="A37" s="41" t="s">
        <v>4564</v>
      </c>
      <c r="B37" s="2" t="s">
        <v>344</v>
      </c>
      <c r="C37" s="2" t="s">
        <v>5043</v>
      </c>
      <c r="D37" s="2" t="s">
        <v>8408</v>
      </c>
    </row>
    <row r="38" spans="1:4" x14ac:dyDescent="0.2">
      <c r="A38" s="41" t="s">
        <v>5603</v>
      </c>
      <c r="B38" s="2" t="s">
        <v>843</v>
      </c>
      <c r="C38" s="2" t="s">
        <v>5043</v>
      </c>
      <c r="D38" s="2" t="s">
        <v>8404</v>
      </c>
    </row>
    <row r="39" spans="1:4" x14ac:dyDescent="0.2">
      <c r="A39" s="41" t="s">
        <v>5604</v>
      </c>
      <c r="B39" s="2" t="s">
        <v>306</v>
      </c>
      <c r="C39" s="2" t="s">
        <v>5043</v>
      </c>
      <c r="D39" s="2" t="s">
        <v>8403</v>
      </c>
    </row>
    <row r="40" spans="1:4" x14ac:dyDescent="0.2">
      <c r="A40" s="41" t="s">
        <v>2806</v>
      </c>
      <c r="B40" s="2" t="s">
        <v>306</v>
      </c>
      <c r="C40" s="2" t="s">
        <v>5043</v>
      </c>
      <c r="D40" s="2" t="s">
        <v>8403</v>
      </c>
    </row>
    <row r="41" spans="1:4" x14ac:dyDescent="0.2">
      <c r="A41" s="41" t="s">
        <v>5605</v>
      </c>
      <c r="B41" s="2" t="s">
        <v>305</v>
      </c>
      <c r="C41" s="2" t="s">
        <v>5043</v>
      </c>
      <c r="D41" s="2" t="s">
        <v>8403</v>
      </c>
    </row>
    <row r="42" spans="1:4" x14ac:dyDescent="0.2">
      <c r="A42" s="41" t="s">
        <v>5606</v>
      </c>
      <c r="B42" s="2" t="s">
        <v>305</v>
      </c>
      <c r="C42" s="2" t="s">
        <v>5043</v>
      </c>
      <c r="D42" s="2" t="s">
        <v>8403</v>
      </c>
    </row>
    <row r="43" spans="1:4" x14ac:dyDescent="0.2">
      <c r="A43" s="41" t="s">
        <v>5607</v>
      </c>
      <c r="B43" s="2" t="s">
        <v>305</v>
      </c>
      <c r="C43" s="2" t="s">
        <v>5043</v>
      </c>
      <c r="D43" s="2" t="s">
        <v>8403</v>
      </c>
    </row>
    <row r="44" spans="1:4" x14ac:dyDescent="0.2">
      <c r="A44" s="41" t="s">
        <v>5608</v>
      </c>
      <c r="B44" s="2" t="s">
        <v>305</v>
      </c>
      <c r="C44" s="2" t="s">
        <v>5043</v>
      </c>
      <c r="D44" s="2" t="s">
        <v>8403</v>
      </c>
    </row>
    <row r="45" spans="1:4" x14ac:dyDescent="0.2">
      <c r="A45" s="41" t="s">
        <v>5609</v>
      </c>
      <c r="B45" s="2" t="s">
        <v>305</v>
      </c>
      <c r="C45" s="2" t="s">
        <v>5043</v>
      </c>
      <c r="D45" s="2" t="s">
        <v>8403</v>
      </c>
    </row>
    <row r="46" spans="1:4" x14ac:dyDescent="0.2">
      <c r="A46" s="41" t="s">
        <v>5610</v>
      </c>
      <c r="B46" s="2" t="s">
        <v>305</v>
      </c>
      <c r="C46" s="2" t="s">
        <v>5043</v>
      </c>
      <c r="D46" s="2" t="s">
        <v>8403</v>
      </c>
    </row>
    <row r="47" spans="1:4" x14ac:dyDescent="0.2">
      <c r="A47" s="41" t="s">
        <v>5611</v>
      </c>
      <c r="B47" s="2" t="s">
        <v>305</v>
      </c>
      <c r="C47" s="2" t="s">
        <v>5043</v>
      </c>
      <c r="D47" s="2" t="s">
        <v>8403</v>
      </c>
    </row>
    <row r="48" spans="1:4" x14ac:dyDescent="0.2">
      <c r="A48" s="41" t="s">
        <v>5612</v>
      </c>
      <c r="B48" s="2" t="s">
        <v>305</v>
      </c>
      <c r="C48" s="2" t="s">
        <v>5043</v>
      </c>
      <c r="D48" s="2" t="s">
        <v>8403</v>
      </c>
    </row>
    <row r="49" spans="1:4" x14ac:dyDescent="0.2">
      <c r="A49" s="41" t="s">
        <v>5613</v>
      </c>
      <c r="B49" s="2" t="s">
        <v>305</v>
      </c>
      <c r="C49" s="2" t="s">
        <v>5043</v>
      </c>
      <c r="D49" s="2" t="s">
        <v>8403</v>
      </c>
    </row>
    <row r="50" spans="1:4" x14ac:dyDescent="0.2">
      <c r="A50" s="41" t="s">
        <v>5614</v>
      </c>
      <c r="B50" s="2" t="s">
        <v>305</v>
      </c>
      <c r="C50" s="2" t="s">
        <v>5043</v>
      </c>
      <c r="D50" s="2" t="s">
        <v>8403</v>
      </c>
    </row>
    <row r="51" spans="1:4" x14ac:dyDescent="0.2">
      <c r="A51" s="41" t="s">
        <v>2807</v>
      </c>
      <c r="B51" s="2" t="s">
        <v>844</v>
      </c>
      <c r="C51" s="2" t="s">
        <v>5043</v>
      </c>
      <c r="D51" s="2" t="s">
        <v>8403</v>
      </c>
    </row>
    <row r="52" spans="1:4" x14ac:dyDescent="0.2">
      <c r="A52" s="41" t="s">
        <v>2808</v>
      </c>
      <c r="B52" s="2" t="s">
        <v>844</v>
      </c>
      <c r="C52" s="2" t="s">
        <v>5043</v>
      </c>
      <c r="D52" s="2" t="s">
        <v>8403</v>
      </c>
    </row>
    <row r="53" spans="1:4" x14ac:dyDescent="0.2">
      <c r="A53" s="41" t="s">
        <v>5615</v>
      </c>
      <c r="B53" s="2" t="s">
        <v>844</v>
      </c>
      <c r="C53" s="2" t="s">
        <v>5043</v>
      </c>
      <c r="D53" s="2" t="s">
        <v>8403</v>
      </c>
    </row>
    <row r="54" spans="1:4" x14ac:dyDescent="0.2">
      <c r="A54" s="41" t="s">
        <v>5616</v>
      </c>
      <c r="B54" s="2" t="s">
        <v>844</v>
      </c>
      <c r="C54" s="2" t="s">
        <v>5043</v>
      </c>
      <c r="D54" s="2" t="s">
        <v>8403</v>
      </c>
    </row>
    <row r="55" spans="1:4" x14ac:dyDescent="0.2">
      <c r="A55" s="41" t="s">
        <v>5617</v>
      </c>
      <c r="B55" s="2" t="s">
        <v>844</v>
      </c>
      <c r="C55" s="2" t="s">
        <v>5043</v>
      </c>
      <c r="D55" s="2" t="s">
        <v>8403</v>
      </c>
    </row>
    <row r="56" spans="1:4" x14ac:dyDescent="0.2">
      <c r="A56" s="41" t="s">
        <v>3823</v>
      </c>
      <c r="B56" s="2" t="s">
        <v>844</v>
      </c>
      <c r="C56" s="2" t="s">
        <v>5043</v>
      </c>
      <c r="D56" s="2" t="s">
        <v>8403</v>
      </c>
    </row>
    <row r="57" spans="1:4" x14ac:dyDescent="0.2">
      <c r="A57" s="41" t="s">
        <v>2648</v>
      </c>
      <c r="B57" s="2" t="s">
        <v>845</v>
      </c>
      <c r="C57" s="2" t="s">
        <v>5043</v>
      </c>
      <c r="D57" s="2" t="s">
        <v>8403</v>
      </c>
    </row>
    <row r="58" spans="1:4" x14ac:dyDescent="0.2">
      <c r="A58" s="41" t="s">
        <v>3824</v>
      </c>
      <c r="B58" s="2" t="s">
        <v>846</v>
      </c>
      <c r="C58" s="2" t="s">
        <v>5043</v>
      </c>
      <c r="D58" s="2" t="s">
        <v>8403</v>
      </c>
    </row>
    <row r="59" spans="1:4" x14ac:dyDescent="0.2">
      <c r="A59" s="41" t="s">
        <v>5618</v>
      </c>
      <c r="B59" s="2" t="s">
        <v>847</v>
      </c>
      <c r="C59" s="2" t="s">
        <v>5043</v>
      </c>
      <c r="D59" s="2" t="s">
        <v>8403</v>
      </c>
    </row>
    <row r="60" spans="1:4" x14ac:dyDescent="0.2">
      <c r="A60" s="41" t="s">
        <v>4031</v>
      </c>
      <c r="B60" s="2" t="s">
        <v>847</v>
      </c>
      <c r="C60" s="2" t="s">
        <v>5043</v>
      </c>
      <c r="D60" s="2" t="s">
        <v>8403</v>
      </c>
    </row>
    <row r="61" spans="1:4" x14ac:dyDescent="0.2">
      <c r="A61" s="41" t="s">
        <v>2647</v>
      </c>
      <c r="B61" s="2" t="s">
        <v>847</v>
      </c>
      <c r="C61" s="2" t="s">
        <v>5043</v>
      </c>
      <c r="D61" s="2" t="s">
        <v>8403</v>
      </c>
    </row>
    <row r="62" spans="1:4" x14ac:dyDescent="0.2">
      <c r="A62" s="41" t="s">
        <v>4032</v>
      </c>
      <c r="B62" s="2" t="s">
        <v>847</v>
      </c>
      <c r="C62" s="2" t="s">
        <v>5043</v>
      </c>
      <c r="D62" s="2" t="s">
        <v>8403</v>
      </c>
    </row>
    <row r="63" spans="1:4" x14ac:dyDescent="0.2">
      <c r="A63" s="41" t="s">
        <v>4033</v>
      </c>
      <c r="B63" s="2" t="s">
        <v>409</v>
      </c>
      <c r="C63" s="2" t="s">
        <v>5043</v>
      </c>
      <c r="D63" s="2" t="s">
        <v>8403</v>
      </c>
    </row>
    <row r="64" spans="1:4" x14ac:dyDescent="0.2">
      <c r="A64" s="41" t="s">
        <v>5619</v>
      </c>
      <c r="B64" s="2" t="s">
        <v>409</v>
      </c>
      <c r="C64" s="2" t="s">
        <v>5043</v>
      </c>
      <c r="D64" s="2" t="s">
        <v>8403</v>
      </c>
    </row>
    <row r="65" spans="1:4" x14ac:dyDescent="0.2">
      <c r="A65" s="41" t="s">
        <v>3216</v>
      </c>
      <c r="B65" s="2" t="s">
        <v>848</v>
      </c>
      <c r="C65" s="2" t="s">
        <v>5043</v>
      </c>
      <c r="D65" s="2" t="s">
        <v>8403</v>
      </c>
    </row>
    <row r="66" spans="1:4" x14ac:dyDescent="0.2">
      <c r="A66" s="41" t="s">
        <v>2989</v>
      </c>
      <c r="B66" s="2" t="s">
        <v>539</v>
      </c>
      <c r="C66" s="2" t="s">
        <v>5043</v>
      </c>
      <c r="D66" s="2" t="s">
        <v>8403</v>
      </c>
    </row>
    <row r="67" spans="1:4" x14ac:dyDescent="0.2">
      <c r="A67" s="41" t="s">
        <v>2991</v>
      </c>
      <c r="B67" s="2" t="s">
        <v>849</v>
      </c>
      <c r="C67" s="2" t="s">
        <v>5043</v>
      </c>
      <c r="D67" s="2" t="s">
        <v>8403</v>
      </c>
    </row>
    <row r="68" spans="1:4" x14ac:dyDescent="0.2">
      <c r="A68" s="41" t="s">
        <v>2838</v>
      </c>
      <c r="B68" s="2" t="s">
        <v>850</v>
      </c>
      <c r="C68" s="2" t="s">
        <v>5043</v>
      </c>
      <c r="D68" s="2" t="s">
        <v>8403</v>
      </c>
    </row>
    <row r="69" spans="1:4" x14ac:dyDescent="0.2">
      <c r="A69" s="41" t="s">
        <v>3451</v>
      </c>
      <c r="B69" s="2" t="s">
        <v>851</v>
      </c>
      <c r="C69" s="2" t="s">
        <v>5043</v>
      </c>
      <c r="D69" s="2" t="s">
        <v>8403</v>
      </c>
    </row>
    <row r="70" spans="1:4" x14ac:dyDescent="0.2">
      <c r="A70" s="41" t="s">
        <v>2557</v>
      </c>
      <c r="B70" s="2" t="s">
        <v>540</v>
      </c>
      <c r="C70" s="2" t="s">
        <v>5043</v>
      </c>
      <c r="D70" s="2" t="s">
        <v>8403</v>
      </c>
    </row>
    <row r="71" spans="1:4" x14ac:dyDescent="0.2">
      <c r="A71" s="41" t="s">
        <v>2558</v>
      </c>
      <c r="B71" s="2" t="s">
        <v>193</v>
      </c>
      <c r="C71" s="2" t="s">
        <v>5043</v>
      </c>
      <c r="D71" s="2" t="s">
        <v>8403</v>
      </c>
    </row>
    <row r="72" spans="1:4" x14ac:dyDescent="0.2">
      <c r="A72" s="41" t="s">
        <v>2559</v>
      </c>
      <c r="B72" s="2" t="s">
        <v>193</v>
      </c>
      <c r="C72" s="2" t="s">
        <v>5043</v>
      </c>
      <c r="D72" s="2" t="s">
        <v>8403</v>
      </c>
    </row>
    <row r="73" spans="1:4" x14ac:dyDescent="0.2">
      <c r="A73" s="41" t="s">
        <v>5620</v>
      </c>
      <c r="B73" s="2" t="s">
        <v>194</v>
      </c>
      <c r="C73" s="2" t="s">
        <v>5043</v>
      </c>
      <c r="D73" s="2" t="s">
        <v>8401</v>
      </c>
    </row>
    <row r="74" spans="1:4" x14ac:dyDescent="0.2">
      <c r="A74" s="41" t="s">
        <v>5621</v>
      </c>
      <c r="B74" s="2" t="s">
        <v>194</v>
      </c>
      <c r="C74" s="2" t="s">
        <v>5043</v>
      </c>
      <c r="D74" s="2" t="s">
        <v>8401</v>
      </c>
    </row>
    <row r="75" spans="1:4" x14ac:dyDescent="0.2">
      <c r="A75" s="41" t="s">
        <v>5622</v>
      </c>
      <c r="B75" s="2" t="s">
        <v>194</v>
      </c>
      <c r="C75" s="2" t="s">
        <v>5043</v>
      </c>
      <c r="D75" s="2" t="s">
        <v>8401</v>
      </c>
    </row>
    <row r="76" spans="1:4" x14ac:dyDescent="0.2">
      <c r="A76" s="41" t="s">
        <v>5623</v>
      </c>
      <c r="B76" s="2" t="s">
        <v>194</v>
      </c>
      <c r="C76" s="2" t="s">
        <v>5043</v>
      </c>
      <c r="D76" s="2" t="s">
        <v>8401</v>
      </c>
    </row>
    <row r="77" spans="1:4" x14ac:dyDescent="0.2">
      <c r="A77" s="41" t="s">
        <v>5624</v>
      </c>
      <c r="B77" s="2" t="s">
        <v>852</v>
      </c>
      <c r="C77" s="2" t="s">
        <v>5043</v>
      </c>
      <c r="D77" s="2" t="s">
        <v>8403</v>
      </c>
    </row>
    <row r="78" spans="1:4" x14ac:dyDescent="0.2">
      <c r="A78" s="41" t="s">
        <v>5625</v>
      </c>
      <c r="B78" s="2" t="s">
        <v>852</v>
      </c>
      <c r="C78" s="2" t="s">
        <v>5043</v>
      </c>
      <c r="D78" s="2" t="s">
        <v>8403</v>
      </c>
    </row>
    <row r="79" spans="1:4" x14ac:dyDescent="0.2">
      <c r="A79" s="41" t="s">
        <v>5626</v>
      </c>
      <c r="B79" s="2" t="s">
        <v>852</v>
      </c>
      <c r="C79" s="2" t="s">
        <v>5043</v>
      </c>
      <c r="D79" s="2" t="s">
        <v>8403</v>
      </c>
    </row>
    <row r="80" spans="1:4" x14ac:dyDescent="0.2">
      <c r="A80" s="41" t="s">
        <v>5627</v>
      </c>
      <c r="B80" s="2" t="s">
        <v>852</v>
      </c>
      <c r="C80" s="2" t="s">
        <v>5043</v>
      </c>
      <c r="D80" s="2" t="s">
        <v>8403</v>
      </c>
    </row>
    <row r="81" spans="1:4" x14ac:dyDescent="0.2">
      <c r="A81" s="41" t="s">
        <v>5628</v>
      </c>
      <c r="B81" s="2" t="s">
        <v>852</v>
      </c>
      <c r="C81" s="2" t="s">
        <v>5043</v>
      </c>
      <c r="D81" s="2" t="s">
        <v>8403</v>
      </c>
    </row>
    <row r="82" spans="1:4" x14ac:dyDescent="0.2">
      <c r="A82" s="41" t="s">
        <v>5629</v>
      </c>
      <c r="B82" s="2" t="s">
        <v>586</v>
      </c>
      <c r="C82" s="2" t="s">
        <v>5043</v>
      </c>
      <c r="D82" s="2" t="s">
        <v>8401</v>
      </c>
    </row>
    <row r="83" spans="1:4" x14ac:dyDescent="0.2">
      <c r="A83" s="41" t="s">
        <v>3091</v>
      </c>
      <c r="B83" s="2" t="s">
        <v>854</v>
      </c>
      <c r="C83" s="2" t="s">
        <v>5043</v>
      </c>
      <c r="D83" s="2" t="s">
        <v>8403</v>
      </c>
    </row>
    <row r="84" spans="1:4" x14ac:dyDescent="0.2">
      <c r="A84" s="41" t="s">
        <v>3092</v>
      </c>
      <c r="B84" s="2" t="s">
        <v>854</v>
      </c>
      <c r="C84" s="2" t="s">
        <v>5043</v>
      </c>
      <c r="D84" s="2" t="s">
        <v>8403</v>
      </c>
    </row>
    <row r="85" spans="1:4" x14ac:dyDescent="0.2">
      <c r="A85" s="41" t="s">
        <v>3093</v>
      </c>
      <c r="B85" s="2" t="s">
        <v>854</v>
      </c>
      <c r="C85" s="2" t="s">
        <v>5043</v>
      </c>
      <c r="D85" s="2" t="s">
        <v>8403</v>
      </c>
    </row>
    <row r="86" spans="1:4" x14ac:dyDescent="0.2">
      <c r="A86" s="41" t="s">
        <v>3095</v>
      </c>
      <c r="B86" s="2" t="s">
        <v>854</v>
      </c>
      <c r="C86" s="2" t="s">
        <v>5043</v>
      </c>
      <c r="D86" s="2" t="s">
        <v>8403</v>
      </c>
    </row>
    <row r="87" spans="1:4" x14ac:dyDescent="0.2">
      <c r="A87" s="41" t="s">
        <v>3077</v>
      </c>
      <c r="B87" s="2" t="s">
        <v>853</v>
      </c>
      <c r="C87" s="2" t="s">
        <v>5043</v>
      </c>
      <c r="D87" s="2" t="s">
        <v>8403</v>
      </c>
    </row>
    <row r="88" spans="1:4" x14ac:dyDescent="0.2">
      <c r="A88" s="41" t="s">
        <v>5630</v>
      </c>
      <c r="B88" s="2" t="s">
        <v>855</v>
      </c>
      <c r="C88" s="2" t="s">
        <v>5043</v>
      </c>
      <c r="D88" s="2" t="s">
        <v>8403</v>
      </c>
    </row>
    <row r="89" spans="1:4" x14ac:dyDescent="0.2">
      <c r="A89" s="41" t="s">
        <v>5631</v>
      </c>
      <c r="B89" s="2" t="s">
        <v>855</v>
      </c>
      <c r="C89" s="2" t="s">
        <v>5043</v>
      </c>
      <c r="D89" s="2" t="s">
        <v>8403</v>
      </c>
    </row>
    <row r="90" spans="1:4" x14ac:dyDescent="0.2">
      <c r="A90" s="41" t="s">
        <v>5632</v>
      </c>
      <c r="B90" s="2" t="s">
        <v>856</v>
      </c>
      <c r="C90" s="2" t="s">
        <v>5043</v>
      </c>
      <c r="D90" s="2" t="s">
        <v>8403</v>
      </c>
    </row>
    <row r="91" spans="1:4" x14ac:dyDescent="0.2">
      <c r="A91" s="41" t="s">
        <v>5633</v>
      </c>
      <c r="B91" s="2" t="s">
        <v>857</v>
      </c>
      <c r="C91" s="2" t="s">
        <v>5043</v>
      </c>
      <c r="D91" s="2" t="s">
        <v>8403</v>
      </c>
    </row>
    <row r="92" spans="1:4" x14ac:dyDescent="0.2">
      <c r="A92" s="41" t="s">
        <v>5112</v>
      </c>
      <c r="B92" s="2" t="s">
        <v>326</v>
      </c>
      <c r="C92" s="2" t="s">
        <v>5043</v>
      </c>
      <c r="D92" s="2" t="s">
        <v>8404</v>
      </c>
    </row>
    <row r="93" spans="1:4" x14ac:dyDescent="0.2">
      <c r="A93" s="41" t="s">
        <v>5634</v>
      </c>
      <c r="B93" s="2" t="s">
        <v>326</v>
      </c>
      <c r="C93" s="2" t="s">
        <v>5043</v>
      </c>
      <c r="D93" s="2" t="s">
        <v>8403</v>
      </c>
    </row>
    <row r="94" spans="1:4" x14ac:dyDescent="0.2">
      <c r="A94" s="41" t="s">
        <v>5635</v>
      </c>
      <c r="B94" s="2" t="s">
        <v>326</v>
      </c>
      <c r="C94" s="2" t="s">
        <v>5043</v>
      </c>
      <c r="D94" s="2" t="s">
        <v>8403</v>
      </c>
    </row>
    <row r="95" spans="1:4" x14ac:dyDescent="0.2">
      <c r="A95" s="41" t="s">
        <v>5636</v>
      </c>
      <c r="B95" s="2" t="s">
        <v>541</v>
      </c>
      <c r="C95" s="2" t="s">
        <v>5043</v>
      </c>
      <c r="D95" s="2" t="s">
        <v>8404</v>
      </c>
    </row>
    <row r="96" spans="1:4" x14ac:dyDescent="0.2">
      <c r="A96" s="41" t="s">
        <v>5637</v>
      </c>
      <c r="B96" s="2" t="s">
        <v>195</v>
      </c>
      <c r="C96" s="2" t="s">
        <v>5043</v>
      </c>
      <c r="D96" s="2" t="s">
        <v>8404</v>
      </c>
    </row>
    <row r="97" spans="1:4" x14ac:dyDescent="0.2">
      <c r="A97" s="41" t="s">
        <v>2824</v>
      </c>
      <c r="B97" s="2" t="s">
        <v>195</v>
      </c>
      <c r="C97" s="2" t="s">
        <v>5043</v>
      </c>
      <c r="D97" s="2" t="s">
        <v>8409</v>
      </c>
    </row>
    <row r="98" spans="1:4" x14ac:dyDescent="0.2">
      <c r="A98" s="41" t="s">
        <v>5638</v>
      </c>
      <c r="B98" s="2" t="s">
        <v>858</v>
      </c>
      <c r="C98" s="2" t="s">
        <v>5043</v>
      </c>
      <c r="D98" s="2" t="s">
        <v>8409</v>
      </c>
    </row>
    <row r="99" spans="1:4" x14ac:dyDescent="0.2">
      <c r="A99" s="41" t="s">
        <v>5639</v>
      </c>
      <c r="B99" s="2" t="s">
        <v>542</v>
      </c>
      <c r="C99" s="2" t="s">
        <v>5043</v>
      </c>
      <c r="D99" s="2" t="s">
        <v>8404</v>
      </c>
    </row>
    <row r="100" spans="1:4" x14ac:dyDescent="0.2">
      <c r="A100" s="41" t="s">
        <v>5640</v>
      </c>
      <c r="B100" s="2" t="s">
        <v>542</v>
      </c>
      <c r="C100" s="2" t="s">
        <v>5043</v>
      </c>
      <c r="D100" s="2" t="s">
        <v>8404</v>
      </c>
    </row>
    <row r="101" spans="1:4" x14ac:dyDescent="0.2">
      <c r="A101" s="41" t="s">
        <v>5482</v>
      </c>
      <c r="B101" s="2" t="s">
        <v>542</v>
      </c>
      <c r="C101" s="2" t="s">
        <v>5043</v>
      </c>
      <c r="D101" s="2" t="s">
        <v>8404</v>
      </c>
    </row>
    <row r="102" spans="1:4" x14ac:dyDescent="0.2">
      <c r="A102" s="41" t="s">
        <v>5477</v>
      </c>
      <c r="B102" s="2" t="s">
        <v>542</v>
      </c>
      <c r="C102" s="2" t="s">
        <v>5043</v>
      </c>
      <c r="D102" s="2" t="s">
        <v>8404</v>
      </c>
    </row>
    <row r="103" spans="1:4" x14ac:dyDescent="0.2">
      <c r="A103" s="41" t="s">
        <v>5641</v>
      </c>
      <c r="B103" s="2" t="s">
        <v>542</v>
      </c>
      <c r="C103" s="2" t="s">
        <v>5043</v>
      </c>
      <c r="D103" s="2" t="s">
        <v>8404</v>
      </c>
    </row>
    <row r="104" spans="1:4" x14ac:dyDescent="0.2">
      <c r="A104" s="41" t="s">
        <v>5642</v>
      </c>
      <c r="B104" s="2" t="s">
        <v>542</v>
      </c>
      <c r="C104" s="2" t="s">
        <v>5043</v>
      </c>
      <c r="D104" s="2" t="s">
        <v>8404</v>
      </c>
    </row>
    <row r="105" spans="1:4" x14ac:dyDescent="0.2">
      <c r="A105" s="41" t="s">
        <v>5643</v>
      </c>
      <c r="B105" s="2" t="s">
        <v>542</v>
      </c>
      <c r="C105" s="2" t="s">
        <v>5043</v>
      </c>
      <c r="D105" s="2" t="s">
        <v>8404</v>
      </c>
    </row>
    <row r="106" spans="1:4" x14ac:dyDescent="0.2">
      <c r="A106" s="41" t="s">
        <v>5478</v>
      </c>
      <c r="B106" s="2" t="s">
        <v>542</v>
      </c>
      <c r="C106" s="2" t="s">
        <v>5043</v>
      </c>
      <c r="D106" s="2" t="s">
        <v>8404</v>
      </c>
    </row>
    <row r="107" spans="1:4" x14ac:dyDescent="0.2">
      <c r="A107" s="41" t="s">
        <v>5644</v>
      </c>
      <c r="B107" s="2" t="s">
        <v>542</v>
      </c>
      <c r="C107" s="2" t="s">
        <v>5043</v>
      </c>
      <c r="D107" s="2" t="s">
        <v>8404</v>
      </c>
    </row>
    <row r="108" spans="1:4" x14ac:dyDescent="0.2">
      <c r="A108" s="41" t="s">
        <v>5645</v>
      </c>
      <c r="B108" s="2" t="s">
        <v>542</v>
      </c>
      <c r="C108" s="2" t="s">
        <v>5043</v>
      </c>
      <c r="D108" s="2" t="s">
        <v>8404</v>
      </c>
    </row>
    <row r="109" spans="1:4" x14ac:dyDescent="0.2">
      <c r="A109" s="41" t="s">
        <v>3727</v>
      </c>
      <c r="B109" s="2" t="s">
        <v>112</v>
      </c>
      <c r="C109" s="2" t="s">
        <v>5043</v>
      </c>
      <c r="D109" s="2" t="s">
        <v>8409</v>
      </c>
    </row>
    <row r="110" spans="1:4" x14ac:dyDescent="0.2">
      <c r="A110" s="41" t="s">
        <v>5646</v>
      </c>
      <c r="B110" s="2" t="s">
        <v>112</v>
      </c>
      <c r="C110" s="2" t="s">
        <v>5043</v>
      </c>
      <c r="D110" s="2" t="s">
        <v>8404</v>
      </c>
    </row>
    <row r="111" spans="1:4" x14ac:dyDescent="0.2">
      <c r="A111" s="41" t="s">
        <v>5647</v>
      </c>
      <c r="B111" s="2" t="s">
        <v>112</v>
      </c>
      <c r="C111" s="2" t="s">
        <v>5043</v>
      </c>
      <c r="D111" s="2" t="s">
        <v>8404</v>
      </c>
    </row>
    <row r="112" spans="1:4" x14ac:dyDescent="0.2">
      <c r="A112" s="41" t="s">
        <v>3728</v>
      </c>
      <c r="B112" s="2" t="s">
        <v>859</v>
      </c>
      <c r="C112" s="2" t="s">
        <v>5043</v>
      </c>
      <c r="D112" s="2" t="s">
        <v>8409</v>
      </c>
    </row>
    <row r="113" spans="1:4" x14ac:dyDescent="0.2">
      <c r="A113" s="41" t="s">
        <v>5246</v>
      </c>
      <c r="B113" s="2" t="s">
        <v>196</v>
      </c>
      <c r="C113" s="2" t="s">
        <v>5043</v>
      </c>
      <c r="D113" s="2" t="s">
        <v>8410</v>
      </c>
    </row>
    <row r="114" spans="1:4" x14ac:dyDescent="0.2">
      <c r="A114" s="41" t="s">
        <v>3612</v>
      </c>
      <c r="B114" s="2" t="s">
        <v>860</v>
      </c>
      <c r="C114" s="2" t="s">
        <v>5043</v>
      </c>
      <c r="D114" s="2" t="s">
        <v>8406</v>
      </c>
    </row>
    <row r="115" spans="1:4" x14ac:dyDescent="0.2">
      <c r="A115" s="41" t="s">
        <v>3219</v>
      </c>
      <c r="B115" s="2" t="s">
        <v>861</v>
      </c>
      <c r="C115" s="2" t="s">
        <v>5043</v>
      </c>
      <c r="D115" s="2" t="s">
        <v>8406</v>
      </c>
    </row>
    <row r="116" spans="1:4" x14ac:dyDescent="0.2">
      <c r="A116" s="41" t="s">
        <v>3220</v>
      </c>
      <c r="B116" s="2" t="s">
        <v>861</v>
      </c>
      <c r="C116" s="2" t="s">
        <v>5043</v>
      </c>
      <c r="D116" s="2" t="s">
        <v>8406</v>
      </c>
    </row>
    <row r="117" spans="1:4" x14ac:dyDescent="0.2">
      <c r="A117" s="41" t="s">
        <v>4459</v>
      </c>
      <c r="B117" s="2" t="s">
        <v>862</v>
      </c>
      <c r="C117" s="2" t="s">
        <v>5043</v>
      </c>
      <c r="D117" s="2" t="s">
        <v>8406</v>
      </c>
    </row>
    <row r="118" spans="1:4" x14ac:dyDescent="0.2">
      <c r="A118" s="41" t="s">
        <v>5648</v>
      </c>
      <c r="B118" s="2" t="s">
        <v>863</v>
      </c>
      <c r="C118" s="2" t="s">
        <v>5043</v>
      </c>
      <c r="D118" s="2" t="s">
        <v>8406</v>
      </c>
    </row>
    <row r="119" spans="1:4" x14ac:dyDescent="0.2">
      <c r="A119" s="41" t="s">
        <v>5649</v>
      </c>
      <c r="B119" s="2" t="s">
        <v>863</v>
      </c>
      <c r="C119" s="2" t="s">
        <v>5043</v>
      </c>
      <c r="D119" s="2" t="s">
        <v>8406</v>
      </c>
    </row>
    <row r="120" spans="1:4" x14ac:dyDescent="0.2">
      <c r="A120" s="41" t="s">
        <v>5650</v>
      </c>
      <c r="B120" s="2" t="s">
        <v>864</v>
      </c>
      <c r="C120" s="2" t="s">
        <v>5043</v>
      </c>
      <c r="D120" s="2" t="s">
        <v>8406</v>
      </c>
    </row>
    <row r="121" spans="1:4" x14ac:dyDescent="0.2">
      <c r="A121" s="41" t="s">
        <v>2867</v>
      </c>
      <c r="B121" s="2" t="s">
        <v>865</v>
      </c>
      <c r="C121" s="2" t="s">
        <v>5043</v>
      </c>
      <c r="D121" s="2" t="s">
        <v>8406</v>
      </c>
    </row>
    <row r="122" spans="1:4" x14ac:dyDescent="0.2">
      <c r="A122" s="41" t="s">
        <v>2879</v>
      </c>
      <c r="B122" s="2" t="s">
        <v>866</v>
      </c>
      <c r="C122" s="2" t="s">
        <v>5043</v>
      </c>
      <c r="D122" s="2" t="s">
        <v>8406</v>
      </c>
    </row>
    <row r="123" spans="1:4" x14ac:dyDescent="0.2">
      <c r="A123" s="41" t="s">
        <v>2880</v>
      </c>
      <c r="B123" s="2" t="s">
        <v>867</v>
      </c>
      <c r="C123" s="2" t="s">
        <v>5043</v>
      </c>
      <c r="D123" s="2" t="s">
        <v>8406</v>
      </c>
    </row>
    <row r="124" spans="1:4" x14ac:dyDescent="0.2">
      <c r="A124" s="41" t="s">
        <v>2881</v>
      </c>
      <c r="B124" s="2" t="s">
        <v>868</v>
      </c>
      <c r="C124" s="2" t="s">
        <v>5043</v>
      </c>
      <c r="D124" s="2" t="s">
        <v>8406</v>
      </c>
    </row>
    <row r="125" spans="1:4" x14ac:dyDescent="0.2">
      <c r="A125" s="41" t="s">
        <v>2885</v>
      </c>
      <c r="B125" s="2" t="s">
        <v>869</v>
      </c>
      <c r="C125" s="2" t="s">
        <v>5043</v>
      </c>
      <c r="D125" s="2" t="s">
        <v>8406</v>
      </c>
    </row>
    <row r="126" spans="1:4" x14ac:dyDescent="0.2">
      <c r="A126" s="41" t="s">
        <v>2889</v>
      </c>
      <c r="B126" s="2" t="s">
        <v>870</v>
      </c>
      <c r="C126" s="2" t="s">
        <v>5043</v>
      </c>
      <c r="D126" s="2" t="s">
        <v>8406</v>
      </c>
    </row>
    <row r="127" spans="1:4" x14ac:dyDescent="0.2">
      <c r="A127" s="41" t="s">
        <v>2893</v>
      </c>
      <c r="B127" s="2" t="s">
        <v>871</v>
      </c>
      <c r="C127" s="2" t="s">
        <v>5043</v>
      </c>
      <c r="D127" s="2" t="s">
        <v>8406</v>
      </c>
    </row>
    <row r="128" spans="1:4" x14ac:dyDescent="0.2">
      <c r="A128" s="41" t="s">
        <v>5651</v>
      </c>
      <c r="B128" s="2" t="s">
        <v>872</v>
      </c>
      <c r="C128" s="2" t="s">
        <v>5043</v>
      </c>
      <c r="D128" s="2" t="s">
        <v>8406</v>
      </c>
    </row>
    <row r="129" spans="1:4" x14ac:dyDescent="0.2">
      <c r="A129" s="41" t="s">
        <v>2900</v>
      </c>
      <c r="B129" s="2" t="s">
        <v>873</v>
      </c>
      <c r="C129" s="2" t="s">
        <v>5043</v>
      </c>
      <c r="D129" s="2" t="s">
        <v>8406</v>
      </c>
    </row>
    <row r="130" spans="1:4" x14ac:dyDescent="0.2">
      <c r="A130" s="41" t="s">
        <v>3564</v>
      </c>
      <c r="B130" s="2" t="s">
        <v>874</v>
      </c>
      <c r="C130" s="2" t="s">
        <v>5043</v>
      </c>
      <c r="D130" s="2" t="s">
        <v>8406</v>
      </c>
    </row>
    <row r="131" spans="1:4" x14ac:dyDescent="0.2">
      <c r="A131" s="41" t="s">
        <v>5652</v>
      </c>
      <c r="B131" s="2" t="s">
        <v>875</v>
      </c>
      <c r="C131" s="2" t="s">
        <v>5043</v>
      </c>
      <c r="D131" s="2" t="s">
        <v>8406</v>
      </c>
    </row>
    <row r="132" spans="1:4" x14ac:dyDescent="0.2">
      <c r="A132" s="41" t="s">
        <v>4462</v>
      </c>
      <c r="B132" s="2" t="s">
        <v>876</v>
      </c>
      <c r="C132" s="2" t="s">
        <v>5043</v>
      </c>
      <c r="D132" s="2" t="s">
        <v>8406</v>
      </c>
    </row>
    <row r="133" spans="1:4" x14ac:dyDescent="0.2">
      <c r="A133" s="41" t="s">
        <v>4463</v>
      </c>
      <c r="B133" s="2" t="s">
        <v>877</v>
      </c>
      <c r="C133" s="2" t="s">
        <v>5043</v>
      </c>
      <c r="D133" s="2" t="s">
        <v>8406</v>
      </c>
    </row>
    <row r="134" spans="1:4" x14ac:dyDescent="0.2">
      <c r="A134" s="41" t="s">
        <v>4464</v>
      </c>
      <c r="B134" s="2" t="s">
        <v>878</v>
      </c>
      <c r="C134" s="2" t="s">
        <v>5043</v>
      </c>
      <c r="D134" s="2" t="s">
        <v>8406</v>
      </c>
    </row>
    <row r="135" spans="1:4" x14ac:dyDescent="0.2">
      <c r="A135" s="41" t="s">
        <v>4465</v>
      </c>
      <c r="B135" s="2" t="s">
        <v>879</v>
      </c>
      <c r="C135" s="2" t="s">
        <v>5043</v>
      </c>
      <c r="D135" s="2" t="s">
        <v>8406</v>
      </c>
    </row>
    <row r="136" spans="1:4" x14ac:dyDescent="0.2">
      <c r="A136" s="41" t="s">
        <v>5653</v>
      </c>
      <c r="B136" s="2" t="s">
        <v>880</v>
      </c>
      <c r="C136" s="2" t="s">
        <v>5043</v>
      </c>
      <c r="D136" s="2" t="s">
        <v>8406</v>
      </c>
    </row>
    <row r="137" spans="1:4" x14ac:dyDescent="0.2">
      <c r="A137" s="41" t="s">
        <v>5654</v>
      </c>
      <c r="B137" s="2" t="s">
        <v>881</v>
      </c>
      <c r="C137" s="2" t="s">
        <v>5043</v>
      </c>
      <c r="D137" s="2" t="s">
        <v>8406</v>
      </c>
    </row>
    <row r="138" spans="1:4" x14ac:dyDescent="0.2">
      <c r="A138" s="41" t="s">
        <v>5655</v>
      </c>
      <c r="B138" s="2" t="s">
        <v>881</v>
      </c>
      <c r="C138" s="2" t="s">
        <v>5043</v>
      </c>
      <c r="D138" s="2" t="s">
        <v>8406</v>
      </c>
    </row>
    <row r="139" spans="1:4" x14ac:dyDescent="0.2">
      <c r="A139" s="41" t="s">
        <v>5656</v>
      </c>
      <c r="B139" s="2" t="s">
        <v>881</v>
      </c>
      <c r="C139" s="2" t="s">
        <v>5043</v>
      </c>
      <c r="D139" s="2" t="s">
        <v>8406</v>
      </c>
    </row>
    <row r="140" spans="1:4" x14ac:dyDescent="0.2">
      <c r="A140" s="41" t="s">
        <v>5657</v>
      </c>
      <c r="B140" s="2" t="s">
        <v>881</v>
      </c>
      <c r="C140" s="2" t="s">
        <v>5043</v>
      </c>
      <c r="D140" s="2" t="s">
        <v>8406</v>
      </c>
    </row>
    <row r="141" spans="1:4" x14ac:dyDescent="0.2">
      <c r="A141" s="41" t="s">
        <v>5658</v>
      </c>
      <c r="B141" s="2" t="s">
        <v>881</v>
      </c>
      <c r="C141" s="2" t="s">
        <v>5043</v>
      </c>
      <c r="D141" s="2" t="s">
        <v>8406</v>
      </c>
    </row>
    <row r="142" spans="1:4" x14ac:dyDescent="0.2">
      <c r="A142" s="41" t="s">
        <v>5659</v>
      </c>
      <c r="B142" s="2" t="s">
        <v>881</v>
      </c>
      <c r="C142" s="2" t="s">
        <v>5043</v>
      </c>
      <c r="D142" s="2" t="s">
        <v>8406</v>
      </c>
    </row>
    <row r="143" spans="1:4" x14ac:dyDescent="0.2">
      <c r="A143" s="41" t="s">
        <v>5660</v>
      </c>
      <c r="B143" s="2" t="s">
        <v>881</v>
      </c>
      <c r="C143" s="2" t="s">
        <v>5043</v>
      </c>
      <c r="D143" s="2" t="s">
        <v>8406</v>
      </c>
    </row>
    <row r="144" spans="1:4" x14ac:dyDescent="0.2">
      <c r="A144" s="41" t="s">
        <v>5661</v>
      </c>
      <c r="B144" s="2" t="s">
        <v>881</v>
      </c>
      <c r="C144" s="2" t="s">
        <v>5043</v>
      </c>
      <c r="D144" s="2" t="s">
        <v>8406</v>
      </c>
    </row>
    <row r="145" spans="1:4" x14ac:dyDescent="0.2">
      <c r="A145" s="41" t="s">
        <v>5662</v>
      </c>
      <c r="B145" s="2" t="s">
        <v>881</v>
      </c>
      <c r="C145" s="2" t="s">
        <v>5043</v>
      </c>
      <c r="D145" s="2" t="s">
        <v>8406</v>
      </c>
    </row>
    <row r="146" spans="1:4" x14ac:dyDescent="0.2">
      <c r="A146" s="41" t="s">
        <v>5663</v>
      </c>
      <c r="B146" s="2" t="s">
        <v>881</v>
      </c>
      <c r="C146" s="2" t="s">
        <v>5043</v>
      </c>
      <c r="D146" s="2" t="s">
        <v>8406</v>
      </c>
    </row>
    <row r="147" spans="1:4" x14ac:dyDescent="0.2">
      <c r="A147" s="41" t="s">
        <v>5664</v>
      </c>
      <c r="B147" s="2" t="s">
        <v>881</v>
      </c>
      <c r="C147" s="2" t="s">
        <v>5043</v>
      </c>
      <c r="D147" s="2" t="s">
        <v>8406</v>
      </c>
    </row>
    <row r="148" spans="1:4" x14ac:dyDescent="0.2">
      <c r="A148" s="41" t="s">
        <v>5665</v>
      </c>
      <c r="B148" s="2" t="s">
        <v>881</v>
      </c>
      <c r="C148" s="2" t="s">
        <v>5043</v>
      </c>
      <c r="D148" s="2" t="s">
        <v>8406</v>
      </c>
    </row>
    <row r="149" spans="1:4" x14ac:dyDescent="0.2">
      <c r="A149" s="41" t="s">
        <v>5666</v>
      </c>
      <c r="B149" s="2" t="s">
        <v>881</v>
      </c>
      <c r="C149" s="2" t="s">
        <v>5043</v>
      </c>
      <c r="D149" s="2" t="s">
        <v>8406</v>
      </c>
    </row>
    <row r="150" spans="1:4" x14ac:dyDescent="0.2">
      <c r="A150" s="41" t="s">
        <v>5667</v>
      </c>
      <c r="B150" s="2" t="s">
        <v>881</v>
      </c>
      <c r="C150" s="2" t="s">
        <v>5043</v>
      </c>
      <c r="D150" s="2" t="s">
        <v>8406</v>
      </c>
    </row>
    <row r="151" spans="1:4" x14ac:dyDescent="0.2">
      <c r="A151" s="41" t="s">
        <v>5668</v>
      </c>
      <c r="B151" s="2" t="s">
        <v>881</v>
      </c>
      <c r="C151" s="2" t="s">
        <v>5043</v>
      </c>
      <c r="D151" s="2" t="s">
        <v>8406</v>
      </c>
    </row>
    <row r="152" spans="1:4" x14ac:dyDescent="0.2">
      <c r="A152" s="41" t="s">
        <v>5669</v>
      </c>
      <c r="B152" s="2" t="s">
        <v>881</v>
      </c>
      <c r="C152" s="2" t="s">
        <v>5043</v>
      </c>
      <c r="D152" s="2" t="s">
        <v>8406</v>
      </c>
    </row>
    <row r="153" spans="1:4" x14ac:dyDescent="0.2">
      <c r="A153" s="41" t="s">
        <v>5670</v>
      </c>
      <c r="B153" s="2" t="s">
        <v>881</v>
      </c>
      <c r="C153" s="2" t="s">
        <v>5043</v>
      </c>
      <c r="D153" s="2" t="s">
        <v>8406</v>
      </c>
    </row>
    <row r="154" spans="1:4" x14ac:dyDescent="0.2">
      <c r="A154" s="41" t="s">
        <v>5671</v>
      </c>
      <c r="B154" s="2" t="s">
        <v>881</v>
      </c>
      <c r="C154" s="2" t="s">
        <v>5043</v>
      </c>
      <c r="D154" s="2" t="s">
        <v>8406</v>
      </c>
    </row>
    <row r="155" spans="1:4" x14ac:dyDescent="0.2">
      <c r="A155" s="41" t="s">
        <v>5672</v>
      </c>
      <c r="B155" s="2" t="s">
        <v>881</v>
      </c>
      <c r="C155" s="2" t="s">
        <v>5043</v>
      </c>
      <c r="D155" s="2" t="s">
        <v>8406</v>
      </c>
    </row>
    <row r="156" spans="1:4" x14ac:dyDescent="0.2">
      <c r="A156" s="41" t="s">
        <v>5673</v>
      </c>
      <c r="B156" s="2" t="s">
        <v>881</v>
      </c>
      <c r="C156" s="2" t="s">
        <v>5043</v>
      </c>
      <c r="D156" s="2" t="s">
        <v>8406</v>
      </c>
    </row>
    <row r="157" spans="1:4" x14ac:dyDescent="0.2">
      <c r="A157" s="41" t="s">
        <v>5674</v>
      </c>
      <c r="B157" s="2" t="s">
        <v>881</v>
      </c>
      <c r="C157" s="2" t="s">
        <v>5043</v>
      </c>
      <c r="D157" s="2" t="s">
        <v>8406</v>
      </c>
    </row>
    <row r="158" spans="1:4" x14ac:dyDescent="0.2">
      <c r="A158" s="41" t="s">
        <v>5675</v>
      </c>
      <c r="B158" s="2" t="s">
        <v>881</v>
      </c>
      <c r="C158" s="2" t="s">
        <v>5043</v>
      </c>
      <c r="D158" s="2" t="s">
        <v>8406</v>
      </c>
    </row>
    <row r="159" spans="1:4" x14ac:dyDescent="0.2">
      <c r="A159" s="41" t="s">
        <v>5676</v>
      </c>
      <c r="B159" s="2" t="s">
        <v>881</v>
      </c>
      <c r="C159" s="2" t="s">
        <v>5043</v>
      </c>
      <c r="D159" s="2" t="s">
        <v>8406</v>
      </c>
    </row>
    <row r="160" spans="1:4" x14ac:dyDescent="0.2">
      <c r="A160" s="41" t="s">
        <v>5677</v>
      </c>
      <c r="B160" s="2" t="s">
        <v>881</v>
      </c>
      <c r="C160" s="2" t="s">
        <v>5043</v>
      </c>
      <c r="D160" s="2" t="s">
        <v>8406</v>
      </c>
    </row>
    <row r="161" spans="1:4" x14ac:dyDescent="0.2">
      <c r="A161" s="41" t="s">
        <v>5678</v>
      </c>
      <c r="B161" s="2" t="s">
        <v>881</v>
      </c>
      <c r="C161" s="2" t="s">
        <v>5043</v>
      </c>
      <c r="D161" s="2" t="s">
        <v>8406</v>
      </c>
    </row>
    <row r="162" spans="1:4" x14ac:dyDescent="0.2">
      <c r="A162" s="41" t="s">
        <v>5679</v>
      </c>
      <c r="B162" s="2" t="s">
        <v>881</v>
      </c>
      <c r="C162" s="2" t="s">
        <v>5043</v>
      </c>
      <c r="D162" s="2" t="s">
        <v>8406</v>
      </c>
    </row>
    <row r="163" spans="1:4" x14ac:dyDescent="0.2">
      <c r="A163" s="41" t="s">
        <v>5680</v>
      </c>
      <c r="B163" s="2" t="s">
        <v>881</v>
      </c>
      <c r="C163" s="2" t="s">
        <v>5043</v>
      </c>
      <c r="D163" s="2" t="s">
        <v>8406</v>
      </c>
    </row>
    <row r="164" spans="1:4" x14ac:dyDescent="0.2">
      <c r="A164" s="41" t="s">
        <v>5681</v>
      </c>
      <c r="B164" s="2" t="s">
        <v>881</v>
      </c>
      <c r="C164" s="2" t="s">
        <v>5043</v>
      </c>
      <c r="D164" s="2" t="s">
        <v>8406</v>
      </c>
    </row>
    <row r="165" spans="1:4" x14ac:dyDescent="0.2">
      <c r="A165" s="41" t="s">
        <v>5682</v>
      </c>
      <c r="B165" s="2" t="s">
        <v>881</v>
      </c>
      <c r="C165" s="2" t="s">
        <v>5043</v>
      </c>
      <c r="D165" s="2" t="s">
        <v>8406</v>
      </c>
    </row>
    <row r="166" spans="1:4" x14ac:dyDescent="0.2">
      <c r="A166" s="41" t="s">
        <v>5683</v>
      </c>
      <c r="B166" s="2" t="s">
        <v>881</v>
      </c>
      <c r="C166" s="2" t="s">
        <v>5043</v>
      </c>
      <c r="D166" s="2" t="s">
        <v>8406</v>
      </c>
    </row>
    <row r="167" spans="1:4" x14ac:dyDescent="0.2">
      <c r="A167" s="41" t="s">
        <v>5684</v>
      </c>
      <c r="B167" s="2" t="s">
        <v>881</v>
      </c>
      <c r="C167" s="2" t="s">
        <v>5043</v>
      </c>
      <c r="D167" s="2" t="s">
        <v>8406</v>
      </c>
    </row>
    <row r="168" spans="1:4" x14ac:dyDescent="0.2">
      <c r="A168" s="41" t="s">
        <v>5685</v>
      </c>
      <c r="B168" s="2" t="s">
        <v>881</v>
      </c>
      <c r="C168" s="2" t="s">
        <v>5043</v>
      </c>
      <c r="D168" s="2" t="s">
        <v>8406</v>
      </c>
    </row>
    <row r="169" spans="1:4" x14ac:dyDescent="0.2">
      <c r="A169" s="41" t="s">
        <v>5686</v>
      </c>
      <c r="B169" s="2" t="s">
        <v>881</v>
      </c>
      <c r="C169" s="2" t="s">
        <v>5043</v>
      </c>
      <c r="D169" s="2" t="s">
        <v>8406</v>
      </c>
    </row>
    <row r="170" spans="1:4" x14ac:dyDescent="0.2">
      <c r="A170" s="41" t="s">
        <v>5687</v>
      </c>
      <c r="B170" s="2" t="s">
        <v>881</v>
      </c>
      <c r="C170" s="2" t="s">
        <v>5043</v>
      </c>
      <c r="D170" s="2" t="s">
        <v>8406</v>
      </c>
    </row>
    <row r="171" spans="1:4" x14ac:dyDescent="0.2">
      <c r="A171" s="41" t="s">
        <v>5688</v>
      </c>
      <c r="B171" s="2" t="s">
        <v>881</v>
      </c>
      <c r="C171" s="2" t="s">
        <v>5043</v>
      </c>
      <c r="D171" s="2" t="s">
        <v>8406</v>
      </c>
    </row>
    <row r="172" spans="1:4" x14ac:dyDescent="0.2">
      <c r="A172" s="41" t="s">
        <v>5689</v>
      </c>
      <c r="B172" s="2" t="s">
        <v>881</v>
      </c>
      <c r="C172" s="2" t="s">
        <v>5043</v>
      </c>
      <c r="D172" s="2" t="s">
        <v>8406</v>
      </c>
    </row>
    <row r="173" spans="1:4" x14ac:dyDescent="0.2">
      <c r="A173" s="41" t="s">
        <v>5690</v>
      </c>
      <c r="B173" s="2" t="s">
        <v>881</v>
      </c>
      <c r="C173" s="2" t="s">
        <v>5043</v>
      </c>
      <c r="D173" s="2" t="s">
        <v>8406</v>
      </c>
    </row>
    <row r="174" spans="1:4" x14ac:dyDescent="0.2">
      <c r="A174" s="41" t="s">
        <v>5691</v>
      </c>
      <c r="B174" s="2" t="s">
        <v>881</v>
      </c>
      <c r="C174" s="2" t="s">
        <v>5043</v>
      </c>
      <c r="D174" s="2" t="s">
        <v>8406</v>
      </c>
    </row>
    <row r="175" spans="1:4" x14ac:dyDescent="0.2">
      <c r="A175" s="41" t="s">
        <v>5692</v>
      </c>
      <c r="B175" s="2" t="s">
        <v>881</v>
      </c>
      <c r="C175" s="2" t="s">
        <v>5043</v>
      </c>
      <c r="D175" s="2" t="s">
        <v>8406</v>
      </c>
    </row>
    <row r="176" spans="1:4" x14ac:dyDescent="0.2">
      <c r="A176" s="41" t="s">
        <v>5693</v>
      </c>
      <c r="B176" s="2" t="s">
        <v>881</v>
      </c>
      <c r="C176" s="2" t="s">
        <v>5043</v>
      </c>
      <c r="D176" s="2" t="s">
        <v>8406</v>
      </c>
    </row>
    <row r="177" spans="1:4" x14ac:dyDescent="0.2">
      <c r="A177" s="41" t="s">
        <v>5694</v>
      </c>
      <c r="B177" s="2" t="s">
        <v>881</v>
      </c>
      <c r="C177" s="2" t="s">
        <v>5043</v>
      </c>
      <c r="D177" s="2" t="s">
        <v>8406</v>
      </c>
    </row>
    <row r="178" spans="1:4" x14ac:dyDescent="0.2">
      <c r="A178" s="41" t="s">
        <v>5695</v>
      </c>
      <c r="B178" s="2" t="s">
        <v>881</v>
      </c>
      <c r="C178" s="2" t="s">
        <v>5043</v>
      </c>
      <c r="D178" s="2" t="s">
        <v>8406</v>
      </c>
    </row>
    <row r="179" spans="1:4" x14ac:dyDescent="0.2">
      <c r="A179" s="41" t="s">
        <v>5696</v>
      </c>
      <c r="B179" s="2" t="s">
        <v>881</v>
      </c>
      <c r="C179" s="2" t="s">
        <v>5043</v>
      </c>
      <c r="D179" s="2" t="s">
        <v>8406</v>
      </c>
    </row>
    <row r="180" spans="1:4" x14ac:dyDescent="0.2">
      <c r="A180" s="41" t="s">
        <v>5697</v>
      </c>
      <c r="B180" s="2" t="s">
        <v>881</v>
      </c>
      <c r="C180" s="2" t="s">
        <v>5043</v>
      </c>
      <c r="D180" s="2" t="s">
        <v>8406</v>
      </c>
    </row>
    <row r="181" spans="1:4" x14ac:dyDescent="0.2">
      <c r="A181" s="41" t="s">
        <v>5698</v>
      </c>
      <c r="B181" s="2" t="s">
        <v>881</v>
      </c>
      <c r="C181" s="2" t="s">
        <v>5043</v>
      </c>
      <c r="D181" s="2" t="s">
        <v>8406</v>
      </c>
    </row>
    <row r="182" spans="1:4" x14ac:dyDescent="0.2">
      <c r="A182" s="41" t="s">
        <v>5699</v>
      </c>
      <c r="B182" s="2" t="s">
        <v>881</v>
      </c>
      <c r="C182" s="2" t="s">
        <v>5043</v>
      </c>
      <c r="D182" s="2" t="s">
        <v>8406</v>
      </c>
    </row>
    <row r="183" spans="1:4" x14ac:dyDescent="0.2">
      <c r="A183" s="41" t="s">
        <v>5700</v>
      </c>
      <c r="B183" s="2" t="s">
        <v>881</v>
      </c>
      <c r="C183" s="2" t="s">
        <v>5043</v>
      </c>
      <c r="D183" s="2" t="s">
        <v>8406</v>
      </c>
    </row>
    <row r="184" spans="1:4" x14ac:dyDescent="0.2">
      <c r="A184" s="41" t="s">
        <v>5701</v>
      </c>
      <c r="B184" s="2" t="s">
        <v>881</v>
      </c>
      <c r="C184" s="2" t="s">
        <v>5043</v>
      </c>
      <c r="D184" s="2" t="s">
        <v>8406</v>
      </c>
    </row>
    <row r="185" spans="1:4" x14ac:dyDescent="0.2">
      <c r="A185" s="41" t="s">
        <v>5702</v>
      </c>
      <c r="B185" s="2" t="s">
        <v>881</v>
      </c>
      <c r="C185" s="2" t="s">
        <v>5043</v>
      </c>
      <c r="D185" s="2" t="s">
        <v>8406</v>
      </c>
    </row>
    <row r="186" spans="1:4" x14ac:dyDescent="0.2">
      <c r="A186" s="41" t="s">
        <v>5703</v>
      </c>
      <c r="B186" s="2" t="s">
        <v>881</v>
      </c>
      <c r="C186" s="2" t="s">
        <v>5043</v>
      </c>
      <c r="D186" s="2" t="s">
        <v>8406</v>
      </c>
    </row>
    <row r="187" spans="1:4" x14ac:dyDescent="0.2">
      <c r="A187" s="41" t="s">
        <v>5704</v>
      </c>
      <c r="B187" s="2" t="s">
        <v>881</v>
      </c>
      <c r="C187" s="2" t="s">
        <v>5043</v>
      </c>
      <c r="D187" s="2" t="s">
        <v>8406</v>
      </c>
    </row>
    <row r="188" spans="1:4" x14ac:dyDescent="0.2">
      <c r="A188" s="41" t="s">
        <v>5705</v>
      </c>
      <c r="B188" s="2" t="s">
        <v>881</v>
      </c>
      <c r="C188" s="2" t="s">
        <v>5043</v>
      </c>
      <c r="D188" s="2" t="s">
        <v>8406</v>
      </c>
    </row>
    <row r="189" spans="1:4" x14ac:dyDescent="0.2">
      <c r="A189" s="41" t="s">
        <v>5706</v>
      </c>
      <c r="B189" s="2" t="s">
        <v>881</v>
      </c>
      <c r="C189" s="2" t="s">
        <v>5043</v>
      </c>
      <c r="D189" s="2" t="s">
        <v>8406</v>
      </c>
    </row>
    <row r="190" spans="1:4" x14ac:dyDescent="0.2">
      <c r="A190" s="41" t="s">
        <v>5707</v>
      </c>
      <c r="B190" s="2" t="s">
        <v>881</v>
      </c>
      <c r="C190" s="2" t="s">
        <v>5043</v>
      </c>
      <c r="D190" s="2" t="s">
        <v>8406</v>
      </c>
    </row>
    <row r="191" spans="1:4" x14ac:dyDescent="0.2">
      <c r="A191" s="41" t="s">
        <v>5708</v>
      </c>
      <c r="B191" s="2" t="s">
        <v>881</v>
      </c>
      <c r="C191" s="2" t="s">
        <v>5043</v>
      </c>
      <c r="D191" s="2" t="s">
        <v>8406</v>
      </c>
    </row>
    <row r="192" spans="1:4" x14ac:dyDescent="0.2">
      <c r="A192" s="41" t="s">
        <v>5709</v>
      </c>
      <c r="B192" s="2" t="s">
        <v>881</v>
      </c>
      <c r="C192" s="2" t="s">
        <v>5043</v>
      </c>
      <c r="D192" s="2" t="s">
        <v>8406</v>
      </c>
    </row>
    <row r="193" spans="1:4" x14ac:dyDescent="0.2">
      <c r="A193" s="41" t="s">
        <v>5710</v>
      </c>
      <c r="B193" s="2" t="s">
        <v>881</v>
      </c>
      <c r="C193" s="2" t="s">
        <v>5043</v>
      </c>
      <c r="D193" s="2" t="s">
        <v>8406</v>
      </c>
    </row>
    <row r="194" spans="1:4" x14ac:dyDescent="0.2">
      <c r="A194" s="41" t="s">
        <v>5711</v>
      </c>
      <c r="B194" s="2" t="s">
        <v>881</v>
      </c>
      <c r="C194" s="2" t="s">
        <v>5043</v>
      </c>
      <c r="D194" s="2" t="s">
        <v>8406</v>
      </c>
    </row>
    <row r="195" spans="1:4" x14ac:dyDescent="0.2">
      <c r="A195" s="41" t="s">
        <v>5712</v>
      </c>
      <c r="B195" s="2" t="s">
        <v>881</v>
      </c>
      <c r="C195" s="2" t="s">
        <v>5043</v>
      </c>
      <c r="D195" s="2" t="s">
        <v>8406</v>
      </c>
    </row>
    <row r="196" spans="1:4" x14ac:dyDescent="0.2">
      <c r="A196" s="41" t="s">
        <v>5713</v>
      </c>
      <c r="B196" s="2" t="s">
        <v>881</v>
      </c>
      <c r="C196" s="2" t="s">
        <v>5043</v>
      </c>
      <c r="D196" s="2" t="s">
        <v>8406</v>
      </c>
    </row>
    <row r="197" spans="1:4" x14ac:dyDescent="0.2">
      <c r="A197" s="41" t="s">
        <v>5714</v>
      </c>
      <c r="B197" s="2" t="s">
        <v>881</v>
      </c>
      <c r="C197" s="2" t="s">
        <v>5043</v>
      </c>
      <c r="D197" s="2" t="s">
        <v>8406</v>
      </c>
    </row>
    <row r="198" spans="1:4" x14ac:dyDescent="0.2">
      <c r="A198" s="41" t="s">
        <v>5715</v>
      </c>
      <c r="B198" s="2" t="s">
        <v>881</v>
      </c>
      <c r="C198" s="2" t="s">
        <v>5043</v>
      </c>
      <c r="D198" s="2" t="s">
        <v>8406</v>
      </c>
    </row>
    <row r="199" spans="1:4" x14ac:dyDescent="0.2">
      <c r="A199" s="41" t="s">
        <v>5716</v>
      </c>
      <c r="B199" s="2" t="s">
        <v>881</v>
      </c>
      <c r="C199" s="2" t="s">
        <v>5043</v>
      </c>
      <c r="D199" s="2" t="s">
        <v>8406</v>
      </c>
    </row>
    <row r="200" spans="1:4" x14ac:dyDescent="0.2">
      <c r="A200" s="41" t="s">
        <v>5717</v>
      </c>
      <c r="B200" s="2" t="s">
        <v>881</v>
      </c>
      <c r="C200" s="2" t="s">
        <v>5043</v>
      </c>
      <c r="D200" s="2" t="s">
        <v>8406</v>
      </c>
    </row>
    <row r="201" spans="1:4" x14ac:dyDescent="0.2">
      <c r="A201" s="41" t="s">
        <v>5718</v>
      </c>
      <c r="B201" s="2" t="s">
        <v>881</v>
      </c>
      <c r="C201" s="2" t="s">
        <v>5043</v>
      </c>
      <c r="D201" s="2" t="s">
        <v>8406</v>
      </c>
    </row>
    <row r="202" spans="1:4" x14ac:dyDescent="0.2">
      <c r="A202" s="41" t="s">
        <v>5719</v>
      </c>
      <c r="B202" s="2" t="s">
        <v>881</v>
      </c>
      <c r="C202" s="2" t="s">
        <v>5043</v>
      </c>
      <c r="D202" s="2" t="s">
        <v>8406</v>
      </c>
    </row>
    <row r="203" spans="1:4" x14ac:dyDescent="0.2">
      <c r="A203" s="41" t="s">
        <v>5720</v>
      </c>
      <c r="B203" s="2" t="s">
        <v>881</v>
      </c>
      <c r="C203" s="2" t="s">
        <v>5043</v>
      </c>
      <c r="D203" s="2" t="s">
        <v>8406</v>
      </c>
    </row>
    <row r="204" spans="1:4" x14ac:dyDescent="0.2">
      <c r="A204" s="41" t="s">
        <v>5721</v>
      </c>
      <c r="B204" s="2" t="s">
        <v>882</v>
      </c>
      <c r="C204" s="2" t="s">
        <v>5043</v>
      </c>
      <c r="D204" s="2" t="s">
        <v>8406</v>
      </c>
    </row>
    <row r="205" spans="1:4" x14ac:dyDescent="0.2">
      <c r="A205" s="41" t="s">
        <v>2560</v>
      </c>
      <c r="B205" s="2" t="s">
        <v>882</v>
      </c>
      <c r="C205" s="2" t="s">
        <v>5043</v>
      </c>
      <c r="D205" s="2" t="s">
        <v>8406</v>
      </c>
    </row>
    <row r="206" spans="1:4" x14ac:dyDescent="0.2">
      <c r="A206" s="41" t="s">
        <v>5722</v>
      </c>
      <c r="B206" s="2" t="s">
        <v>883</v>
      </c>
      <c r="C206" s="2" t="s">
        <v>5043</v>
      </c>
      <c r="D206" s="2" t="s">
        <v>8406</v>
      </c>
    </row>
    <row r="207" spans="1:4" x14ac:dyDescent="0.2">
      <c r="A207" s="41" t="s">
        <v>5277</v>
      </c>
      <c r="B207" s="2" t="s">
        <v>171</v>
      </c>
      <c r="C207" s="2" t="s">
        <v>5043</v>
      </c>
      <c r="D207" s="2" t="s">
        <v>8404</v>
      </c>
    </row>
    <row r="208" spans="1:4" x14ac:dyDescent="0.2">
      <c r="A208" s="41" t="s">
        <v>5723</v>
      </c>
      <c r="B208" s="2" t="s">
        <v>171</v>
      </c>
      <c r="C208" s="2" t="s">
        <v>5043</v>
      </c>
      <c r="D208" s="2" t="s">
        <v>8404</v>
      </c>
    </row>
    <row r="209" spans="1:4" x14ac:dyDescent="0.2">
      <c r="A209" s="41" t="s">
        <v>5724</v>
      </c>
      <c r="B209" s="2" t="s">
        <v>171</v>
      </c>
      <c r="C209" s="2" t="s">
        <v>5043</v>
      </c>
      <c r="D209" s="2" t="s">
        <v>8406</v>
      </c>
    </row>
    <row r="210" spans="1:4" x14ac:dyDescent="0.2">
      <c r="A210" s="41" t="s">
        <v>5725</v>
      </c>
      <c r="B210" s="2" t="s">
        <v>171</v>
      </c>
      <c r="C210" s="2" t="s">
        <v>5043</v>
      </c>
      <c r="D210" s="2" t="s">
        <v>8406</v>
      </c>
    </row>
    <row r="211" spans="1:4" x14ac:dyDescent="0.2">
      <c r="A211" s="41" t="s">
        <v>5726</v>
      </c>
      <c r="B211" s="2" t="s">
        <v>171</v>
      </c>
      <c r="C211" s="2" t="s">
        <v>5043</v>
      </c>
      <c r="D211" s="2" t="s">
        <v>8406</v>
      </c>
    </row>
    <row r="212" spans="1:4" x14ac:dyDescent="0.2">
      <c r="A212" s="41" t="s">
        <v>5727</v>
      </c>
      <c r="B212" s="2" t="s">
        <v>171</v>
      </c>
      <c r="C212" s="2" t="s">
        <v>5043</v>
      </c>
      <c r="D212" s="2" t="s">
        <v>8406</v>
      </c>
    </row>
    <row r="213" spans="1:4" x14ac:dyDescent="0.2">
      <c r="A213" s="41" t="s">
        <v>5728</v>
      </c>
      <c r="B213" s="2" t="s">
        <v>410</v>
      </c>
      <c r="C213" s="2" t="s">
        <v>5043</v>
      </c>
      <c r="D213" s="2" t="s">
        <v>8411</v>
      </c>
    </row>
    <row r="214" spans="1:4" x14ac:dyDescent="0.2">
      <c r="A214" s="41" t="s">
        <v>5526</v>
      </c>
      <c r="B214" s="2" t="s">
        <v>410</v>
      </c>
      <c r="C214" s="2" t="s">
        <v>5043</v>
      </c>
      <c r="D214" s="2" t="s">
        <v>8411</v>
      </c>
    </row>
    <row r="215" spans="1:4" x14ac:dyDescent="0.2">
      <c r="A215" s="41" t="s">
        <v>5729</v>
      </c>
      <c r="B215" s="2" t="s">
        <v>884</v>
      </c>
      <c r="C215" s="2" t="s">
        <v>5043</v>
      </c>
      <c r="D215" s="2" t="s">
        <v>8406</v>
      </c>
    </row>
    <row r="216" spans="1:4" x14ac:dyDescent="0.2">
      <c r="A216" s="41" t="s">
        <v>5730</v>
      </c>
      <c r="B216" s="2" t="s">
        <v>885</v>
      </c>
      <c r="C216" s="2" t="s">
        <v>5043</v>
      </c>
      <c r="D216" s="2" t="s">
        <v>8406</v>
      </c>
    </row>
    <row r="217" spans="1:4" x14ac:dyDescent="0.2">
      <c r="A217" s="41" t="s">
        <v>5731</v>
      </c>
      <c r="B217" s="2" t="s">
        <v>885</v>
      </c>
      <c r="C217" s="2" t="s">
        <v>5043</v>
      </c>
      <c r="D217" s="2" t="s">
        <v>8406</v>
      </c>
    </row>
    <row r="218" spans="1:4" x14ac:dyDescent="0.2">
      <c r="A218" s="41" t="s">
        <v>5732</v>
      </c>
      <c r="B218" s="2" t="s">
        <v>885</v>
      </c>
      <c r="C218" s="2" t="s">
        <v>5043</v>
      </c>
      <c r="D218" s="2" t="s">
        <v>8406</v>
      </c>
    </row>
    <row r="219" spans="1:4" x14ac:dyDescent="0.2">
      <c r="A219" s="41" t="s">
        <v>5733</v>
      </c>
      <c r="B219" s="2" t="s">
        <v>885</v>
      </c>
      <c r="C219" s="2" t="s">
        <v>5043</v>
      </c>
      <c r="D219" s="2" t="s">
        <v>8406</v>
      </c>
    </row>
    <row r="220" spans="1:4" x14ac:dyDescent="0.2">
      <c r="A220" s="41" t="s">
        <v>5734</v>
      </c>
      <c r="B220" s="2" t="s">
        <v>885</v>
      </c>
      <c r="C220" s="2" t="s">
        <v>5043</v>
      </c>
      <c r="D220" s="2" t="s">
        <v>8406</v>
      </c>
    </row>
    <row r="221" spans="1:4" x14ac:dyDescent="0.2">
      <c r="A221" s="41" t="s">
        <v>5735</v>
      </c>
      <c r="B221" s="2" t="s">
        <v>885</v>
      </c>
      <c r="C221" s="2" t="s">
        <v>5043</v>
      </c>
      <c r="D221" s="2" t="s">
        <v>8406</v>
      </c>
    </row>
    <row r="222" spans="1:4" x14ac:dyDescent="0.2">
      <c r="A222" s="41" t="s">
        <v>2858</v>
      </c>
      <c r="B222" s="2" t="s">
        <v>885</v>
      </c>
      <c r="C222" s="2" t="s">
        <v>5043</v>
      </c>
      <c r="D222" s="2" t="s">
        <v>8406</v>
      </c>
    </row>
    <row r="223" spans="1:4" x14ac:dyDescent="0.2">
      <c r="A223" s="41" t="s">
        <v>2859</v>
      </c>
      <c r="B223" s="2" t="s">
        <v>885</v>
      </c>
      <c r="C223" s="2" t="s">
        <v>5043</v>
      </c>
      <c r="D223" s="2" t="s">
        <v>8406</v>
      </c>
    </row>
    <row r="224" spans="1:4" x14ac:dyDescent="0.2">
      <c r="A224" s="41" t="s">
        <v>5736</v>
      </c>
      <c r="B224" s="2" t="s">
        <v>885</v>
      </c>
      <c r="C224" s="2" t="s">
        <v>5043</v>
      </c>
      <c r="D224" s="2" t="s">
        <v>8406</v>
      </c>
    </row>
    <row r="225" spans="1:4" x14ac:dyDescent="0.2">
      <c r="A225" s="41" t="s">
        <v>5737</v>
      </c>
      <c r="B225" s="2" t="s">
        <v>885</v>
      </c>
      <c r="C225" s="2" t="s">
        <v>5043</v>
      </c>
      <c r="D225" s="2" t="s">
        <v>8406</v>
      </c>
    </row>
    <row r="226" spans="1:4" x14ac:dyDescent="0.2">
      <c r="A226" s="41" t="s">
        <v>5738</v>
      </c>
      <c r="B226" s="2" t="s">
        <v>885</v>
      </c>
      <c r="C226" s="2" t="s">
        <v>5043</v>
      </c>
      <c r="D226" s="2" t="s">
        <v>8406</v>
      </c>
    </row>
    <row r="227" spans="1:4" x14ac:dyDescent="0.2">
      <c r="A227" s="41" t="s">
        <v>5739</v>
      </c>
      <c r="B227" s="2" t="s">
        <v>885</v>
      </c>
      <c r="C227" s="2" t="s">
        <v>5043</v>
      </c>
      <c r="D227" s="2" t="s">
        <v>8406</v>
      </c>
    </row>
    <row r="228" spans="1:4" x14ac:dyDescent="0.2">
      <c r="A228" s="41" t="s">
        <v>5740</v>
      </c>
      <c r="B228" s="2" t="s">
        <v>885</v>
      </c>
      <c r="C228" s="2" t="s">
        <v>5043</v>
      </c>
      <c r="D228" s="2" t="s">
        <v>8406</v>
      </c>
    </row>
    <row r="229" spans="1:4" x14ac:dyDescent="0.2">
      <c r="A229" s="41" t="s">
        <v>5741</v>
      </c>
      <c r="B229" s="2" t="s">
        <v>885</v>
      </c>
      <c r="C229" s="2" t="s">
        <v>5043</v>
      </c>
      <c r="D229" s="2" t="s">
        <v>8406</v>
      </c>
    </row>
    <row r="230" spans="1:4" x14ac:dyDescent="0.2">
      <c r="A230" s="41" t="s">
        <v>5742</v>
      </c>
      <c r="B230" s="2" t="s">
        <v>885</v>
      </c>
      <c r="C230" s="2" t="s">
        <v>5043</v>
      </c>
      <c r="D230" s="2" t="s">
        <v>8406</v>
      </c>
    </row>
    <row r="231" spans="1:4" x14ac:dyDescent="0.2">
      <c r="A231" s="41" t="s">
        <v>4559</v>
      </c>
      <c r="B231" s="2" t="s">
        <v>885</v>
      </c>
      <c r="C231" s="2" t="s">
        <v>5043</v>
      </c>
      <c r="D231" s="2" t="s">
        <v>8406</v>
      </c>
    </row>
    <row r="232" spans="1:4" x14ac:dyDescent="0.2">
      <c r="A232" s="41" t="s">
        <v>3213</v>
      </c>
      <c r="B232" s="2" t="s">
        <v>885</v>
      </c>
      <c r="C232" s="2" t="s">
        <v>5043</v>
      </c>
      <c r="D232" s="2" t="s">
        <v>8406</v>
      </c>
    </row>
    <row r="233" spans="1:4" x14ac:dyDescent="0.2">
      <c r="A233" s="41" t="s">
        <v>3214</v>
      </c>
      <c r="B233" s="2" t="s">
        <v>885</v>
      </c>
      <c r="C233" s="2" t="s">
        <v>5043</v>
      </c>
      <c r="D233" s="2" t="s">
        <v>8406</v>
      </c>
    </row>
    <row r="234" spans="1:4" x14ac:dyDescent="0.2">
      <c r="A234" s="41" t="s">
        <v>3215</v>
      </c>
      <c r="B234" s="2" t="s">
        <v>885</v>
      </c>
      <c r="C234" s="2" t="s">
        <v>5043</v>
      </c>
      <c r="D234" s="2" t="s">
        <v>8406</v>
      </c>
    </row>
    <row r="235" spans="1:4" x14ac:dyDescent="0.2">
      <c r="A235" s="41" t="s">
        <v>5743</v>
      </c>
      <c r="B235" s="2" t="s">
        <v>885</v>
      </c>
      <c r="C235" s="2" t="s">
        <v>5043</v>
      </c>
      <c r="D235" s="2" t="s">
        <v>8406</v>
      </c>
    </row>
    <row r="236" spans="1:4" x14ac:dyDescent="0.2">
      <c r="A236" s="41" t="s">
        <v>5744</v>
      </c>
      <c r="B236" s="2" t="s">
        <v>885</v>
      </c>
      <c r="C236" s="2" t="s">
        <v>5043</v>
      </c>
      <c r="D236" s="2" t="s">
        <v>8406</v>
      </c>
    </row>
    <row r="237" spans="1:4" x14ac:dyDescent="0.2">
      <c r="A237" s="41" t="s">
        <v>5745</v>
      </c>
      <c r="B237" s="2" t="s">
        <v>885</v>
      </c>
      <c r="C237" s="2" t="s">
        <v>5043</v>
      </c>
      <c r="D237" s="2" t="s">
        <v>8406</v>
      </c>
    </row>
    <row r="238" spans="1:4" x14ac:dyDescent="0.2">
      <c r="A238" s="41" t="s">
        <v>5746</v>
      </c>
      <c r="B238" s="2" t="s">
        <v>885</v>
      </c>
      <c r="C238" s="2" t="s">
        <v>5043</v>
      </c>
      <c r="D238" s="2" t="s">
        <v>8406</v>
      </c>
    </row>
    <row r="239" spans="1:4" x14ac:dyDescent="0.2">
      <c r="A239" s="41" t="s">
        <v>5747</v>
      </c>
      <c r="B239" s="2" t="s">
        <v>886</v>
      </c>
      <c r="C239" s="2" t="s">
        <v>5043</v>
      </c>
      <c r="D239" s="2" t="s">
        <v>8406</v>
      </c>
    </row>
    <row r="240" spans="1:4" x14ac:dyDescent="0.2">
      <c r="A240" s="41" t="s">
        <v>5748</v>
      </c>
      <c r="B240" s="2" t="s">
        <v>886</v>
      </c>
      <c r="C240" s="2" t="s">
        <v>5043</v>
      </c>
      <c r="D240" s="2" t="s">
        <v>8406</v>
      </c>
    </row>
    <row r="241" spans="1:4" x14ac:dyDescent="0.2">
      <c r="A241" s="41" t="s">
        <v>5749</v>
      </c>
      <c r="B241" s="2" t="s">
        <v>886</v>
      </c>
      <c r="C241" s="2" t="s">
        <v>5043</v>
      </c>
      <c r="D241" s="2" t="s">
        <v>8406</v>
      </c>
    </row>
    <row r="242" spans="1:4" x14ac:dyDescent="0.2">
      <c r="A242" s="41" t="s">
        <v>5750</v>
      </c>
      <c r="B242" s="2" t="s">
        <v>886</v>
      </c>
      <c r="C242" s="2" t="s">
        <v>5043</v>
      </c>
      <c r="D242" s="2" t="s">
        <v>8406</v>
      </c>
    </row>
    <row r="243" spans="1:4" x14ac:dyDescent="0.2">
      <c r="A243" s="41" t="s">
        <v>5751</v>
      </c>
      <c r="B243" s="2" t="s">
        <v>886</v>
      </c>
      <c r="C243" s="2" t="s">
        <v>5043</v>
      </c>
      <c r="D243" s="2" t="s">
        <v>8406</v>
      </c>
    </row>
    <row r="244" spans="1:4" x14ac:dyDescent="0.2">
      <c r="A244" s="41" t="s">
        <v>5752</v>
      </c>
      <c r="B244" s="2" t="s">
        <v>886</v>
      </c>
      <c r="C244" s="2" t="s">
        <v>5043</v>
      </c>
      <c r="D244" s="2" t="s">
        <v>8406</v>
      </c>
    </row>
    <row r="245" spans="1:4" x14ac:dyDescent="0.2">
      <c r="A245" s="41" t="s">
        <v>5753</v>
      </c>
      <c r="B245" s="2" t="s">
        <v>886</v>
      </c>
      <c r="C245" s="2" t="s">
        <v>5043</v>
      </c>
      <c r="D245" s="2" t="s">
        <v>8406</v>
      </c>
    </row>
    <row r="246" spans="1:4" x14ac:dyDescent="0.2">
      <c r="A246" s="41" t="s">
        <v>5754</v>
      </c>
      <c r="B246" s="2" t="s">
        <v>886</v>
      </c>
      <c r="C246" s="2" t="s">
        <v>5043</v>
      </c>
      <c r="D246" s="2" t="s">
        <v>8406</v>
      </c>
    </row>
    <row r="247" spans="1:4" x14ac:dyDescent="0.2">
      <c r="A247" s="41" t="s">
        <v>5755</v>
      </c>
      <c r="B247" s="2" t="s">
        <v>886</v>
      </c>
      <c r="C247" s="2" t="s">
        <v>5043</v>
      </c>
      <c r="D247" s="2" t="s">
        <v>8406</v>
      </c>
    </row>
    <row r="248" spans="1:4" x14ac:dyDescent="0.2">
      <c r="A248" s="41" t="s">
        <v>5756</v>
      </c>
      <c r="B248" s="2" t="s">
        <v>886</v>
      </c>
      <c r="C248" s="2" t="s">
        <v>5043</v>
      </c>
      <c r="D248" s="2" t="s">
        <v>8406</v>
      </c>
    </row>
    <row r="249" spans="1:4" x14ac:dyDescent="0.2">
      <c r="A249" s="41" t="s">
        <v>5757</v>
      </c>
      <c r="B249" s="2" t="s">
        <v>886</v>
      </c>
      <c r="C249" s="2" t="s">
        <v>5043</v>
      </c>
      <c r="D249" s="2" t="s">
        <v>8406</v>
      </c>
    </row>
    <row r="250" spans="1:4" x14ac:dyDescent="0.2">
      <c r="A250" s="41" t="s">
        <v>5758</v>
      </c>
      <c r="B250" s="2" t="s">
        <v>886</v>
      </c>
      <c r="C250" s="2" t="s">
        <v>5043</v>
      </c>
      <c r="D250" s="2" t="s">
        <v>8406</v>
      </c>
    </row>
    <row r="251" spans="1:4" x14ac:dyDescent="0.2">
      <c r="A251" s="41" t="s">
        <v>5759</v>
      </c>
      <c r="B251" s="2" t="s">
        <v>886</v>
      </c>
      <c r="C251" s="2" t="s">
        <v>5043</v>
      </c>
      <c r="D251" s="2" t="s">
        <v>8406</v>
      </c>
    </row>
    <row r="252" spans="1:4" x14ac:dyDescent="0.2">
      <c r="A252" s="41" t="s">
        <v>5760</v>
      </c>
      <c r="B252" s="2" t="s">
        <v>886</v>
      </c>
      <c r="C252" s="2" t="s">
        <v>5043</v>
      </c>
      <c r="D252" s="2" t="s">
        <v>8406</v>
      </c>
    </row>
    <row r="253" spans="1:4" x14ac:dyDescent="0.2">
      <c r="A253" s="41" t="s">
        <v>5761</v>
      </c>
      <c r="B253" s="2" t="s">
        <v>886</v>
      </c>
      <c r="C253" s="2" t="s">
        <v>5043</v>
      </c>
      <c r="D253" s="2" t="s">
        <v>8406</v>
      </c>
    </row>
    <row r="254" spans="1:4" x14ac:dyDescent="0.2">
      <c r="A254" s="41" t="s">
        <v>5762</v>
      </c>
      <c r="B254" s="2" t="s">
        <v>1181</v>
      </c>
      <c r="C254" s="2" t="s">
        <v>5043</v>
      </c>
      <c r="D254" s="2" t="s">
        <v>8406</v>
      </c>
    </row>
    <row r="255" spans="1:4" x14ac:dyDescent="0.2">
      <c r="A255" s="41" t="s">
        <v>5763</v>
      </c>
      <c r="B255" s="2" t="s">
        <v>1181</v>
      </c>
      <c r="C255" s="2" t="s">
        <v>5043</v>
      </c>
      <c r="D255" s="2" t="s">
        <v>8406</v>
      </c>
    </row>
    <row r="256" spans="1:4" x14ac:dyDescent="0.2">
      <c r="A256" s="41" t="s">
        <v>5764</v>
      </c>
      <c r="B256" s="2" t="s">
        <v>1181</v>
      </c>
      <c r="C256" s="2" t="s">
        <v>5043</v>
      </c>
      <c r="D256" s="2" t="s">
        <v>8406</v>
      </c>
    </row>
    <row r="257" spans="1:4" x14ac:dyDescent="0.2">
      <c r="A257" s="41" t="s">
        <v>5765</v>
      </c>
      <c r="B257" s="2" t="s">
        <v>197</v>
      </c>
      <c r="C257" s="2" t="s">
        <v>5043</v>
      </c>
      <c r="D257" s="2" t="s">
        <v>8406</v>
      </c>
    </row>
    <row r="258" spans="1:4" x14ac:dyDescent="0.2">
      <c r="A258" s="41" t="s">
        <v>3689</v>
      </c>
      <c r="B258" s="2" t="s">
        <v>411</v>
      </c>
      <c r="C258" s="2" t="s">
        <v>5043</v>
      </c>
      <c r="D258" s="2" t="s">
        <v>8406</v>
      </c>
    </row>
    <row r="259" spans="1:4" x14ac:dyDescent="0.2">
      <c r="A259" s="41" t="s">
        <v>3690</v>
      </c>
      <c r="B259" s="2" t="s">
        <v>411</v>
      </c>
      <c r="C259" s="2" t="s">
        <v>5043</v>
      </c>
      <c r="D259" s="2" t="s">
        <v>8406</v>
      </c>
    </row>
    <row r="260" spans="1:4" x14ac:dyDescent="0.2">
      <c r="A260" s="41" t="s">
        <v>2907</v>
      </c>
      <c r="B260" s="2" t="s">
        <v>198</v>
      </c>
      <c r="C260" s="2" t="s">
        <v>5043</v>
      </c>
      <c r="D260" s="2" t="s">
        <v>8404</v>
      </c>
    </row>
    <row r="261" spans="1:4" x14ac:dyDescent="0.2">
      <c r="A261" s="41" t="s">
        <v>5766</v>
      </c>
      <c r="B261" s="2" t="s">
        <v>198</v>
      </c>
      <c r="C261" s="2" t="s">
        <v>5043</v>
      </c>
      <c r="D261" s="2" t="s">
        <v>8404</v>
      </c>
    </row>
    <row r="262" spans="1:4" x14ac:dyDescent="0.2">
      <c r="A262" s="41" t="s">
        <v>4565</v>
      </c>
      <c r="B262" s="2" t="s">
        <v>198</v>
      </c>
      <c r="C262" s="2" t="s">
        <v>5043</v>
      </c>
      <c r="D262" s="2" t="s">
        <v>8404</v>
      </c>
    </row>
    <row r="263" spans="1:4" x14ac:dyDescent="0.2">
      <c r="A263" s="41" t="s">
        <v>5767</v>
      </c>
      <c r="B263" s="2" t="s">
        <v>519</v>
      </c>
      <c r="C263" s="2" t="s">
        <v>5043</v>
      </c>
      <c r="D263" s="2" t="s">
        <v>8404</v>
      </c>
    </row>
    <row r="264" spans="1:4" x14ac:dyDescent="0.2">
      <c r="A264" s="41" t="s">
        <v>5768</v>
      </c>
      <c r="B264" s="2" t="s">
        <v>519</v>
      </c>
      <c r="C264" s="2" t="s">
        <v>5043</v>
      </c>
      <c r="D264" s="2" t="s">
        <v>8406</v>
      </c>
    </row>
    <row r="265" spans="1:4" x14ac:dyDescent="0.2">
      <c r="A265" s="41" t="s">
        <v>5769</v>
      </c>
      <c r="B265" s="2" t="s">
        <v>412</v>
      </c>
      <c r="C265" s="2" t="s">
        <v>5043</v>
      </c>
      <c r="D265" s="2" t="s">
        <v>8412</v>
      </c>
    </row>
    <row r="266" spans="1:4" x14ac:dyDescent="0.2">
      <c r="A266" s="41" t="s">
        <v>5770</v>
      </c>
      <c r="B266" s="2" t="s">
        <v>412</v>
      </c>
      <c r="C266" s="2" t="s">
        <v>5043</v>
      </c>
      <c r="D266" s="2" t="s">
        <v>8412</v>
      </c>
    </row>
    <row r="267" spans="1:4" x14ac:dyDescent="0.2">
      <c r="A267" s="41" t="s">
        <v>5771</v>
      </c>
      <c r="B267" s="2" t="s">
        <v>412</v>
      </c>
      <c r="C267" s="2" t="s">
        <v>5043</v>
      </c>
      <c r="D267" s="2" t="s">
        <v>8412</v>
      </c>
    </row>
    <row r="268" spans="1:4" x14ac:dyDescent="0.2">
      <c r="A268" s="41" t="s">
        <v>5772</v>
      </c>
      <c r="B268" s="2" t="s">
        <v>412</v>
      </c>
      <c r="C268" s="2" t="s">
        <v>5043</v>
      </c>
      <c r="D268" s="2" t="s">
        <v>8412</v>
      </c>
    </row>
    <row r="269" spans="1:4" x14ac:dyDescent="0.2">
      <c r="A269" s="41" t="s">
        <v>5773</v>
      </c>
      <c r="B269" s="2" t="s">
        <v>412</v>
      </c>
      <c r="C269" s="2" t="s">
        <v>5043</v>
      </c>
      <c r="D269" s="2" t="s">
        <v>8412</v>
      </c>
    </row>
    <row r="270" spans="1:4" x14ac:dyDescent="0.2">
      <c r="A270" s="41" t="s">
        <v>5774</v>
      </c>
      <c r="B270" s="2" t="s">
        <v>887</v>
      </c>
      <c r="C270" s="2" t="s">
        <v>5043</v>
      </c>
      <c r="D270" s="2" t="s">
        <v>8406</v>
      </c>
    </row>
    <row r="271" spans="1:4" x14ac:dyDescent="0.2">
      <c r="A271" s="41" t="s">
        <v>5775</v>
      </c>
      <c r="B271" s="2" t="s">
        <v>887</v>
      </c>
      <c r="C271" s="2" t="s">
        <v>5043</v>
      </c>
      <c r="D271" s="2" t="s">
        <v>8406</v>
      </c>
    </row>
    <row r="272" spans="1:4" x14ac:dyDescent="0.2">
      <c r="A272" s="41" t="s">
        <v>5776</v>
      </c>
      <c r="B272" s="2" t="s">
        <v>887</v>
      </c>
      <c r="C272" s="2" t="s">
        <v>5043</v>
      </c>
      <c r="D272" s="2" t="s">
        <v>8406</v>
      </c>
    </row>
    <row r="273" spans="1:4" x14ac:dyDescent="0.2">
      <c r="A273" s="41" t="s">
        <v>5777</v>
      </c>
      <c r="B273" s="2" t="s">
        <v>380</v>
      </c>
      <c r="C273" s="2" t="s">
        <v>5043</v>
      </c>
      <c r="D273" s="2" t="s">
        <v>8404</v>
      </c>
    </row>
    <row r="274" spans="1:4" x14ac:dyDescent="0.2">
      <c r="A274" s="41" t="s">
        <v>5778</v>
      </c>
      <c r="B274" s="2" t="s">
        <v>199</v>
      </c>
      <c r="C274" s="2" t="s">
        <v>5043</v>
      </c>
      <c r="D274" s="2" t="s">
        <v>8404</v>
      </c>
    </row>
    <row r="275" spans="1:4" x14ac:dyDescent="0.2">
      <c r="A275" s="41" t="s">
        <v>5779</v>
      </c>
      <c r="B275" s="2" t="s">
        <v>199</v>
      </c>
      <c r="C275" s="2" t="s">
        <v>5043</v>
      </c>
      <c r="D275" s="2" t="s">
        <v>8404</v>
      </c>
    </row>
    <row r="276" spans="1:4" x14ac:dyDescent="0.2">
      <c r="A276" s="41" t="s">
        <v>5780</v>
      </c>
      <c r="B276" s="2" t="s">
        <v>200</v>
      </c>
      <c r="C276" s="2" t="s">
        <v>5043</v>
      </c>
      <c r="D276" s="2" t="s">
        <v>8404</v>
      </c>
    </row>
    <row r="277" spans="1:4" x14ac:dyDescent="0.2">
      <c r="A277" s="41" t="s">
        <v>5781</v>
      </c>
      <c r="B277" s="2" t="s">
        <v>200</v>
      </c>
      <c r="C277" s="2" t="s">
        <v>5043</v>
      </c>
      <c r="D277" s="2" t="s">
        <v>8404</v>
      </c>
    </row>
    <row r="278" spans="1:4" x14ac:dyDescent="0.2">
      <c r="A278" s="41" t="s">
        <v>5782</v>
      </c>
      <c r="B278" s="2" t="s">
        <v>201</v>
      </c>
      <c r="C278" s="2" t="s">
        <v>5043</v>
      </c>
      <c r="D278" s="2" t="s">
        <v>8404</v>
      </c>
    </row>
    <row r="279" spans="1:4" x14ac:dyDescent="0.2">
      <c r="A279" s="41" t="s">
        <v>4566</v>
      </c>
      <c r="B279" s="2" t="s">
        <v>202</v>
      </c>
      <c r="C279" s="2" t="s">
        <v>5043</v>
      </c>
      <c r="D279" s="2" t="s">
        <v>8404</v>
      </c>
    </row>
    <row r="280" spans="1:4" x14ac:dyDescent="0.2">
      <c r="A280" s="41" t="s">
        <v>5783</v>
      </c>
      <c r="B280" s="2" t="s">
        <v>202</v>
      </c>
      <c r="C280" s="2" t="s">
        <v>5043</v>
      </c>
      <c r="D280" s="2" t="s">
        <v>8404</v>
      </c>
    </row>
    <row r="281" spans="1:4" x14ac:dyDescent="0.2">
      <c r="A281" s="41" t="s">
        <v>5784</v>
      </c>
      <c r="B281" s="2" t="s">
        <v>202</v>
      </c>
      <c r="C281" s="2" t="s">
        <v>5043</v>
      </c>
      <c r="D281" s="2" t="s">
        <v>8404</v>
      </c>
    </row>
    <row r="282" spans="1:4" x14ac:dyDescent="0.2">
      <c r="A282" s="41" t="s">
        <v>3705</v>
      </c>
      <c r="B282" s="2" t="s">
        <v>202</v>
      </c>
      <c r="C282" s="2" t="s">
        <v>5043</v>
      </c>
      <c r="D282" s="2" t="s">
        <v>8404</v>
      </c>
    </row>
    <row r="283" spans="1:4" x14ac:dyDescent="0.2">
      <c r="A283" s="41" t="s">
        <v>3706</v>
      </c>
      <c r="B283" s="2" t="s">
        <v>202</v>
      </c>
      <c r="C283" s="2" t="s">
        <v>5043</v>
      </c>
      <c r="D283" s="2" t="s">
        <v>8404</v>
      </c>
    </row>
    <row r="284" spans="1:4" x14ac:dyDescent="0.2">
      <c r="A284" s="41" t="s">
        <v>3708</v>
      </c>
      <c r="B284" s="2" t="s">
        <v>202</v>
      </c>
      <c r="C284" s="2" t="s">
        <v>5043</v>
      </c>
      <c r="D284" s="2" t="s">
        <v>8404</v>
      </c>
    </row>
    <row r="285" spans="1:4" x14ac:dyDescent="0.2">
      <c r="A285" s="41" t="s">
        <v>5785</v>
      </c>
      <c r="B285" s="2" t="s">
        <v>202</v>
      </c>
      <c r="C285" s="2" t="s">
        <v>5043</v>
      </c>
      <c r="D285" s="2" t="s">
        <v>8406</v>
      </c>
    </row>
    <row r="286" spans="1:4" x14ac:dyDescent="0.2">
      <c r="A286" s="41" t="s">
        <v>5786</v>
      </c>
      <c r="B286" s="2" t="s">
        <v>202</v>
      </c>
      <c r="C286" s="2" t="s">
        <v>5043</v>
      </c>
      <c r="D286" s="2" t="s">
        <v>8406</v>
      </c>
    </row>
    <row r="287" spans="1:4" x14ac:dyDescent="0.2">
      <c r="A287" s="41" t="s">
        <v>5787</v>
      </c>
      <c r="B287" s="2" t="s">
        <v>203</v>
      </c>
      <c r="C287" s="2" t="s">
        <v>5043</v>
      </c>
      <c r="D287" s="2" t="s">
        <v>8404</v>
      </c>
    </row>
    <row r="288" spans="1:4" x14ac:dyDescent="0.2">
      <c r="A288" s="41" t="s">
        <v>5788</v>
      </c>
      <c r="B288" s="2" t="s">
        <v>203</v>
      </c>
      <c r="C288" s="2" t="s">
        <v>5043</v>
      </c>
      <c r="D288" s="2" t="s">
        <v>8404</v>
      </c>
    </row>
    <row r="289" spans="1:4" x14ac:dyDescent="0.2">
      <c r="A289" s="41" t="s">
        <v>5789</v>
      </c>
      <c r="B289" s="2" t="s">
        <v>203</v>
      </c>
      <c r="C289" s="2" t="s">
        <v>5043</v>
      </c>
      <c r="D289" s="2" t="s">
        <v>8404</v>
      </c>
    </row>
    <row r="290" spans="1:4" x14ac:dyDescent="0.2">
      <c r="A290" s="41" t="s">
        <v>5790</v>
      </c>
      <c r="B290" s="2" t="s">
        <v>203</v>
      </c>
      <c r="C290" s="2" t="s">
        <v>5043</v>
      </c>
      <c r="D290" s="2" t="s">
        <v>8404</v>
      </c>
    </row>
    <row r="291" spans="1:4" x14ac:dyDescent="0.2">
      <c r="A291" s="41" t="s">
        <v>5791</v>
      </c>
      <c r="B291" s="2" t="s">
        <v>203</v>
      </c>
      <c r="C291" s="2" t="s">
        <v>5043</v>
      </c>
      <c r="D291" s="2" t="s">
        <v>8406</v>
      </c>
    </row>
    <row r="292" spans="1:4" x14ac:dyDescent="0.2">
      <c r="A292" s="41" t="s">
        <v>5792</v>
      </c>
      <c r="B292" s="2" t="s">
        <v>203</v>
      </c>
      <c r="C292" s="2" t="s">
        <v>5043</v>
      </c>
      <c r="D292" s="2" t="s">
        <v>8406</v>
      </c>
    </row>
    <row r="293" spans="1:4" x14ac:dyDescent="0.2">
      <c r="A293" s="41" t="s">
        <v>2662</v>
      </c>
      <c r="B293" s="2" t="s">
        <v>203</v>
      </c>
      <c r="C293" s="2" t="s">
        <v>5043</v>
      </c>
      <c r="D293" s="2" t="s">
        <v>8406</v>
      </c>
    </row>
    <row r="294" spans="1:4" x14ac:dyDescent="0.2">
      <c r="A294" s="41" t="s">
        <v>5793</v>
      </c>
      <c r="B294" s="2" t="s">
        <v>203</v>
      </c>
      <c r="C294" s="2" t="s">
        <v>5043</v>
      </c>
      <c r="D294" s="2" t="s">
        <v>8406</v>
      </c>
    </row>
    <row r="295" spans="1:4" x14ac:dyDescent="0.2">
      <c r="A295" s="41" t="s">
        <v>2663</v>
      </c>
      <c r="B295" s="2" t="s">
        <v>203</v>
      </c>
      <c r="C295" s="2" t="s">
        <v>5043</v>
      </c>
      <c r="D295" s="2" t="s">
        <v>8406</v>
      </c>
    </row>
    <row r="296" spans="1:4" x14ac:dyDescent="0.2">
      <c r="A296" s="41" t="s">
        <v>5794</v>
      </c>
      <c r="B296" s="2" t="s">
        <v>203</v>
      </c>
      <c r="C296" s="2" t="s">
        <v>5043</v>
      </c>
      <c r="D296" s="2" t="s">
        <v>8406</v>
      </c>
    </row>
    <row r="297" spans="1:4" x14ac:dyDescent="0.2">
      <c r="A297" s="41" t="s">
        <v>5795</v>
      </c>
      <c r="B297" s="2" t="s">
        <v>203</v>
      </c>
      <c r="C297" s="2" t="s">
        <v>5043</v>
      </c>
      <c r="D297" s="2" t="s">
        <v>8406</v>
      </c>
    </row>
    <row r="298" spans="1:4" x14ac:dyDescent="0.2">
      <c r="A298" s="41" t="s">
        <v>5796</v>
      </c>
      <c r="B298" s="2" t="s">
        <v>203</v>
      </c>
      <c r="C298" s="2" t="s">
        <v>5043</v>
      </c>
      <c r="D298" s="2" t="s">
        <v>8406</v>
      </c>
    </row>
    <row r="299" spans="1:4" x14ac:dyDescent="0.2">
      <c r="A299" s="41" t="s">
        <v>5797</v>
      </c>
      <c r="B299" s="2" t="s">
        <v>203</v>
      </c>
      <c r="C299" s="2" t="s">
        <v>5043</v>
      </c>
      <c r="D299" s="2" t="s">
        <v>8406</v>
      </c>
    </row>
    <row r="300" spans="1:4" x14ac:dyDescent="0.2">
      <c r="A300" s="41" t="s">
        <v>5798</v>
      </c>
      <c r="B300" s="2" t="s">
        <v>381</v>
      </c>
      <c r="C300" s="2" t="s">
        <v>5043</v>
      </c>
      <c r="D300" s="2" t="s">
        <v>8404</v>
      </c>
    </row>
    <row r="301" spans="1:4" x14ac:dyDescent="0.2">
      <c r="A301" s="41" t="s">
        <v>5799</v>
      </c>
      <c r="B301" s="2" t="s">
        <v>382</v>
      </c>
      <c r="C301" s="2" t="s">
        <v>5043</v>
      </c>
      <c r="D301" s="2" t="s">
        <v>8404</v>
      </c>
    </row>
    <row r="302" spans="1:4" x14ac:dyDescent="0.2">
      <c r="A302" s="41" t="s">
        <v>5800</v>
      </c>
      <c r="B302" s="2" t="s">
        <v>382</v>
      </c>
      <c r="C302" s="2" t="s">
        <v>5043</v>
      </c>
      <c r="D302" s="2" t="s">
        <v>8404</v>
      </c>
    </row>
    <row r="303" spans="1:4" x14ac:dyDescent="0.2">
      <c r="A303" s="41" t="s">
        <v>5801</v>
      </c>
      <c r="B303" s="2" t="s">
        <v>382</v>
      </c>
      <c r="C303" s="2" t="s">
        <v>5043</v>
      </c>
      <c r="D303" s="2" t="s">
        <v>8404</v>
      </c>
    </row>
    <row r="304" spans="1:4" x14ac:dyDescent="0.2">
      <c r="A304" s="41" t="s">
        <v>5802</v>
      </c>
      <c r="B304" s="2" t="s">
        <v>204</v>
      </c>
      <c r="C304" s="2" t="s">
        <v>5043</v>
      </c>
      <c r="D304" s="2" t="s">
        <v>8404</v>
      </c>
    </row>
    <row r="305" spans="1:4" x14ac:dyDescent="0.2">
      <c r="A305" s="41" t="s">
        <v>5803</v>
      </c>
      <c r="B305" s="2" t="s">
        <v>204</v>
      </c>
      <c r="C305" s="2" t="s">
        <v>5043</v>
      </c>
      <c r="D305" s="2" t="s">
        <v>8404</v>
      </c>
    </row>
    <row r="306" spans="1:4" x14ac:dyDescent="0.2">
      <c r="A306" s="41" t="s">
        <v>5804</v>
      </c>
      <c r="B306" s="2" t="s">
        <v>204</v>
      </c>
      <c r="C306" s="2" t="s">
        <v>5043</v>
      </c>
      <c r="D306" s="2" t="s">
        <v>8404</v>
      </c>
    </row>
    <row r="307" spans="1:4" x14ac:dyDescent="0.2">
      <c r="A307" s="41" t="s">
        <v>5805</v>
      </c>
      <c r="B307" s="2" t="s">
        <v>204</v>
      </c>
      <c r="C307" s="2" t="s">
        <v>5043</v>
      </c>
      <c r="D307" s="2" t="s">
        <v>8404</v>
      </c>
    </row>
    <row r="308" spans="1:4" x14ac:dyDescent="0.2">
      <c r="A308" s="41" t="s">
        <v>5806</v>
      </c>
      <c r="B308" s="2" t="s">
        <v>204</v>
      </c>
      <c r="C308" s="2" t="s">
        <v>5043</v>
      </c>
      <c r="D308" s="2" t="s">
        <v>8404</v>
      </c>
    </row>
    <row r="309" spans="1:4" x14ac:dyDescent="0.2">
      <c r="A309" s="41" t="s">
        <v>5807</v>
      </c>
      <c r="B309" s="2" t="s">
        <v>204</v>
      </c>
      <c r="C309" s="2" t="s">
        <v>5043</v>
      </c>
      <c r="D309" s="2" t="s">
        <v>8404</v>
      </c>
    </row>
    <row r="310" spans="1:4" x14ac:dyDescent="0.2">
      <c r="A310" s="41" t="s">
        <v>5808</v>
      </c>
      <c r="B310" s="2" t="s">
        <v>204</v>
      </c>
      <c r="C310" s="2" t="s">
        <v>5043</v>
      </c>
      <c r="D310" s="2" t="s">
        <v>8404</v>
      </c>
    </row>
    <row r="311" spans="1:4" x14ac:dyDescent="0.2">
      <c r="A311" s="41" t="s">
        <v>5809</v>
      </c>
      <c r="B311" s="2" t="s">
        <v>204</v>
      </c>
      <c r="C311" s="2" t="s">
        <v>5043</v>
      </c>
      <c r="D311" s="2" t="s">
        <v>8404</v>
      </c>
    </row>
    <row r="312" spans="1:4" x14ac:dyDescent="0.2">
      <c r="A312" s="41" t="s">
        <v>5810</v>
      </c>
      <c r="B312" s="2" t="s">
        <v>204</v>
      </c>
      <c r="C312" s="2" t="s">
        <v>5043</v>
      </c>
      <c r="D312" s="2" t="s">
        <v>8406</v>
      </c>
    </row>
    <row r="313" spans="1:4" x14ac:dyDescent="0.2">
      <c r="A313" s="41" t="s">
        <v>5811</v>
      </c>
      <c r="B313" s="2" t="s">
        <v>204</v>
      </c>
      <c r="C313" s="2" t="s">
        <v>5043</v>
      </c>
      <c r="D313" s="2" t="s">
        <v>8406</v>
      </c>
    </row>
    <row r="314" spans="1:4" x14ac:dyDescent="0.2">
      <c r="A314" s="41" t="s">
        <v>5812</v>
      </c>
      <c r="B314" s="2" t="s">
        <v>204</v>
      </c>
      <c r="C314" s="2" t="s">
        <v>5043</v>
      </c>
      <c r="D314" s="2" t="s">
        <v>8406</v>
      </c>
    </row>
    <row r="315" spans="1:4" x14ac:dyDescent="0.2">
      <c r="A315" s="41" t="s">
        <v>5813</v>
      </c>
      <c r="B315" s="2" t="s">
        <v>204</v>
      </c>
      <c r="C315" s="2" t="s">
        <v>5043</v>
      </c>
      <c r="D315" s="2" t="s">
        <v>8406</v>
      </c>
    </row>
    <row r="316" spans="1:4" x14ac:dyDescent="0.2">
      <c r="A316" s="41" t="s">
        <v>5814</v>
      </c>
      <c r="B316" s="2" t="s">
        <v>204</v>
      </c>
      <c r="C316" s="2" t="s">
        <v>5043</v>
      </c>
      <c r="D316" s="2" t="s">
        <v>8406</v>
      </c>
    </row>
    <row r="317" spans="1:4" x14ac:dyDescent="0.2">
      <c r="A317" s="41" t="s">
        <v>5815</v>
      </c>
      <c r="B317" s="2" t="s">
        <v>204</v>
      </c>
      <c r="C317" s="2" t="s">
        <v>5043</v>
      </c>
      <c r="D317" s="2" t="s">
        <v>8406</v>
      </c>
    </row>
    <row r="318" spans="1:4" x14ac:dyDescent="0.2">
      <c r="A318" s="41" t="s">
        <v>5816</v>
      </c>
      <c r="B318" s="2" t="s">
        <v>175</v>
      </c>
      <c r="C318" s="2" t="s">
        <v>5043</v>
      </c>
      <c r="D318" s="2" t="s">
        <v>8404</v>
      </c>
    </row>
    <row r="319" spans="1:4" x14ac:dyDescent="0.2">
      <c r="A319" s="41" t="s">
        <v>5817</v>
      </c>
      <c r="B319" s="2" t="s">
        <v>383</v>
      </c>
      <c r="C319" s="2" t="s">
        <v>5043</v>
      </c>
      <c r="D319" s="2" t="s">
        <v>8404</v>
      </c>
    </row>
    <row r="320" spans="1:4" x14ac:dyDescent="0.2">
      <c r="A320" s="41" t="s">
        <v>5818</v>
      </c>
      <c r="B320" s="2" t="s">
        <v>383</v>
      </c>
      <c r="C320" s="2" t="s">
        <v>5043</v>
      </c>
      <c r="D320" s="2" t="s">
        <v>8404</v>
      </c>
    </row>
    <row r="321" spans="1:4" x14ac:dyDescent="0.2">
      <c r="A321" s="41" t="s">
        <v>3778</v>
      </c>
      <c r="B321" s="2" t="s">
        <v>383</v>
      </c>
      <c r="C321" s="2" t="s">
        <v>5043</v>
      </c>
      <c r="D321" s="2" t="s">
        <v>8404</v>
      </c>
    </row>
    <row r="322" spans="1:4" x14ac:dyDescent="0.2">
      <c r="A322" s="41" t="s">
        <v>3379</v>
      </c>
      <c r="B322" s="2" t="s">
        <v>413</v>
      </c>
      <c r="C322" s="2" t="s">
        <v>5043</v>
      </c>
      <c r="D322" s="2" t="s">
        <v>8404</v>
      </c>
    </row>
    <row r="323" spans="1:4" x14ac:dyDescent="0.2">
      <c r="A323" s="41" t="s">
        <v>5326</v>
      </c>
      <c r="B323" s="2" t="s">
        <v>413</v>
      </c>
      <c r="C323" s="2" t="s">
        <v>5043</v>
      </c>
      <c r="D323" s="2" t="s">
        <v>8404</v>
      </c>
    </row>
    <row r="324" spans="1:4" x14ac:dyDescent="0.2">
      <c r="A324" s="41" t="s">
        <v>5819</v>
      </c>
      <c r="B324" s="2" t="s">
        <v>414</v>
      </c>
      <c r="C324" s="2" t="s">
        <v>5043</v>
      </c>
      <c r="D324" s="2" t="s">
        <v>8404</v>
      </c>
    </row>
    <row r="325" spans="1:4" x14ac:dyDescent="0.2">
      <c r="A325" s="41" t="s">
        <v>5820</v>
      </c>
      <c r="B325" s="2" t="s">
        <v>205</v>
      </c>
      <c r="C325" s="2" t="s">
        <v>5043</v>
      </c>
      <c r="D325" s="2" t="s">
        <v>8404</v>
      </c>
    </row>
    <row r="326" spans="1:4" x14ac:dyDescent="0.2">
      <c r="A326" s="41" t="s">
        <v>5821</v>
      </c>
      <c r="B326" s="2" t="s">
        <v>205</v>
      </c>
      <c r="C326" s="2" t="s">
        <v>5043</v>
      </c>
      <c r="D326" s="2" t="s">
        <v>8404</v>
      </c>
    </row>
    <row r="327" spans="1:4" x14ac:dyDescent="0.2">
      <c r="A327" s="41" t="s">
        <v>3520</v>
      </c>
      <c r="B327" s="2" t="s">
        <v>205</v>
      </c>
      <c r="C327" s="2" t="s">
        <v>5043</v>
      </c>
      <c r="D327" s="2" t="s">
        <v>8404</v>
      </c>
    </row>
    <row r="328" spans="1:4" x14ac:dyDescent="0.2">
      <c r="A328" s="41" t="s">
        <v>3521</v>
      </c>
      <c r="B328" s="2" t="s">
        <v>205</v>
      </c>
      <c r="C328" s="2" t="s">
        <v>5043</v>
      </c>
      <c r="D328" s="2" t="s">
        <v>8404</v>
      </c>
    </row>
    <row r="329" spans="1:4" x14ac:dyDescent="0.2">
      <c r="A329" s="41" t="s">
        <v>5822</v>
      </c>
      <c r="B329" s="2" t="s">
        <v>415</v>
      </c>
      <c r="C329" s="2" t="s">
        <v>5043</v>
      </c>
      <c r="D329" s="2" t="s">
        <v>8404</v>
      </c>
    </row>
    <row r="330" spans="1:4" x14ac:dyDescent="0.2">
      <c r="A330" s="41" t="s">
        <v>5823</v>
      </c>
      <c r="B330" s="2" t="s">
        <v>888</v>
      </c>
      <c r="C330" s="2" t="s">
        <v>5043</v>
      </c>
      <c r="D330" s="2" t="s">
        <v>8406</v>
      </c>
    </row>
    <row r="331" spans="1:4" x14ac:dyDescent="0.2">
      <c r="A331" s="41" t="s">
        <v>5824</v>
      </c>
      <c r="B331" s="2" t="s">
        <v>889</v>
      </c>
      <c r="C331" s="2" t="s">
        <v>5043</v>
      </c>
      <c r="D331" s="2" t="s">
        <v>8406</v>
      </c>
    </row>
    <row r="332" spans="1:4" x14ac:dyDescent="0.2">
      <c r="A332" s="41" t="s">
        <v>5825</v>
      </c>
      <c r="B332" s="2" t="s">
        <v>889</v>
      </c>
      <c r="C332" s="2" t="s">
        <v>5043</v>
      </c>
      <c r="D332" s="2" t="s">
        <v>8406</v>
      </c>
    </row>
    <row r="333" spans="1:4" x14ac:dyDescent="0.2">
      <c r="A333" s="41" t="s">
        <v>5826</v>
      </c>
      <c r="B333" s="2" t="s">
        <v>416</v>
      </c>
      <c r="C333" s="2" t="s">
        <v>5043</v>
      </c>
      <c r="D333" s="2" t="s">
        <v>8406</v>
      </c>
    </row>
    <row r="334" spans="1:4" x14ac:dyDescent="0.2">
      <c r="A334" s="41" t="s">
        <v>3246</v>
      </c>
      <c r="B334" s="2" t="s">
        <v>206</v>
      </c>
      <c r="C334" s="2" t="s">
        <v>5043</v>
      </c>
      <c r="D334" s="2" t="s">
        <v>8413</v>
      </c>
    </row>
    <row r="335" spans="1:4" x14ac:dyDescent="0.2">
      <c r="A335" s="41" t="s">
        <v>3247</v>
      </c>
      <c r="B335" s="2" t="s">
        <v>206</v>
      </c>
      <c r="C335" s="2" t="s">
        <v>5043</v>
      </c>
      <c r="D335" s="2" t="s">
        <v>8413</v>
      </c>
    </row>
    <row r="336" spans="1:4" x14ac:dyDescent="0.2">
      <c r="A336" s="41" t="s">
        <v>5057</v>
      </c>
      <c r="B336" s="2" t="s">
        <v>206</v>
      </c>
      <c r="C336" s="2" t="s">
        <v>5043</v>
      </c>
      <c r="D336" s="2" t="s">
        <v>8413</v>
      </c>
    </row>
    <row r="337" spans="1:4" x14ac:dyDescent="0.2">
      <c r="A337" s="41" t="s">
        <v>5058</v>
      </c>
      <c r="B337" s="2" t="s">
        <v>206</v>
      </c>
      <c r="C337" s="2" t="s">
        <v>5043</v>
      </c>
      <c r="D337" s="2" t="s">
        <v>8413</v>
      </c>
    </row>
    <row r="338" spans="1:4" x14ac:dyDescent="0.2">
      <c r="A338" s="41" t="s">
        <v>5042</v>
      </c>
      <c r="B338" s="2" t="s">
        <v>206</v>
      </c>
      <c r="C338" s="2" t="s">
        <v>5043</v>
      </c>
      <c r="D338" s="2" t="s">
        <v>8413</v>
      </c>
    </row>
    <row r="339" spans="1:4" x14ac:dyDescent="0.2">
      <c r="A339" s="41" t="s">
        <v>4650</v>
      </c>
      <c r="B339" s="2" t="s">
        <v>206</v>
      </c>
      <c r="C339" s="2" t="s">
        <v>5043</v>
      </c>
      <c r="D339" s="2" t="s">
        <v>8406</v>
      </c>
    </row>
    <row r="340" spans="1:4" x14ac:dyDescent="0.2">
      <c r="A340" s="41" t="s">
        <v>4651</v>
      </c>
      <c r="B340" s="2" t="s">
        <v>206</v>
      </c>
      <c r="C340" s="2" t="s">
        <v>5043</v>
      </c>
      <c r="D340" s="2" t="s">
        <v>8406</v>
      </c>
    </row>
    <row r="341" spans="1:4" x14ac:dyDescent="0.2">
      <c r="A341" s="41" t="s">
        <v>4652</v>
      </c>
      <c r="B341" s="2" t="s">
        <v>206</v>
      </c>
      <c r="C341" s="2" t="s">
        <v>5043</v>
      </c>
      <c r="D341" s="2" t="s">
        <v>8406</v>
      </c>
    </row>
    <row r="342" spans="1:4" x14ac:dyDescent="0.2">
      <c r="A342" s="41" t="s">
        <v>4653</v>
      </c>
      <c r="B342" s="2" t="s">
        <v>206</v>
      </c>
      <c r="C342" s="2" t="s">
        <v>5043</v>
      </c>
      <c r="D342" s="2" t="s">
        <v>8406</v>
      </c>
    </row>
    <row r="343" spans="1:4" x14ac:dyDescent="0.2">
      <c r="A343" s="41" t="s">
        <v>4654</v>
      </c>
      <c r="B343" s="2" t="s">
        <v>206</v>
      </c>
      <c r="C343" s="2" t="s">
        <v>5043</v>
      </c>
      <c r="D343" s="2" t="s">
        <v>8406</v>
      </c>
    </row>
    <row r="344" spans="1:4" x14ac:dyDescent="0.2">
      <c r="A344" s="41" t="s">
        <v>4655</v>
      </c>
      <c r="B344" s="2" t="s">
        <v>206</v>
      </c>
      <c r="C344" s="2" t="s">
        <v>5043</v>
      </c>
      <c r="D344" s="2" t="s">
        <v>8406</v>
      </c>
    </row>
    <row r="345" spans="1:4" x14ac:dyDescent="0.2">
      <c r="A345" s="41" t="s">
        <v>4656</v>
      </c>
      <c r="B345" s="2" t="s">
        <v>206</v>
      </c>
      <c r="C345" s="2" t="s">
        <v>5043</v>
      </c>
      <c r="D345" s="2" t="s">
        <v>8406</v>
      </c>
    </row>
    <row r="346" spans="1:4" x14ac:dyDescent="0.2">
      <c r="A346" s="41" t="s">
        <v>4657</v>
      </c>
      <c r="B346" s="2" t="s">
        <v>206</v>
      </c>
      <c r="C346" s="2" t="s">
        <v>5043</v>
      </c>
      <c r="D346" s="2" t="s">
        <v>8406</v>
      </c>
    </row>
    <row r="347" spans="1:4" x14ac:dyDescent="0.2">
      <c r="A347" s="41" t="s">
        <v>4658</v>
      </c>
      <c r="B347" s="2" t="s">
        <v>206</v>
      </c>
      <c r="C347" s="2" t="s">
        <v>5043</v>
      </c>
      <c r="D347" s="2" t="s">
        <v>8406</v>
      </c>
    </row>
    <row r="348" spans="1:4" x14ac:dyDescent="0.2">
      <c r="A348" s="41" t="s">
        <v>4659</v>
      </c>
      <c r="B348" s="2" t="s">
        <v>206</v>
      </c>
      <c r="C348" s="2" t="s">
        <v>5043</v>
      </c>
      <c r="D348" s="2" t="s">
        <v>8406</v>
      </c>
    </row>
    <row r="349" spans="1:4" x14ac:dyDescent="0.2">
      <c r="A349" s="41" t="s">
        <v>4660</v>
      </c>
      <c r="B349" s="2" t="s">
        <v>206</v>
      </c>
      <c r="C349" s="2" t="s">
        <v>5043</v>
      </c>
      <c r="D349" s="2" t="s">
        <v>8406</v>
      </c>
    </row>
    <row r="350" spans="1:4" x14ac:dyDescent="0.2">
      <c r="A350" s="41" t="s">
        <v>4661</v>
      </c>
      <c r="B350" s="2" t="s">
        <v>206</v>
      </c>
      <c r="C350" s="2" t="s">
        <v>5043</v>
      </c>
      <c r="D350" s="2" t="s">
        <v>8406</v>
      </c>
    </row>
    <row r="351" spans="1:4" x14ac:dyDescent="0.2">
      <c r="A351" s="41" t="s">
        <v>4662</v>
      </c>
      <c r="B351" s="2" t="s">
        <v>206</v>
      </c>
      <c r="C351" s="2" t="s">
        <v>5043</v>
      </c>
      <c r="D351" s="2" t="s">
        <v>8406</v>
      </c>
    </row>
    <row r="352" spans="1:4" x14ac:dyDescent="0.2">
      <c r="A352" s="41" t="s">
        <v>5827</v>
      </c>
      <c r="B352" s="2" t="s">
        <v>417</v>
      </c>
      <c r="C352" s="2" t="s">
        <v>5043</v>
      </c>
      <c r="D352" s="2" t="s">
        <v>8406</v>
      </c>
    </row>
    <row r="353" spans="1:4" x14ac:dyDescent="0.2">
      <c r="A353" s="41" t="s">
        <v>5828</v>
      </c>
      <c r="B353" s="2" t="s">
        <v>417</v>
      </c>
      <c r="C353" s="2" t="s">
        <v>5043</v>
      </c>
      <c r="D353" s="2" t="s">
        <v>8406</v>
      </c>
    </row>
    <row r="354" spans="1:4" x14ac:dyDescent="0.2">
      <c r="A354" s="41" t="s">
        <v>5829</v>
      </c>
      <c r="B354" s="2" t="s">
        <v>417</v>
      </c>
      <c r="C354" s="2" t="s">
        <v>5043</v>
      </c>
      <c r="D354" s="2" t="s">
        <v>8406</v>
      </c>
    </row>
    <row r="355" spans="1:4" x14ac:dyDescent="0.2">
      <c r="A355" s="41" t="s">
        <v>4567</v>
      </c>
      <c r="B355" s="2" t="s">
        <v>346</v>
      </c>
      <c r="C355" s="2" t="s">
        <v>5043</v>
      </c>
      <c r="D355" s="2" t="s">
        <v>8404</v>
      </c>
    </row>
    <row r="356" spans="1:4" x14ac:dyDescent="0.2">
      <c r="A356" s="41" t="s">
        <v>4568</v>
      </c>
      <c r="B356" s="2" t="s">
        <v>346</v>
      </c>
      <c r="C356" s="2" t="s">
        <v>5043</v>
      </c>
      <c r="D356" s="2" t="s">
        <v>8404</v>
      </c>
    </row>
    <row r="357" spans="1:4" x14ac:dyDescent="0.2">
      <c r="A357" s="41" t="s">
        <v>4569</v>
      </c>
      <c r="B357" s="2" t="s">
        <v>346</v>
      </c>
      <c r="C357" s="2" t="s">
        <v>5043</v>
      </c>
      <c r="D357" s="2" t="s">
        <v>8404</v>
      </c>
    </row>
    <row r="358" spans="1:4" x14ac:dyDescent="0.2">
      <c r="A358" s="41" t="s">
        <v>4570</v>
      </c>
      <c r="B358" s="2" t="s">
        <v>345</v>
      </c>
      <c r="C358" s="2" t="s">
        <v>5043</v>
      </c>
      <c r="D358" s="2" t="s">
        <v>8404</v>
      </c>
    </row>
    <row r="359" spans="1:4" x14ac:dyDescent="0.2">
      <c r="A359" s="41" t="s">
        <v>5213</v>
      </c>
      <c r="B359" s="2" t="s">
        <v>207</v>
      </c>
      <c r="C359" s="2" t="s">
        <v>5043</v>
      </c>
      <c r="D359" s="2" t="s">
        <v>8404</v>
      </c>
    </row>
    <row r="360" spans="1:4" x14ac:dyDescent="0.2">
      <c r="A360" s="41" t="s">
        <v>5830</v>
      </c>
      <c r="B360" s="2" t="s">
        <v>208</v>
      </c>
      <c r="C360" s="2" t="s">
        <v>5043</v>
      </c>
      <c r="D360" s="2" t="s">
        <v>8404</v>
      </c>
    </row>
    <row r="361" spans="1:4" x14ac:dyDescent="0.2">
      <c r="A361" s="41" t="s">
        <v>5831</v>
      </c>
      <c r="B361" s="2" t="s">
        <v>208</v>
      </c>
      <c r="C361" s="2" t="s">
        <v>5043</v>
      </c>
      <c r="D361" s="2" t="s">
        <v>8404</v>
      </c>
    </row>
    <row r="362" spans="1:4" x14ac:dyDescent="0.2">
      <c r="A362" s="41" t="s">
        <v>4274</v>
      </c>
      <c r="B362" s="2" t="s">
        <v>524</v>
      </c>
      <c r="C362" s="2" t="s">
        <v>5043</v>
      </c>
      <c r="D362" s="2" t="s">
        <v>8406</v>
      </c>
    </row>
    <row r="363" spans="1:4" x14ac:dyDescent="0.2">
      <c r="A363" s="41" t="s">
        <v>4275</v>
      </c>
      <c r="B363" s="2" t="s">
        <v>209</v>
      </c>
      <c r="C363" s="2" t="s">
        <v>5043</v>
      </c>
      <c r="D363" s="2" t="s">
        <v>8406</v>
      </c>
    </row>
    <row r="364" spans="1:4" x14ac:dyDescent="0.2">
      <c r="A364" s="41" t="s">
        <v>2695</v>
      </c>
      <c r="B364" s="2" t="s">
        <v>347</v>
      </c>
      <c r="C364" s="2" t="s">
        <v>5043</v>
      </c>
      <c r="D364" s="2" t="s">
        <v>8413</v>
      </c>
    </row>
    <row r="365" spans="1:4" x14ac:dyDescent="0.2">
      <c r="A365" s="41" t="s">
        <v>4183</v>
      </c>
      <c r="B365" s="2" t="s">
        <v>370</v>
      </c>
      <c r="C365" s="2" t="s">
        <v>5043</v>
      </c>
      <c r="D365" s="2" t="s">
        <v>8404</v>
      </c>
    </row>
    <row r="366" spans="1:4" x14ac:dyDescent="0.2">
      <c r="A366" s="41" t="s">
        <v>5832</v>
      </c>
      <c r="B366" s="2" t="s">
        <v>418</v>
      </c>
      <c r="C366" s="2" t="s">
        <v>5043</v>
      </c>
      <c r="D366" s="2" t="s">
        <v>8404</v>
      </c>
    </row>
    <row r="367" spans="1:4" x14ac:dyDescent="0.2">
      <c r="A367" s="41" t="s">
        <v>5427</v>
      </c>
      <c r="B367" s="2" t="s">
        <v>419</v>
      </c>
      <c r="C367" s="2" t="s">
        <v>5043</v>
      </c>
      <c r="D367" s="2" t="s">
        <v>8412</v>
      </c>
    </row>
    <row r="368" spans="1:4" x14ac:dyDescent="0.2">
      <c r="A368" s="41" t="s">
        <v>4155</v>
      </c>
      <c r="B368" s="2" t="s">
        <v>543</v>
      </c>
      <c r="C368" s="2" t="s">
        <v>5043</v>
      </c>
      <c r="D368" s="2" t="s">
        <v>8404</v>
      </c>
    </row>
    <row r="369" spans="1:4" x14ac:dyDescent="0.2">
      <c r="A369" s="41" t="s">
        <v>5833</v>
      </c>
      <c r="B369" s="2" t="s">
        <v>694</v>
      </c>
      <c r="C369" s="2" t="s">
        <v>5043</v>
      </c>
      <c r="D369" s="2" t="s">
        <v>8406</v>
      </c>
    </row>
    <row r="370" spans="1:4" x14ac:dyDescent="0.2">
      <c r="A370" s="41" t="s">
        <v>5834</v>
      </c>
      <c r="B370" s="2" t="s">
        <v>694</v>
      </c>
      <c r="C370" s="2" t="s">
        <v>5043</v>
      </c>
      <c r="D370" s="2" t="s">
        <v>8406</v>
      </c>
    </row>
    <row r="371" spans="1:4" x14ac:dyDescent="0.2">
      <c r="A371" s="41" t="s">
        <v>4571</v>
      </c>
      <c r="B371" s="2" t="s">
        <v>348</v>
      </c>
      <c r="C371" s="2" t="s">
        <v>5043</v>
      </c>
      <c r="D371" s="2" t="s">
        <v>8404</v>
      </c>
    </row>
    <row r="372" spans="1:4" x14ac:dyDescent="0.2">
      <c r="A372" s="41" t="s">
        <v>5835</v>
      </c>
      <c r="B372" s="2" t="s">
        <v>348</v>
      </c>
      <c r="C372" s="2" t="s">
        <v>5043</v>
      </c>
      <c r="D372" s="2" t="s">
        <v>8404</v>
      </c>
    </row>
    <row r="373" spans="1:4" x14ac:dyDescent="0.2">
      <c r="A373" s="41" t="s">
        <v>4572</v>
      </c>
      <c r="B373" s="2" t="s">
        <v>348</v>
      </c>
      <c r="C373" s="2" t="s">
        <v>5043</v>
      </c>
      <c r="D373" s="2" t="s">
        <v>8404</v>
      </c>
    </row>
    <row r="374" spans="1:4" x14ac:dyDescent="0.2">
      <c r="A374" s="41" t="s">
        <v>5836</v>
      </c>
      <c r="B374" s="2" t="s">
        <v>210</v>
      </c>
      <c r="C374" s="2" t="s">
        <v>5043</v>
      </c>
      <c r="D374" s="2" t="s">
        <v>8404</v>
      </c>
    </row>
    <row r="375" spans="1:4" x14ac:dyDescent="0.2">
      <c r="A375" s="41" t="s">
        <v>5837</v>
      </c>
      <c r="B375" s="2" t="s">
        <v>210</v>
      </c>
      <c r="C375" s="2" t="s">
        <v>5043</v>
      </c>
      <c r="D375" s="2" t="s">
        <v>8404</v>
      </c>
    </row>
    <row r="376" spans="1:4" x14ac:dyDescent="0.2">
      <c r="A376" s="41" t="s">
        <v>5838</v>
      </c>
      <c r="B376" s="2" t="s">
        <v>349</v>
      </c>
      <c r="C376" s="2" t="s">
        <v>5043</v>
      </c>
      <c r="D376" s="2" t="s">
        <v>8404</v>
      </c>
    </row>
    <row r="377" spans="1:4" x14ac:dyDescent="0.2">
      <c r="A377" s="41" t="s">
        <v>4573</v>
      </c>
      <c r="B377" s="2" t="s">
        <v>349</v>
      </c>
      <c r="C377" s="2" t="s">
        <v>5043</v>
      </c>
      <c r="D377" s="2" t="s">
        <v>8404</v>
      </c>
    </row>
    <row r="378" spans="1:4" x14ac:dyDescent="0.2">
      <c r="A378" s="41" t="s">
        <v>5839</v>
      </c>
      <c r="B378" s="2" t="s">
        <v>420</v>
      </c>
      <c r="C378" s="2" t="s">
        <v>5043</v>
      </c>
      <c r="D378" s="2" t="s">
        <v>8404</v>
      </c>
    </row>
    <row r="379" spans="1:4" x14ac:dyDescent="0.2">
      <c r="A379" s="41" t="s">
        <v>5378</v>
      </c>
      <c r="B379" s="2" t="s">
        <v>307</v>
      </c>
      <c r="C379" s="2" t="s">
        <v>5043</v>
      </c>
      <c r="D379" s="2" t="s">
        <v>8404</v>
      </c>
    </row>
    <row r="380" spans="1:4" x14ac:dyDescent="0.2">
      <c r="A380" s="41" t="s">
        <v>5840</v>
      </c>
      <c r="B380" s="2" t="s">
        <v>421</v>
      </c>
      <c r="C380" s="2" t="s">
        <v>5043</v>
      </c>
      <c r="D380" s="2" t="s">
        <v>8406</v>
      </c>
    </row>
    <row r="381" spans="1:4" x14ac:dyDescent="0.2">
      <c r="A381" s="41" t="s">
        <v>5841</v>
      </c>
      <c r="B381" s="2" t="s">
        <v>300</v>
      </c>
      <c r="C381" s="2" t="s">
        <v>5043</v>
      </c>
      <c r="D381" s="2" t="s">
        <v>8404</v>
      </c>
    </row>
    <row r="382" spans="1:4" x14ac:dyDescent="0.2">
      <c r="A382" s="41" t="s">
        <v>5338</v>
      </c>
      <c r="B382" s="2" t="s">
        <v>384</v>
      </c>
      <c r="C382" s="2" t="s">
        <v>5043</v>
      </c>
      <c r="D382" s="2" t="s">
        <v>8413</v>
      </c>
    </row>
    <row r="383" spans="1:4" x14ac:dyDescent="0.2">
      <c r="A383" s="41" t="s">
        <v>5842</v>
      </c>
      <c r="B383" s="2" t="s">
        <v>384</v>
      </c>
      <c r="C383" s="2" t="s">
        <v>5043</v>
      </c>
      <c r="D383" s="2" t="s">
        <v>8406</v>
      </c>
    </row>
    <row r="384" spans="1:4" x14ac:dyDescent="0.2">
      <c r="A384" s="41" t="s">
        <v>4574</v>
      </c>
      <c r="B384" s="2" t="s">
        <v>169</v>
      </c>
      <c r="C384" s="2" t="s">
        <v>5043</v>
      </c>
      <c r="D384" s="2" t="s">
        <v>8404</v>
      </c>
    </row>
    <row r="385" spans="1:4" x14ac:dyDescent="0.2">
      <c r="A385" s="41" t="s">
        <v>4575</v>
      </c>
      <c r="B385" s="2" t="s">
        <v>169</v>
      </c>
      <c r="C385" s="2" t="s">
        <v>5043</v>
      </c>
      <c r="D385" s="2" t="s">
        <v>8404</v>
      </c>
    </row>
    <row r="386" spans="1:4" x14ac:dyDescent="0.2">
      <c r="A386" s="41" t="s">
        <v>3662</v>
      </c>
      <c r="B386" s="2" t="s">
        <v>169</v>
      </c>
      <c r="C386" s="2" t="s">
        <v>5043</v>
      </c>
      <c r="D386" s="2" t="s">
        <v>8406</v>
      </c>
    </row>
    <row r="387" spans="1:4" x14ac:dyDescent="0.2">
      <c r="A387" s="41" t="s">
        <v>4316</v>
      </c>
      <c r="B387" s="2" t="s">
        <v>177</v>
      </c>
      <c r="C387" s="2" t="s">
        <v>5043</v>
      </c>
      <c r="D387" s="2" t="s">
        <v>8413</v>
      </c>
    </row>
    <row r="388" spans="1:4" x14ac:dyDescent="0.2">
      <c r="A388" s="41" t="s">
        <v>5843</v>
      </c>
      <c r="B388" s="2" t="s">
        <v>422</v>
      </c>
      <c r="C388" s="2" t="s">
        <v>5043</v>
      </c>
      <c r="D388" s="2" t="s">
        <v>8406</v>
      </c>
    </row>
    <row r="389" spans="1:4" x14ac:dyDescent="0.2">
      <c r="A389" s="41" t="s">
        <v>5844</v>
      </c>
      <c r="B389" s="2" t="s">
        <v>422</v>
      </c>
      <c r="C389" s="2" t="s">
        <v>5043</v>
      </c>
      <c r="D389" s="2" t="s">
        <v>8406</v>
      </c>
    </row>
    <row r="390" spans="1:4" x14ac:dyDescent="0.2">
      <c r="A390" s="41" t="s">
        <v>5845</v>
      </c>
      <c r="B390" s="2" t="s">
        <v>422</v>
      </c>
      <c r="C390" s="2" t="s">
        <v>5043</v>
      </c>
      <c r="D390" s="2" t="s">
        <v>8406</v>
      </c>
    </row>
    <row r="391" spans="1:4" x14ac:dyDescent="0.2">
      <c r="A391" s="41" t="s">
        <v>4576</v>
      </c>
      <c r="B391" s="2" t="s">
        <v>211</v>
      </c>
      <c r="C391" s="2" t="s">
        <v>5043</v>
      </c>
      <c r="D391" s="2" t="s">
        <v>8413</v>
      </c>
    </row>
    <row r="392" spans="1:4" x14ac:dyDescent="0.2">
      <c r="A392" s="41" t="s">
        <v>5268</v>
      </c>
      <c r="B392" s="2" t="s">
        <v>211</v>
      </c>
      <c r="C392" s="2" t="s">
        <v>5043</v>
      </c>
      <c r="D392" s="2" t="s">
        <v>8413</v>
      </c>
    </row>
    <row r="393" spans="1:4" x14ac:dyDescent="0.2">
      <c r="A393" s="41" t="s">
        <v>5283</v>
      </c>
      <c r="B393" s="2" t="s">
        <v>211</v>
      </c>
      <c r="C393" s="2" t="s">
        <v>5043</v>
      </c>
      <c r="D393" s="2" t="s">
        <v>8413</v>
      </c>
    </row>
    <row r="394" spans="1:4" x14ac:dyDescent="0.2">
      <c r="A394" s="41" t="s">
        <v>5284</v>
      </c>
      <c r="B394" s="2" t="s">
        <v>211</v>
      </c>
      <c r="C394" s="2" t="s">
        <v>5043</v>
      </c>
      <c r="D394" s="2" t="s">
        <v>8413</v>
      </c>
    </row>
    <row r="395" spans="1:4" x14ac:dyDescent="0.2">
      <c r="A395" s="41" t="s">
        <v>5285</v>
      </c>
      <c r="B395" s="2" t="s">
        <v>211</v>
      </c>
      <c r="C395" s="2" t="s">
        <v>5043</v>
      </c>
      <c r="D395" s="2" t="s">
        <v>8413</v>
      </c>
    </row>
    <row r="396" spans="1:4" x14ac:dyDescent="0.2">
      <c r="A396" s="41" t="s">
        <v>5286</v>
      </c>
      <c r="B396" s="2" t="s">
        <v>211</v>
      </c>
      <c r="C396" s="2" t="s">
        <v>5043</v>
      </c>
      <c r="D396" s="2" t="s">
        <v>8413</v>
      </c>
    </row>
    <row r="397" spans="1:4" x14ac:dyDescent="0.2">
      <c r="A397" s="41" t="s">
        <v>5287</v>
      </c>
      <c r="B397" s="2" t="s">
        <v>211</v>
      </c>
      <c r="C397" s="2" t="s">
        <v>5043</v>
      </c>
      <c r="D397" s="2" t="s">
        <v>8413</v>
      </c>
    </row>
    <row r="398" spans="1:4" x14ac:dyDescent="0.2">
      <c r="A398" s="41" t="s">
        <v>5290</v>
      </c>
      <c r="B398" s="2" t="s">
        <v>211</v>
      </c>
      <c r="C398" s="2" t="s">
        <v>5043</v>
      </c>
      <c r="D398" s="2" t="s">
        <v>8413</v>
      </c>
    </row>
    <row r="399" spans="1:4" x14ac:dyDescent="0.2">
      <c r="A399" s="41" t="s">
        <v>5307</v>
      </c>
      <c r="B399" s="2" t="s">
        <v>211</v>
      </c>
      <c r="C399" s="2" t="s">
        <v>5043</v>
      </c>
      <c r="D399" s="2" t="s">
        <v>8413</v>
      </c>
    </row>
    <row r="400" spans="1:4" x14ac:dyDescent="0.2">
      <c r="A400" s="41" t="s">
        <v>5846</v>
      </c>
      <c r="B400" s="2" t="s">
        <v>211</v>
      </c>
      <c r="C400" s="2" t="s">
        <v>5043</v>
      </c>
      <c r="D400" s="2" t="s">
        <v>8413</v>
      </c>
    </row>
    <row r="401" spans="1:4" x14ac:dyDescent="0.2">
      <c r="A401" s="41" t="s">
        <v>5847</v>
      </c>
      <c r="B401" s="2" t="s">
        <v>211</v>
      </c>
      <c r="C401" s="2" t="s">
        <v>5043</v>
      </c>
      <c r="D401" s="2" t="s">
        <v>8406</v>
      </c>
    </row>
    <row r="402" spans="1:4" x14ac:dyDescent="0.2">
      <c r="A402" s="41" t="s">
        <v>5848</v>
      </c>
      <c r="B402" s="2" t="s">
        <v>211</v>
      </c>
      <c r="C402" s="2" t="s">
        <v>5043</v>
      </c>
      <c r="D402" s="2" t="s">
        <v>8406</v>
      </c>
    </row>
    <row r="403" spans="1:4" x14ac:dyDescent="0.2">
      <c r="A403" s="41" t="s">
        <v>5849</v>
      </c>
      <c r="B403" s="2" t="s">
        <v>211</v>
      </c>
      <c r="C403" s="2" t="s">
        <v>5043</v>
      </c>
      <c r="D403" s="2" t="s">
        <v>8406</v>
      </c>
    </row>
    <row r="404" spans="1:4" x14ac:dyDescent="0.2">
      <c r="A404" s="41" t="s">
        <v>5850</v>
      </c>
      <c r="B404" s="2" t="s">
        <v>211</v>
      </c>
      <c r="C404" s="2" t="s">
        <v>5043</v>
      </c>
      <c r="D404" s="2" t="s">
        <v>8406</v>
      </c>
    </row>
    <row r="405" spans="1:4" x14ac:dyDescent="0.2">
      <c r="A405" s="41" t="s">
        <v>5851</v>
      </c>
      <c r="B405" s="2" t="s">
        <v>178</v>
      </c>
      <c r="C405" s="2" t="s">
        <v>5043</v>
      </c>
      <c r="D405" s="2" t="s">
        <v>8404</v>
      </c>
    </row>
    <row r="406" spans="1:4" x14ac:dyDescent="0.2">
      <c r="A406" s="41" t="s">
        <v>5852</v>
      </c>
      <c r="B406" s="2" t="s">
        <v>520</v>
      </c>
      <c r="C406" s="2" t="s">
        <v>5043</v>
      </c>
      <c r="D406" s="2" t="s">
        <v>8404</v>
      </c>
    </row>
    <row r="407" spans="1:4" x14ac:dyDescent="0.2">
      <c r="A407" s="41" t="s">
        <v>5853</v>
      </c>
      <c r="B407" s="2" t="s">
        <v>179</v>
      </c>
      <c r="C407" s="2" t="s">
        <v>5043</v>
      </c>
      <c r="D407" s="2" t="s">
        <v>8404</v>
      </c>
    </row>
    <row r="408" spans="1:4" x14ac:dyDescent="0.2">
      <c r="A408" s="41" t="s">
        <v>5854</v>
      </c>
      <c r="B408" s="2" t="s">
        <v>179</v>
      </c>
      <c r="C408" s="2" t="s">
        <v>5043</v>
      </c>
      <c r="D408" s="2" t="s">
        <v>8404</v>
      </c>
    </row>
    <row r="409" spans="1:4" x14ac:dyDescent="0.2">
      <c r="A409" s="41" t="s">
        <v>5855</v>
      </c>
      <c r="B409" s="2" t="s">
        <v>179</v>
      </c>
      <c r="C409" s="2" t="s">
        <v>5043</v>
      </c>
      <c r="D409" s="2" t="s">
        <v>8404</v>
      </c>
    </row>
    <row r="410" spans="1:4" x14ac:dyDescent="0.2">
      <c r="A410" s="41" t="s">
        <v>5856</v>
      </c>
      <c r="B410" s="2" t="s">
        <v>179</v>
      </c>
      <c r="C410" s="2" t="s">
        <v>5043</v>
      </c>
      <c r="D410" s="2" t="s">
        <v>8406</v>
      </c>
    </row>
    <row r="411" spans="1:4" x14ac:dyDescent="0.2">
      <c r="A411" s="41" t="s">
        <v>5857</v>
      </c>
      <c r="B411" s="2" t="s">
        <v>212</v>
      </c>
      <c r="C411" s="2" t="s">
        <v>5043</v>
      </c>
      <c r="D411" s="2" t="s">
        <v>8404</v>
      </c>
    </row>
    <row r="412" spans="1:4" x14ac:dyDescent="0.2">
      <c r="A412" s="41" t="s">
        <v>5858</v>
      </c>
      <c r="B412" s="2" t="s">
        <v>212</v>
      </c>
      <c r="C412" s="2" t="s">
        <v>5043</v>
      </c>
      <c r="D412" s="2" t="s">
        <v>8404</v>
      </c>
    </row>
    <row r="413" spans="1:4" x14ac:dyDescent="0.2">
      <c r="A413" s="41" t="s">
        <v>5859</v>
      </c>
      <c r="B413" s="2" t="s">
        <v>212</v>
      </c>
      <c r="C413" s="2" t="s">
        <v>5043</v>
      </c>
      <c r="D413" s="2" t="s">
        <v>8404</v>
      </c>
    </row>
    <row r="414" spans="1:4" x14ac:dyDescent="0.2">
      <c r="A414" s="41" t="s">
        <v>5860</v>
      </c>
      <c r="B414" s="2" t="s">
        <v>212</v>
      </c>
      <c r="C414" s="2" t="s">
        <v>5043</v>
      </c>
      <c r="D414" s="2" t="s">
        <v>8404</v>
      </c>
    </row>
    <row r="415" spans="1:4" x14ac:dyDescent="0.2">
      <c r="A415" s="41" t="s">
        <v>5861</v>
      </c>
      <c r="B415" s="2" t="s">
        <v>212</v>
      </c>
      <c r="C415" s="2" t="s">
        <v>5043</v>
      </c>
      <c r="D415" s="2" t="s">
        <v>8404</v>
      </c>
    </row>
    <row r="416" spans="1:4" x14ac:dyDescent="0.2">
      <c r="A416" s="41" t="s">
        <v>5862</v>
      </c>
      <c r="B416" s="2" t="s">
        <v>212</v>
      </c>
      <c r="C416" s="2" t="s">
        <v>5043</v>
      </c>
      <c r="D416" s="2" t="s">
        <v>8404</v>
      </c>
    </row>
    <row r="417" spans="1:4" x14ac:dyDescent="0.2">
      <c r="A417" s="41" t="s">
        <v>5863</v>
      </c>
      <c r="B417" s="2" t="s">
        <v>212</v>
      </c>
      <c r="C417" s="2" t="s">
        <v>5043</v>
      </c>
      <c r="D417" s="2" t="s">
        <v>8404</v>
      </c>
    </row>
    <row r="418" spans="1:4" x14ac:dyDescent="0.2">
      <c r="A418" s="41" t="s">
        <v>5431</v>
      </c>
      <c r="B418" s="2" t="s">
        <v>212</v>
      </c>
      <c r="C418" s="2" t="s">
        <v>5043</v>
      </c>
      <c r="D418" s="2" t="s">
        <v>8404</v>
      </c>
    </row>
    <row r="419" spans="1:4" x14ac:dyDescent="0.2">
      <c r="A419" s="41" t="s">
        <v>5864</v>
      </c>
      <c r="B419" s="2" t="s">
        <v>212</v>
      </c>
      <c r="C419" s="2" t="s">
        <v>5043</v>
      </c>
      <c r="D419" s="2" t="s">
        <v>8404</v>
      </c>
    </row>
    <row r="420" spans="1:4" x14ac:dyDescent="0.2">
      <c r="A420" s="41" t="s">
        <v>4663</v>
      </c>
      <c r="B420" s="2" t="s">
        <v>212</v>
      </c>
      <c r="C420" s="2" t="s">
        <v>5043</v>
      </c>
      <c r="D420" s="2" t="s">
        <v>8406</v>
      </c>
    </row>
    <row r="421" spans="1:4" x14ac:dyDescent="0.2">
      <c r="A421" s="41" t="s">
        <v>5865</v>
      </c>
      <c r="B421" s="2" t="s">
        <v>170</v>
      </c>
      <c r="C421" s="2" t="s">
        <v>5043</v>
      </c>
      <c r="D421" s="2" t="s">
        <v>8413</v>
      </c>
    </row>
    <row r="422" spans="1:4" x14ac:dyDescent="0.2">
      <c r="A422" s="41" t="s">
        <v>5866</v>
      </c>
      <c r="B422" s="2" t="s">
        <v>170</v>
      </c>
      <c r="C422" s="2" t="s">
        <v>5043</v>
      </c>
      <c r="D422" s="2" t="s">
        <v>8413</v>
      </c>
    </row>
    <row r="423" spans="1:4" x14ac:dyDescent="0.2">
      <c r="A423" s="41" t="s">
        <v>5867</v>
      </c>
      <c r="B423" s="2" t="s">
        <v>170</v>
      </c>
      <c r="C423" s="2" t="s">
        <v>5043</v>
      </c>
      <c r="D423" s="2" t="s">
        <v>8413</v>
      </c>
    </row>
    <row r="424" spans="1:4" x14ac:dyDescent="0.2">
      <c r="A424" s="41" t="s">
        <v>4664</v>
      </c>
      <c r="B424" s="2" t="s">
        <v>170</v>
      </c>
      <c r="C424" s="2" t="s">
        <v>5043</v>
      </c>
      <c r="D424" s="2" t="s">
        <v>8406</v>
      </c>
    </row>
    <row r="425" spans="1:4" x14ac:dyDescent="0.2">
      <c r="A425" s="41" t="s">
        <v>5868</v>
      </c>
      <c r="B425" s="2" t="s">
        <v>170</v>
      </c>
      <c r="C425" s="2" t="s">
        <v>5083</v>
      </c>
      <c r="D425" s="2" t="s">
        <v>8414</v>
      </c>
    </row>
    <row r="426" spans="1:4" x14ac:dyDescent="0.2">
      <c r="A426" s="41" t="s">
        <v>5869</v>
      </c>
      <c r="B426" s="2" t="s">
        <v>423</v>
      </c>
      <c r="C426" s="2" t="s">
        <v>5083</v>
      </c>
      <c r="D426" s="2" t="s">
        <v>8414</v>
      </c>
    </row>
    <row r="427" spans="1:4" x14ac:dyDescent="0.2">
      <c r="A427" s="41" t="s">
        <v>5870</v>
      </c>
      <c r="B427" s="2" t="s">
        <v>308</v>
      </c>
      <c r="C427" s="2" t="s">
        <v>5083</v>
      </c>
      <c r="D427" s="2" t="s">
        <v>8414</v>
      </c>
    </row>
    <row r="428" spans="1:4" x14ac:dyDescent="0.2">
      <c r="A428" s="41" t="s">
        <v>5871</v>
      </c>
      <c r="B428" s="2" t="s">
        <v>308</v>
      </c>
      <c r="C428" s="2" t="s">
        <v>5083</v>
      </c>
      <c r="D428" s="2" t="s">
        <v>8414</v>
      </c>
    </row>
    <row r="429" spans="1:4" x14ac:dyDescent="0.2">
      <c r="A429" s="41" t="s">
        <v>5872</v>
      </c>
      <c r="B429" s="2" t="s">
        <v>424</v>
      </c>
      <c r="C429" s="2" t="s">
        <v>5083</v>
      </c>
      <c r="D429" s="2" t="s">
        <v>8414</v>
      </c>
    </row>
    <row r="430" spans="1:4" x14ac:dyDescent="0.2">
      <c r="A430" s="41" t="s">
        <v>5873</v>
      </c>
      <c r="B430" s="2" t="s">
        <v>424</v>
      </c>
      <c r="C430" s="2" t="s">
        <v>5083</v>
      </c>
      <c r="D430" s="2" t="s">
        <v>8414</v>
      </c>
    </row>
    <row r="431" spans="1:4" x14ac:dyDescent="0.2">
      <c r="A431" s="41" t="s">
        <v>5103</v>
      </c>
      <c r="B431" s="2" t="s">
        <v>213</v>
      </c>
      <c r="C431" s="2" t="s">
        <v>5083</v>
      </c>
      <c r="D431" s="2" t="s">
        <v>8414</v>
      </c>
    </row>
    <row r="432" spans="1:4" x14ac:dyDescent="0.2">
      <c r="A432" s="41" t="s">
        <v>5874</v>
      </c>
      <c r="B432" s="2" t="s">
        <v>301</v>
      </c>
      <c r="C432" s="2" t="s">
        <v>5043</v>
      </c>
      <c r="D432" s="2" t="s">
        <v>8406</v>
      </c>
    </row>
    <row r="433" spans="1:4" x14ac:dyDescent="0.2">
      <c r="A433" s="41" t="s">
        <v>3697</v>
      </c>
      <c r="B433" s="2" t="s">
        <v>425</v>
      </c>
      <c r="C433" s="2" t="s">
        <v>5043</v>
      </c>
      <c r="D433" s="2" t="s">
        <v>8406</v>
      </c>
    </row>
    <row r="434" spans="1:4" x14ac:dyDescent="0.2">
      <c r="A434" s="41" t="s">
        <v>5875</v>
      </c>
      <c r="B434" s="2" t="s">
        <v>385</v>
      </c>
      <c r="C434" s="2" t="s">
        <v>5043</v>
      </c>
      <c r="D434" s="2" t="s">
        <v>8404</v>
      </c>
    </row>
    <row r="435" spans="1:4" x14ac:dyDescent="0.2">
      <c r="A435" s="41" t="s">
        <v>5876</v>
      </c>
      <c r="B435" s="2" t="s">
        <v>385</v>
      </c>
      <c r="C435" s="2" t="s">
        <v>5043</v>
      </c>
      <c r="D435" s="2" t="s">
        <v>8404</v>
      </c>
    </row>
    <row r="436" spans="1:4" x14ac:dyDescent="0.2">
      <c r="A436" s="41" t="s">
        <v>3698</v>
      </c>
      <c r="B436" s="2" t="s">
        <v>385</v>
      </c>
      <c r="C436" s="2" t="s">
        <v>5043</v>
      </c>
      <c r="D436" s="2" t="s">
        <v>8406</v>
      </c>
    </row>
    <row r="437" spans="1:4" x14ac:dyDescent="0.2">
      <c r="A437" s="41" t="s">
        <v>3699</v>
      </c>
      <c r="B437" s="2" t="s">
        <v>385</v>
      </c>
      <c r="C437" s="2" t="s">
        <v>5043</v>
      </c>
      <c r="D437" s="2" t="s">
        <v>8406</v>
      </c>
    </row>
    <row r="438" spans="1:4" x14ac:dyDescent="0.2">
      <c r="A438" s="41" t="s">
        <v>3700</v>
      </c>
      <c r="B438" s="2" t="s">
        <v>385</v>
      </c>
      <c r="C438" s="2" t="s">
        <v>5043</v>
      </c>
      <c r="D438" s="2" t="s">
        <v>8406</v>
      </c>
    </row>
    <row r="439" spans="1:4" x14ac:dyDescent="0.2">
      <c r="A439" s="41" t="s">
        <v>3701</v>
      </c>
      <c r="B439" s="2" t="s">
        <v>385</v>
      </c>
      <c r="C439" s="2" t="s">
        <v>5043</v>
      </c>
      <c r="D439" s="2" t="s">
        <v>8406</v>
      </c>
    </row>
    <row r="440" spans="1:4" x14ac:dyDescent="0.2">
      <c r="A440" s="41" t="s">
        <v>5877</v>
      </c>
      <c r="B440" s="2" t="s">
        <v>214</v>
      </c>
      <c r="C440" s="2" t="s">
        <v>5043</v>
      </c>
      <c r="D440" s="2" t="s">
        <v>8404</v>
      </c>
    </row>
    <row r="441" spans="1:4" x14ac:dyDescent="0.2">
      <c r="A441" s="41" t="s">
        <v>5878</v>
      </c>
      <c r="B441" s="2" t="s">
        <v>214</v>
      </c>
      <c r="C441" s="2" t="s">
        <v>5043</v>
      </c>
      <c r="D441" s="2" t="s">
        <v>8404</v>
      </c>
    </row>
    <row r="442" spans="1:4" x14ac:dyDescent="0.2">
      <c r="A442" s="41" t="s">
        <v>5879</v>
      </c>
      <c r="B442" s="2" t="s">
        <v>302</v>
      </c>
      <c r="C442" s="2" t="s">
        <v>5043</v>
      </c>
      <c r="D442" s="2" t="s">
        <v>8411</v>
      </c>
    </row>
    <row r="443" spans="1:4" x14ac:dyDescent="0.2">
      <c r="A443" s="41" t="s">
        <v>5880</v>
      </c>
      <c r="B443" s="2" t="s">
        <v>302</v>
      </c>
      <c r="C443" s="2" t="s">
        <v>5043</v>
      </c>
      <c r="D443" s="2" t="s">
        <v>8411</v>
      </c>
    </row>
    <row r="444" spans="1:4" x14ac:dyDescent="0.2">
      <c r="A444" s="41" t="s">
        <v>5881</v>
      </c>
      <c r="B444" s="2" t="s">
        <v>386</v>
      </c>
      <c r="C444" s="2" t="s">
        <v>5043</v>
      </c>
      <c r="D444" s="2" t="s">
        <v>8411</v>
      </c>
    </row>
    <row r="445" spans="1:4" x14ac:dyDescent="0.2">
      <c r="A445" s="41" t="s">
        <v>5882</v>
      </c>
      <c r="B445" s="2" t="s">
        <v>386</v>
      </c>
      <c r="C445" s="2" t="s">
        <v>5043</v>
      </c>
      <c r="D445" s="2" t="s">
        <v>8406</v>
      </c>
    </row>
    <row r="446" spans="1:4" x14ac:dyDescent="0.2">
      <c r="A446" s="41" t="s">
        <v>5883</v>
      </c>
      <c r="B446" s="2" t="s">
        <v>386</v>
      </c>
      <c r="C446" s="2" t="s">
        <v>5043</v>
      </c>
      <c r="D446" s="2" t="s">
        <v>8406</v>
      </c>
    </row>
    <row r="447" spans="1:4" x14ac:dyDescent="0.2">
      <c r="A447" s="41" t="s">
        <v>5884</v>
      </c>
      <c r="B447" s="2" t="s">
        <v>386</v>
      </c>
      <c r="C447" s="2" t="s">
        <v>5043</v>
      </c>
      <c r="D447" s="2" t="s">
        <v>8406</v>
      </c>
    </row>
    <row r="448" spans="1:4" x14ac:dyDescent="0.2">
      <c r="A448" s="41" t="s">
        <v>3811</v>
      </c>
      <c r="B448" s="2" t="s">
        <v>386</v>
      </c>
      <c r="C448" s="2" t="s">
        <v>5043</v>
      </c>
      <c r="D448" s="2" t="s">
        <v>8406</v>
      </c>
    </row>
    <row r="449" spans="1:4" x14ac:dyDescent="0.2">
      <c r="A449" s="41" t="s">
        <v>5885</v>
      </c>
      <c r="B449" s="2" t="s">
        <v>387</v>
      </c>
      <c r="C449" s="2" t="s">
        <v>5043</v>
      </c>
      <c r="D449" s="2" t="s">
        <v>8404</v>
      </c>
    </row>
    <row r="450" spans="1:4" x14ac:dyDescent="0.2">
      <c r="A450" s="41" t="s">
        <v>5886</v>
      </c>
      <c r="B450" s="2" t="s">
        <v>387</v>
      </c>
      <c r="C450" s="2" t="s">
        <v>5043</v>
      </c>
      <c r="D450" s="2" t="s">
        <v>8404</v>
      </c>
    </row>
    <row r="451" spans="1:4" x14ac:dyDescent="0.2">
      <c r="A451" s="41" t="s">
        <v>5887</v>
      </c>
      <c r="B451" s="2" t="s">
        <v>387</v>
      </c>
      <c r="C451" s="2" t="s">
        <v>5043</v>
      </c>
      <c r="D451" s="2" t="s">
        <v>8412</v>
      </c>
    </row>
    <row r="452" spans="1:4" x14ac:dyDescent="0.2">
      <c r="A452" s="41" t="s">
        <v>5888</v>
      </c>
      <c r="B452" s="2" t="s">
        <v>387</v>
      </c>
      <c r="C452" s="2" t="s">
        <v>5043</v>
      </c>
      <c r="D452" s="2" t="s">
        <v>8404</v>
      </c>
    </row>
    <row r="453" spans="1:4" x14ac:dyDescent="0.2">
      <c r="A453" s="41" t="s">
        <v>5889</v>
      </c>
      <c r="B453" s="2" t="s">
        <v>388</v>
      </c>
      <c r="C453" s="2" t="s">
        <v>5043</v>
      </c>
      <c r="D453" s="2" t="s">
        <v>8404</v>
      </c>
    </row>
    <row r="454" spans="1:4" x14ac:dyDescent="0.2">
      <c r="A454" s="41" t="s">
        <v>5890</v>
      </c>
      <c r="B454" s="2" t="s">
        <v>388</v>
      </c>
      <c r="C454" s="2" t="s">
        <v>5043</v>
      </c>
      <c r="D454" s="2" t="s">
        <v>8404</v>
      </c>
    </row>
    <row r="455" spans="1:4" x14ac:dyDescent="0.2">
      <c r="A455" s="41" t="s">
        <v>5891</v>
      </c>
      <c r="B455" s="2" t="s">
        <v>309</v>
      </c>
      <c r="C455" s="2" t="s">
        <v>5043</v>
      </c>
      <c r="D455" s="2" t="s">
        <v>8404</v>
      </c>
    </row>
    <row r="456" spans="1:4" x14ac:dyDescent="0.2">
      <c r="A456" s="41" t="s">
        <v>5892</v>
      </c>
      <c r="B456" s="2" t="s">
        <v>309</v>
      </c>
      <c r="C456" s="2" t="s">
        <v>5043</v>
      </c>
      <c r="D456" s="2" t="s">
        <v>8404</v>
      </c>
    </row>
    <row r="457" spans="1:4" x14ac:dyDescent="0.2">
      <c r="A457" s="41" t="s">
        <v>5893</v>
      </c>
      <c r="B457" s="2" t="s">
        <v>309</v>
      </c>
      <c r="C457" s="2" t="s">
        <v>5043</v>
      </c>
      <c r="D457" s="2" t="s">
        <v>8406</v>
      </c>
    </row>
    <row r="458" spans="1:4" x14ac:dyDescent="0.2">
      <c r="A458" s="41" t="s">
        <v>3813</v>
      </c>
      <c r="B458" s="2" t="s">
        <v>309</v>
      </c>
      <c r="C458" s="2" t="s">
        <v>5043</v>
      </c>
      <c r="D458" s="2" t="s">
        <v>8406</v>
      </c>
    </row>
    <row r="459" spans="1:4" x14ac:dyDescent="0.2">
      <c r="A459" s="41" t="s">
        <v>5894</v>
      </c>
      <c r="B459" s="2" t="s">
        <v>309</v>
      </c>
      <c r="C459" s="2" t="s">
        <v>5043</v>
      </c>
      <c r="D459" s="2" t="s">
        <v>8412</v>
      </c>
    </row>
    <row r="460" spans="1:4" x14ac:dyDescent="0.2">
      <c r="A460" s="41" t="s">
        <v>5895</v>
      </c>
      <c r="B460" s="2" t="s">
        <v>309</v>
      </c>
      <c r="C460" s="2" t="s">
        <v>5043</v>
      </c>
      <c r="D460" s="2" t="s">
        <v>8412</v>
      </c>
    </row>
    <row r="461" spans="1:4" x14ac:dyDescent="0.2">
      <c r="A461" s="41" t="s">
        <v>5896</v>
      </c>
      <c r="B461" s="2" t="s">
        <v>309</v>
      </c>
      <c r="C461" s="2" t="s">
        <v>5043</v>
      </c>
      <c r="D461" s="2" t="s">
        <v>8406</v>
      </c>
    </row>
    <row r="462" spans="1:4" x14ac:dyDescent="0.2">
      <c r="A462" s="41" t="s">
        <v>5897</v>
      </c>
      <c r="B462" s="2" t="s">
        <v>309</v>
      </c>
      <c r="C462" s="2" t="s">
        <v>5043</v>
      </c>
      <c r="D462" s="2" t="s">
        <v>8406</v>
      </c>
    </row>
    <row r="463" spans="1:4" x14ac:dyDescent="0.2">
      <c r="A463" s="41" t="s">
        <v>3814</v>
      </c>
      <c r="B463" s="2" t="s">
        <v>309</v>
      </c>
      <c r="C463" s="2" t="s">
        <v>5043</v>
      </c>
      <c r="D463" s="2" t="s">
        <v>8406</v>
      </c>
    </row>
    <row r="464" spans="1:4" x14ac:dyDescent="0.2">
      <c r="A464" s="41" t="s">
        <v>3815</v>
      </c>
      <c r="B464" s="2" t="s">
        <v>309</v>
      </c>
      <c r="C464" s="2" t="s">
        <v>5043</v>
      </c>
      <c r="D464" s="2" t="s">
        <v>8406</v>
      </c>
    </row>
    <row r="465" spans="1:4" x14ac:dyDescent="0.2">
      <c r="A465" s="41" t="s">
        <v>5898</v>
      </c>
      <c r="B465" s="2" t="s">
        <v>309</v>
      </c>
      <c r="C465" s="2" t="s">
        <v>5043</v>
      </c>
      <c r="D465" s="2" t="s">
        <v>8412</v>
      </c>
    </row>
    <row r="466" spans="1:4" x14ac:dyDescent="0.2">
      <c r="A466" s="41" t="s">
        <v>4577</v>
      </c>
      <c r="B466" s="2" t="s">
        <v>350</v>
      </c>
      <c r="C466" s="2" t="s">
        <v>5043</v>
      </c>
      <c r="D466" s="2" t="s">
        <v>8411</v>
      </c>
    </row>
    <row r="467" spans="1:4" x14ac:dyDescent="0.2">
      <c r="A467" s="41" t="s">
        <v>4578</v>
      </c>
      <c r="B467" s="2" t="s">
        <v>176</v>
      </c>
      <c r="C467" s="2" t="s">
        <v>5043</v>
      </c>
      <c r="D467" s="2" t="s">
        <v>8411</v>
      </c>
    </row>
    <row r="468" spans="1:4" x14ac:dyDescent="0.2">
      <c r="A468" s="41" t="s">
        <v>5899</v>
      </c>
      <c r="B468" s="2" t="s">
        <v>176</v>
      </c>
      <c r="C468" s="2" t="s">
        <v>5043</v>
      </c>
      <c r="D468" s="2" t="s">
        <v>8411</v>
      </c>
    </row>
    <row r="469" spans="1:4" x14ac:dyDescent="0.2">
      <c r="A469" s="41" t="s">
        <v>5900</v>
      </c>
      <c r="B469" s="2" t="s">
        <v>176</v>
      </c>
      <c r="C469" s="2" t="s">
        <v>5043</v>
      </c>
      <c r="D469" s="2" t="s">
        <v>8411</v>
      </c>
    </row>
    <row r="470" spans="1:4" x14ac:dyDescent="0.2">
      <c r="A470" s="41" t="s">
        <v>5901</v>
      </c>
      <c r="B470" s="2" t="s">
        <v>176</v>
      </c>
      <c r="C470" s="2" t="s">
        <v>5043</v>
      </c>
      <c r="D470" s="2" t="s">
        <v>8411</v>
      </c>
    </row>
    <row r="471" spans="1:4" x14ac:dyDescent="0.2">
      <c r="A471" s="41" t="s">
        <v>5902</v>
      </c>
      <c r="B471" s="2" t="s">
        <v>176</v>
      </c>
      <c r="C471" s="2" t="s">
        <v>5043</v>
      </c>
      <c r="D471" s="2" t="s">
        <v>8411</v>
      </c>
    </row>
    <row r="472" spans="1:4" x14ac:dyDescent="0.2">
      <c r="A472" s="41" t="s">
        <v>5903</v>
      </c>
      <c r="B472" s="2" t="s">
        <v>176</v>
      </c>
      <c r="C472" s="2" t="s">
        <v>5043</v>
      </c>
      <c r="D472" s="2" t="s">
        <v>8411</v>
      </c>
    </row>
    <row r="473" spans="1:4" x14ac:dyDescent="0.2">
      <c r="A473" s="41" t="s">
        <v>5904</v>
      </c>
      <c r="B473" s="2" t="s">
        <v>176</v>
      </c>
      <c r="C473" s="2" t="s">
        <v>5043</v>
      </c>
      <c r="D473" s="2" t="s">
        <v>8406</v>
      </c>
    </row>
    <row r="474" spans="1:4" x14ac:dyDescent="0.2">
      <c r="A474" s="41" t="s">
        <v>5905</v>
      </c>
      <c r="B474" s="2" t="s">
        <v>426</v>
      </c>
      <c r="C474" s="2" t="s">
        <v>5043</v>
      </c>
      <c r="D474" s="2" t="s">
        <v>8404</v>
      </c>
    </row>
    <row r="475" spans="1:4" x14ac:dyDescent="0.2">
      <c r="A475" s="41" t="s">
        <v>3828</v>
      </c>
      <c r="B475" s="2" t="s">
        <v>426</v>
      </c>
      <c r="C475" s="2" t="s">
        <v>5043</v>
      </c>
      <c r="D475" s="2" t="s">
        <v>8406</v>
      </c>
    </row>
    <row r="476" spans="1:4" x14ac:dyDescent="0.2">
      <c r="A476" s="41" t="s">
        <v>5906</v>
      </c>
      <c r="B476" s="2" t="s">
        <v>426</v>
      </c>
      <c r="C476" s="2" t="s">
        <v>5043</v>
      </c>
      <c r="D476" s="2" t="s">
        <v>8406</v>
      </c>
    </row>
    <row r="477" spans="1:4" x14ac:dyDescent="0.2">
      <c r="A477" s="41" t="s">
        <v>4665</v>
      </c>
      <c r="B477" s="2" t="s">
        <v>426</v>
      </c>
      <c r="C477" s="2" t="s">
        <v>5043</v>
      </c>
      <c r="D477" s="2" t="s">
        <v>8406</v>
      </c>
    </row>
    <row r="478" spans="1:4" x14ac:dyDescent="0.2">
      <c r="A478" s="41" t="s">
        <v>4579</v>
      </c>
      <c r="B478" s="2" t="s">
        <v>351</v>
      </c>
      <c r="C478" s="2" t="s">
        <v>5043</v>
      </c>
      <c r="D478" s="2" t="s">
        <v>8411</v>
      </c>
    </row>
    <row r="479" spans="1:4" x14ac:dyDescent="0.2">
      <c r="A479" s="41" t="s">
        <v>4580</v>
      </c>
      <c r="B479" s="2" t="s">
        <v>351</v>
      </c>
      <c r="C479" s="2" t="s">
        <v>5043</v>
      </c>
      <c r="D479" s="2" t="s">
        <v>8411</v>
      </c>
    </row>
    <row r="480" spans="1:4" x14ac:dyDescent="0.2">
      <c r="A480" s="41" t="s">
        <v>4581</v>
      </c>
      <c r="B480" s="2" t="s">
        <v>351</v>
      </c>
      <c r="C480" s="2" t="s">
        <v>5043</v>
      </c>
      <c r="D480" s="2" t="s">
        <v>8411</v>
      </c>
    </row>
    <row r="481" spans="1:4" x14ac:dyDescent="0.2">
      <c r="A481" s="41" t="s">
        <v>4582</v>
      </c>
      <c r="B481" s="2" t="s">
        <v>351</v>
      </c>
      <c r="C481" s="2" t="s">
        <v>5043</v>
      </c>
      <c r="D481" s="2" t="s">
        <v>8411</v>
      </c>
    </row>
    <row r="482" spans="1:4" x14ac:dyDescent="0.2">
      <c r="A482" s="41" t="s">
        <v>4583</v>
      </c>
      <c r="B482" s="2" t="s">
        <v>351</v>
      </c>
      <c r="C482" s="2" t="s">
        <v>5043</v>
      </c>
      <c r="D482" s="2" t="s">
        <v>8411</v>
      </c>
    </row>
    <row r="483" spans="1:4" x14ac:dyDescent="0.2">
      <c r="A483" s="41" t="s">
        <v>5907</v>
      </c>
      <c r="B483" s="2" t="s">
        <v>351</v>
      </c>
      <c r="C483" s="2" t="s">
        <v>5043</v>
      </c>
      <c r="D483" s="2" t="s">
        <v>8411</v>
      </c>
    </row>
    <row r="484" spans="1:4" x14ac:dyDescent="0.2">
      <c r="A484" s="41" t="s">
        <v>5908</v>
      </c>
      <c r="B484" s="2" t="s">
        <v>351</v>
      </c>
      <c r="C484" s="2" t="s">
        <v>5043</v>
      </c>
      <c r="D484" s="2" t="s">
        <v>8411</v>
      </c>
    </row>
    <row r="485" spans="1:4" x14ac:dyDescent="0.2">
      <c r="A485" s="41" t="s">
        <v>5909</v>
      </c>
      <c r="B485" s="2" t="s">
        <v>351</v>
      </c>
      <c r="C485" s="2" t="s">
        <v>5043</v>
      </c>
      <c r="D485" s="2" t="s">
        <v>8406</v>
      </c>
    </row>
    <row r="486" spans="1:4" x14ac:dyDescent="0.2">
      <c r="A486" s="41" t="s">
        <v>5910</v>
      </c>
      <c r="B486" s="2" t="s">
        <v>351</v>
      </c>
      <c r="C486" s="2" t="s">
        <v>5043</v>
      </c>
      <c r="D486" s="2" t="s">
        <v>8406</v>
      </c>
    </row>
    <row r="487" spans="1:4" x14ac:dyDescent="0.2">
      <c r="A487" s="41" t="s">
        <v>3829</v>
      </c>
      <c r="B487" s="2" t="s">
        <v>351</v>
      </c>
      <c r="C487" s="2" t="s">
        <v>5043</v>
      </c>
      <c r="D487" s="2" t="s">
        <v>8406</v>
      </c>
    </row>
    <row r="488" spans="1:4" x14ac:dyDescent="0.2">
      <c r="A488" s="41" t="s">
        <v>3830</v>
      </c>
      <c r="B488" s="2" t="s">
        <v>351</v>
      </c>
      <c r="C488" s="2" t="s">
        <v>5043</v>
      </c>
      <c r="D488" s="2" t="s">
        <v>8406</v>
      </c>
    </row>
    <row r="489" spans="1:4" x14ac:dyDescent="0.2">
      <c r="A489" s="41" t="s">
        <v>5911</v>
      </c>
      <c r="B489" s="2" t="s">
        <v>427</v>
      </c>
      <c r="C489" s="2" t="s">
        <v>5043</v>
      </c>
      <c r="D489" s="2" t="s">
        <v>8411</v>
      </c>
    </row>
    <row r="490" spans="1:4" x14ac:dyDescent="0.2">
      <c r="A490" s="41" t="s">
        <v>2828</v>
      </c>
      <c r="B490" s="2" t="s">
        <v>427</v>
      </c>
      <c r="C490" s="2" t="s">
        <v>5043</v>
      </c>
      <c r="D490" s="2" t="s">
        <v>8411</v>
      </c>
    </row>
    <row r="491" spans="1:4" x14ac:dyDescent="0.2">
      <c r="A491" s="41" t="s">
        <v>5912</v>
      </c>
      <c r="B491" s="2" t="s">
        <v>303</v>
      </c>
      <c r="C491" s="2" t="s">
        <v>5043</v>
      </c>
      <c r="D491" s="2" t="s">
        <v>8404</v>
      </c>
    </row>
    <row r="492" spans="1:4" x14ac:dyDescent="0.2">
      <c r="A492" s="41" t="s">
        <v>5913</v>
      </c>
      <c r="B492" s="2" t="s">
        <v>303</v>
      </c>
      <c r="C492" s="2" t="s">
        <v>5043</v>
      </c>
      <c r="D492" s="2" t="s">
        <v>8404</v>
      </c>
    </row>
    <row r="493" spans="1:4" x14ac:dyDescent="0.2">
      <c r="A493" s="41" t="s">
        <v>5914</v>
      </c>
      <c r="B493" s="2" t="s">
        <v>303</v>
      </c>
      <c r="C493" s="2" t="s">
        <v>5043</v>
      </c>
      <c r="D493" s="2" t="s">
        <v>8404</v>
      </c>
    </row>
    <row r="494" spans="1:4" x14ac:dyDescent="0.2">
      <c r="A494" s="41" t="s">
        <v>3832</v>
      </c>
      <c r="B494" s="2" t="s">
        <v>303</v>
      </c>
      <c r="C494" s="2" t="s">
        <v>5043</v>
      </c>
      <c r="D494" s="2" t="s">
        <v>8406</v>
      </c>
    </row>
    <row r="495" spans="1:4" x14ac:dyDescent="0.2">
      <c r="A495" s="41" t="s">
        <v>5915</v>
      </c>
      <c r="B495" s="2" t="s">
        <v>304</v>
      </c>
      <c r="C495" s="2" t="s">
        <v>5043</v>
      </c>
      <c r="D495" s="2" t="s">
        <v>8411</v>
      </c>
    </row>
    <row r="496" spans="1:4" x14ac:dyDescent="0.2">
      <c r="A496" s="41" t="s">
        <v>5916</v>
      </c>
      <c r="B496" s="2" t="s">
        <v>304</v>
      </c>
      <c r="C496" s="2" t="s">
        <v>5043</v>
      </c>
      <c r="D496" s="2" t="s">
        <v>8411</v>
      </c>
    </row>
    <row r="497" spans="1:4" x14ac:dyDescent="0.2">
      <c r="A497" s="41" t="s">
        <v>5917</v>
      </c>
      <c r="B497" s="2" t="s">
        <v>389</v>
      </c>
      <c r="C497" s="2" t="s">
        <v>5043</v>
      </c>
      <c r="D497" s="2" t="s">
        <v>8404</v>
      </c>
    </row>
    <row r="498" spans="1:4" x14ac:dyDescent="0.2">
      <c r="A498" s="41" t="s">
        <v>5918</v>
      </c>
      <c r="B498" s="2" t="s">
        <v>890</v>
      </c>
      <c r="C498" s="2" t="s">
        <v>5043</v>
      </c>
      <c r="D498" s="2" t="s">
        <v>8406</v>
      </c>
    </row>
    <row r="499" spans="1:4" x14ac:dyDescent="0.2">
      <c r="A499" s="41" t="s">
        <v>5919</v>
      </c>
      <c r="B499" s="2" t="s">
        <v>890</v>
      </c>
      <c r="C499" s="2" t="s">
        <v>5043</v>
      </c>
      <c r="D499" s="2" t="s">
        <v>8406</v>
      </c>
    </row>
    <row r="500" spans="1:4" x14ac:dyDescent="0.2">
      <c r="A500" s="41" t="s">
        <v>2801</v>
      </c>
      <c r="B500" s="2" t="s">
        <v>390</v>
      </c>
      <c r="C500" s="2" t="s">
        <v>5043</v>
      </c>
      <c r="D500" s="2" t="s">
        <v>8406</v>
      </c>
    </row>
    <row r="501" spans="1:4" x14ac:dyDescent="0.2">
      <c r="A501" s="41" t="s">
        <v>5196</v>
      </c>
      <c r="B501" s="2" t="s">
        <v>173</v>
      </c>
      <c r="C501" s="2" t="s">
        <v>5043</v>
      </c>
      <c r="D501" s="2" t="s">
        <v>8413</v>
      </c>
    </row>
    <row r="502" spans="1:4" x14ac:dyDescent="0.2">
      <c r="A502" s="41" t="s">
        <v>2802</v>
      </c>
      <c r="B502" s="2" t="s">
        <v>173</v>
      </c>
      <c r="C502" s="2" t="s">
        <v>5043</v>
      </c>
      <c r="D502" s="2" t="s">
        <v>8406</v>
      </c>
    </row>
    <row r="503" spans="1:4" x14ac:dyDescent="0.2">
      <c r="A503" s="41" t="s">
        <v>2809</v>
      </c>
      <c r="B503" s="2" t="s">
        <v>173</v>
      </c>
      <c r="C503" s="2" t="s">
        <v>5043</v>
      </c>
      <c r="D503" s="2" t="s">
        <v>8406</v>
      </c>
    </row>
    <row r="504" spans="1:4" x14ac:dyDescent="0.2">
      <c r="A504" s="41" t="s">
        <v>2810</v>
      </c>
      <c r="B504" s="2" t="s">
        <v>173</v>
      </c>
      <c r="C504" s="2" t="s">
        <v>5043</v>
      </c>
      <c r="D504" s="2" t="s">
        <v>8406</v>
      </c>
    </row>
    <row r="505" spans="1:4" x14ac:dyDescent="0.2">
      <c r="A505" s="41" t="s">
        <v>4584</v>
      </c>
      <c r="B505" s="2" t="s">
        <v>352</v>
      </c>
      <c r="C505" s="2" t="s">
        <v>5043</v>
      </c>
      <c r="D505" s="2" t="s">
        <v>8404</v>
      </c>
    </row>
    <row r="506" spans="1:4" x14ac:dyDescent="0.2">
      <c r="A506" s="41" t="s">
        <v>4585</v>
      </c>
      <c r="B506" s="2" t="s">
        <v>352</v>
      </c>
      <c r="C506" s="2" t="s">
        <v>5043</v>
      </c>
      <c r="D506" s="2" t="s">
        <v>8404</v>
      </c>
    </row>
    <row r="507" spans="1:4" x14ac:dyDescent="0.2">
      <c r="A507" s="41" t="s">
        <v>4586</v>
      </c>
      <c r="B507" s="2" t="s">
        <v>352</v>
      </c>
      <c r="C507" s="2" t="s">
        <v>5043</v>
      </c>
      <c r="D507" s="2" t="s">
        <v>8404</v>
      </c>
    </row>
    <row r="508" spans="1:4" x14ac:dyDescent="0.2">
      <c r="A508" s="41" t="s">
        <v>5920</v>
      </c>
      <c r="B508" s="2" t="s">
        <v>310</v>
      </c>
      <c r="C508" s="2" t="s">
        <v>5043</v>
      </c>
      <c r="D508" s="2" t="s">
        <v>8404</v>
      </c>
    </row>
    <row r="509" spans="1:4" x14ac:dyDescent="0.2">
      <c r="A509" s="41" t="s">
        <v>5458</v>
      </c>
      <c r="B509" s="2" t="s">
        <v>215</v>
      </c>
      <c r="C509" s="2" t="s">
        <v>5043</v>
      </c>
      <c r="D509" s="2" t="s">
        <v>8404</v>
      </c>
    </row>
    <row r="510" spans="1:4" x14ac:dyDescent="0.2">
      <c r="A510" s="41" t="s">
        <v>5921</v>
      </c>
      <c r="B510" s="2" t="s">
        <v>215</v>
      </c>
      <c r="C510" s="2" t="s">
        <v>5043</v>
      </c>
      <c r="D510" s="2" t="s">
        <v>8406</v>
      </c>
    </row>
    <row r="511" spans="1:4" x14ac:dyDescent="0.2">
      <c r="A511" s="41" t="s">
        <v>5922</v>
      </c>
      <c r="B511" s="2" t="s">
        <v>428</v>
      </c>
      <c r="C511" s="2" t="s">
        <v>5043</v>
      </c>
      <c r="D511" s="2" t="s">
        <v>8406</v>
      </c>
    </row>
    <row r="512" spans="1:4" x14ac:dyDescent="0.2">
      <c r="A512" s="41" t="s">
        <v>5923</v>
      </c>
      <c r="B512" s="2" t="s">
        <v>428</v>
      </c>
      <c r="C512" s="2" t="s">
        <v>5043</v>
      </c>
      <c r="D512" s="2" t="s">
        <v>8406</v>
      </c>
    </row>
    <row r="513" spans="1:4" x14ac:dyDescent="0.2">
      <c r="A513" s="41" t="s">
        <v>4035</v>
      </c>
      <c r="B513" s="2" t="s">
        <v>429</v>
      </c>
      <c r="C513" s="2" t="s">
        <v>5043</v>
      </c>
      <c r="D513" s="2" t="s">
        <v>8404</v>
      </c>
    </row>
    <row r="514" spans="1:4" x14ac:dyDescent="0.2">
      <c r="A514" s="41" t="s">
        <v>5924</v>
      </c>
      <c r="B514" s="2" t="s">
        <v>429</v>
      </c>
      <c r="C514" s="2" t="s">
        <v>5043</v>
      </c>
      <c r="D514" s="2" t="s">
        <v>8406</v>
      </c>
    </row>
    <row r="515" spans="1:4" x14ac:dyDescent="0.2">
      <c r="A515" s="41" t="s">
        <v>5925</v>
      </c>
      <c r="B515" s="2" t="s">
        <v>429</v>
      </c>
      <c r="C515" s="2" t="s">
        <v>5043</v>
      </c>
      <c r="D515" s="2" t="s">
        <v>8406</v>
      </c>
    </row>
    <row r="516" spans="1:4" x14ac:dyDescent="0.2">
      <c r="A516" s="41" t="s">
        <v>5926</v>
      </c>
      <c r="B516" s="2" t="s">
        <v>525</v>
      </c>
      <c r="C516" s="2" t="s">
        <v>5043</v>
      </c>
      <c r="D516" s="2" t="s">
        <v>8404</v>
      </c>
    </row>
    <row r="517" spans="1:4" x14ac:dyDescent="0.2">
      <c r="A517" s="41" t="s">
        <v>3677</v>
      </c>
      <c r="B517" s="2" t="s">
        <v>311</v>
      </c>
      <c r="C517" s="2" t="s">
        <v>5043</v>
      </c>
      <c r="D517" s="2" t="s">
        <v>8404</v>
      </c>
    </row>
    <row r="518" spans="1:4" x14ac:dyDescent="0.2">
      <c r="A518" s="41" t="s">
        <v>5927</v>
      </c>
      <c r="B518" s="2" t="s">
        <v>391</v>
      </c>
      <c r="C518" s="2" t="s">
        <v>5043</v>
      </c>
      <c r="D518" s="2" t="s">
        <v>8406</v>
      </c>
    </row>
    <row r="519" spans="1:4" x14ac:dyDescent="0.2">
      <c r="A519" s="41" t="s">
        <v>5928</v>
      </c>
      <c r="B519" s="2" t="s">
        <v>312</v>
      </c>
      <c r="C519" s="2" t="s">
        <v>5043</v>
      </c>
      <c r="D519" s="2" t="s">
        <v>8404</v>
      </c>
    </row>
    <row r="520" spans="1:4" x14ac:dyDescent="0.2">
      <c r="A520" s="41" t="s">
        <v>5929</v>
      </c>
      <c r="B520" s="2" t="s">
        <v>312</v>
      </c>
      <c r="C520" s="2" t="s">
        <v>5043</v>
      </c>
      <c r="D520" s="2" t="s">
        <v>8404</v>
      </c>
    </row>
    <row r="521" spans="1:4" x14ac:dyDescent="0.2">
      <c r="A521" s="41" t="s">
        <v>5930</v>
      </c>
      <c r="B521" s="2" t="s">
        <v>430</v>
      </c>
      <c r="C521" s="2" t="s">
        <v>5043</v>
      </c>
      <c r="D521" s="2" t="s">
        <v>8404</v>
      </c>
    </row>
    <row r="522" spans="1:4" x14ac:dyDescent="0.2">
      <c r="A522" s="41" t="s">
        <v>5931</v>
      </c>
      <c r="B522" s="2" t="s">
        <v>430</v>
      </c>
      <c r="C522" s="2" t="s">
        <v>5043</v>
      </c>
      <c r="D522" s="2" t="s">
        <v>8404</v>
      </c>
    </row>
    <row r="523" spans="1:4" x14ac:dyDescent="0.2">
      <c r="A523" s="41" t="s">
        <v>5932</v>
      </c>
      <c r="B523" s="2" t="s">
        <v>430</v>
      </c>
      <c r="C523" s="2" t="s">
        <v>5043</v>
      </c>
      <c r="D523" s="2" t="s">
        <v>8404</v>
      </c>
    </row>
    <row r="524" spans="1:4" x14ac:dyDescent="0.2">
      <c r="A524" s="41" t="s">
        <v>5933</v>
      </c>
      <c r="B524" s="2" t="s">
        <v>430</v>
      </c>
      <c r="C524" s="2" t="s">
        <v>5043</v>
      </c>
      <c r="D524" s="2" t="s">
        <v>8404</v>
      </c>
    </row>
    <row r="525" spans="1:4" x14ac:dyDescent="0.2">
      <c r="A525" s="41" t="s">
        <v>5934</v>
      </c>
      <c r="B525" s="2" t="s">
        <v>430</v>
      </c>
      <c r="C525" s="2" t="s">
        <v>5043</v>
      </c>
      <c r="D525" s="2" t="s">
        <v>8404</v>
      </c>
    </row>
    <row r="526" spans="1:4" x14ac:dyDescent="0.2">
      <c r="A526" s="41" t="s">
        <v>5935</v>
      </c>
      <c r="B526" s="2" t="s">
        <v>430</v>
      </c>
      <c r="C526" s="2" t="s">
        <v>5043</v>
      </c>
      <c r="D526" s="2" t="s">
        <v>8404</v>
      </c>
    </row>
    <row r="527" spans="1:4" x14ac:dyDescent="0.2">
      <c r="A527" s="41" t="s">
        <v>5936</v>
      </c>
      <c r="B527" s="2" t="s">
        <v>430</v>
      </c>
      <c r="C527" s="2" t="s">
        <v>5043</v>
      </c>
      <c r="D527" s="2" t="s">
        <v>8404</v>
      </c>
    </row>
    <row r="528" spans="1:4" x14ac:dyDescent="0.2">
      <c r="A528" s="41" t="s">
        <v>5937</v>
      </c>
      <c r="B528" s="2" t="s">
        <v>430</v>
      </c>
      <c r="C528" s="2" t="s">
        <v>5043</v>
      </c>
      <c r="D528" s="2" t="s">
        <v>8404</v>
      </c>
    </row>
    <row r="529" spans="1:4" x14ac:dyDescent="0.2">
      <c r="A529" s="41" t="s">
        <v>5938</v>
      </c>
      <c r="B529" s="2" t="s">
        <v>430</v>
      </c>
      <c r="C529" s="2" t="s">
        <v>5043</v>
      </c>
      <c r="D529" s="2" t="s">
        <v>8406</v>
      </c>
    </row>
    <row r="530" spans="1:4" x14ac:dyDescent="0.2">
      <c r="A530" s="41" t="s">
        <v>5939</v>
      </c>
      <c r="B530" s="2" t="s">
        <v>430</v>
      </c>
      <c r="C530" s="2" t="s">
        <v>5043</v>
      </c>
      <c r="D530" s="2" t="s">
        <v>8406</v>
      </c>
    </row>
    <row r="531" spans="1:4" x14ac:dyDescent="0.2">
      <c r="A531" s="41" t="s">
        <v>5940</v>
      </c>
      <c r="B531" s="2" t="s">
        <v>430</v>
      </c>
      <c r="C531" s="2" t="s">
        <v>5043</v>
      </c>
      <c r="D531" s="2" t="s">
        <v>8406</v>
      </c>
    </row>
    <row r="532" spans="1:4" x14ac:dyDescent="0.2">
      <c r="A532" s="41" t="s">
        <v>5941</v>
      </c>
      <c r="B532" s="2" t="s">
        <v>431</v>
      </c>
      <c r="C532" s="2" t="s">
        <v>5043</v>
      </c>
      <c r="D532" s="2" t="s">
        <v>8404</v>
      </c>
    </row>
    <row r="533" spans="1:4" x14ac:dyDescent="0.2">
      <c r="A533" s="41" t="s">
        <v>5942</v>
      </c>
      <c r="B533" s="2" t="s">
        <v>431</v>
      </c>
      <c r="C533" s="2" t="s">
        <v>5043</v>
      </c>
      <c r="D533" s="2" t="s">
        <v>8404</v>
      </c>
    </row>
    <row r="534" spans="1:4" x14ac:dyDescent="0.2">
      <c r="A534" s="41" t="s">
        <v>5943</v>
      </c>
      <c r="B534" s="2" t="s">
        <v>431</v>
      </c>
      <c r="C534" s="2" t="s">
        <v>5043</v>
      </c>
      <c r="D534" s="2" t="s">
        <v>8404</v>
      </c>
    </row>
    <row r="535" spans="1:4" x14ac:dyDescent="0.2">
      <c r="A535" s="41" t="s">
        <v>5944</v>
      </c>
      <c r="B535" s="2" t="s">
        <v>431</v>
      </c>
      <c r="C535" s="2" t="s">
        <v>5043</v>
      </c>
      <c r="D535" s="2" t="s">
        <v>8404</v>
      </c>
    </row>
    <row r="536" spans="1:4" x14ac:dyDescent="0.2">
      <c r="A536" s="41" t="s">
        <v>5945</v>
      </c>
      <c r="B536" s="2" t="s">
        <v>431</v>
      </c>
      <c r="C536" s="2" t="s">
        <v>5043</v>
      </c>
      <c r="D536" s="2" t="s">
        <v>8404</v>
      </c>
    </row>
    <row r="537" spans="1:4" x14ac:dyDescent="0.2">
      <c r="A537" s="41" t="s">
        <v>3115</v>
      </c>
      <c r="B537" s="2" t="s">
        <v>432</v>
      </c>
      <c r="C537" s="2" t="s">
        <v>5043</v>
      </c>
      <c r="D537" s="2" t="s">
        <v>8404</v>
      </c>
    </row>
    <row r="538" spans="1:4" x14ac:dyDescent="0.2">
      <c r="A538" s="41" t="s">
        <v>5946</v>
      </c>
      <c r="B538" s="2" t="s">
        <v>432</v>
      </c>
      <c r="C538" s="2" t="s">
        <v>5043</v>
      </c>
      <c r="D538" s="2" t="s">
        <v>8404</v>
      </c>
    </row>
    <row r="539" spans="1:4" x14ac:dyDescent="0.2">
      <c r="A539" s="41" t="s">
        <v>5947</v>
      </c>
      <c r="B539" s="2" t="s">
        <v>432</v>
      </c>
      <c r="C539" s="2" t="s">
        <v>5043</v>
      </c>
      <c r="D539" s="2" t="s">
        <v>8404</v>
      </c>
    </row>
    <row r="540" spans="1:4" x14ac:dyDescent="0.2">
      <c r="A540" s="41" t="s">
        <v>5948</v>
      </c>
      <c r="B540" s="2" t="s">
        <v>432</v>
      </c>
      <c r="C540" s="2" t="s">
        <v>5043</v>
      </c>
      <c r="D540" s="2" t="s">
        <v>8404</v>
      </c>
    </row>
    <row r="541" spans="1:4" x14ac:dyDescent="0.2">
      <c r="A541" s="41" t="s">
        <v>4192</v>
      </c>
      <c r="B541" s="2" t="s">
        <v>432</v>
      </c>
      <c r="C541" s="2" t="s">
        <v>5043</v>
      </c>
      <c r="D541" s="2" t="s">
        <v>8404</v>
      </c>
    </row>
    <row r="542" spans="1:4" x14ac:dyDescent="0.2">
      <c r="A542" s="41" t="s">
        <v>5949</v>
      </c>
      <c r="B542" s="2" t="s">
        <v>433</v>
      </c>
      <c r="C542" s="2" t="s">
        <v>5043</v>
      </c>
      <c r="D542" s="2" t="s">
        <v>8404</v>
      </c>
    </row>
    <row r="543" spans="1:4" x14ac:dyDescent="0.2">
      <c r="A543" s="41" t="s">
        <v>5950</v>
      </c>
      <c r="B543" s="2" t="s">
        <v>434</v>
      </c>
      <c r="C543" s="2" t="s">
        <v>5043</v>
      </c>
      <c r="D543" s="2" t="s">
        <v>8404</v>
      </c>
    </row>
    <row r="544" spans="1:4" x14ac:dyDescent="0.2">
      <c r="A544" s="41" t="s">
        <v>5951</v>
      </c>
      <c r="B544" s="2" t="s">
        <v>434</v>
      </c>
      <c r="C544" s="2" t="s">
        <v>5043</v>
      </c>
      <c r="D544" s="2" t="s">
        <v>8404</v>
      </c>
    </row>
    <row r="545" spans="1:4" x14ac:dyDescent="0.2">
      <c r="A545" s="41" t="s">
        <v>5567</v>
      </c>
      <c r="B545" s="2" t="s">
        <v>435</v>
      </c>
      <c r="C545" s="2" t="s">
        <v>5043</v>
      </c>
      <c r="D545" s="2" t="s">
        <v>8404</v>
      </c>
    </row>
    <row r="546" spans="1:4" x14ac:dyDescent="0.2">
      <c r="A546" s="41" t="s">
        <v>3841</v>
      </c>
      <c r="B546" s="2" t="s">
        <v>436</v>
      </c>
      <c r="C546" s="2" t="s">
        <v>5043</v>
      </c>
      <c r="D546" s="2" t="s">
        <v>8404</v>
      </c>
    </row>
    <row r="547" spans="1:4" x14ac:dyDescent="0.2">
      <c r="A547" s="41" t="s">
        <v>5952</v>
      </c>
      <c r="B547" s="2" t="s">
        <v>216</v>
      </c>
      <c r="C547" s="2" t="s">
        <v>5043</v>
      </c>
      <c r="D547" s="2" t="s">
        <v>8404</v>
      </c>
    </row>
    <row r="548" spans="1:4" x14ac:dyDescent="0.2">
      <c r="A548" s="41" t="s">
        <v>5953</v>
      </c>
      <c r="B548" s="2" t="s">
        <v>216</v>
      </c>
      <c r="C548" s="2" t="s">
        <v>5043</v>
      </c>
      <c r="D548" s="2" t="s">
        <v>8404</v>
      </c>
    </row>
    <row r="549" spans="1:4" x14ac:dyDescent="0.2">
      <c r="A549" s="41" t="s">
        <v>5954</v>
      </c>
      <c r="B549" s="2" t="s">
        <v>216</v>
      </c>
      <c r="C549" s="2" t="s">
        <v>5043</v>
      </c>
      <c r="D549" s="2" t="s">
        <v>8404</v>
      </c>
    </row>
    <row r="550" spans="1:4" x14ac:dyDescent="0.2">
      <c r="A550" s="41" t="s">
        <v>5955</v>
      </c>
      <c r="B550" s="2" t="s">
        <v>216</v>
      </c>
      <c r="C550" s="2" t="s">
        <v>5043</v>
      </c>
      <c r="D550" s="2" t="s">
        <v>8404</v>
      </c>
    </row>
    <row r="551" spans="1:4" x14ac:dyDescent="0.2">
      <c r="A551" s="41" t="s">
        <v>5956</v>
      </c>
      <c r="B551" s="2" t="s">
        <v>217</v>
      </c>
      <c r="C551" s="2" t="s">
        <v>5043</v>
      </c>
      <c r="D551" s="2" t="s">
        <v>8404</v>
      </c>
    </row>
    <row r="552" spans="1:4" x14ac:dyDescent="0.2">
      <c r="A552" s="41" t="s">
        <v>5957</v>
      </c>
      <c r="B552" s="2" t="s">
        <v>437</v>
      </c>
      <c r="C552" s="2" t="s">
        <v>5043</v>
      </c>
      <c r="D552" s="2" t="s">
        <v>8404</v>
      </c>
    </row>
    <row r="553" spans="1:4" x14ac:dyDescent="0.2">
      <c r="A553" s="41" t="s">
        <v>5958</v>
      </c>
      <c r="B553" s="2" t="s">
        <v>437</v>
      </c>
      <c r="C553" s="2" t="s">
        <v>5043</v>
      </c>
      <c r="D553" s="2" t="s">
        <v>8406</v>
      </c>
    </row>
    <row r="554" spans="1:4" x14ac:dyDescent="0.2">
      <c r="A554" s="41" t="s">
        <v>5959</v>
      </c>
      <c r="B554" s="2" t="s">
        <v>438</v>
      </c>
      <c r="C554" s="2" t="s">
        <v>5043</v>
      </c>
      <c r="D554" s="2" t="s">
        <v>8404</v>
      </c>
    </row>
    <row r="555" spans="1:4" x14ac:dyDescent="0.2">
      <c r="A555" s="41" t="s">
        <v>5960</v>
      </c>
      <c r="B555" s="2" t="s">
        <v>438</v>
      </c>
      <c r="C555" s="2" t="s">
        <v>5043</v>
      </c>
      <c r="D555" s="2" t="s">
        <v>8404</v>
      </c>
    </row>
    <row r="556" spans="1:4" x14ac:dyDescent="0.2">
      <c r="A556" s="41" t="s">
        <v>5961</v>
      </c>
      <c r="B556" s="2" t="s">
        <v>438</v>
      </c>
      <c r="C556" s="2" t="s">
        <v>5043</v>
      </c>
      <c r="D556" s="2" t="s">
        <v>8404</v>
      </c>
    </row>
    <row r="557" spans="1:4" x14ac:dyDescent="0.2">
      <c r="A557" s="41" t="s">
        <v>5962</v>
      </c>
      <c r="B557" s="2" t="s">
        <v>438</v>
      </c>
      <c r="C557" s="2" t="s">
        <v>5043</v>
      </c>
      <c r="D557" s="2" t="s">
        <v>8404</v>
      </c>
    </row>
    <row r="558" spans="1:4" x14ac:dyDescent="0.2">
      <c r="A558" s="41" t="s">
        <v>3455</v>
      </c>
      <c r="B558" s="2" t="s">
        <v>438</v>
      </c>
      <c r="C558" s="2" t="s">
        <v>5043</v>
      </c>
      <c r="D558" s="2" t="s">
        <v>8406</v>
      </c>
    </row>
    <row r="559" spans="1:4" x14ac:dyDescent="0.2">
      <c r="A559" s="41" t="s">
        <v>5963</v>
      </c>
      <c r="B559" s="2" t="s">
        <v>439</v>
      </c>
      <c r="C559" s="2" t="s">
        <v>5043</v>
      </c>
      <c r="D559" s="2" t="s">
        <v>8404</v>
      </c>
    </row>
    <row r="560" spans="1:4" x14ac:dyDescent="0.2">
      <c r="A560" s="41" t="s">
        <v>5964</v>
      </c>
      <c r="B560" s="2" t="s">
        <v>439</v>
      </c>
      <c r="C560" s="2" t="s">
        <v>5043</v>
      </c>
      <c r="D560" s="2" t="s">
        <v>8404</v>
      </c>
    </row>
    <row r="561" spans="1:4" x14ac:dyDescent="0.2">
      <c r="A561" s="41" t="s">
        <v>5965</v>
      </c>
      <c r="B561" s="2" t="s">
        <v>439</v>
      </c>
      <c r="C561" s="2" t="s">
        <v>5043</v>
      </c>
      <c r="D561" s="2" t="s">
        <v>8404</v>
      </c>
    </row>
    <row r="562" spans="1:4" x14ac:dyDescent="0.2">
      <c r="A562" s="41" t="s">
        <v>5966</v>
      </c>
      <c r="B562" s="2" t="s">
        <v>439</v>
      </c>
      <c r="C562" s="2" t="s">
        <v>5043</v>
      </c>
      <c r="D562" s="2" t="s">
        <v>8404</v>
      </c>
    </row>
    <row r="563" spans="1:4" x14ac:dyDescent="0.2">
      <c r="A563" s="41" t="s">
        <v>5967</v>
      </c>
      <c r="B563" s="2" t="s">
        <v>439</v>
      </c>
      <c r="C563" s="2" t="s">
        <v>5043</v>
      </c>
      <c r="D563" s="2" t="s">
        <v>8404</v>
      </c>
    </row>
    <row r="564" spans="1:4" x14ac:dyDescent="0.2">
      <c r="A564" s="41" t="s">
        <v>3456</v>
      </c>
      <c r="B564" s="2" t="s">
        <v>439</v>
      </c>
      <c r="C564" s="2" t="s">
        <v>5043</v>
      </c>
      <c r="D564" s="2" t="s">
        <v>8406</v>
      </c>
    </row>
    <row r="565" spans="1:4" x14ac:dyDescent="0.2">
      <c r="A565" s="41" t="s">
        <v>3457</v>
      </c>
      <c r="B565" s="2" t="s">
        <v>439</v>
      </c>
      <c r="C565" s="2" t="s">
        <v>5043</v>
      </c>
      <c r="D565" s="2" t="s">
        <v>8406</v>
      </c>
    </row>
    <row r="566" spans="1:4" x14ac:dyDescent="0.2">
      <c r="A566" s="41" t="s">
        <v>3458</v>
      </c>
      <c r="B566" s="2" t="s">
        <v>439</v>
      </c>
      <c r="C566" s="2" t="s">
        <v>5043</v>
      </c>
      <c r="D566" s="2" t="s">
        <v>8406</v>
      </c>
    </row>
    <row r="567" spans="1:4" x14ac:dyDescent="0.2">
      <c r="A567" s="41" t="s">
        <v>5968</v>
      </c>
      <c r="B567" s="2" t="s">
        <v>440</v>
      </c>
      <c r="C567" s="2" t="s">
        <v>5043</v>
      </c>
      <c r="D567" s="2" t="s">
        <v>8404</v>
      </c>
    </row>
    <row r="568" spans="1:4" x14ac:dyDescent="0.2">
      <c r="A568" s="41" t="s">
        <v>5969</v>
      </c>
      <c r="B568" s="2" t="s">
        <v>440</v>
      </c>
      <c r="C568" s="2" t="s">
        <v>5043</v>
      </c>
      <c r="D568" s="2" t="s">
        <v>8404</v>
      </c>
    </row>
    <row r="569" spans="1:4" x14ac:dyDescent="0.2">
      <c r="A569" s="41" t="s">
        <v>5970</v>
      </c>
      <c r="B569" s="2" t="s">
        <v>440</v>
      </c>
      <c r="C569" s="2" t="s">
        <v>5043</v>
      </c>
      <c r="D569" s="2" t="s">
        <v>8404</v>
      </c>
    </row>
    <row r="570" spans="1:4" x14ac:dyDescent="0.2">
      <c r="A570" s="41" t="s">
        <v>5971</v>
      </c>
      <c r="B570" s="2" t="s">
        <v>440</v>
      </c>
      <c r="C570" s="2" t="s">
        <v>5043</v>
      </c>
      <c r="D570" s="2" t="s">
        <v>8404</v>
      </c>
    </row>
    <row r="571" spans="1:4" x14ac:dyDescent="0.2">
      <c r="A571" s="41" t="s">
        <v>5972</v>
      </c>
      <c r="B571" s="2" t="s">
        <v>440</v>
      </c>
      <c r="C571" s="2" t="s">
        <v>5043</v>
      </c>
      <c r="D571" s="2" t="s">
        <v>8404</v>
      </c>
    </row>
    <row r="572" spans="1:4" x14ac:dyDescent="0.2">
      <c r="A572" s="41" t="s">
        <v>3467</v>
      </c>
      <c r="B572" s="2" t="s">
        <v>440</v>
      </c>
      <c r="C572" s="2" t="s">
        <v>5043</v>
      </c>
      <c r="D572" s="2" t="s">
        <v>8406</v>
      </c>
    </row>
    <row r="573" spans="1:4" x14ac:dyDescent="0.2">
      <c r="A573" s="41" t="s">
        <v>3468</v>
      </c>
      <c r="B573" s="2" t="s">
        <v>440</v>
      </c>
      <c r="C573" s="2" t="s">
        <v>5043</v>
      </c>
      <c r="D573" s="2" t="s">
        <v>8406</v>
      </c>
    </row>
    <row r="574" spans="1:4" x14ac:dyDescent="0.2">
      <c r="A574" s="41" t="s">
        <v>5973</v>
      </c>
      <c r="B574" s="2" t="s">
        <v>441</v>
      </c>
      <c r="C574" s="2" t="s">
        <v>5043</v>
      </c>
      <c r="D574" s="2" t="s">
        <v>8404</v>
      </c>
    </row>
    <row r="575" spans="1:4" x14ac:dyDescent="0.2">
      <c r="A575" s="41" t="s">
        <v>5974</v>
      </c>
      <c r="B575" s="2" t="s">
        <v>441</v>
      </c>
      <c r="C575" s="2" t="s">
        <v>5043</v>
      </c>
      <c r="D575" s="2" t="s">
        <v>8404</v>
      </c>
    </row>
    <row r="576" spans="1:4" x14ac:dyDescent="0.2">
      <c r="A576" s="41" t="s">
        <v>5975</v>
      </c>
      <c r="B576" s="2" t="s">
        <v>441</v>
      </c>
      <c r="C576" s="2" t="s">
        <v>5043</v>
      </c>
      <c r="D576" s="2" t="s">
        <v>8404</v>
      </c>
    </row>
    <row r="577" spans="1:4" x14ac:dyDescent="0.2">
      <c r="A577" s="41" t="s">
        <v>5594</v>
      </c>
      <c r="B577" s="2" t="s">
        <v>441</v>
      </c>
      <c r="C577" s="2" t="s">
        <v>5043</v>
      </c>
      <c r="D577" s="2" t="s">
        <v>8404</v>
      </c>
    </row>
    <row r="578" spans="1:4" x14ac:dyDescent="0.2">
      <c r="A578" s="41" t="s">
        <v>5595</v>
      </c>
      <c r="B578" s="2" t="s">
        <v>441</v>
      </c>
      <c r="C578" s="2" t="s">
        <v>5043</v>
      </c>
      <c r="D578" s="2" t="s">
        <v>8404</v>
      </c>
    </row>
    <row r="579" spans="1:4" x14ac:dyDescent="0.2">
      <c r="A579" s="41" t="s">
        <v>5118</v>
      </c>
      <c r="B579" s="2" t="s">
        <v>441</v>
      </c>
      <c r="C579" s="2" t="s">
        <v>5043</v>
      </c>
      <c r="D579" s="2" t="s">
        <v>8404</v>
      </c>
    </row>
    <row r="580" spans="1:4" x14ac:dyDescent="0.2">
      <c r="A580" s="41" t="s">
        <v>3469</v>
      </c>
      <c r="B580" s="2" t="s">
        <v>441</v>
      </c>
      <c r="C580" s="2" t="s">
        <v>5043</v>
      </c>
      <c r="D580" s="2" t="s">
        <v>8406</v>
      </c>
    </row>
    <row r="581" spans="1:4" x14ac:dyDescent="0.2">
      <c r="A581" s="41" t="s">
        <v>5119</v>
      </c>
      <c r="B581" s="2" t="s">
        <v>442</v>
      </c>
      <c r="C581" s="2" t="s">
        <v>5043</v>
      </c>
      <c r="D581" s="2" t="s">
        <v>8404</v>
      </c>
    </row>
    <row r="582" spans="1:4" x14ac:dyDescent="0.2">
      <c r="A582" s="41" t="s">
        <v>5120</v>
      </c>
      <c r="B582" s="2" t="s">
        <v>442</v>
      </c>
      <c r="C582" s="2" t="s">
        <v>5043</v>
      </c>
      <c r="D582" s="2" t="s">
        <v>8404</v>
      </c>
    </row>
    <row r="583" spans="1:4" x14ac:dyDescent="0.2">
      <c r="A583" s="41" t="s">
        <v>5121</v>
      </c>
      <c r="B583" s="2" t="s">
        <v>442</v>
      </c>
      <c r="C583" s="2" t="s">
        <v>5043</v>
      </c>
      <c r="D583" s="2" t="s">
        <v>8404</v>
      </c>
    </row>
    <row r="584" spans="1:4" x14ac:dyDescent="0.2">
      <c r="A584" s="41" t="s">
        <v>3470</v>
      </c>
      <c r="B584" s="2" t="s">
        <v>442</v>
      </c>
      <c r="C584" s="2" t="s">
        <v>5043</v>
      </c>
      <c r="D584" s="2" t="s">
        <v>8406</v>
      </c>
    </row>
    <row r="585" spans="1:4" x14ac:dyDescent="0.2">
      <c r="A585" s="41" t="s">
        <v>5976</v>
      </c>
      <c r="B585" s="2" t="s">
        <v>443</v>
      </c>
      <c r="C585" s="2" t="s">
        <v>5043</v>
      </c>
      <c r="D585" s="2" t="s">
        <v>8404</v>
      </c>
    </row>
    <row r="586" spans="1:4" x14ac:dyDescent="0.2">
      <c r="A586" s="41" t="s">
        <v>5977</v>
      </c>
      <c r="B586" s="2" t="s">
        <v>443</v>
      </c>
      <c r="C586" s="2" t="s">
        <v>5043</v>
      </c>
      <c r="D586" s="2" t="s">
        <v>8404</v>
      </c>
    </row>
    <row r="587" spans="1:4" x14ac:dyDescent="0.2">
      <c r="A587" s="41" t="s">
        <v>5978</v>
      </c>
      <c r="B587" s="2" t="s">
        <v>443</v>
      </c>
      <c r="C587" s="2" t="s">
        <v>5043</v>
      </c>
      <c r="D587" s="2" t="s">
        <v>8404</v>
      </c>
    </row>
    <row r="588" spans="1:4" x14ac:dyDescent="0.2">
      <c r="A588" s="41" t="s">
        <v>5979</v>
      </c>
      <c r="B588" s="2" t="s">
        <v>443</v>
      </c>
      <c r="C588" s="2" t="s">
        <v>5043</v>
      </c>
      <c r="D588" s="2" t="s">
        <v>8404</v>
      </c>
    </row>
    <row r="589" spans="1:4" x14ac:dyDescent="0.2">
      <c r="A589" s="41" t="s">
        <v>5980</v>
      </c>
      <c r="B589" s="2" t="s">
        <v>444</v>
      </c>
      <c r="C589" s="2" t="s">
        <v>5043</v>
      </c>
      <c r="D589" s="2" t="s">
        <v>8404</v>
      </c>
    </row>
    <row r="590" spans="1:4" x14ac:dyDescent="0.2">
      <c r="A590" s="41" t="s">
        <v>3730</v>
      </c>
      <c r="B590" s="2" t="s">
        <v>444</v>
      </c>
      <c r="C590" s="2" t="s">
        <v>5043</v>
      </c>
      <c r="D590" s="2" t="s">
        <v>8404</v>
      </c>
    </row>
    <row r="591" spans="1:4" x14ac:dyDescent="0.2">
      <c r="A591" s="41" t="s">
        <v>5981</v>
      </c>
      <c r="B591" s="2" t="s">
        <v>444</v>
      </c>
      <c r="C591" s="2" t="s">
        <v>5043</v>
      </c>
      <c r="D591" s="2" t="s">
        <v>8404</v>
      </c>
    </row>
    <row r="592" spans="1:4" x14ac:dyDescent="0.2">
      <c r="A592" s="41" t="s">
        <v>5982</v>
      </c>
      <c r="B592" s="2" t="s">
        <v>444</v>
      </c>
      <c r="C592" s="2" t="s">
        <v>5043</v>
      </c>
      <c r="D592" s="2" t="s">
        <v>8404</v>
      </c>
    </row>
    <row r="593" spans="1:4" x14ac:dyDescent="0.2">
      <c r="A593" s="41" t="s">
        <v>5983</v>
      </c>
      <c r="B593" s="2" t="s">
        <v>444</v>
      </c>
      <c r="C593" s="2" t="s">
        <v>5043</v>
      </c>
      <c r="D593" s="2" t="s">
        <v>8404</v>
      </c>
    </row>
    <row r="594" spans="1:4" x14ac:dyDescent="0.2">
      <c r="A594" s="41" t="s">
        <v>8309</v>
      </c>
      <c r="B594" s="2" t="s">
        <v>444</v>
      </c>
      <c r="C594" s="2" t="s">
        <v>5043</v>
      </c>
      <c r="D594" s="2" t="s">
        <v>8406</v>
      </c>
    </row>
    <row r="595" spans="1:4" x14ac:dyDescent="0.2">
      <c r="A595" s="41" t="s">
        <v>8310</v>
      </c>
      <c r="B595" s="2" t="s">
        <v>444</v>
      </c>
      <c r="C595" s="2" t="s">
        <v>5043</v>
      </c>
      <c r="D595" s="2" t="s">
        <v>8406</v>
      </c>
    </row>
    <row r="596" spans="1:4" x14ac:dyDescent="0.2">
      <c r="A596" s="41" t="s">
        <v>5984</v>
      </c>
      <c r="B596" s="2" t="s">
        <v>526</v>
      </c>
      <c r="C596" s="2" t="s">
        <v>5043</v>
      </c>
      <c r="D596" s="2" t="s">
        <v>8404</v>
      </c>
    </row>
    <row r="597" spans="1:4" x14ac:dyDescent="0.2">
      <c r="A597" s="41" t="s">
        <v>3843</v>
      </c>
      <c r="B597" s="2" t="s">
        <v>604</v>
      </c>
      <c r="C597" s="2" t="s">
        <v>5043</v>
      </c>
      <c r="D597" s="2" t="s">
        <v>8404</v>
      </c>
    </row>
    <row r="598" spans="1:4" x14ac:dyDescent="0.2">
      <c r="A598" s="41" t="s">
        <v>5985</v>
      </c>
      <c r="B598" s="2" t="s">
        <v>600</v>
      </c>
      <c r="C598" s="2" t="s">
        <v>5043</v>
      </c>
      <c r="D598" s="2" t="s">
        <v>8404</v>
      </c>
    </row>
    <row r="599" spans="1:4" x14ac:dyDescent="0.2">
      <c r="A599" s="41" t="s">
        <v>5986</v>
      </c>
      <c r="B599" s="2" t="s">
        <v>392</v>
      </c>
      <c r="C599" s="2" t="s">
        <v>5043</v>
      </c>
      <c r="D599" s="2" t="s">
        <v>8404</v>
      </c>
    </row>
    <row r="600" spans="1:4" x14ac:dyDescent="0.2">
      <c r="A600" s="41" t="s">
        <v>5987</v>
      </c>
      <c r="B600" s="2" t="s">
        <v>392</v>
      </c>
      <c r="C600" s="2" t="s">
        <v>5043</v>
      </c>
      <c r="D600" s="2" t="s">
        <v>8404</v>
      </c>
    </row>
    <row r="601" spans="1:4" x14ac:dyDescent="0.2">
      <c r="A601" s="41" t="s">
        <v>5988</v>
      </c>
      <c r="B601" s="2" t="s">
        <v>392</v>
      </c>
      <c r="C601" s="2" t="s">
        <v>5043</v>
      </c>
      <c r="D601" s="2" t="s">
        <v>8404</v>
      </c>
    </row>
    <row r="602" spans="1:4" x14ac:dyDescent="0.2">
      <c r="A602" s="41" t="s">
        <v>5989</v>
      </c>
      <c r="B602" s="2" t="s">
        <v>392</v>
      </c>
      <c r="C602" s="2" t="s">
        <v>5043</v>
      </c>
      <c r="D602" s="2" t="s">
        <v>8404</v>
      </c>
    </row>
    <row r="603" spans="1:4" x14ac:dyDescent="0.2">
      <c r="A603" s="41" t="s">
        <v>5990</v>
      </c>
      <c r="B603" s="2" t="s">
        <v>392</v>
      </c>
      <c r="C603" s="2" t="s">
        <v>5043</v>
      </c>
      <c r="D603" s="2" t="s">
        <v>8404</v>
      </c>
    </row>
    <row r="604" spans="1:4" x14ac:dyDescent="0.2">
      <c r="A604" s="41" t="s">
        <v>5463</v>
      </c>
      <c r="B604" s="2" t="s">
        <v>395</v>
      </c>
      <c r="C604" s="2" t="s">
        <v>5043</v>
      </c>
      <c r="D604" s="2" t="s">
        <v>8404</v>
      </c>
    </row>
    <row r="605" spans="1:4" x14ac:dyDescent="0.2">
      <c r="A605" s="41" t="s">
        <v>5991</v>
      </c>
      <c r="B605" s="2" t="s">
        <v>395</v>
      </c>
      <c r="C605" s="2" t="s">
        <v>5043</v>
      </c>
      <c r="D605" s="2" t="s">
        <v>8404</v>
      </c>
    </row>
    <row r="606" spans="1:4" x14ac:dyDescent="0.2">
      <c r="A606" s="41" t="s">
        <v>5464</v>
      </c>
      <c r="B606" s="2" t="s">
        <v>395</v>
      </c>
      <c r="C606" s="2" t="s">
        <v>5043</v>
      </c>
      <c r="D606" s="2" t="s">
        <v>8404</v>
      </c>
    </row>
    <row r="607" spans="1:4" x14ac:dyDescent="0.2">
      <c r="A607" s="41" t="s">
        <v>5992</v>
      </c>
      <c r="B607" s="2" t="s">
        <v>395</v>
      </c>
      <c r="C607" s="2" t="s">
        <v>5043</v>
      </c>
      <c r="D607" s="2" t="s">
        <v>8404</v>
      </c>
    </row>
    <row r="608" spans="1:4" x14ac:dyDescent="0.2">
      <c r="A608" s="41" t="s">
        <v>5993</v>
      </c>
      <c r="B608" s="2" t="s">
        <v>395</v>
      </c>
      <c r="C608" s="2" t="s">
        <v>5043</v>
      </c>
      <c r="D608" s="2" t="s">
        <v>8404</v>
      </c>
    </row>
    <row r="609" spans="1:4" x14ac:dyDescent="0.2">
      <c r="A609" s="41" t="s">
        <v>5994</v>
      </c>
      <c r="B609" s="2" t="s">
        <v>395</v>
      </c>
      <c r="C609" s="2" t="s">
        <v>5043</v>
      </c>
      <c r="D609" s="2" t="s">
        <v>8404</v>
      </c>
    </row>
    <row r="610" spans="1:4" x14ac:dyDescent="0.2">
      <c r="A610" s="41" t="s">
        <v>5995</v>
      </c>
      <c r="B610" s="2" t="s">
        <v>395</v>
      </c>
      <c r="C610" s="2" t="s">
        <v>5043</v>
      </c>
      <c r="D610" s="2" t="s">
        <v>8404</v>
      </c>
    </row>
    <row r="611" spans="1:4" x14ac:dyDescent="0.2">
      <c r="A611" s="41" t="s">
        <v>5996</v>
      </c>
      <c r="B611" s="2" t="s">
        <v>395</v>
      </c>
      <c r="C611" s="2" t="s">
        <v>5043</v>
      </c>
      <c r="D611" s="2" t="s">
        <v>8404</v>
      </c>
    </row>
    <row r="612" spans="1:4" x14ac:dyDescent="0.2">
      <c r="A612" s="41" t="s">
        <v>5562</v>
      </c>
      <c r="B612" s="2" t="s">
        <v>395</v>
      </c>
      <c r="C612" s="2" t="s">
        <v>5043</v>
      </c>
      <c r="D612" s="2" t="s">
        <v>8404</v>
      </c>
    </row>
    <row r="613" spans="1:4" x14ac:dyDescent="0.2">
      <c r="A613" s="41" t="s">
        <v>5997</v>
      </c>
      <c r="B613" s="2" t="s">
        <v>395</v>
      </c>
      <c r="C613" s="2" t="s">
        <v>5043</v>
      </c>
      <c r="D613" s="2" t="s">
        <v>8404</v>
      </c>
    </row>
    <row r="614" spans="1:4" x14ac:dyDescent="0.2">
      <c r="A614" s="41" t="s">
        <v>5582</v>
      </c>
      <c r="B614" s="2" t="s">
        <v>395</v>
      </c>
      <c r="C614" s="2" t="s">
        <v>5043</v>
      </c>
      <c r="D614" s="2" t="s">
        <v>8406</v>
      </c>
    </row>
    <row r="615" spans="1:4" x14ac:dyDescent="0.2">
      <c r="A615" s="41" t="s">
        <v>4666</v>
      </c>
      <c r="B615" s="2" t="s">
        <v>395</v>
      </c>
      <c r="C615" s="2" t="s">
        <v>5043</v>
      </c>
      <c r="D615" s="2" t="s">
        <v>8406</v>
      </c>
    </row>
    <row r="616" spans="1:4" x14ac:dyDescent="0.2">
      <c r="A616" s="41" t="s">
        <v>4667</v>
      </c>
      <c r="B616" s="2" t="s">
        <v>395</v>
      </c>
      <c r="C616" s="2" t="s">
        <v>5043</v>
      </c>
      <c r="D616" s="2" t="s">
        <v>8406</v>
      </c>
    </row>
    <row r="617" spans="1:4" x14ac:dyDescent="0.2">
      <c r="A617" s="41" t="s">
        <v>4668</v>
      </c>
      <c r="B617" s="2" t="s">
        <v>395</v>
      </c>
      <c r="C617" s="2" t="s">
        <v>5043</v>
      </c>
      <c r="D617" s="2" t="s">
        <v>8406</v>
      </c>
    </row>
    <row r="618" spans="1:4" x14ac:dyDescent="0.2">
      <c r="A618" s="41" t="s">
        <v>4669</v>
      </c>
      <c r="B618" s="2" t="s">
        <v>395</v>
      </c>
      <c r="C618" s="2" t="s">
        <v>5043</v>
      </c>
      <c r="D618" s="2" t="s">
        <v>8406</v>
      </c>
    </row>
    <row r="619" spans="1:4" x14ac:dyDescent="0.2">
      <c r="A619" s="41" t="s">
        <v>4670</v>
      </c>
      <c r="B619" s="2" t="s">
        <v>395</v>
      </c>
      <c r="C619" s="2" t="s">
        <v>5043</v>
      </c>
      <c r="D619" s="2" t="s">
        <v>8406</v>
      </c>
    </row>
    <row r="620" spans="1:4" x14ac:dyDescent="0.2">
      <c r="A620" s="41" t="s">
        <v>4671</v>
      </c>
      <c r="B620" s="2" t="s">
        <v>395</v>
      </c>
      <c r="C620" s="2" t="s">
        <v>5043</v>
      </c>
      <c r="D620" s="2" t="s">
        <v>8406</v>
      </c>
    </row>
    <row r="621" spans="1:4" x14ac:dyDescent="0.2">
      <c r="A621" s="41" t="s">
        <v>4672</v>
      </c>
      <c r="B621" s="2" t="s">
        <v>395</v>
      </c>
      <c r="C621" s="2" t="s">
        <v>5043</v>
      </c>
      <c r="D621" s="2" t="s">
        <v>8406</v>
      </c>
    </row>
    <row r="622" spans="1:4" x14ac:dyDescent="0.2">
      <c r="A622" s="41" t="s">
        <v>4673</v>
      </c>
      <c r="B622" s="2" t="s">
        <v>395</v>
      </c>
      <c r="C622" s="2" t="s">
        <v>5043</v>
      </c>
      <c r="D622" s="2" t="s">
        <v>8406</v>
      </c>
    </row>
    <row r="623" spans="1:4" x14ac:dyDescent="0.2">
      <c r="A623" s="41" t="s">
        <v>4674</v>
      </c>
      <c r="B623" s="2" t="s">
        <v>395</v>
      </c>
      <c r="C623" s="2" t="s">
        <v>5043</v>
      </c>
      <c r="D623" s="2" t="s">
        <v>8406</v>
      </c>
    </row>
    <row r="624" spans="1:4" x14ac:dyDescent="0.2">
      <c r="A624" s="41" t="s">
        <v>4675</v>
      </c>
      <c r="B624" s="2" t="s">
        <v>395</v>
      </c>
      <c r="C624" s="2" t="s">
        <v>5043</v>
      </c>
      <c r="D624" s="2" t="s">
        <v>8406</v>
      </c>
    </row>
    <row r="625" spans="1:4" x14ac:dyDescent="0.2">
      <c r="A625" s="41" t="s">
        <v>4676</v>
      </c>
      <c r="B625" s="2" t="s">
        <v>395</v>
      </c>
      <c r="C625" s="2" t="s">
        <v>5043</v>
      </c>
      <c r="D625" s="2" t="s">
        <v>8406</v>
      </c>
    </row>
    <row r="626" spans="1:4" x14ac:dyDescent="0.2">
      <c r="A626" s="41" t="s">
        <v>4677</v>
      </c>
      <c r="B626" s="2" t="s">
        <v>395</v>
      </c>
      <c r="C626" s="2" t="s">
        <v>5043</v>
      </c>
      <c r="D626" s="2" t="s">
        <v>8406</v>
      </c>
    </row>
    <row r="627" spans="1:4" x14ac:dyDescent="0.2">
      <c r="A627" s="41" t="s">
        <v>4678</v>
      </c>
      <c r="B627" s="2" t="s">
        <v>395</v>
      </c>
      <c r="C627" s="2" t="s">
        <v>5043</v>
      </c>
      <c r="D627" s="2" t="s">
        <v>8406</v>
      </c>
    </row>
    <row r="628" spans="1:4" x14ac:dyDescent="0.2">
      <c r="A628" s="41" t="s">
        <v>4679</v>
      </c>
      <c r="B628" s="2" t="s">
        <v>395</v>
      </c>
      <c r="C628" s="2" t="s">
        <v>5043</v>
      </c>
      <c r="D628" s="2" t="s">
        <v>8406</v>
      </c>
    </row>
    <row r="629" spans="1:4" x14ac:dyDescent="0.2">
      <c r="A629" s="41" t="s">
        <v>4680</v>
      </c>
      <c r="B629" s="2" t="s">
        <v>395</v>
      </c>
      <c r="C629" s="2" t="s">
        <v>5043</v>
      </c>
      <c r="D629" s="2" t="s">
        <v>8406</v>
      </c>
    </row>
    <row r="630" spans="1:4" x14ac:dyDescent="0.2">
      <c r="A630" s="41" t="s">
        <v>5998</v>
      </c>
      <c r="B630" s="2" t="s">
        <v>448</v>
      </c>
      <c r="C630" s="2" t="s">
        <v>5043</v>
      </c>
      <c r="D630" s="2" t="s">
        <v>8404</v>
      </c>
    </row>
    <row r="631" spans="1:4" x14ac:dyDescent="0.2">
      <c r="A631" s="41" t="s">
        <v>5999</v>
      </c>
      <c r="B631" s="2" t="s">
        <v>448</v>
      </c>
      <c r="C631" s="2" t="s">
        <v>5043</v>
      </c>
      <c r="D631" s="2" t="s">
        <v>8404</v>
      </c>
    </row>
    <row r="632" spans="1:4" x14ac:dyDescent="0.2">
      <c r="A632" s="41" t="s">
        <v>6000</v>
      </c>
      <c r="B632" s="2" t="s">
        <v>448</v>
      </c>
      <c r="C632" s="2" t="s">
        <v>5043</v>
      </c>
      <c r="D632" s="2" t="s">
        <v>8404</v>
      </c>
    </row>
    <row r="633" spans="1:4" x14ac:dyDescent="0.2">
      <c r="A633" s="41" t="s">
        <v>5566</v>
      </c>
      <c r="B633" s="2" t="s">
        <v>448</v>
      </c>
      <c r="C633" s="2" t="s">
        <v>5043</v>
      </c>
      <c r="D633" s="2" t="s">
        <v>8404</v>
      </c>
    </row>
    <row r="634" spans="1:4" x14ac:dyDescent="0.2">
      <c r="A634" s="41" t="s">
        <v>6001</v>
      </c>
      <c r="B634" s="2" t="s">
        <v>448</v>
      </c>
      <c r="C634" s="2" t="s">
        <v>5043</v>
      </c>
      <c r="D634" s="2" t="s">
        <v>8404</v>
      </c>
    </row>
    <row r="635" spans="1:4" x14ac:dyDescent="0.2">
      <c r="A635" s="41" t="s">
        <v>6002</v>
      </c>
      <c r="B635" s="2" t="s">
        <v>448</v>
      </c>
      <c r="C635" s="2" t="s">
        <v>5043</v>
      </c>
      <c r="D635" s="2" t="s">
        <v>8404</v>
      </c>
    </row>
    <row r="636" spans="1:4" x14ac:dyDescent="0.2">
      <c r="A636" s="41" t="s">
        <v>6003</v>
      </c>
      <c r="B636" s="2" t="s">
        <v>448</v>
      </c>
      <c r="C636" s="2" t="s">
        <v>5043</v>
      </c>
      <c r="D636" s="2" t="s">
        <v>8404</v>
      </c>
    </row>
    <row r="637" spans="1:4" x14ac:dyDescent="0.2">
      <c r="A637" s="41" t="s">
        <v>6004</v>
      </c>
      <c r="B637" s="2" t="s">
        <v>445</v>
      </c>
      <c r="C637" s="2" t="s">
        <v>5043</v>
      </c>
      <c r="D637" s="2" t="s">
        <v>8404</v>
      </c>
    </row>
    <row r="638" spans="1:4" x14ac:dyDescent="0.2">
      <c r="A638" s="41" t="s">
        <v>6005</v>
      </c>
      <c r="B638" s="2" t="s">
        <v>218</v>
      </c>
      <c r="C638" s="2" t="s">
        <v>5043</v>
      </c>
      <c r="D638" s="2" t="s">
        <v>8404</v>
      </c>
    </row>
    <row r="639" spans="1:4" x14ac:dyDescent="0.2">
      <c r="A639" s="41" t="s">
        <v>6006</v>
      </c>
      <c r="B639" s="2" t="s">
        <v>449</v>
      </c>
      <c r="C639" s="2" t="s">
        <v>5043</v>
      </c>
      <c r="D639" s="2" t="s">
        <v>8404</v>
      </c>
    </row>
    <row r="640" spans="1:4" x14ac:dyDescent="0.2">
      <c r="A640" s="41" t="s">
        <v>6007</v>
      </c>
      <c r="B640" s="2" t="s">
        <v>393</v>
      </c>
      <c r="C640" s="2" t="s">
        <v>5043</v>
      </c>
      <c r="D640" s="2" t="s">
        <v>8404</v>
      </c>
    </row>
    <row r="641" spans="1:4" x14ac:dyDescent="0.2">
      <c r="A641" s="41" t="s">
        <v>6008</v>
      </c>
      <c r="B641" s="2" t="s">
        <v>393</v>
      </c>
      <c r="C641" s="2" t="s">
        <v>5043</v>
      </c>
      <c r="D641" s="2" t="s">
        <v>8404</v>
      </c>
    </row>
    <row r="642" spans="1:4" x14ac:dyDescent="0.2">
      <c r="A642" s="41" t="s">
        <v>6009</v>
      </c>
      <c r="B642" s="2" t="s">
        <v>393</v>
      </c>
      <c r="C642" s="2" t="s">
        <v>5043</v>
      </c>
      <c r="D642" s="2" t="s">
        <v>8404</v>
      </c>
    </row>
    <row r="643" spans="1:4" x14ac:dyDescent="0.2">
      <c r="A643" s="41" t="s">
        <v>6010</v>
      </c>
      <c r="B643" s="2" t="s">
        <v>450</v>
      </c>
      <c r="C643" s="2" t="s">
        <v>5043</v>
      </c>
      <c r="D643" s="2" t="s">
        <v>8404</v>
      </c>
    </row>
    <row r="644" spans="1:4" x14ac:dyDescent="0.2">
      <c r="A644" s="41" t="s">
        <v>6011</v>
      </c>
      <c r="B644" s="2" t="s">
        <v>450</v>
      </c>
      <c r="C644" s="2" t="s">
        <v>5043</v>
      </c>
      <c r="D644" s="2" t="s">
        <v>8404</v>
      </c>
    </row>
    <row r="645" spans="1:4" x14ac:dyDescent="0.2">
      <c r="A645" s="41" t="s">
        <v>6012</v>
      </c>
      <c r="B645" s="2" t="s">
        <v>450</v>
      </c>
      <c r="C645" s="2" t="s">
        <v>5043</v>
      </c>
      <c r="D645" s="2" t="s">
        <v>8404</v>
      </c>
    </row>
    <row r="646" spans="1:4" x14ac:dyDescent="0.2">
      <c r="A646" s="41" t="s">
        <v>6013</v>
      </c>
      <c r="B646" s="2" t="s">
        <v>450</v>
      </c>
      <c r="C646" s="2" t="s">
        <v>5043</v>
      </c>
      <c r="D646" s="2" t="s">
        <v>8404</v>
      </c>
    </row>
    <row r="647" spans="1:4" x14ac:dyDescent="0.2">
      <c r="A647" s="41" t="s">
        <v>6014</v>
      </c>
      <c r="B647" s="2" t="s">
        <v>451</v>
      </c>
      <c r="C647" s="2" t="s">
        <v>5043</v>
      </c>
      <c r="D647" s="2" t="s">
        <v>8404</v>
      </c>
    </row>
    <row r="648" spans="1:4" x14ac:dyDescent="0.2">
      <c r="A648" s="41" t="s">
        <v>6015</v>
      </c>
      <c r="B648" s="2" t="s">
        <v>451</v>
      </c>
      <c r="C648" s="2" t="s">
        <v>5043</v>
      </c>
      <c r="D648" s="2" t="s">
        <v>8404</v>
      </c>
    </row>
    <row r="649" spans="1:4" x14ac:dyDescent="0.2">
      <c r="A649" s="41" t="s">
        <v>6016</v>
      </c>
      <c r="B649" s="2" t="s">
        <v>451</v>
      </c>
      <c r="C649" s="2" t="s">
        <v>5043</v>
      </c>
      <c r="D649" s="2" t="s">
        <v>8404</v>
      </c>
    </row>
    <row r="650" spans="1:4" x14ac:dyDescent="0.2">
      <c r="A650" s="41" t="s">
        <v>6017</v>
      </c>
      <c r="B650" s="2" t="s">
        <v>451</v>
      </c>
      <c r="C650" s="2" t="s">
        <v>5043</v>
      </c>
      <c r="D650" s="2" t="s">
        <v>8404</v>
      </c>
    </row>
    <row r="651" spans="1:4" x14ac:dyDescent="0.2">
      <c r="A651" s="41" t="s">
        <v>6018</v>
      </c>
      <c r="B651" s="2" t="s">
        <v>451</v>
      </c>
      <c r="C651" s="2" t="s">
        <v>5043</v>
      </c>
      <c r="D651" s="2" t="s">
        <v>8406</v>
      </c>
    </row>
    <row r="652" spans="1:4" x14ac:dyDescent="0.2">
      <c r="A652" s="41" t="s">
        <v>6019</v>
      </c>
      <c r="B652" s="2" t="s">
        <v>451</v>
      </c>
      <c r="C652" s="2" t="s">
        <v>5043</v>
      </c>
      <c r="D652" s="2" t="s">
        <v>8406</v>
      </c>
    </row>
    <row r="653" spans="1:4" x14ac:dyDescent="0.2">
      <c r="A653" s="41" t="s">
        <v>6020</v>
      </c>
      <c r="B653" s="2" t="s">
        <v>452</v>
      </c>
      <c r="C653" s="2" t="s">
        <v>5043</v>
      </c>
      <c r="D653" s="2" t="s">
        <v>8404</v>
      </c>
    </row>
    <row r="654" spans="1:4" x14ac:dyDescent="0.2">
      <c r="A654" s="41" t="s">
        <v>6021</v>
      </c>
      <c r="B654" s="2" t="s">
        <v>313</v>
      </c>
      <c r="C654" s="2" t="s">
        <v>5043</v>
      </c>
      <c r="D654" s="2" t="s">
        <v>8404</v>
      </c>
    </row>
    <row r="655" spans="1:4" x14ac:dyDescent="0.2">
      <c r="A655" s="41" t="s">
        <v>6022</v>
      </c>
      <c r="B655" s="2" t="s">
        <v>313</v>
      </c>
      <c r="C655" s="2" t="s">
        <v>5043</v>
      </c>
      <c r="D655" s="2" t="s">
        <v>8404</v>
      </c>
    </row>
    <row r="656" spans="1:4" x14ac:dyDescent="0.2">
      <c r="A656" s="41" t="s">
        <v>6023</v>
      </c>
      <c r="B656" s="2" t="s">
        <v>313</v>
      </c>
      <c r="C656" s="2" t="s">
        <v>5043</v>
      </c>
      <c r="D656" s="2" t="s">
        <v>8404</v>
      </c>
    </row>
    <row r="657" spans="1:4" x14ac:dyDescent="0.2">
      <c r="A657" s="41" t="s">
        <v>6024</v>
      </c>
      <c r="B657" s="2" t="s">
        <v>313</v>
      </c>
      <c r="C657" s="2" t="s">
        <v>5043</v>
      </c>
      <c r="D657" s="2" t="s">
        <v>8404</v>
      </c>
    </row>
    <row r="658" spans="1:4" x14ac:dyDescent="0.2">
      <c r="A658" s="41" t="s">
        <v>6025</v>
      </c>
      <c r="B658" s="2" t="s">
        <v>313</v>
      </c>
      <c r="C658" s="2" t="s">
        <v>5043</v>
      </c>
      <c r="D658" s="2" t="s">
        <v>8404</v>
      </c>
    </row>
    <row r="659" spans="1:4" x14ac:dyDescent="0.2">
      <c r="A659" s="41" t="s">
        <v>6026</v>
      </c>
      <c r="B659" s="2" t="s">
        <v>313</v>
      </c>
      <c r="C659" s="2" t="s">
        <v>5043</v>
      </c>
      <c r="D659" s="2" t="s">
        <v>8404</v>
      </c>
    </row>
    <row r="660" spans="1:4" x14ac:dyDescent="0.2">
      <c r="A660" s="41" t="s">
        <v>6027</v>
      </c>
      <c r="B660" s="2" t="s">
        <v>313</v>
      </c>
      <c r="C660" s="2" t="s">
        <v>5043</v>
      </c>
      <c r="D660" s="2" t="s">
        <v>8404</v>
      </c>
    </row>
    <row r="661" spans="1:4" x14ac:dyDescent="0.2">
      <c r="A661" s="41" t="s">
        <v>6028</v>
      </c>
      <c r="B661" s="2" t="s">
        <v>313</v>
      </c>
      <c r="C661" s="2" t="s">
        <v>5043</v>
      </c>
      <c r="D661" s="2" t="s">
        <v>8404</v>
      </c>
    </row>
    <row r="662" spans="1:4" x14ac:dyDescent="0.2">
      <c r="A662" s="41" t="s">
        <v>6029</v>
      </c>
      <c r="B662" s="2" t="s">
        <v>313</v>
      </c>
      <c r="C662" s="2" t="s">
        <v>5043</v>
      </c>
      <c r="D662" s="2" t="s">
        <v>8404</v>
      </c>
    </row>
    <row r="663" spans="1:4" x14ac:dyDescent="0.2">
      <c r="A663" s="41" t="s">
        <v>3862</v>
      </c>
      <c r="B663" s="2" t="s">
        <v>313</v>
      </c>
      <c r="C663" s="2" t="s">
        <v>5043</v>
      </c>
      <c r="D663" s="2" t="s">
        <v>8404</v>
      </c>
    </row>
    <row r="664" spans="1:4" x14ac:dyDescent="0.2">
      <c r="A664" s="41" t="s">
        <v>3863</v>
      </c>
      <c r="B664" s="2" t="s">
        <v>313</v>
      </c>
      <c r="C664" s="2" t="s">
        <v>5043</v>
      </c>
      <c r="D664" s="2" t="s">
        <v>8404</v>
      </c>
    </row>
    <row r="665" spans="1:4" x14ac:dyDescent="0.2">
      <c r="A665" s="41" t="s">
        <v>6030</v>
      </c>
      <c r="B665" s="2" t="s">
        <v>313</v>
      </c>
      <c r="C665" s="2" t="s">
        <v>5043</v>
      </c>
      <c r="D665" s="2" t="s">
        <v>8404</v>
      </c>
    </row>
    <row r="666" spans="1:4" x14ac:dyDescent="0.2">
      <c r="A666" s="41" t="s">
        <v>6031</v>
      </c>
      <c r="B666" s="2" t="s">
        <v>313</v>
      </c>
      <c r="C666" s="2" t="s">
        <v>5043</v>
      </c>
      <c r="D666" s="2" t="s">
        <v>8404</v>
      </c>
    </row>
    <row r="667" spans="1:4" x14ac:dyDescent="0.2">
      <c r="A667" s="41" t="s">
        <v>6032</v>
      </c>
      <c r="B667" s="2" t="s">
        <v>313</v>
      </c>
      <c r="C667" s="2" t="s">
        <v>5043</v>
      </c>
      <c r="D667" s="2" t="s">
        <v>8404</v>
      </c>
    </row>
    <row r="668" spans="1:4" x14ac:dyDescent="0.2">
      <c r="A668" s="41" t="s">
        <v>6033</v>
      </c>
      <c r="B668" s="2" t="s">
        <v>313</v>
      </c>
      <c r="C668" s="2" t="s">
        <v>5043</v>
      </c>
      <c r="D668" s="2" t="s">
        <v>8404</v>
      </c>
    </row>
    <row r="669" spans="1:4" x14ac:dyDescent="0.2">
      <c r="A669" s="41" t="s">
        <v>6034</v>
      </c>
      <c r="B669" s="2" t="s">
        <v>313</v>
      </c>
      <c r="C669" s="2" t="s">
        <v>5043</v>
      </c>
      <c r="D669" s="2" t="s">
        <v>8404</v>
      </c>
    </row>
    <row r="670" spans="1:4" x14ac:dyDescent="0.2">
      <c r="A670" s="41" t="s">
        <v>6035</v>
      </c>
      <c r="B670" s="2" t="s">
        <v>313</v>
      </c>
      <c r="C670" s="2" t="s">
        <v>5043</v>
      </c>
      <c r="D670" s="2" t="s">
        <v>8404</v>
      </c>
    </row>
    <row r="671" spans="1:4" x14ac:dyDescent="0.2">
      <c r="A671" s="41" t="s">
        <v>6036</v>
      </c>
      <c r="B671" s="2" t="s">
        <v>313</v>
      </c>
      <c r="C671" s="2" t="s">
        <v>5043</v>
      </c>
      <c r="D671" s="2" t="s">
        <v>8404</v>
      </c>
    </row>
    <row r="672" spans="1:4" x14ac:dyDescent="0.2">
      <c r="A672" s="41" t="s">
        <v>6037</v>
      </c>
      <c r="B672" s="2" t="s">
        <v>313</v>
      </c>
      <c r="C672" s="2" t="s">
        <v>5043</v>
      </c>
      <c r="D672" s="2" t="s">
        <v>8404</v>
      </c>
    </row>
    <row r="673" spans="1:4" x14ac:dyDescent="0.2">
      <c r="A673" s="41" t="s">
        <v>6038</v>
      </c>
      <c r="B673" s="2" t="s">
        <v>313</v>
      </c>
      <c r="C673" s="2" t="s">
        <v>5043</v>
      </c>
      <c r="D673" s="2" t="s">
        <v>8404</v>
      </c>
    </row>
    <row r="674" spans="1:4" x14ac:dyDescent="0.2">
      <c r="A674" s="41" t="s">
        <v>6039</v>
      </c>
      <c r="B674" s="2" t="s">
        <v>313</v>
      </c>
      <c r="C674" s="2" t="s">
        <v>5043</v>
      </c>
      <c r="D674" s="2" t="s">
        <v>8404</v>
      </c>
    </row>
    <row r="675" spans="1:4" x14ac:dyDescent="0.2">
      <c r="A675" s="41" t="s">
        <v>6040</v>
      </c>
      <c r="B675" s="2" t="s">
        <v>313</v>
      </c>
      <c r="C675" s="2" t="s">
        <v>5043</v>
      </c>
      <c r="D675" s="2" t="s">
        <v>8404</v>
      </c>
    </row>
    <row r="676" spans="1:4" x14ac:dyDescent="0.2">
      <c r="A676" s="41" t="s">
        <v>4282</v>
      </c>
      <c r="B676" s="2" t="s">
        <v>313</v>
      </c>
      <c r="C676" s="2" t="s">
        <v>5043</v>
      </c>
      <c r="D676" s="2" t="s">
        <v>8406</v>
      </c>
    </row>
    <row r="677" spans="1:4" x14ac:dyDescent="0.2">
      <c r="A677" s="41" t="s">
        <v>4286</v>
      </c>
      <c r="B677" s="2" t="s">
        <v>313</v>
      </c>
      <c r="C677" s="2" t="s">
        <v>5043</v>
      </c>
      <c r="D677" s="2" t="s">
        <v>8406</v>
      </c>
    </row>
    <row r="678" spans="1:4" x14ac:dyDescent="0.2">
      <c r="A678" s="41" t="s">
        <v>6041</v>
      </c>
      <c r="B678" s="2" t="s">
        <v>371</v>
      </c>
      <c r="C678" s="2" t="s">
        <v>5043</v>
      </c>
      <c r="D678" s="2" t="s">
        <v>8404</v>
      </c>
    </row>
    <row r="679" spans="1:4" x14ac:dyDescent="0.2">
      <c r="A679" s="41" t="s">
        <v>6042</v>
      </c>
      <c r="B679" s="2" t="s">
        <v>371</v>
      </c>
      <c r="C679" s="2" t="s">
        <v>5043</v>
      </c>
      <c r="D679" s="2" t="s">
        <v>8404</v>
      </c>
    </row>
    <row r="680" spans="1:4" x14ac:dyDescent="0.2">
      <c r="A680" s="41" t="s">
        <v>6043</v>
      </c>
      <c r="B680" s="2" t="s">
        <v>371</v>
      </c>
      <c r="C680" s="2" t="s">
        <v>5043</v>
      </c>
      <c r="D680" s="2" t="s">
        <v>8404</v>
      </c>
    </row>
    <row r="681" spans="1:4" x14ac:dyDescent="0.2">
      <c r="A681" s="41" t="s">
        <v>6044</v>
      </c>
      <c r="B681" s="2" t="s">
        <v>371</v>
      </c>
      <c r="C681" s="2" t="s">
        <v>5043</v>
      </c>
      <c r="D681" s="2" t="s">
        <v>8404</v>
      </c>
    </row>
    <row r="682" spans="1:4" x14ac:dyDescent="0.2">
      <c r="A682" s="41" t="s">
        <v>6045</v>
      </c>
      <c r="B682" s="2" t="s">
        <v>371</v>
      </c>
      <c r="C682" s="2" t="s">
        <v>5043</v>
      </c>
      <c r="D682" s="2" t="s">
        <v>8404</v>
      </c>
    </row>
    <row r="683" spans="1:4" x14ac:dyDescent="0.2">
      <c r="A683" s="41" t="s">
        <v>6046</v>
      </c>
      <c r="B683" s="2" t="s">
        <v>371</v>
      </c>
      <c r="C683" s="2" t="s">
        <v>5043</v>
      </c>
      <c r="D683" s="2" t="s">
        <v>8404</v>
      </c>
    </row>
    <row r="684" spans="1:4" x14ac:dyDescent="0.2">
      <c r="A684" s="41" t="s">
        <v>6047</v>
      </c>
      <c r="B684" s="2" t="s">
        <v>371</v>
      </c>
      <c r="C684" s="2" t="s">
        <v>5043</v>
      </c>
      <c r="D684" s="2" t="s">
        <v>8404</v>
      </c>
    </row>
    <row r="685" spans="1:4" x14ac:dyDescent="0.2">
      <c r="A685" s="41" t="s">
        <v>4124</v>
      </c>
      <c r="B685" s="2" t="s">
        <v>371</v>
      </c>
      <c r="C685" s="2" t="s">
        <v>5043</v>
      </c>
      <c r="D685" s="2" t="s">
        <v>8404</v>
      </c>
    </row>
    <row r="686" spans="1:4" x14ac:dyDescent="0.2">
      <c r="A686" s="41" t="s">
        <v>4125</v>
      </c>
      <c r="B686" s="2" t="s">
        <v>371</v>
      </c>
      <c r="C686" s="2" t="s">
        <v>5043</v>
      </c>
      <c r="D686" s="2" t="s">
        <v>8404</v>
      </c>
    </row>
    <row r="687" spans="1:4" x14ac:dyDescent="0.2">
      <c r="A687" s="41" t="s">
        <v>4126</v>
      </c>
      <c r="B687" s="2" t="s">
        <v>371</v>
      </c>
      <c r="C687" s="2" t="s">
        <v>5043</v>
      </c>
      <c r="D687" s="2" t="s">
        <v>8404</v>
      </c>
    </row>
    <row r="688" spans="1:4" x14ac:dyDescent="0.2">
      <c r="A688" s="41" t="s">
        <v>4127</v>
      </c>
      <c r="B688" s="2" t="s">
        <v>371</v>
      </c>
      <c r="C688" s="2" t="s">
        <v>5043</v>
      </c>
      <c r="D688" s="2" t="s">
        <v>8404</v>
      </c>
    </row>
    <row r="689" spans="1:4" x14ac:dyDescent="0.2">
      <c r="A689" s="41" t="s">
        <v>4128</v>
      </c>
      <c r="B689" s="2" t="s">
        <v>371</v>
      </c>
      <c r="C689" s="2" t="s">
        <v>5043</v>
      </c>
      <c r="D689" s="2" t="s">
        <v>8404</v>
      </c>
    </row>
    <row r="690" spans="1:4" x14ac:dyDescent="0.2">
      <c r="A690" s="41" t="s">
        <v>4129</v>
      </c>
      <c r="B690" s="2" t="s">
        <v>371</v>
      </c>
      <c r="C690" s="2" t="s">
        <v>5043</v>
      </c>
      <c r="D690" s="2" t="s">
        <v>8404</v>
      </c>
    </row>
    <row r="691" spans="1:4" x14ac:dyDescent="0.2">
      <c r="A691" s="41" t="s">
        <v>4130</v>
      </c>
      <c r="B691" s="2" t="s">
        <v>371</v>
      </c>
      <c r="C691" s="2" t="s">
        <v>5043</v>
      </c>
      <c r="D691" s="2" t="s">
        <v>8404</v>
      </c>
    </row>
    <row r="692" spans="1:4" x14ac:dyDescent="0.2">
      <c r="A692" s="41" t="s">
        <v>3724</v>
      </c>
      <c r="B692" s="2" t="s">
        <v>371</v>
      </c>
      <c r="C692" s="2" t="s">
        <v>5043</v>
      </c>
      <c r="D692" s="2" t="s">
        <v>8406</v>
      </c>
    </row>
    <row r="693" spans="1:4" x14ac:dyDescent="0.2">
      <c r="A693" s="41" t="s">
        <v>4081</v>
      </c>
      <c r="B693" s="2" t="s">
        <v>371</v>
      </c>
      <c r="C693" s="2" t="s">
        <v>5043</v>
      </c>
      <c r="D693" s="2" t="s">
        <v>8406</v>
      </c>
    </row>
    <row r="694" spans="1:4" x14ac:dyDescent="0.2">
      <c r="A694" s="41" t="s">
        <v>4082</v>
      </c>
      <c r="B694" s="2" t="s">
        <v>371</v>
      </c>
      <c r="C694" s="2" t="s">
        <v>5043</v>
      </c>
      <c r="D694" s="2" t="s">
        <v>8406</v>
      </c>
    </row>
    <row r="695" spans="1:4" x14ac:dyDescent="0.2">
      <c r="A695" s="41" t="s">
        <v>4083</v>
      </c>
      <c r="B695" s="2" t="s">
        <v>371</v>
      </c>
      <c r="C695" s="2" t="s">
        <v>5043</v>
      </c>
      <c r="D695" s="2" t="s">
        <v>8406</v>
      </c>
    </row>
    <row r="696" spans="1:4" x14ac:dyDescent="0.2">
      <c r="A696" s="41" t="s">
        <v>4084</v>
      </c>
      <c r="B696" s="2" t="s">
        <v>371</v>
      </c>
      <c r="C696" s="2" t="s">
        <v>5043</v>
      </c>
      <c r="D696" s="2" t="s">
        <v>8406</v>
      </c>
    </row>
    <row r="697" spans="1:4" x14ac:dyDescent="0.2">
      <c r="A697" s="41" t="s">
        <v>4085</v>
      </c>
      <c r="B697" s="2" t="s">
        <v>371</v>
      </c>
      <c r="C697" s="2" t="s">
        <v>5043</v>
      </c>
      <c r="D697" s="2" t="s">
        <v>8406</v>
      </c>
    </row>
    <row r="698" spans="1:4" x14ac:dyDescent="0.2">
      <c r="A698" s="41" t="s">
        <v>6048</v>
      </c>
      <c r="B698" s="2" t="s">
        <v>220</v>
      </c>
      <c r="C698" s="2" t="s">
        <v>5043</v>
      </c>
      <c r="D698" s="2" t="s">
        <v>8404</v>
      </c>
    </row>
    <row r="699" spans="1:4" x14ac:dyDescent="0.2">
      <c r="A699" s="41" t="s">
        <v>6049</v>
      </c>
      <c r="B699" s="2" t="s">
        <v>220</v>
      </c>
      <c r="C699" s="2" t="s">
        <v>5043</v>
      </c>
      <c r="D699" s="2" t="s">
        <v>8404</v>
      </c>
    </row>
    <row r="700" spans="1:4" x14ac:dyDescent="0.2">
      <c r="A700" s="41" t="s">
        <v>6050</v>
      </c>
      <c r="B700" s="2" t="s">
        <v>220</v>
      </c>
      <c r="C700" s="2" t="s">
        <v>5043</v>
      </c>
      <c r="D700" s="2" t="s">
        <v>8404</v>
      </c>
    </row>
    <row r="701" spans="1:4" x14ac:dyDescent="0.2">
      <c r="A701" s="41" t="s">
        <v>5418</v>
      </c>
      <c r="B701" s="2" t="s">
        <v>528</v>
      </c>
      <c r="C701" s="2" t="s">
        <v>5043</v>
      </c>
      <c r="D701" s="2" t="s">
        <v>8404</v>
      </c>
    </row>
    <row r="702" spans="1:4" x14ac:dyDescent="0.2">
      <c r="A702" s="41" t="s">
        <v>5419</v>
      </c>
      <c r="B702" s="2" t="s">
        <v>528</v>
      </c>
      <c r="C702" s="2" t="s">
        <v>5043</v>
      </c>
      <c r="D702" s="2" t="s">
        <v>8404</v>
      </c>
    </row>
    <row r="703" spans="1:4" x14ac:dyDescent="0.2">
      <c r="A703" s="41" t="s">
        <v>5420</v>
      </c>
      <c r="B703" s="2" t="s">
        <v>528</v>
      </c>
      <c r="C703" s="2" t="s">
        <v>5043</v>
      </c>
      <c r="D703" s="2" t="s">
        <v>8404</v>
      </c>
    </row>
    <row r="704" spans="1:4" x14ac:dyDescent="0.2">
      <c r="A704" s="41" t="s">
        <v>4285</v>
      </c>
      <c r="B704" s="2" t="s">
        <v>587</v>
      </c>
      <c r="C704" s="2" t="s">
        <v>5043</v>
      </c>
      <c r="D704" s="2" t="s">
        <v>8404</v>
      </c>
    </row>
    <row r="705" spans="1:4" x14ac:dyDescent="0.2">
      <c r="A705" s="41" t="s">
        <v>6051</v>
      </c>
      <c r="B705" s="2" t="s">
        <v>453</v>
      </c>
      <c r="C705" s="2" t="s">
        <v>5043</v>
      </c>
      <c r="D705" s="2" t="s">
        <v>8404</v>
      </c>
    </row>
    <row r="706" spans="1:4" x14ac:dyDescent="0.2">
      <c r="A706" s="41" t="s">
        <v>6052</v>
      </c>
      <c r="B706" s="2" t="s">
        <v>521</v>
      </c>
      <c r="C706" s="2" t="s">
        <v>5043</v>
      </c>
      <c r="D706" s="2" t="s">
        <v>8404</v>
      </c>
    </row>
    <row r="707" spans="1:4" x14ac:dyDescent="0.2">
      <c r="A707" s="41" t="s">
        <v>6053</v>
      </c>
      <c r="B707" s="2" t="s">
        <v>521</v>
      </c>
      <c r="C707" s="2" t="s">
        <v>5043</v>
      </c>
      <c r="D707" s="2" t="s">
        <v>8404</v>
      </c>
    </row>
    <row r="708" spans="1:4" x14ac:dyDescent="0.2">
      <c r="A708" s="41" t="s">
        <v>6054</v>
      </c>
      <c r="B708" s="2" t="s">
        <v>521</v>
      </c>
      <c r="C708" s="2" t="s">
        <v>5043</v>
      </c>
      <c r="D708" s="2" t="s">
        <v>8404</v>
      </c>
    </row>
    <row r="709" spans="1:4" x14ac:dyDescent="0.2">
      <c r="A709" s="41" t="s">
        <v>4193</v>
      </c>
      <c r="B709" s="2" t="s">
        <v>221</v>
      </c>
      <c r="C709" s="2" t="s">
        <v>5043</v>
      </c>
      <c r="D709" s="2" t="s">
        <v>8404</v>
      </c>
    </row>
    <row r="710" spans="1:4" x14ac:dyDescent="0.2">
      <c r="A710" s="41" t="s">
        <v>6055</v>
      </c>
      <c r="B710" s="2" t="s">
        <v>221</v>
      </c>
      <c r="C710" s="2" t="s">
        <v>5043</v>
      </c>
      <c r="D710" s="2" t="s">
        <v>8404</v>
      </c>
    </row>
    <row r="711" spans="1:4" x14ac:dyDescent="0.2">
      <c r="A711" s="41" t="s">
        <v>6056</v>
      </c>
      <c r="B711" s="2" t="s">
        <v>394</v>
      </c>
      <c r="C711" s="2" t="s">
        <v>5043</v>
      </c>
      <c r="D711" s="2" t="s">
        <v>8404</v>
      </c>
    </row>
    <row r="712" spans="1:4" x14ac:dyDescent="0.2">
      <c r="A712" s="41" t="s">
        <v>6057</v>
      </c>
      <c r="B712" s="2" t="s">
        <v>394</v>
      </c>
      <c r="C712" s="2" t="s">
        <v>5043</v>
      </c>
      <c r="D712" s="2" t="s">
        <v>8404</v>
      </c>
    </row>
    <row r="713" spans="1:4" x14ac:dyDescent="0.2">
      <c r="A713" s="41" t="s">
        <v>6058</v>
      </c>
      <c r="B713" s="2" t="s">
        <v>527</v>
      </c>
      <c r="C713" s="2" t="s">
        <v>5043</v>
      </c>
      <c r="D713" s="2" t="s">
        <v>8404</v>
      </c>
    </row>
    <row r="714" spans="1:4" x14ac:dyDescent="0.2">
      <c r="A714" s="41" t="s">
        <v>6059</v>
      </c>
      <c r="B714" s="2" t="s">
        <v>529</v>
      </c>
      <c r="C714" s="2" t="s">
        <v>5043</v>
      </c>
      <c r="D714" s="2" t="s">
        <v>8404</v>
      </c>
    </row>
    <row r="715" spans="1:4" x14ac:dyDescent="0.2">
      <c r="A715" s="41" t="s">
        <v>6060</v>
      </c>
      <c r="B715" s="2" t="s">
        <v>454</v>
      </c>
      <c r="C715" s="2" t="s">
        <v>5043</v>
      </c>
      <c r="D715" s="2" t="s">
        <v>8404</v>
      </c>
    </row>
    <row r="716" spans="1:4" x14ac:dyDescent="0.2">
      <c r="A716" s="41" t="s">
        <v>3082</v>
      </c>
      <c r="B716" s="2" t="s">
        <v>455</v>
      </c>
      <c r="C716" s="2" t="s">
        <v>5043</v>
      </c>
      <c r="D716" s="2" t="s">
        <v>8404</v>
      </c>
    </row>
    <row r="717" spans="1:4" x14ac:dyDescent="0.2">
      <c r="A717" s="41" t="s">
        <v>6061</v>
      </c>
      <c r="B717" s="2" t="s">
        <v>455</v>
      </c>
      <c r="C717" s="2" t="s">
        <v>5043</v>
      </c>
      <c r="D717" s="2" t="s">
        <v>8404</v>
      </c>
    </row>
    <row r="718" spans="1:4" x14ac:dyDescent="0.2">
      <c r="A718" s="41" t="s">
        <v>6062</v>
      </c>
      <c r="B718" s="2" t="s">
        <v>446</v>
      </c>
      <c r="C718" s="2" t="s">
        <v>5043</v>
      </c>
      <c r="D718" s="2" t="s">
        <v>8404</v>
      </c>
    </row>
    <row r="719" spans="1:4" x14ac:dyDescent="0.2">
      <c r="A719" s="41" t="s">
        <v>6063</v>
      </c>
      <c r="B719" s="2" t="s">
        <v>446</v>
      </c>
      <c r="C719" s="2" t="s">
        <v>5043</v>
      </c>
      <c r="D719" s="2" t="s">
        <v>8404</v>
      </c>
    </row>
    <row r="720" spans="1:4" x14ac:dyDescent="0.2">
      <c r="A720" s="41" t="s">
        <v>6064</v>
      </c>
      <c r="B720" s="2" t="s">
        <v>446</v>
      </c>
      <c r="C720" s="2" t="s">
        <v>5043</v>
      </c>
      <c r="D720" s="2" t="s">
        <v>8404</v>
      </c>
    </row>
    <row r="721" spans="1:4" x14ac:dyDescent="0.2">
      <c r="A721" s="41" t="s">
        <v>6065</v>
      </c>
      <c r="B721" s="2" t="s">
        <v>446</v>
      </c>
      <c r="C721" s="2" t="s">
        <v>5043</v>
      </c>
      <c r="D721" s="2" t="s">
        <v>8404</v>
      </c>
    </row>
    <row r="722" spans="1:4" x14ac:dyDescent="0.2">
      <c r="A722" s="41" t="s">
        <v>6066</v>
      </c>
      <c r="B722" s="2" t="s">
        <v>446</v>
      </c>
      <c r="C722" s="2" t="s">
        <v>5043</v>
      </c>
      <c r="D722" s="2" t="s">
        <v>8404</v>
      </c>
    </row>
    <row r="723" spans="1:4" x14ac:dyDescent="0.2">
      <c r="A723" s="41" t="s">
        <v>6067</v>
      </c>
      <c r="B723" s="2" t="s">
        <v>446</v>
      </c>
      <c r="C723" s="2" t="s">
        <v>5043</v>
      </c>
      <c r="D723" s="2" t="s">
        <v>8406</v>
      </c>
    </row>
    <row r="724" spans="1:4" x14ac:dyDescent="0.2">
      <c r="A724" s="41" t="s">
        <v>6068</v>
      </c>
      <c r="B724" s="2" t="s">
        <v>891</v>
      </c>
      <c r="C724" s="2" t="s">
        <v>5043</v>
      </c>
      <c r="D724" s="2" t="s">
        <v>8406</v>
      </c>
    </row>
    <row r="725" spans="1:4" x14ac:dyDescent="0.2">
      <c r="A725" s="41" t="s">
        <v>6069</v>
      </c>
      <c r="B725" s="2" t="s">
        <v>891</v>
      </c>
      <c r="C725" s="2" t="s">
        <v>5043</v>
      </c>
      <c r="D725" s="2" t="s">
        <v>8406</v>
      </c>
    </row>
    <row r="726" spans="1:4" x14ac:dyDescent="0.2">
      <c r="A726" s="41" t="s">
        <v>3240</v>
      </c>
      <c r="B726" s="2" t="s">
        <v>219</v>
      </c>
      <c r="C726" s="2" t="s">
        <v>5043</v>
      </c>
      <c r="D726" s="2" t="s">
        <v>8404</v>
      </c>
    </row>
    <row r="727" spans="1:4" x14ac:dyDescent="0.2">
      <c r="A727" s="41" t="s">
        <v>3241</v>
      </c>
      <c r="B727" s="2" t="s">
        <v>219</v>
      </c>
      <c r="C727" s="2" t="s">
        <v>5043</v>
      </c>
      <c r="D727" s="2" t="s">
        <v>8404</v>
      </c>
    </row>
    <row r="728" spans="1:4" x14ac:dyDescent="0.2">
      <c r="A728" s="41" t="s">
        <v>3242</v>
      </c>
      <c r="B728" s="2" t="s">
        <v>219</v>
      </c>
      <c r="C728" s="2" t="s">
        <v>5043</v>
      </c>
      <c r="D728" s="2" t="s">
        <v>8404</v>
      </c>
    </row>
    <row r="729" spans="1:4" x14ac:dyDescent="0.2">
      <c r="A729" s="41" t="s">
        <v>3243</v>
      </c>
      <c r="B729" s="2" t="s">
        <v>219</v>
      </c>
      <c r="C729" s="2" t="s">
        <v>5043</v>
      </c>
      <c r="D729" s="2" t="s">
        <v>8404</v>
      </c>
    </row>
    <row r="730" spans="1:4" x14ac:dyDescent="0.2">
      <c r="A730" s="41" t="s">
        <v>3244</v>
      </c>
      <c r="B730" s="2" t="s">
        <v>219</v>
      </c>
      <c r="C730" s="2" t="s">
        <v>5043</v>
      </c>
      <c r="D730" s="2" t="s">
        <v>8404</v>
      </c>
    </row>
    <row r="731" spans="1:4" x14ac:dyDescent="0.2">
      <c r="A731" s="41" t="s">
        <v>3245</v>
      </c>
      <c r="B731" s="2" t="s">
        <v>219</v>
      </c>
      <c r="C731" s="2" t="s">
        <v>5043</v>
      </c>
      <c r="D731" s="2" t="s">
        <v>8404</v>
      </c>
    </row>
    <row r="732" spans="1:4" x14ac:dyDescent="0.2">
      <c r="A732" s="41" t="s">
        <v>4681</v>
      </c>
      <c r="B732" s="2" t="s">
        <v>219</v>
      </c>
      <c r="C732" s="2" t="s">
        <v>5043</v>
      </c>
      <c r="D732" s="2" t="s">
        <v>8406</v>
      </c>
    </row>
    <row r="733" spans="1:4" x14ac:dyDescent="0.2">
      <c r="A733" s="41" t="s">
        <v>4682</v>
      </c>
      <c r="B733" s="2" t="s">
        <v>219</v>
      </c>
      <c r="C733" s="2" t="s">
        <v>5043</v>
      </c>
      <c r="D733" s="2" t="s">
        <v>8406</v>
      </c>
    </row>
    <row r="734" spans="1:4" x14ac:dyDescent="0.2">
      <c r="A734" s="41" t="s">
        <v>4683</v>
      </c>
      <c r="B734" s="2" t="s">
        <v>219</v>
      </c>
      <c r="C734" s="2" t="s">
        <v>5043</v>
      </c>
      <c r="D734" s="2" t="s">
        <v>8406</v>
      </c>
    </row>
    <row r="735" spans="1:4" x14ac:dyDescent="0.2">
      <c r="A735" s="41" t="s">
        <v>4684</v>
      </c>
      <c r="B735" s="2" t="s">
        <v>219</v>
      </c>
      <c r="C735" s="2" t="s">
        <v>5043</v>
      </c>
      <c r="D735" s="2" t="s">
        <v>8406</v>
      </c>
    </row>
    <row r="736" spans="1:4" x14ac:dyDescent="0.2">
      <c r="A736" s="41" t="s">
        <v>4685</v>
      </c>
      <c r="B736" s="2" t="s">
        <v>219</v>
      </c>
      <c r="C736" s="2" t="s">
        <v>5043</v>
      </c>
      <c r="D736" s="2" t="s">
        <v>8406</v>
      </c>
    </row>
    <row r="737" spans="1:4" x14ac:dyDescent="0.2">
      <c r="A737" s="41" t="s">
        <v>4686</v>
      </c>
      <c r="B737" s="2" t="s">
        <v>219</v>
      </c>
      <c r="C737" s="2" t="s">
        <v>5043</v>
      </c>
      <c r="D737" s="2" t="s">
        <v>8406</v>
      </c>
    </row>
    <row r="738" spans="1:4" x14ac:dyDescent="0.2">
      <c r="A738" s="41" t="s">
        <v>4687</v>
      </c>
      <c r="B738" s="2" t="s">
        <v>219</v>
      </c>
      <c r="C738" s="2" t="s">
        <v>5043</v>
      </c>
      <c r="D738" s="2" t="s">
        <v>8406</v>
      </c>
    </row>
    <row r="739" spans="1:4" x14ac:dyDescent="0.2">
      <c r="A739" s="41" t="s">
        <v>4688</v>
      </c>
      <c r="B739" s="2" t="s">
        <v>219</v>
      </c>
      <c r="C739" s="2" t="s">
        <v>5043</v>
      </c>
      <c r="D739" s="2" t="s">
        <v>8406</v>
      </c>
    </row>
    <row r="740" spans="1:4" x14ac:dyDescent="0.2">
      <c r="A740" s="41" t="s">
        <v>4689</v>
      </c>
      <c r="B740" s="2" t="s">
        <v>219</v>
      </c>
      <c r="C740" s="2" t="s">
        <v>5043</v>
      </c>
      <c r="D740" s="2" t="s">
        <v>8406</v>
      </c>
    </row>
    <row r="741" spans="1:4" x14ac:dyDescent="0.2">
      <c r="A741" s="41" t="s">
        <v>4690</v>
      </c>
      <c r="B741" s="2" t="s">
        <v>219</v>
      </c>
      <c r="C741" s="2" t="s">
        <v>5043</v>
      </c>
      <c r="D741" s="2" t="s">
        <v>8406</v>
      </c>
    </row>
    <row r="742" spans="1:4" x14ac:dyDescent="0.2">
      <c r="A742" s="41" t="s">
        <v>4691</v>
      </c>
      <c r="B742" s="2" t="s">
        <v>219</v>
      </c>
      <c r="C742" s="2" t="s">
        <v>5043</v>
      </c>
      <c r="D742" s="2" t="s">
        <v>8406</v>
      </c>
    </row>
    <row r="743" spans="1:4" x14ac:dyDescent="0.2">
      <c r="A743" s="41" t="s">
        <v>4692</v>
      </c>
      <c r="B743" s="2" t="s">
        <v>219</v>
      </c>
      <c r="C743" s="2" t="s">
        <v>5043</v>
      </c>
      <c r="D743" s="2" t="s">
        <v>8406</v>
      </c>
    </row>
    <row r="744" spans="1:4" x14ac:dyDescent="0.2">
      <c r="A744" s="41" t="s">
        <v>4693</v>
      </c>
      <c r="B744" s="2" t="s">
        <v>219</v>
      </c>
      <c r="C744" s="2" t="s">
        <v>5043</v>
      </c>
      <c r="D744" s="2" t="s">
        <v>8406</v>
      </c>
    </row>
    <row r="745" spans="1:4" x14ac:dyDescent="0.2">
      <c r="A745" s="41" t="s">
        <v>4694</v>
      </c>
      <c r="B745" s="2" t="s">
        <v>219</v>
      </c>
      <c r="C745" s="2" t="s">
        <v>5043</v>
      </c>
      <c r="D745" s="2" t="s">
        <v>8406</v>
      </c>
    </row>
    <row r="746" spans="1:4" x14ac:dyDescent="0.2">
      <c r="A746" s="41" t="s">
        <v>4695</v>
      </c>
      <c r="B746" s="2" t="s">
        <v>219</v>
      </c>
      <c r="C746" s="2" t="s">
        <v>5043</v>
      </c>
      <c r="D746" s="2" t="s">
        <v>8406</v>
      </c>
    </row>
    <row r="747" spans="1:4" x14ac:dyDescent="0.2">
      <c r="A747" s="41" t="s">
        <v>6070</v>
      </c>
      <c r="B747" s="2" t="s">
        <v>447</v>
      </c>
      <c r="C747" s="2" t="s">
        <v>5043</v>
      </c>
      <c r="D747" s="2" t="s">
        <v>8406</v>
      </c>
    </row>
    <row r="748" spans="1:4" x14ac:dyDescent="0.2">
      <c r="A748" s="41" t="s">
        <v>6071</v>
      </c>
      <c r="B748" s="2" t="s">
        <v>447</v>
      </c>
      <c r="C748" s="2" t="s">
        <v>5043</v>
      </c>
      <c r="D748" s="2" t="s">
        <v>8406</v>
      </c>
    </row>
    <row r="749" spans="1:4" x14ac:dyDescent="0.2">
      <c r="A749" s="41" t="s">
        <v>6072</v>
      </c>
      <c r="B749" s="2" t="s">
        <v>447</v>
      </c>
      <c r="C749" s="2" t="s">
        <v>5043</v>
      </c>
      <c r="D749" s="2" t="s">
        <v>8406</v>
      </c>
    </row>
    <row r="750" spans="1:4" x14ac:dyDescent="0.2">
      <c r="A750" s="41" t="s">
        <v>6073</v>
      </c>
      <c r="B750" s="2" t="s">
        <v>396</v>
      </c>
      <c r="C750" s="2" t="s">
        <v>5043</v>
      </c>
      <c r="D750" s="2" t="s">
        <v>8404</v>
      </c>
    </row>
    <row r="751" spans="1:4" x14ac:dyDescent="0.2">
      <c r="A751" s="41" t="s">
        <v>6074</v>
      </c>
      <c r="B751" s="2" t="s">
        <v>396</v>
      </c>
      <c r="C751" s="2" t="s">
        <v>5043</v>
      </c>
      <c r="D751" s="2" t="s">
        <v>8404</v>
      </c>
    </row>
    <row r="752" spans="1:4" x14ac:dyDescent="0.2">
      <c r="A752" s="41" t="s">
        <v>6075</v>
      </c>
      <c r="B752" s="2" t="s">
        <v>396</v>
      </c>
      <c r="C752" s="2" t="s">
        <v>5043</v>
      </c>
      <c r="D752" s="2" t="s">
        <v>8404</v>
      </c>
    </row>
    <row r="753" spans="1:4" x14ac:dyDescent="0.2">
      <c r="A753" s="41" t="s">
        <v>4068</v>
      </c>
      <c r="B753" s="2" t="s">
        <v>396</v>
      </c>
      <c r="C753" s="2" t="s">
        <v>5043</v>
      </c>
      <c r="D753" s="2" t="s">
        <v>8404</v>
      </c>
    </row>
    <row r="754" spans="1:4" x14ac:dyDescent="0.2">
      <c r="A754" s="41" t="s">
        <v>6076</v>
      </c>
      <c r="B754" s="2" t="s">
        <v>456</v>
      </c>
      <c r="C754" s="2" t="s">
        <v>5043</v>
      </c>
      <c r="D754" s="2" t="s">
        <v>8404</v>
      </c>
    </row>
    <row r="755" spans="1:4" x14ac:dyDescent="0.2">
      <c r="A755" s="41" t="s">
        <v>6077</v>
      </c>
      <c r="B755" s="2" t="s">
        <v>456</v>
      </c>
      <c r="C755" s="2" t="s">
        <v>5043</v>
      </c>
      <c r="D755" s="2" t="s">
        <v>8404</v>
      </c>
    </row>
    <row r="756" spans="1:4" x14ac:dyDescent="0.2">
      <c r="A756" s="41" t="s">
        <v>6078</v>
      </c>
      <c r="B756" s="2" t="s">
        <v>456</v>
      </c>
      <c r="C756" s="2" t="s">
        <v>5043</v>
      </c>
      <c r="D756" s="2" t="s">
        <v>8404</v>
      </c>
    </row>
    <row r="757" spans="1:4" x14ac:dyDescent="0.2">
      <c r="A757" s="41" t="s">
        <v>4069</v>
      </c>
      <c r="B757" s="2" t="s">
        <v>457</v>
      </c>
      <c r="C757" s="2" t="s">
        <v>5043</v>
      </c>
      <c r="D757" s="2" t="s">
        <v>8404</v>
      </c>
    </row>
    <row r="758" spans="1:4" x14ac:dyDescent="0.2">
      <c r="A758" s="41" t="s">
        <v>6079</v>
      </c>
      <c r="B758" s="2" t="s">
        <v>457</v>
      </c>
      <c r="C758" s="2" t="s">
        <v>5043</v>
      </c>
      <c r="D758" s="2" t="s">
        <v>8404</v>
      </c>
    </row>
    <row r="759" spans="1:4" x14ac:dyDescent="0.2">
      <c r="A759" s="41" t="s">
        <v>6080</v>
      </c>
      <c r="B759" s="2" t="s">
        <v>457</v>
      </c>
      <c r="C759" s="2" t="s">
        <v>5043</v>
      </c>
      <c r="D759" s="2" t="s">
        <v>8404</v>
      </c>
    </row>
    <row r="760" spans="1:4" x14ac:dyDescent="0.2">
      <c r="A760" s="41" t="s">
        <v>5350</v>
      </c>
      <c r="B760" s="2" t="s">
        <v>457</v>
      </c>
      <c r="C760" s="2" t="s">
        <v>5043</v>
      </c>
      <c r="D760" s="2" t="s">
        <v>8404</v>
      </c>
    </row>
    <row r="761" spans="1:4" x14ac:dyDescent="0.2">
      <c r="A761" s="41" t="s">
        <v>6081</v>
      </c>
      <c r="B761" s="2" t="s">
        <v>892</v>
      </c>
      <c r="C761" s="2" t="s">
        <v>5043</v>
      </c>
      <c r="D761" s="2" t="s">
        <v>8406</v>
      </c>
    </row>
    <row r="762" spans="1:4" x14ac:dyDescent="0.2">
      <c r="A762" s="41" t="s">
        <v>6082</v>
      </c>
      <c r="B762" s="2" t="s">
        <v>893</v>
      </c>
      <c r="C762" s="2" t="s">
        <v>5043</v>
      </c>
      <c r="D762" s="2" t="s">
        <v>8406</v>
      </c>
    </row>
    <row r="763" spans="1:4" x14ac:dyDescent="0.2">
      <c r="A763" s="41" t="s">
        <v>6083</v>
      </c>
      <c r="B763" s="2" t="s">
        <v>894</v>
      </c>
      <c r="C763" s="2" t="s">
        <v>5043</v>
      </c>
      <c r="D763" s="2" t="s">
        <v>8406</v>
      </c>
    </row>
    <row r="764" spans="1:4" x14ac:dyDescent="0.2">
      <c r="A764" s="41" t="s">
        <v>6084</v>
      </c>
      <c r="B764" s="2" t="s">
        <v>895</v>
      </c>
      <c r="C764" s="2" t="s">
        <v>5043</v>
      </c>
      <c r="D764" s="2" t="s">
        <v>8406</v>
      </c>
    </row>
    <row r="765" spans="1:4" x14ac:dyDescent="0.2">
      <c r="A765" s="41" t="s">
        <v>6085</v>
      </c>
      <c r="B765" s="2" t="s">
        <v>530</v>
      </c>
      <c r="C765" s="2" t="s">
        <v>5043</v>
      </c>
      <c r="D765" s="2" t="s">
        <v>8404</v>
      </c>
    </row>
    <row r="766" spans="1:4" x14ac:dyDescent="0.2">
      <c r="A766" s="41" t="s">
        <v>6086</v>
      </c>
      <c r="B766" s="2" t="s">
        <v>531</v>
      </c>
      <c r="C766" s="2" t="s">
        <v>5043</v>
      </c>
      <c r="D766" s="2" t="s">
        <v>8415</v>
      </c>
    </row>
    <row r="767" spans="1:4" x14ac:dyDescent="0.2">
      <c r="A767" s="41" t="s">
        <v>6087</v>
      </c>
      <c r="B767" s="2" t="s">
        <v>531</v>
      </c>
      <c r="C767" s="2" t="s">
        <v>5043</v>
      </c>
      <c r="D767" s="2" t="s">
        <v>8415</v>
      </c>
    </row>
    <row r="768" spans="1:4" x14ac:dyDescent="0.2">
      <c r="A768" s="41" t="s">
        <v>6088</v>
      </c>
      <c r="B768" s="2" t="s">
        <v>531</v>
      </c>
      <c r="C768" s="2" t="s">
        <v>5043</v>
      </c>
      <c r="D768" s="2" t="s">
        <v>8415</v>
      </c>
    </row>
    <row r="769" spans="1:4" x14ac:dyDescent="0.2">
      <c r="A769" s="41" t="s">
        <v>6089</v>
      </c>
      <c r="B769" s="2" t="s">
        <v>531</v>
      </c>
      <c r="C769" s="2" t="s">
        <v>5043</v>
      </c>
      <c r="D769" s="2" t="s">
        <v>8406</v>
      </c>
    </row>
    <row r="770" spans="1:4" x14ac:dyDescent="0.2">
      <c r="A770" s="41" t="s">
        <v>8311</v>
      </c>
      <c r="B770" s="2" t="s">
        <v>531</v>
      </c>
      <c r="C770" s="2" t="s">
        <v>5043</v>
      </c>
      <c r="D770" s="2" t="s">
        <v>8406</v>
      </c>
    </row>
    <row r="771" spans="1:4" x14ac:dyDescent="0.2">
      <c r="A771" s="41" t="s">
        <v>8312</v>
      </c>
      <c r="B771" s="2" t="s">
        <v>531</v>
      </c>
      <c r="C771" s="2" t="s">
        <v>5043</v>
      </c>
      <c r="D771" s="2" t="s">
        <v>8406</v>
      </c>
    </row>
    <row r="772" spans="1:4" x14ac:dyDescent="0.2">
      <c r="A772" s="41" t="s">
        <v>8313</v>
      </c>
      <c r="B772" s="2" t="s">
        <v>531</v>
      </c>
      <c r="C772" s="2" t="s">
        <v>5043</v>
      </c>
      <c r="D772" s="2" t="s">
        <v>8406</v>
      </c>
    </row>
    <row r="773" spans="1:4" x14ac:dyDescent="0.2">
      <c r="A773" s="41" t="s">
        <v>8314</v>
      </c>
      <c r="B773" s="2" t="s">
        <v>531</v>
      </c>
      <c r="C773" s="2" t="s">
        <v>5043</v>
      </c>
      <c r="D773" s="2" t="s">
        <v>8406</v>
      </c>
    </row>
    <row r="774" spans="1:4" x14ac:dyDescent="0.2">
      <c r="A774" s="41" t="s">
        <v>6090</v>
      </c>
      <c r="B774" s="2" t="s">
        <v>896</v>
      </c>
      <c r="C774" s="2" t="s">
        <v>5043</v>
      </c>
      <c r="D774" s="2" t="s">
        <v>8406</v>
      </c>
    </row>
    <row r="775" spans="1:4" x14ac:dyDescent="0.2">
      <c r="A775" s="41" t="s">
        <v>6091</v>
      </c>
      <c r="B775" s="2" t="s">
        <v>532</v>
      </c>
      <c r="C775" s="2" t="s">
        <v>5043</v>
      </c>
      <c r="D775" s="2" t="s">
        <v>8404</v>
      </c>
    </row>
    <row r="776" spans="1:4" x14ac:dyDescent="0.2">
      <c r="A776" s="41" t="s">
        <v>6092</v>
      </c>
      <c r="B776" s="2" t="s">
        <v>532</v>
      </c>
      <c r="C776" s="2" t="s">
        <v>5043</v>
      </c>
      <c r="D776" s="2" t="s">
        <v>8404</v>
      </c>
    </row>
    <row r="777" spans="1:4" x14ac:dyDescent="0.2">
      <c r="A777" s="41" t="s">
        <v>6093</v>
      </c>
      <c r="B777" s="2" t="s">
        <v>532</v>
      </c>
      <c r="C777" s="2" t="s">
        <v>5043</v>
      </c>
      <c r="D777" s="2" t="s">
        <v>8404</v>
      </c>
    </row>
    <row r="778" spans="1:4" x14ac:dyDescent="0.2">
      <c r="A778" s="41" t="s">
        <v>6094</v>
      </c>
      <c r="B778" s="2" t="s">
        <v>532</v>
      </c>
      <c r="C778" s="2" t="s">
        <v>5043</v>
      </c>
      <c r="D778" s="2" t="s">
        <v>8404</v>
      </c>
    </row>
    <row r="779" spans="1:4" x14ac:dyDescent="0.2">
      <c r="A779" s="41" t="s">
        <v>6095</v>
      </c>
      <c r="B779" s="2" t="s">
        <v>532</v>
      </c>
      <c r="C779" s="2" t="s">
        <v>5043</v>
      </c>
      <c r="D779" s="2" t="s">
        <v>8404</v>
      </c>
    </row>
    <row r="780" spans="1:4" x14ac:dyDescent="0.2">
      <c r="A780" s="41" t="s">
        <v>6096</v>
      </c>
      <c r="B780" s="2" t="s">
        <v>532</v>
      </c>
      <c r="C780" s="2" t="s">
        <v>5043</v>
      </c>
      <c r="D780" s="2" t="s">
        <v>8404</v>
      </c>
    </row>
    <row r="781" spans="1:4" x14ac:dyDescent="0.2">
      <c r="A781" s="41" t="s">
        <v>6097</v>
      </c>
      <c r="B781" s="2" t="s">
        <v>532</v>
      </c>
      <c r="C781" s="2" t="s">
        <v>5043</v>
      </c>
      <c r="D781" s="2" t="s">
        <v>8404</v>
      </c>
    </row>
    <row r="782" spans="1:4" x14ac:dyDescent="0.2">
      <c r="A782" s="41" t="s">
        <v>6098</v>
      </c>
      <c r="B782" s="2" t="s">
        <v>532</v>
      </c>
      <c r="C782" s="2" t="s">
        <v>5043</v>
      </c>
      <c r="D782" s="2" t="s">
        <v>8404</v>
      </c>
    </row>
    <row r="783" spans="1:4" x14ac:dyDescent="0.2">
      <c r="A783" s="41" t="s">
        <v>6099</v>
      </c>
      <c r="B783" s="2" t="s">
        <v>532</v>
      </c>
      <c r="C783" s="2" t="s">
        <v>5043</v>
      </c>
      <c r="D783" s="2" t="s">
        <v>8404</v>
      </c>
    </row>
    <row r="784" spans="1:4" x14ac:dyDescent="0.2">
      <c r="A784" s="41" t="s">
        <v>6100</v>
      </c>
      <c r="B784" s="2" t="s">
        <v>532</v>
      </c>
      <c r="C784" s="2" t="s">
        <v>5043</v>
      </c>
      <c r="D784" s="2" t="s">
        <v>8404</v>
      </c>
    </row>
    <row r="785" spans="1:4" x14ac:dyDescent="0.2">
      <c r="A785" s="41" t="s">
        <v>6101</v>
      </c>
      <c r="B785" s="2" t="s">
        <v>532</v>
      </c>
      <c r="C785" s="2" t="s">
        <v>5043</v>
      </c>
      <c r="D785" s="2" t="s">
        <v>8404</v>
      </c>
    </row>
    <row r="786" spans="1:4" x14ac:dyDescent="0.2">
      <c r="A786" s="41" t="s">
        <v>6102</v>
      </c>
      <c r="B786" s="2" t="s">
        <v>532</v>
      </c>
      <c r="C786" s="2" t="s">
        <v>5043</v>
      </c>
      <c r="D786" s="2" t="s">
        <v>8404</v>
      </c>
    </row>
    <row r="787" spans="1:4" x14ac:dyDescent="0.2">
      <c r="A787" s="41" t="s">
        <v>6103</v>
      </c>
      <c r="B787" s="2" t="s">
        <v>532</v>
      </c>
      <c r="C787" s="2" t="s">
        <v>5043</v>
      </c>
      <c r="D787" s="2" t="s">
        <v>8404</v>
      </c>
    </row>
    <row r="788" spans="1:4" x14ac:dyDescent="0.2">
      <c r="A788" s="41" t="s">
        <v>6104</v>
      </c>
      <c r="B788" s="2" t="s">
        <v>532</v>
      </c>
      <c r="C788" s="2" t="s">
        <v>5043</v>
      </c>
      <c r="D788" s="2" t="s">
        <v>8404</v>
      </c>
    </row>
    <row r="789" spans="1:4" x14ac:dyDescent="0.2">
      <c r="A789" s="41" t="s">
        <v>6105</v>
      </c>
      <c r="B789" s="2" t="s">
        <v>532</v>
      </c>
      <c r="C789" s="2" t="s">
        <v>5043</v>
      </c>
      <c r="D789" s="2" t="s">
        <v>8404</v>
      </c>
    </row>
    <row r="790" spans="1:4" x14ac:dyDescent="0.2">
      <c r="A790" s="41" t="s">
        <v>6106</v>
      </c>
      <c r="B790" s="2" t="s">
        <v>532</v>
      </c>
      <c r="C790" s="2" t="s">
        <v>5043</v>
      </c>
      <c r="D790" s="2" t="s">
        <v>8404</v>
      </c>
    </row>
    <row r="791" spans="1:4" x14ac:dyDescent="0.2">
      <c r="A791" s="41" t="s">
        <v>6107</v>
      </c>
      <c r="B791" s="2" t="s">
        <v>532</v>
      </c>
      <c r="C791" s="2" t="s">
        <v>5043</v>
      </c>
      <c r="D791" s="2" t="s">
        <v>8404</v>
      </c>
    </row>
    <row r="792" spans="1:4" x14ac:dyDescent="0.2">
      <c r="A792" s="41" t="s">
        <v>6108</v>
      </c>
      <c r="B792" s="2" t="s">
        <v>532</v>
      </c>
      <c r="C792" s="2" t="s">
        <v>5043</v>
      </c>
      <c r="D792" s="2" t="s">
        <v>8404</v>
      </c>
    </row>
    <row r="793" spans="1:4" x14ac:dyDescent="0.2">
      <c r="A793" s="41" t="s">
        <v>6109</v>
      </c>
      <c r="B793" s="2" t="s">
        <v>532</v>
      </c>
      <c r="C793" s="2" t="s">
        <v>5043</v>
      </c>
      <c r="D793" s="2" t="s">
        <v>8404</v>
      </c>
    </row>
    <row r="794" spans="1:4" x14ac:dyDescent="0.2">
      <c r="A794" s="41" t="s">
        <v>6110</v>
      </c>
      <c r="B794" s="2" t="s">
        <v>532</v>
      </c>
      <c r="C794" s="2" t="s">
        <v>5043</v>
      </c>
      <c r="D794" s="2" t="s">
        <v>8404</v>
      </c>
    </row>
    <row r="795" spans="1:4" x14ac:dyDescent="0.2">
      <c r="A795" s="41" t="s">
        <v>6111</v>
      </c>
      <c r="B795" s="2" t="s">
        <v>532</v>
      </c>
      <c r="C795" s="2" t="s">
        <v>5043</v>
      </c>
      <c r="D795" s="2" t="s">
        <v>8404</v>
      </c>
    </row>
    <row r="796" spans="1:4" x14ac:dyDescent="0.2">
      <c r="A796" s="41" t="s">
        <v>6112</v>
      </c>
      <c r="B796" s="2" t="s">
        <v>532</v>
      </c>
      <c r="C796" s="2" t="s">
        <v>5043</v>
      </c>
      <c r="D796" s="2" t="s">
        <v>8404</v>
      </c>
    </row>
    <row r="797" spans="1:4" x14ac:dyDescent="0.2">
      <c r="A797" s="41" t="s">
        <v>6113</v>
      </c>
      <c r="B797" s="2" t="s">
        <v>532</v>
      </c>
      <c r="C797" s="2" t="s">
        <v>5043</v>
      </c>
      <c r="D797" s="2" t="s">
        <v>8404</v>
      </c>
    </row>
    <row r="798" spans="1:4" x14ac:dyDescent="0.2">
      <c r="A798" s="41" t="s">
        <v>6114</v>
      </c>
      <c r="B798" s="2" t="s">
        <v>532</v>
      </c>
      <c r="C798" s="2" t="s">
        <v>5043</v>
      </c>
      <c r="D798" s="2" t="s">
        <v>8404</v>
      </c>
    </row>
    <row r="799" spans="1:4" x14ac:dyDescent="0.2">
      <c r="A799" s="41" t="s">
        <v>6115</v>
      </c>
      <c r="B799" s="2" t="s">
        <v>532</v>
      </c>
      <c r="C799" s="2" t="s">
        <v>5043</v>
      </c>
      <c r="D799" s="2" t="s">
        <v>8404</v>
      </c>
    </row>
    <row r="800" spans="1:4" x14ac:dyDescent="0.2">
      <c r="A800" s="41" t="s">
        <v>6116</v>
      </c>
      <c r="B800" s="2" t="s">
        <v>532</v>
      </c>
      <c r="C800" s="2" t="s">
        <v>5043</v>
      </c>
      <c r="D800" s="2" t="s">
        <v>8404</v>
      </c>
    </row>
    <row r="801" spans="1:4" x14ac:dyDescent="0.2">
      <c r="A801" s="41" t="s">
        <v>6117</v>
      </c>
      <c r="B801" s="2" t="s">
        <v>532</v>
      </c>
      <c r="C801" s="2" t="s">
        <v>5043</v>
      </c>
      <c r="D801" s="2" t="s">
        <v>8404</v>
      </c>
    </row>
    <row r="802" spans="1:4" x14ac:dyDescent="0.2">
      <c r="A802" s="41" t="s">
        <v>6118</v>
      </c>
      <c r="B802" s="2" t="s">
        <v>532</v>
      </c>
      <c r="C802" s="2" t="s">
        <v>5043</v>
      </c>
      <c r="D802" s="2" t="s">
        <v>8404</v>
      </c>
    </row>
    <row r="803" spans="1:4" x14ac:dyDescent="0.2">
      <c r="A803" s="41" t="s">
        <v>6119</v>
      </c>
      <c r="B803" s="2" t="s">
        <v>532</v>
      </c>
      <c r="C803" s="2" t="s">
        <v>5043</v>
      </c>
      <c r="D803" s="2" t="s">
        <v>8404</v>
      </c>
    </row>
    <row r="804" spans="1:4" x14ac:dyDescent="0.2">
      <c r="A804" s="41" t="s">
        <v>6120</v>
      </c>
      <c r="B804" s="2" t="s">
        <v>222</v>
      </c>
      <c r="C804" s="2" t="s">
        <v>5043</v>
      </c>
      <c r="D804" s="2" t="s">
        <v>8415</v>
      </c>
    </row>
    <row r="805" spans="1:4" x14ac:dyDescent="0.2">
      <c r="A805" s="41" t="s">
        <v>3056</v>
      </c>
      <c r="B805" s="2" t="s">
        <v>222</v>
      </c>
      <c r="C805" s="2" t="s">
        <v>5043</v>
      </c>
      <c r="D805" s="2" t="s">
        <v>8415</v>
      </c>
    </row>
    <row r="806" spans="1:4" x14ac:dyDescent="0.2">
      <c r="A806" s="41" t="s">
        <v>6121</v>
      </c>
      <c r="B806" s="2" t="s">
        <v>222</v>
      </c>
      <c r="C806" s="2" t="s">
        <v>5043</v>
      </c>
      <c r="D806" s="2" t="s">
        <v>8415</v>
      </c>
    </row>
    <row r="807" spans="1:4" x14ac:dyDescent="0.2">
      <c r="A807" s="41" t="s">
        <v>6122</v>
      </c>
      <c r="B807" s="2" t="s">
        <v>222</v>
      </c>
      <c r="C807" s="2" t="s">
        <v>5043</v>
      </c>
      <c r="D807" s="2" t="s">
        <v>8415</v>
      </c>
    </row>
    <row r="808" spans="1:4" x14ac:dyDescent="0.2">
      <c r="A808" s="41" t="s">
        <v>6123</v>
      </c>
      <c r="B808" s="2" t="s">
        <v>458</v>
      </c>
      <c r="C808" s="2" t="s">
        <v>5043</v>
      </c>
      <c r="D808" s="2" t="s">
        <v>8404</v>
      </c>
    </row>
    <row r="809" spans="1:4" x14ac:dyDescent="0.2">
      <c r="A809" s="41" t="s">
        <v>6124</v>
      </c>
      <c r="B809" s="2" t="s">
        <v>458</v>
      </c>
      <c r="C809" s="2" t="s">
        <v>5043</v>
      </c>
      <c r="D809" s="2" t="s">
        <v>8404</v>
      </c>
    </row>
    <row r="810" spans="1:4" x14ac:dyDescent="0.2">
      <c r="A810" s="41" t="s">
        <v>6125</v>
      </c>
      <c r="B810" s="2" t="s">
        <v>458</v>
      </c>
      <c r="C810" s="2" t="s">
        <v>5043</v>
      </c>
      <c r="D810" s="2" t="s">
        <v>8404</v>
      </c>
    </row>
    <row r="811" spans="1:4" x14ac:dyDescent="0.2">
      <c r="A811" s="41" t="s">
        <v>6126</v>
      </c>
      <c r="B811" s="2" t="s">
        <v>458</v>
      </c>
      <c r="C811" s="2" t="s">
        <v>5043</v>
      </c>
      <c r="D811" s="2" t="s">
        <v>8404</v>
      </c>
    </row>
    <row r="812" spans="1:4" x14ac:dyDescent="0.2">
      <c r="A812" s="41" t="s">
        <v>3059</v>
      </c>
      <c r="B812" s="2" t="s">
        <v>458</v>
      </c>
      <c r="C812" s="2" t="s">
        <v>5043</v>
      </c>
      <c r="D812" s="2" t="s">
        <v>8404</v>
      </c>
    </row>
    <row r="813" spans="1:4" x14ac:dyDescent="0.2">
      <c r="A813" s="41" t="s">
        <v>6127</v>
      </c>
      <c r="B813" s="2" t="s">
        <v>458</v>
      </c>
      <c r="C813" s="2" t="s">
        <v>5043</v>
      </c>
      <c r="D813" s="2" t="s">
        <v>8404</v>
      </c>
    </row>
    <row r="814" spans="1:4" x14ac:dyDescent="0.2">
      <c r="A814" s="41" t="s">
        <v>6128</v>
      </c>
      <c r="B814" s="2" t="s">
        <v>458</v>
      </c>
      <c r="C814" s="2" t="s">
        <v>5043</v>
      </c>
      <c r="D814" s="2" t="s">
        <v>8404</v>
      </c>
    </row>
    <row r="815" spans="1:4" x14ac:dyDescent="0.2">
      <c r="A815" s="41" t="s">
        <v>6129</v>
      </c>
      <c r="B815" s="2" t="s">
        <v>458</v>
      </c>
      <c r="C815" s="2" t="s">
        <v>5043</v>
      </c>
      <c r="D815" s="2" t="s">
        <v>8406</v>
      </c>
    </row>
    <row r="816" spans="1:4" x14ac:dyDescent="0.2">
      <c r="A816" s="41" t="s">
        <v>6130</v>
      </c>
      <c r="B816" s="2" t="s">
        <v>223</v>
      </c>
      <c r="C816" s="2" t="s">
        <v>5043</v>
      </c>
      <c r="D816" s="2" t="s">
        <v>8404</v>
      </c>
    </row>
    <row r="817" spans="1:4" x14ac:dyDescent="0.2">
      <c r="A817" s="41" t="s">
        <v>6131</v>
      </c>
      <c r="B817" s="2" t="s">
        <v>223</v>
      </c>
      <c r="C817" s="2" t="s">
        <v>5043</v>
      </c>
      <c r="D817" s="2" t="s">
        <v>8404</v>
      </c>
    </row>
    <row r="818" spans="1:4" x14ac:dyDescent="0.2">
      <c r="A818" s="41" t="s">
        <v>6132</v>
      </c>
      <c r="B818" s="2" t="s">
        <v>223</v>
      </c>
      <c r="C818" s="2" t="s">
        <v>5043</v>
      </c>
      <c r="D818" s="2" t="s">
        <v>8404</v>
      </c>
    </row>
    <row r="819" spans="1:4" x14ac:dyDescent="0.2">
      <c r="A819" s="41" t="s">
        <v>4205</v>
      </c>
      <c r="B819" s="2" t="s">
        <v>223</v>
      </c>
      <c r="C819" s="2" t="s">
        <v>5043</v>
      </c>
      <c r="D819" s="2" t="s">
        <v>8404</v>
      </c>
    </row>
    <row r="820" spans="1:4" x14ac:dyDescent="0.2">
      <c r="A820" s="41" t="s">
        <v>4206</v>
      </c>
      <c r="B820" s="2" t="s">
        <v>223</v>
      </c>
      <c r="C820" s="2" t="s">
        <v>5043</v>
      </c>
      <c r="D820" s="2" t="s">
        <v>8404</v>
      </c>
    </row>
    <row r="821" spans="1:4" x14ac:dyDescent="0.2">
      <c r="A821" s="41" t="s">
        <v>4207</v>
      </c>
      <c r="B821" s="2" t="s">
        <v>223</v>
      </c>
      <c r="C821" s="2" t="s">
        <v>5043</v>
      </c>
      <c r="D821" s="2" t="s">
        <v>8404</v>
      </c>
    </row>
    <row r="822" spans="1:4" x14ac:dyDescent="0.2">
      <c r="A822" s="41" t="s">
        <v>4208</v>
      </c>
      <c r="B822" s="2" t="s">
        <v>223</v>
      </c>
      <c r="C822" s="2" t="s">
        <v>5043</v>
      </c>
      <c r="D822" s="2" t="s">
        <v>8404</v>
      </c>
    </row>
    <row r="823" spans="1:4" x14ac:dyDescent="0.2">
      <c r="A823" s="41" t="s">
        <v>4209</v>
      </c>
      <c r="B823" s="2" t="s">
        <v>223</v>
      </c>
      <c r="C823" s="2" t="s">
        <v>5043</v>
      </c>
      <c r="D823" s="2" t="s">
        <v>8404</v>
      </c>
    </row>
    <row r="824" spans="1:4" x14ac:dyDescent="0.2">
      <c r="A824" s="41" t="s">
        <v>4210</v>
      </c>
      <c r="B824" s="2" t="s">
        <v>223</v>
      </c>
      <c r="C824" s="2" t="s">
        <v>5043</v>
      </c>
      <c r="D824" s="2" t="s">
        <v>8404</v>
      </c>
    </row>
    <row r="825" spans="1:4" x14ac:dyDescent="0.2">
      <c r="A825" s="41" t="s">
        <v>4211</v>
      </c>
      <c r="B825" s="2" t="s">
        <v>223</v>
      </c>
      <c r="C825" s="2" t="s">
        <v>5043</v>
      </c>
      <c r="D825" s="2" t="s">
        <v>8404</v>
      </c>
    </row>
    <row r="826" spans="1:4" x14ac:dyDescent="0.2">
      <c r="A826" s="41" t="s">
        <v>4212</v>
      </c>
      <c r="B826" s="2" t="s">
        <v>223</v>
      </c>
      <c r="C826" s="2" t="s">
        <v>5043</v>
      </c>
      <c r="D826" s="2" t="s">
        <v>8404</v>
      </c>
    </row>
    <row r="827" spans="1:4" x14ac:dyDescent="0.2">
      <c r="A827" s="41" t="s">
        <v>4213</v>
      </c>
      <c r="B827" s="2" t="s">
        <v>223</v>
      </c>
      <c r="C827" s="2" t="s">
        <v>5043</v>
      </c>
      <c r="D827" s="2" t="s">
        <v>8404</v>
      </c>
    </row>
    <row r="828" spans="1:4" x14ac:dyDescent="0.2">
      <c r="A828" s="41" t="s">
        <v>4214</v>
      </c>
      <c r="B828" s="2" t="s">
        <v>223</v>
      </c>
      <c r="C828" s="2" t="s">
        <v>5043</v>
      </c>
      <c r="D828" s="2" t="s">
        <v>8404</v>
      </c>
    </row>
    <row r="829" spans="1:4" x14ac:dyDescent="0.2">
      <c r="A829" s="41" t="s">
        <v>4215</v>
      </c>
      <c r="B829" s="2" t="s">
        <v>223</v>
      </c>
      <c r="C829" s="2" t="s">
        <v>5043</v>
      </c>
      <c r="D829" s="2" t="s">
        <v>8404</v>
      </c>
    </row>
    <row r="830" spans="1:4" x14ac:dyDescent="0.2">
      <c r="A830" s="41" t="s">
        <v>4216</v>
      </c>
      <c r="B830" s="2" t="s">
        <v>223</v>
      </c>
      <c r="C830" s="2" t="s">
        <v>5043</v>
      </c>
      <c r="D830" s="2" t="s">
        <v>8404</v>
      </c>
    </row>
    <row r="831" spans="1:4" x14ac:dyDescent="0.2">
      <c r="A831" s="41" t="s">
        <v>4217</v>
      </c>
      <c r="B831" s="2" t="s">
        <v>223</v>
      </c>
      <c r="C831" s="2" t="s">
        <v>5043</v>
      </c>
      <c r="D831" s="2" t="s">
        <v>8404</v>
      </c>
    </row>
    <row r="832" spans="1:4" x14ac:dyDescent="0.2">
      <c r="A832" s="41" t="s">
        <v>4218</v>
      </c>
      <c r="B832" s="2" t="s">
        <v>223</v>
      </c>
      <c r="C832" s="2" t="s">
        <v>5043</v>
      </c>
      <c r="D832" s="2" t="s">
        <v>8404</v>
      </c>
    </row>
    <row r="833" spans="1:4" x14ac:dyDescent="0.2">
      <c r="A833" s="41" t="s">
        <v>4219</v>
      </c>
      <c r="B833" s="2" t="s">
        <v>223</v>
      </c>
      <c r="C833" s="2" t="s">
        <v>5043</v>
      </c>
      <c r="D833" s="2" t="s">
        <v>8404</v>
      </c>
    </row>
    <row r="834" spans="1:4" x14ac:dyDescent="0.2">
      <c r="A834" s="41" t="s">
        <v>4220</v>
      </c>
      <c r="B834" s="2" t="s">
        <v>223</v>
      </c>
      <c r="C834" s="2" t="s">
        <v>5043</v>
      </c>
      <c r="D834" s="2" t="s">
        <v>8404</v>
      </c>
    </row>
    <row r="835" spans="1:4" x14ac:dyDescent="0.2">
      <c r="A835" s="41" t="s">
        <v>4221</v>
      </c>
      <c r="B835" s="2" t="s">
        <v>223</v>
      </c>
      <c r="C835" s="2" t="s">
        <v>5043</v>
      </c>
      <c r="D835" s="2" t="s">
        <v>8404</v>
      </c>
    </row>
    <row r="836" spans="1:4" x14ac:dyDescent="0.2">
      <c r="A836" s="41" t="s">
        <v>4222</v>
      </c>
      <c r="B836" s="2" t="s">
        <v>223</v>
      </c>
      <c r="C836" s="2" t="s">
        <v>5043</v>
      </c>
      <c r="D836" s="2" t="s">
        <v>8404</v>
      </c>
    </row>
    <row r="837" spans="1:4" x14ac:dyDescent="0.2">
      <c r="A837" s="41" t="s">
        <v>4223</v>
      </c>
      <c r="B837" s="2" t="s">
        <v>223</v>
      </c>
      <c r="C837" s="2" t="s">
        <v>5043</v>
      </c>
      <c r="D837" s="2" t="s">
        <v>8404</v>
      </c>
    </row>
    <row r="838" spans="1:4" x14ac:dyDescent="0.2">
      <c r="A838" s="41" t="s">
        <v>4224</v>
      </c>
      <c r="B838" s="2" t="s">
        <v>223</v>
      </c>
      <c r="C838" s="2" t="s">
        <v>5043</v>
      </c>
      <c r="D838" s="2" t="s">
        <v>8404</v>
      </c>
    </row>
    <row r="839" spans="1:4" x14ac:dyDescent="0.2">
      <c r="A839" s="41" t="s">
        <v>4225</v>
      </c>
      <c r="B839" s="2" t="s">
        <v>223</v>
      </c>
      <c r="C839" s="2" t="s">
        <v>5043</v>
      </c>
      <c r="D839" s="2" t="s">
        <v>8404</v>
      </c>
    </row>
    <row r="840" spans="1:4" x14ac:dyDescent="0.2">
      <c r="A840" s="41" t="s">
        <v>4226</v>
      </c>
      <c r="B840" s="2" t="s">
        <v>223</v>
      </c>
      <c r="C840" s="2" t="s">
        <v>5043</v>
      </c>
      <c r="D840" s="2" t="s">
        <v>8404</v>
      </c>
    </row>
    <row r="841" spans="1:4" x14ac:dyDescent="0.2">
      <c r="A841" s="41" t="s">
        <v>5443</v>
      </c>
      <c r="B841" s="2" t="s">
        <v>223</v>
      </c>
      <c r="C841" s="2" t="s">
        <v>5043</v>
      </c>
      <c r="D841" s="2" t="s">
        <v>8404</v>
      </c>
    </row>
    <row r="842" spans="1:4" x14ac:dyDescent="0.2">
      <c r="A842" s="41" t="s">
        <v>5444</v>
      </c>
      <c r="B842" s="2" t="s">
        <v>223</v>
      </c>
      <c r="C842" s="2" t="s">
        <v>5043</v>
      </c>
      <c r="D842" s="2" t="s">
        <v>8404</v>
      </c>
    </row>
    <row r="843" spans="1:4" x14ac:dyDescent="0.2">
      <c r="A843" s="41" t="s">
        <v>5445</v>
      </c>
      <c r="B843" s="2" t="s">
        <v>223</v>
      </c>
      <c r="C843" s="2" t="s">
        <v>5043</v>
      </c>
      <c r="D843" s="2" t="s">
        <v>8404</v>
      </c>
    </row>
    <row r="844" spans="1:4" x14ac:dyDescent="0.2">
      <c r="A844" s="41" t="s">
        <v>4230</v>
      </c>
      <c r="B844" s="2" t="s">
        <v>223</v>
      </c>
      <c r="C844" s="2" t="s">
        <v>5043</v>
      </c>
      <c r="D844" s="2" t="s">
        <v>8404</v>
      </c>
    </row>
    <row r="845" spans="1:4" x14ac:dyDescent="0.2">
      <c r="A845" s="41" t="s">
        <v>4231</v>
      </c>
      <c r="B845" s="2" t="s">
        <v>223</v>
      </c>
      <c r="C845" s="2" t="s">
        <v>5043</v>
      </c>
      <c r="D845" s="2" t="s">
        <v>8404</v>
      </c>
    </row>
    <row r="846" spans="1:4" x14ac:dyDescent="0.2">
      <c r="A846" s="41" t="s">
        <v>4232</v>
      </c>
      <c r="B846" s="2" t="s">
        <v>223</v>
      </c>
      <c r="C846" s="2" t="s">
        <v>5043</v>
      </c>
      <c r="D846" s="2" t="s">
        <v>8404</v>
      </c>
    </row>
    <row r="847" spans="1:4" x14ac:dyDescent="0.2">
      <c r="A847" s="41" t="s">
        <v>4233</v>
      </c>
      <c r="B847" s="2" t="s">
        <v>223</v>
      </c>
      <c r="C847" s="2" t="s">
        <v>5043</v>
      </c>
      <c r="D847" s="2" t="s">
        <v>8404</v>
      </c>
    </row>
    <row r="848" spans="1:4" x14ac:dyDescent="0.2">
      <c r="A848" s="41" t="s">
        <v>4234</v>
      </c>
      <c r="B848" s="2" t="s">
        <v>224</v>
      </c>
      <c r="C848" s="2" t="s">
        <v>5043</v>
      </c>
      <c r="D848" s="2" t="s">
        <v>8404</v>
      </c>
    </row>
    <row r="849" spans="1:4" x14ac:dyDescent="0.2">
      <c r="A849" s="41" t="s">
        <v>4235</v>
      </c>
      <c r="B849" s="2" t="s">
        <v>224</v>
      </c>
      <c r="C849" s="2" t="s">
        <v>5043</v>
      </c>
      <c r="D849" s="2" t="s">
        <v>8404</v>
      </c>
    </row>
    <row r="850" spans="1:4" x14ac:dyDescent="0.2">
      <c r="A850" s="41" t="s">
        <v>5447</v>
      </c>
      <c r="B850" s="2" t="s">
        <v>224</v>
      </c>
      <c r="C850" s="2" t="s">
        <v>5043</v>
      </c>
      <c r="D850" s="2" t="s">
        <v>8404</v>
      </c>
    </row>
    <row r="851" spans="1:4" x14ac:dyDescent="0.2">
      <c r="A851" s="41" t="s">
        <v>5448</v>
      </c>
      <c r="B851" s="2" t="s">
        <v>224</v>
      </c>
      <c r="C851" s="2" t="s">
        <v>5043</v>
      </c>
      <c r="D851" s="2" t="s">
        <v>8404</v>
      </c>
    </row>
    <row r="852" spans="1:4" x14ac:dyDescent="0.2">
      <c r="A852" s="41" t="s">
        <v>5449</v>
      </c>
      <c r="B852" s="2" t="s">
        <v>224</v>
      </c>
      <c r="C852" s="2" t="s">
        <v>5043</v>
      </c>
      <c r="D852" s="2" t="s">
        <v>8404</v>
      </c>
    </row>
    <row r="853" spans="1:4" x14ac:dyDescent="0.2">
      <c r="A853" s="41" t="s">
        <v>5450</v>
      </c>
      <c r="B853" s="2" t="s">
        <v>224</v>
      </c>
      <c r="C853" s="2" t="s">
        <v>5043</v>
      </c>
      <c r="D853" s="2" t="s">
        <v>8404</v>
      </c>
    </row>
    <row r="854" spans="1:4" x14ac:dyDescent="0.2">
      <c r="A854" s="41" t="s">
        <v>5451</v>
      </c>
      <c r="B854" s="2" t="s">
        <v>224</v>
      </c>
      <c r="C854" s="2" t="s">
        <v>5043</v>
      </c>
      <c r="D854" s="2" t="s">
        <v>8404</v>
      </c>
    </row>
    <row r="855" spans="1:4" x14ac:dyDescent="0.2">
      <c r="A855" s="41" t="s">
        <v>5454</v>
      </c>
      <c r="B855" s="2" t="s">
        <v>224</v>
      </c>
      <c r="C855" s="2" t="s">
        <v>5043</v>
      </c>
      <c r="D855" s="2" t="s">
        <v>8404</v>
      </c>
    </row>
    <row r="856" spans="1:4" x14ac:dyDescent="0.2">
      <c r="A856" s="41" t="s">
        <v>5455</v>
      </c>
      <c r="B856" s="2" t="s">
        <v>224</v>
      </c>
      <c r="C856" s="2" t="s">
        <v>5043</v>
      </c>
      <c r="D856" s="2" t="s">
        <v>8404</v>
      </c>
    </row>
    <row r="857" spans="1:4" x14ac:dyDescent="0.2">
      <c r="A857" s="41" t="s">
        <v>5456</v>
      </c>
      <c r="B857" s="2" t="s">
        <v>224</v>
      </c>
      <c r="C857" s="2" t="s">
        <v>5043</v>
      </c>
      <c r="D857" s="2" t="s">
        <v>8404</v>
      </c>
    </row>
    <row r="858" spans="1:4" x14ac:dyDescent="0.2">
      <c r="A858" s="41" t="s">
        <v>5233</v>
      </c>
      <c r="B858" s="2" t="s">
        <v>224</v>
      </c>
      <c r="C858" s="2" t="s">
        <v>5043</v>
      </c>
      <c r="D858" s="2" t="s">
        <v>8404</v>
      </c>
    </row>
    <row r="859" spans="1:4" x14ac:dyDescent="0.2">
      <c r="A859" s="41" t="s">
        <v>5234</v>
      </c>
      <c r="B859" s="2" t="s">
        <v>224</v>
      </c>
      <c r="C859" s="2" t="s">
        <v>5043</v>
      </c>
      <c r="D859" s="2" t="s">
        <v>8404</v>
      </c>
    </row>
    <row r="860" spans="1:4" x14ac:dyDescent="0.2">
      <c r="A860" s="41" t="s">
        <v>5235</v>
      </c>
      <c r="B860" s="2" t="s">
        <v>224</v>
      </c>
      <c r="C860" s="2" t="s">
        <v>5043</v>
      </c>
      <c r="D860" s="2" t="s">
        <v>8404</v>
      </c>
    </row>
    <row r="861" spans="1:4" x14ac:dyDescent="0.2">
      <c r="A861" s="41" t="s">
        <v>5236</v>
      </c>
      <c r="B861" s="2" t="s">
        <v>224</v>
      </c>
      <c r="C861" s="2" t="s">
        <v>5043</v>
      </c>
      <c r="D861" s="2" t="s">
        <v>8404</v>
      </c>
    </row>
    <row r="862" spans="1:4" x14ac:dyDescent="0.2">
      <c r="A862" s="41" t="s">
        <v>4259</v>
      </c>
      <c r="B862" s="2" t="s">
        <v>224</v>
      </c>
      <c r="C862" s="2" t="s">
        <v>5043</v>
      </c>
      <c r="D862" s="2" t="s">
        <v>8404</v>
      </c>
    </row>
    <row r="863" spans="1:4" x14ac:dyDescent="0.2">
      <c r="A863" s="41" t="s">
        <v>4260</v>
      </c>
      <c r="B863" s="2" t="s">
        <v>224</v>
      </c>
      <c r="C863" s="2" t="s">
        <v>5043</v>
      </c>
      <c r="D863" s="2" t="s">
        <v>8404</v>
      </c>
    </row>
    <row r="864" spans="1:4" x14ac:dyDescent="0.2">
      <c r="A864" s="41" t="s">
        <v>4261</v>
      </c>
      <c r="B864" s="2" t="s">
        <v>224</v>
      </c>
      <c r="C864" s="2" t="s">
        <v>5043</v>
      </c>
      <c r="D864" s="2" t="s">
        <v>8404</v>
      </c>
    </row>
    <row r="865" spans="1:4" x14ac:dyDescent="0.2">
      <c r="A865" s="41" t="s">
        <v>4262</v>
      </c>
      <c r="B865" s="2" t="s">
        <v>224</v>
      </c>
      <c r="C865" s="2" t="s">
        <v>5043</v>
      </c>
      <c r="D865" s="2" t="s">
        <v>8404</v>
      </c>
    </row>
    <row r="866" spans="1:4" x14ac:dyDescent="0.2">
      <c r="A866" s="41" t="s">
        <v>4263</v>
      </c>
      <c r="B866" s="2" t="s">
        <v>224</v>
      </c>
      <c r="C866" s="2" t="s">
        <v>5043</v>
      </c>
      <c r="D866" s="2" t="s">
        <v>8404</v>
      </c>
    </row>
    <row r="867" spans="1:4" x14ac:dyDescent="0.2">
      <c r="A867" s="41" t="s">
        <v>4264</v>
      </c>
      <c r="B867" s="2" t="s">
        <v>224</v>
      </c>
      <c r="C867" s="2" t="s">
        <v>5043</v>
      </c>
      <c r="D867" s="2" t="s">
        <v>8404</v>
      </c>
    </row>
    <row r="868" spans="1:4" x14ac:dyDescent="0.2">
      <c r="A868" s="41" t="s">
        <v>4265</v>
      </c>
      <c r="B868" s="2" t="s">
        <v>224</v>
      </c>
      <c r="C868" s="2" t="s">
        <v>5043</v>
      </c>
      <c r="D868" s="2" t="s">
        <v>8404</v>
      </c>
    </row>
    <row r="869" spans="1:4" x14ac:dyDescent="0.2">
      <c r="A869" s="41" t="s">
        <v>6133</v>
      </c>
      <c r="B869" s="2" t="s">
        <v>224</v>
      </c>
      <c r="C869" s="2" t="s">
        <v>5043</v>
      </c>
      <c r="D869" s="2" t="s">
        <v>8404</v>
      </c>
    </row>
    <row r="870" spans="1:4" x14ac:dyDescent="0.2">
      <c r="A870" s="41" t="s">
        <v>6134</v>
      </c>
      <c r="B870" s="2" t="s">
        <v>224</v>
      </c>
      <c r="C870" s="2" t="s">
        <v>5043</v>
      </c>
      <c r="D870" s="2" t="s">
        <v>8404</v>
      </c>
    </row>
    <row r="871" spans="1:4" x14ac:dyDescent="0.2">
      <c r="A871" s="41" t="s">
        <v>6135</v>
      </c>
      <c r="B871" s="2" t="s">
        <v>224</v>
      </c>
      <c r="C871" s="2" t="s">
        <v>5043</v>
      </c>
      <c r="D871" s="2" t="s">
        <v>8404</v>
      </c>
    </row>
    <row r="872" spans="1:4" x14ac:dyDescent="0.2">
      <c r="A872" s="41" t="s">
        <v>4266</v>
      </c>
      <c r="B872" s="2" t="s">
        <v>224</v>
      </c>
      <c r="C872" s="2" t="s">
        <v>5043</v>
      </c>
      <c r="D872" s="2" t="s">
        <v>8404</v>
      </c>
    </row>
    <row r="873" spans="1:4" x14ac:dyDescent="0.2">
      <c r="A873" s="41" t="s">
        <v>4267</v>
      </c>
      <c r="B873" s="2" t="s">
        <v>224</v>
      </c>
      <c r="C873" s="2" t="s">
        <v>5043</v>
      </c>
      <c r="D873" s="2" t="s">
        <v>8404</v>
      </c>
    </row>
    <row r="874" spans="1:4" x14ac:dyDescent="0.2">
      <c r="A874" s="41" t="s">
        <v>4268</v>
      </c>
      <c r="B874" s="2" t="s">
        <v>224</v>
      </c>
      <c r="C874" s="2" t="s">
        <v>5043</v>
      </c>
      <c r="D874" s="2" t="s">
        <v>8404</v>
      </c>
    </row>
    <row r="875" spans="1:4" x14ac:dyDescent="0.2">
      <c r="A875" s="41" t="s">
        <v>6136</v>
      </c>
      <c r="B875" s="2" t="s">
        <v>224</v>
      </c>
      <c r="C875" s="2" t="s">
        <v>5043</v>
      </c>
      <c r="D875" s="2" t="s">
        <v>8404</v>
      </c>
    </row>
    <row r="876" spans="1:4" x14ac:dyDescent="0.2">
      <c r="A876" s="41" t="s">
        <v>6137</v>
      </c>
      <c r="B876" s="2" t="s">
        <v>224</v>
      </c>
      <c r="C876" s="2" t="s">
        <v>5043</v>
      </c>
      <c r="D876" s="2" t="s">
        <v>8404</v>
      </c>
    </row>
    <row r="877" spans="1:4" x14ac:dyDescent="0.2">
      <c r="A877" s="41" t="s">
        <v>6138</v>
      </c>
      <c r="B877" s="2" t="s">
        <v>224</v>
      </c>
      <c r="C877" s="2" t="s">
        <v>5043</v>
      </c>
      <c r="D877" s="2" t="s">
        <v>8404</v>
      </c>
    </row>
    <row r="878" spans="1:4" x14ac:dyDescent="0.2">
      <c r="A878" s="41" t="s">
        <v>6139</v>
      </c>
      <c r="B878" s="2" t="s">
        <v>224</v>
      </c>
      <c r="C878" s="2" t="s">
        <v>5043</v>
      </c>
      <c r="D878" s="2" t="s">
        <v>8404</v>
      </c>
    </row>
    <row r="879" spans="1:4" x14ac:dyDescent="0.2">
      <c r="A879" s="41" t="s">
        <v>5082</v>
      </c>
      <c r="B879" s="2" t="s">
        <v>224</v>
      </c>
      <c r="C879" s="2" t="s">
        <v>5043</v>
      </c>
      <c r="D879" s="2" t="s">
        <v>8404</v>
      </c>
    </row>
    <row r="880" spans="1:4" x14ac:dyDescent="0.2">
      <c r="A880" s="41" t="s">
        <v>5081</v>
      </c>
      <c r="B880" s="2" t="s">
        <v>224</v>
      </c>
      <c r="C880" s="2" t="s">
        <v>5043</v>
      </c>
      <c r="D880" s="2" t="s">
        <v>8404</v>
      </c>
    </row>
    <row r="881" spans="1:4" x14ac:dyDescent="0.2">
      <c r="A881" s="41" t="s">
        <v>5084</v>
      </c>
      <c r="B881" s="2" t="s">
        <v>224</v>
      </c>
      <c r="C881" s="2" t="s">
        <v>5043</v>
      </c>
      <c r="D881" s="2" t="s">
        <v>8404</v>
      </c>
    </row>
    <row r="882" spans="1:4" x14ac:dyDescent="0.2">
      <c r="A882" s="41" t="s">
        <v>5085</v>
      </c>
      <c r="B882" s="2" t="s">
        <v>224</v>
      </c>
      <c r="C882" s="2" t="s">
        <v>5043</v>
      </c>
      <c r="D882" s="2" t="s">
        <v>8404</v>
      </c>
    </row>
    <row r="883" spans="1:4" x14ac:dyDescent="0.2">
      <c r="A883" s="41" t="s">
        <v>6140</v>
      </c>
      <c r="B883" s="2" t="s">
        <v>459</v>
      </c>
      <c r="C883" s="2" t="s">
        <v>5043</v>
      </c>
      <c r="D883" s="2" t="s">
        <v>8404</v>
      </c>
    </row>
    <row r="884" spans="1:4" x14ac:dyDescent="0.2">
      <c r="A884" s="41" t="s">
        <v>6141</v>
      </c>
      <c r="B884" s="2" t="s">
        <v>459</v>
      </c>
      <c r="C884" s="2" t="s">
        <v>5043</v>
      </c>
      <c r="D884" s="2" t="s">
        <v>8404</v>
      </c>
    </row>
    <row r="885" spans="1:4" x14ac:dyDescent="0.2">
      <c r="A885" s="41" t="s">
        <v>5086</v>
      </c>
      <c r="B885" s="2" t="s">
        <v>459</v>
      </c>
      <c r="C885" s="2" t="s">
        <v>5043</v>
      </c>
      <c r="D885" s="2" t="s">
        <v>8404</v>
      </c>
    </row>
    <row r="886" spans="1:4" x14ac:dyDescent="0.2">
      <c r="A886" s="41" t="s">
        <v>5087</v>
      </c>
      <c r="B886" s="2" t="s">
        <v>459</v>
      </c>
      <c r="C886" s="2" t="s">
        <v>5043</v>
      </c>
      <c r="D886" s="2" t="s">
        <v>8404</v>
      </c>
    </row>
    <row r="887" spans="1:4" x14ac:dyDescent="0.2">
      <c r="A887" s="41" t="s">
        <v>5088</v>
      </c>
      <c r="B887" s="2" t="s">
        <v>225</v>
      </c>
      <c r="C887" s="2" t="s">
        <v>5043</v>
      </c>
      <c r="D887" s="2" t="s">
        <v>8404</v>
      </c>
    </row>
    <row r="888" spans="1:4" x14ac:dyDescent="0.2">
      <c r="A888" s="41" t="s">
        <v>5089</v>
      </c>
      <c r="B888" s="2" t="s">
        <v>225</v>
      </c>
      <c r="C888" s="2" t="s">
        <v>5043</v>
      </c>
      <c r="D888" s="2" t="s">
        <v>8404</v>
      </c>
    </row>
    <row r="889" spans="1:4" x14ac:dyDescent="0.2">
      <c r="A889" s="41" t="s">
        <v>6142</v>
      </c>
      <c r="B889" s="2" t="s">
        <v>225</v>
      </c>
      <c r="C889" s="2" t="s">
        <v>5043</v>
      </c>
      <c r="D889" s="2" t="s">
        <v>8404</v>
      </c>
    </row>
    <row r="890" spans="1:4" x14ac:dyDescent="0.2">
      <c r="A890" s="41" t="s">
        <v>6143</v>
      </c>
      <c r="B890" s="2" t="s">
        <v>225</v>
      </c>
      <c r="C890" s="2" t="s">
        <v>5043</v>
      </c>
      <c r="D890" s="2" t="s">
        <v>8404</v>
      </c>
    </row>
    <row r="891" spans="1:4" x14ac:dyDescent="0.2">
      <c r="A891" s="41" t="s">
        <v>5433</v>
      </c>
      <c r="B891" s="2" t="s">
        <v>225</v>
      </c>
      <c r="C891" s="2" t="s">
        <v>5043</v>
      </c>
      <c r="D891" s="2" t="s">
        <v>8404</v>
      </c>
    </row>
    <row r="892" spans="1:4" x14ac:dyDescent="0.2">
      <c r="A892" s="41" t="s">
        <v>5434</v>
      </c>
      <c r="B892" s="2" t="s">
        <v>225</v>
      </c>
      <c r="C892" s="2" t="s">
        <v>5043</v>
      </c>
      <c r="D892" s="2" t="s">
        <v>8404</v>
      </c>
    </row>
    <row r="893" spans="1:4" x14ac:dyDescent="0.2">
      <c r="A893" s="41" t="s">
        <v>5429</v>
      </c>
      <c r="B893" s="2" t="s">
        <v>225</v>
      </c>
      <c r="C893" s="2" t="s">
        <v>5043</v>
      </c>
      <c r="D893" s="2" t="s">
        <v>8404</v>
      </c>
    </row>
    <row r="894" spans="1:4" x14ac:dyDescent="0.2">
      <c r="A894" s="41" t="s">
        <v>5237</v>
      </c>
      <c r="B894" s="2" t="s">
        <v>225</v>
      </c>
      <c r="C894" s="2" t="s">
        <v>5043</v>
      </c>
      <c r="D894" s="2" t="s">
        <v>8404</v>
      </c>
    </row>
    <row r="895" spans="1:4" x14ac:dyDescent="0.2">
      <c r="A895" s="41" t="s">
        <v>5238</v>
      </c>
      <c r="B895" s="2" t="s">
        <v>225</v>
      </c>
      <c r="C895" s="2" t="s">
        <v>5043</v>
      </c>
      <c r="D895" s="2" t="s">
        <v>8404</v>
      </c>
    </row>
    <row r="896" spans="1:4" x14ac:dyDescent="0.2">
      <c r="A896" s="41" t="s">
        <v>5239</v>
      </c>
      <c r="B896" s="2" t="s">
        <v>225</v>
      </c>
      <c r="C896" s="2" t="s">
        <v>5043</v>
      </c>
      <c r="D896" s="2" t="s">
        <v>8404</v>
      </c>
    </row>
    <row r="897" spans="1:4" x14ac:dyDescent="0.2">
      <c r="A897" s="41" t="s">
        <v>5240</v>
      </c>
      <c r="B897" s="2" t="s">
        <v>225</v>
      </c>
      <c r="C897" s="2" t="s">
        <v>5043</v>
      </c>
      <c r="D897" s="2" t="s">
        <v>8404</v>
      </c>
    </row>
    <row r="898" spans="1:4" x14ac:dyDescent="0.2">
      <c r="A898" s="41" t="s">
        <v>5241</v>
      </c>
      <c r="B898" s="2" t="s">
        <v>225</v>
      </c>
      <c r="C898" s="2" t="s">
        <v>5043</v>
      </c>
      <c r="D898" s="2" t="s">
        <v>8404</v>
      </c>
    </row>
    <row r="899" spans="1:4" x14ac:dyDescent="0.2">
      <c r="A899" s="41" t="s">
        <v>5242</v>
      </c>
      <c r="B899" s="2" t="s">
        <v>225</v>
      </c>
      <c r="C899" s="2" t="s">
        <v>5043</v>
      </c>
      <c r="D899" s="2" t="s">
        <v>8404</v>
      </c>
    </row>
    <row r="900" spans="1:4" x14ac:dyDescent="0.2">
      <c r="A900" s="41" t="s">
        <v>6144</v>
      </c>
      <c r="B900" s="2" t="s">
        <v>225</v>
      </c>
      <c r="C900" s="2" t="s">
        <v>5043</v>
      </c>
      <c r="D900" s="2" t="s">
        <v>8406</v>
      </c>
    </row>
    <row r="901" spans="1:4" x14ac:dyDescent="0.2">
      <c r="A901" s="41" t="s">
        <v>5243</v>
      </c>
      <c r="B901" s="2" t="s">
        <v>460</v>
      </c>
      <c r="C901" s="2" t="s">
        <v>5043</v>
      </c>
      <c r="D901" s="2" t="s">
        <v>8404</v>
      </c>
    </row>
    <row r="902" spans="1:4" x14ac:dyDescent="0.2">
      <c r="A902" s="41" t="s">
        <v>5244</v>
      </c>
      <c r="B902" s="2" t="s">
        <v>460</v>
      </c>
      <c r="C902" s="2" t="s">
        <v>5043</v>
      </c>
      <c r="D902" s="2" t="s">
        <v>8404</v>
      </c>
    </row>
    <row r="903" spans="1:4" x14ac:dyDescent="0.2">
      <c r="A903" s="41" t="s">
        <v>5245</v>
      </c>
      <c r="B903" s="2" t="s">
        <v>460</v>
      </c>
      <c r="C903" s="2" t="s">
        <v>5043</v>
      </c>
      <c r="D903" s="2" t="s">
        <v>8404</v>
      </c>
    </row>
    <row r="904" spans="1:4" x14ac:dyDescent="0.2">
      <c r="A904" s="41" t="s">
        <v>6145</v>
      </c>
      <c r="B904" s="2" t="s">
        <v>461</v>
      </c>
      <c r="C904" s="2" t="s">
        <v>5043</v>
      </c>
      <c r="D904" s="2" t="s">
        <v>8404</v>
      </c>
    </row>
    <row r="905" spans="1:4" x14ac:dyDescent="0.2">
      <c r="A905" s="41" t="s">
        <v>6146</v>
      </c>
      <c r="B905" s="2" t="s">
        <v>226</v>
      </c>
      <c r="C905" s="2" t="s">
        <v>5043</v>
      </c>
      <c r="D905" s="2" t="s">
        <v>8404</v>
      </c>
    </row>
    <row r="906" spans="1:4" x14ac:dyDescent="0.2">
      <c r="A906" s="41" t="s">
        <v>6147</v>
      </c>
      <c r="B906" s="2" t="s">
        <v>226</v>
      </c>
      <c r="C906" s="2" t="s">
        <v>5043</v>
      </c>
      <c r="D906" s="2" t="s">
        <v>8404</v>
      </c>
    </row>
    <row r="907" spans="1:4" x14ac:dyDescent="0.2">
      <c r="A907" s="41" t="s">
        <v>6148</v>
      </c>
      <c r="B907" s="2" t="s">
        <v>462</v>
      </c>
      <c r="C907" s="2" t="s">
        <v>5043</v>
      </c>
      <c r="D907" s="2" t="s">
        <v>8404</v>
      </c>
    </row>
    <row r="908" spans="1:4" x14ac:dyDescent="0.2">
      <c r="A908" s="41" t="s">
        <v>6149</v>
      </c>
      <c r="B908" s="2" t="s">
        <v>465</v>
      </c>
      <c r="C908" s="2" t="s">
        <v>5043</v>
      </c>
      <c r="D908" s="2" t="s">
        <v>8404</v>
      </c>
    </row>
    <row r="909" spans="1:4" x14ac:dyDescent="0.2">
      <c r="A909" s="41" t="s">
        <v>6150</v>
      </c>
      <c r="B909" s="2" t="s">
        <v>463</v>
      </c>
      <c r="C909" s="2" t="s">
        <v>5043</v>
      </c>
      <c r="D909" s="2" t="s">
        <v>8404</v>
      </c>
    </row>
    <row r="910" spans="1:4" x14ac:dyDescent="0.2">
      <c r="A910" s="41" t="s">
        <v>6151</v>
      </c>
      <c r="B910" s="2" t="s">
        <v>463</v>
      </c>
      <c r="C910" s="2" t="s">
        <v>5043</v>
      </c>
      <c r="D910" s="2" t="s">
        <v>8404</v>
      </c>
    </row>
    <row r="911" spans="1:4" x14ac:dyDescent="0.2">
      <c r="A911" s="41" t="s">
        <v>6152</v>
      </c>
      <c r="B911" s="2" t="s">
        <v>463</v>
      </c>
      <c r="C911" s="2" t="s">
        <v>5043</v>
      </c>
      <c r="D911" s="2" t="s">
        <v>8404</v>
      </c>
    </row>
    <row r="912" spans="1:4" x14ac:dyDescent="0.2">
      <c r="A912" s="41" t="s">
        <v>6153</v>
      </c>
      <c r="B912" s="2" t="s">
        <v>463</v>
      </c>
      <c r="C912" s="2" t="s">
        <v>5043</v>
      </c>
      <c r="D912" s="2" t="s">
        <v>8404</v>
      </c>
    </row>
    <row r="913" spans="1:4" x14ac:dyDescent="0.2">
      <c r="A913" s="41" t="s">
        <v>6154</v>
      </c>
      <c r="B913" s="2" t="s">
        <v>463</v>
      </c>
      <c r="C913" s="2" t="s">
        <v>5043</v>
      </c>
      <c r="D913" s="2" t="s">
        <v>8404</v>
      </c>
    </row>
    <row r="914" spans="1:4" x14ac:dyDescent="0.2">
      <c r="A914" s="41" t="s">
        <v>6155</v>
      </c>
      <c r="B914" s="2" t="s">
        <v>463</v>
      </c>
      <c r="C914" s="2" t="s">
        <v>5043</v>
      </c>
      <c r="D914" s="2" t="s">
        <v>8404</v>
      </c>
    </row>
    <row r="915" spans="1:4" x14ac:dyDescent="0.2">
      <c r="A915" s="41" t="s">
        <v>6156</v>
      </c>
      <c r="B915" s="2" t="s">
        <v>463</v>
      </c>
      <c r="C915" s="2" t="s">
        <v>5043</v>
      </c>
      <c r="D915" s="2" t="s">
        <v>8406</v>
      </c>
    </row>
    <row r="916" spans="1:4" x14ac:dyDescent="0.2">
      <c r="A916" s="41" t="s">
        <v>6157</v>
      </c>
      <c r="B916" s="2" t="s">
        <v>466</v>
      </c>
      <c r="C916" s="2" t="s">
        <v>5043</v>
      </c>
      <c r="D916" s="2" t="s">
        <v>8404</v>
      </c>
    </row>
    <row r="917" spans="1:4" x14ac:dyDescent="0.2">
      <c r="A917" s="41" t="s">
        <v>6158</v>
      </c>
      <c r="B917" s="2" t="s">
        <v>466</v>
      </c>
      <c r="C917" s="2" t="s">
        <v>5043</v>
      </c>
      <c r="D917" s="2" t="s">
        <v>8404</v>
      </c>
    </row>
    <row r="918" spans="1:4" x14ac:dyDescent="0.2">
      <c r="A918" s="41" t="s">
        <v>6159</v>
      </c>
      <c r="B918" s="2" t="s">
        <v>466</v>
      </c>
      <c r="C918" s="2" t="s">
        <v>5043</v>
      </c>
      <c r="D918" s="2" t="s">
        <v>8404</v>
      </c>
    </row>
    <row r="919" spans="1:4" x14ac:dyDescent="0.2">
      <c r="A919" s="41" t="s">
        <v>6160</v>
      </c>
      <c r="B919" s="2" t="s">
        <v>466</v>
      </c>
      <c r="C919" s="2" t="s">
        <v>5043</v>
      </c>
      <c r="D919" s="2" t="s">
        <v>8404</v>
      </c>
    </row>
    <row r="920" spans="1:4" x14ac:dyDescent="0.2">
      <c r="A920" s="41" t="s">
        <v>6161</v>
      </c>
      <c r="B920" s="2" t="s">
        <v>464</v>
      </c>
      <c r="C920" s="2" t="s">
        <v>5043</v>
      </c>
      <c r="D920" s="2" t="s">
        <v>8404</v>
      </c>
    </row>
    <row r="921" spans="1:4" x14ac:dyDescent="0.2">
      <c r="A921" s="41" t="s">
        <v>6162</v>
      </c>
      <c r="B921" s="2" t="s">
        <v>464</v>
      </c>
      <c r="C921" s="2" t="s">
        <v>5043</v>
      </c>
      <c r="D921" s="2" t="s">
        <v>8404</v>
      </c>
    </row>
    <row r="922" spans="1:4" x14ac:dyDescent="0.2">
      <c r="A922" s="41" t="s">
        <v>6163</v>
      </c>
      <c r="B922" s="2" t="s">
        <v>464</v>
      </c>
      <c r="C922" s="2" t="s">
        <v>5043</v>
      </c>
      <c r="D922" s="2" t="s">
        <v>8404</v>
      </c>
    </row>
    <row r="923" spans="1:4" x14ac:dyDescent="0.2">
      <c r="A923" s="41" t="s">
        <v>6164</v>
      </c>
      <c r="B923" s="2" t="s">
        <v>464</v>
      </c>
      <c r="C923" s="2" t="s">
        <v>5043</v>
      </c>
      <c r="D923" s="2" t="s">
        <v>8404</v>
      </c>
    </row>
    <row r="924" spans="1:4" x14ac:dyDescent="0.2">
      <c r="A924" s="41" t="s">
        <v>6165</v>
      </c>
      <c r="B924" s="2" t="s">
        <v>467</v>
      </c>
      <c r="C924" s="2" t="s">
        <v>5043</v>
      </c>
      <c r="D924" s="2" t="s">
        <v>8404</v>
      </c>
    </row>
    <row r="925" spans="1:4" x14ac:dyDescent="0.2">
      <c r="A925" s="41" t="s">
        <v>6166</v>
      </c>
      <c r="B925" s="2" t="s">
        <v>467</v>
      </c>
      <c r="C925" s="2" t="s">
        <v>5043</v>
      </c>
      <c r="D925" s="2" t="s">
        <v>8404</v>
      </c>
    </row>
    <row r="926" spans="1:4" x14ac:dyDescent="0.2">
      <c r="A926" s="41" t="s">
        <v>8315</v>
      </c>
      <c r="B926" s="2" t="s">
        <v>8316</v>
      </c>
      <c r="C926" s="2" t="s">
        <v>5043</v>
      </c>
      <c r="D926" s="2" t="s">
        <v>8406</v>
      </c>
    </row>
    <row r="927" spans="1:4" x14ac:dyDescent="0.2">
      <c r="A927" s="41" t="s">
        <v>5093</v>
      </c>
      <c r="B927" s="2" t="s">
        <v>468</v>
      </c>
      <c r="C927" s="2" t="s">
        <v>5043</v>
      </c>
      <c r="D927" s="2" t="s">
        <v>8404</v>
      </c>
    </row>
    <row r="928" spans="1:4" x14ac:dyDescent="0.2">
      <c r="A928" s="41" t="s">
        <v>6167</v>
      </c>
      <c r="B928" s="2" t="s">
        <v>468</v>
      </c>
      <c r="C928" s="2" t="s">
        <v>5043</v>
      </c>
      <c r="D928" s="2" t="s">
        <v>8404</v>
      </c>
    </row>
    <row r="929" spans="1:4" x14ac:dyDescent="0.2">
      <c r="A929" s="41" t="s">
        <v>6168</v>
      </c>
      <c r="B929" s="2" t="s">
        <v>314</v>
      </c>
      <c r="C929" s="2" t="s">
        <v>5043</v>
      </c>
      <c r="D929" s="2" t="s">
        <v>8404</v>
      </c>
    </row>
    <row r="930" spans="1:4" x14ac:dyDescent="0.2">
      <c r="A930" s="41" t="s">
        <v>6169</v>
      </c>
      <c r="B930" s="2" t="s">
        <v>227</v>
      </c>
      <c r="C930" s="2" t="s">
        <v>5043</v>
      </c>
      <c r="D930" s="2" t="s">
        <v>8404</v>
      </c>
    </row>
    <row r="931" spans="1:4" x14ac:dyDescent="0.2">
      <c r="A931" s="41" t="s">
        <v>6170</v>
      </c>
      <c r="B931" s="2" t="s">
        <v>227</v>
      </c>
      <c r="C931" s="2" t="s">
        <v>5043</v>
      </c>
      <c r="D931" s="2" t="s">
        <v>8404</v>
      </c>
    </row>
    <row r="932" spans="1:4" x14ac:dyDescent="0.2">
      <c r="A932" s="41" t="s">
        <v>6171</v>
      </c>
      <c r="B932" s="2" t="s">
        <v>227</v>
      </c>
      <c r="C932" s="2" t="s">
        <v>5043</v>
      </c>
      <c r="D932" s="2" t="s">
        <v>8404</v>
      </c>
    </row>
    <row r="933" spans="1:4" x14ac:dyDescent="0.2">
      <c r="A933" s="41" t="s">
        <v>6172</v>
      </c>
      <c r="B933" s="2" t="s">
        <v>227</v>
      </c>
      <c r="C933" s="2" t="s">
        <v>5043</v>
      </c>
      <c r="D933" s="2" t="s">
        <v>8404</v>
      </c>
    </row>
    <row r="934" spans="1:4" x14ac:dyDescent="0.2">
      <c r="A934" s="41" t="s">
        <v>6173</v>
      </c>
      <c r="B934" s="2" t="s">
        <v>227</v>
      </c>
      <c r="C934" s="2" t="s">
        <v>5043</v>
      </c>
      <c r="D934" s="2" t="s">
        <v>8406</v>
      </c>
    </row>
    <row r="935" spans="1:4" x14ac:dyDescent="0.2">
      <c r="A935" s="41" t="s">
        <v>6174</v>
      </c>
      <c r="B935" s="2" t="s">
        <v>533</v>
      </c>
      <c r="C935" s="2" t="s">
        <v>5043</v>
      </c>
      <c r="D935" s="2" t="s">
        <v>8404</v>
      </c>
    </row>
    <row r="936" spans="1:4" x14ac:dyDescent="0.2">
      <c r="A936" s="41" t="s">
        <v>6175</v>
      </c>
      <c r="B936" s="2" t="s">
        <v>228</v>
      </c>
      <c r="C936" s="2" t="s">
        <v>5043</v>
      </c>
      <c r="D936" s="2" t="s">
        <v>8404</v>
      </c>
    </row>
    <row r="937" spans="1:4" x14ac:dyDescent="0.2">
      <c r="A937" s="41" t="s">
        <v>4227</v>
      </c>
      <c r="B937" s="2" t="s">
        <v>228</v>
      </c>
      <c r="C937" s="2" t="s">
        <v>5043</v>
      </c>
      <c r="D937" s="2" t="s">
        <v>8406</v>
      </c>
    </row>
    <row r="938" spans="1:4" x14ac:dyDescent="0.2">
      <c r="A938" s="41" t="s">
        <v>4228</v>
      </c>
      <c r="B938" s="2" t="s">
        <v>228</v>
      </c>
      <c r="C938" s="2" t="s">
        <v>5043</v>
      </c>
      <c r="D938" s="2" t="s">
        <v>8406</v>
      </c>
    </row>
    <row r="939" spans="1:4" x14ac:dyDescent="0.2">
      <c r="A939" s="41" t="s">
        <v>6176</v>
      </c>
      <c r="B939" s="2" t="s">
        <v>397</v>
      </c>
      <c r="C939" s="2" t="s">
        <v>5043</v>
      </c>
      <c r="D939" s="2" t="s">
        <v>8404</v>
      </c>
    </row>
    <row r="940" spans="1:4" x14ac:dyDescent="0.2">
      <c r="A940" s="41" t="s">
        <v>4060</v>
      </c>
      <c r="B940" s="2" t="s">
        <v>398</v>
      </c>
      <c r="C940" s="2" t="s">
        <v>5043</v>
      </c>
      <c r="D940" s="2" t="s">
        <v>8404</v>
      </c>
    </row>
    <row r="941" spans="1:4" x14ac:dyDescent="0.2">
      <c r="A941" s="41" t="s">
        <v>6177</v>
      </c>
      <c r="B941" s="2" t="s">
        <v>398</v>
      </c>
      <c r="C941" s="2" t="s">
        <v>5043</v>
      </c>
      <c r="D941" s="2" t="s">
        <v>8404</v>
      </c>
    </row>
    <row r="942" spans="1:4" x14ac:dyDescent="0.2">
      <c r="A942" s="41" t="s">
        <v>6178</v>
      </c>
      <c r="B942" s="2" t="s">
        <v>398</v>
      </c>
      <c r="C942" s="2" t="s">
        <v>5043</v>
      </c>
      <c r="D942" s="2" t="s">
        <v>8404</v>
      </c>
    </row>
    <row r="943" spans="1:4" x14ac:dyDescent="0.2">
      <c r="A943" s="41" t="s">
        <v>3907</v>
      </c>
      <c r="B943" s="2" t="s">
        <v>469</v>
      </c>
      <c r="C943" s="2" t="s">
        <v>5043</v>
      </c>
      <c r="D943" s="2" t="s">
        <v>8406</v>
      </c>
    </row>
    <row r="944" spans="1:4" x14ac:dyDescent="0.2">
      <c r="A944" s="41" t="s">
        <v>6179</v>
      </c>
      <c r="B944" s="2" t="s">
        <v>470</v>
      </c>
      <c r="C944" s="2" t="s">
        <v>5043</v>
      </c>
      <c r="D944" s="2" t="s">
        <v>8404</v>
      </c>
    </row>
    <row r="945" spans="1:4" x14ac:dyDescent="0.2">
      <c r="A945" s="41" t="s">
        <v>6180</v>
      </c>
      <c r="B945" s="2" t="s">
        <v>470</v>
      </c>
      <c r="C945" s="2" t="s">
        <v>5043</v>
      </c>
      <c r="D945" s="2" t="s">
        <v>8404</v>
      </c>
    </row>
    <row r="946" spans="1:4" x14ac:dyDescent="0.2">
      <c r="A946" s="41" t="s">
        <v>6181</v>
      </c>
      <c r="B946" s="2" t="s">
        <v>470</v>
      </c>
      <c r="C946" s="2" t="s">
        <v>5043</v>
      </c>
      <c r="D946" s="2" t="s">
        <v>8404</v>
      </c>
    </row>
    <row r="947" spans="1:4" x14ac:dyDescent="0.2">
      <c r="A947" s="41" t="s">
        <v>6182</v>
      </c>
      <c r="B947" s="2" t="s">
        <v>470</v>
      </c>
      <c r="C947" s="2" t="s">
        <v>5043</v>
      </c>
      <c r="D947" s="2" t="s">
        <v>8404</v>
      </c>
    </row>
    <row r="948" spans="1:4" x14ac:dyDescent="0.2">
      <c r="A948" s="41" t="s">
        <v>6183</v>
      </c>
      <c r="B948" s="2" t="s">
        <v>470</v>
      </c>
      <c r="C948" s="2" t="s">
        <v>5043</v>
      </c>
      <c r="D948" s="2" t="s">
        <v>8404</v>
      </c>
    </row>
    <row r="949" spans="1:4" x14ac:dyDescent="0.2">
      <c r="A949" s="41" t="s">
        <v>6184</v>
      </c>
      <c r="B949" s="2" t="s">
        <v>470</v>
      </c>
      <c r="C949" s="2" t="s">
        <v>5043</v>
      </c>
      <c r="D949" s="2" t="s">
        <v>8404</v>
      </c>
    </row>
    <row r="950" spans="1:4" x14ac:dyDescent="0.2">
      <c r="A950" s="41" t="s">
        <v>4533</v>
      </c>
      <c r="B950" s="2" t="s">
        <v>471</v>
      </c>
      <c r="C950" s="2" t="s">
        <v>5043</v>
      </c>
      <c r="D950" s="2" t="s">
        <v>8404</v>
      </c>
    </row>
    <row r="951" spans="1:4" x14ac:dyDescent="0.2">
      <c r="A951" s="41" t="s">
        <v>6185</v>
      </c>
      <c r="B951" s="2" t="s">
        <v>471</v>
      </c>
      <c r="C951" s="2" t="s">
        <v>5043</v>
      </c>
      <c r="D951" s="2" t="s">
        <v>8404</v>
      </c>
    </row>
    <row r="952" spans="1:4" x14ac:dyDescent="0.2">
      <c r="A952" s="41" t="s">
        <v>3575</v>
      </c>
      <c r="B952" s="2" t="s">
        <v>471</v>
      </c>
      <c r="C952" s="2" t="s">
        <v>5043</v>
      </c>
      <c r="D952" s="2" t="s">
        <v>8404</v>
      </c>
    </row>
    <row r="953" spans="1:4" x14ac:dyDescent="0.2">
      <c r="A953" s="41" t="s">
        <v>3592</v>
      </c>
      <c r="B953" s="2" t="s">
        <v>471</v>
      </c>
      <c r="C953" s="2" t="s">
        <v>5043</v>
      </c>
      <c r="D953" s="2" t="s">
        <v>8404</v>
      </c>
    </row>
    <row r="954" spans="1:4" x14ac:dyDescent="0.2">
      <c r="A954" s="41" t="s">
        <v>3110</v>
      </c>
      <c r="B954" s="2" t="s">
        <v>471</v>
      </c>
      <c r="C954" s="2" t="s">
        <v>5043</v>
      </c>
      <c r="D954" s="2" t="s">
        <v>8404</v>
      </c>
    </row>
    <row r="955" spans="1:4" x14ac:dyDescent="0.2">
      <c r="A955" s="41" t="s">
        <v>3111</v>
      </c>
      <c r="B955" s="2" t="s">
        <v>471</v>
      </c>
      <c r="C955" s="2" t="s">
        <v>5043</v>
      </c>
      <c r="D955" s="2" t="s">
        <v>8404</v>
      </c>
    </row>
    <row r="956" spans="1:4" x14ac:dyDescent="0.2">
      <c r="A956" s="41" t="s">
        <v>4034</v>
      </c>
      <c r="B956" s="2" t="s">
        <v>471</v>
      </c>
      <c r="C956" s="2" t="s">
        <v>5043</v>
      </c>
      <c r="D956" s="2" t="s">
        <v>8404</v>
      </c>
    </row>
    <row r="957" spans="1:4" x14ac:dyDescent="0.2">
      <c r="A957" s="41" t="s">
        <v>6186</v>
      </c>
      <c r="B957" s="2" t="s">
        <v>534</v>
      </c>
      <c r="C957" s="2" t="s">
        <v>5043</v>
      </c>
      <c r="D957" s="2" t="s">
        <v>8404</v>
      </c>
    </row>
    <row r="958" spans="1:4" x14ac:dyDescent="0.2">
      <c r="A958" s="41" t="s">
        <v>6187</v>
      </c>
      <c r="B958" s="2" t="s">
        <v>534</v>
      </c>
      <c r="C958" s="2" t="s">
        <v>5043</v>
      </c>
      <c r="D958" s="2" t="s">
        <v>8404</v>
      </c>
    </row>
    <row r="959" spans="1:4" x14ac:dyDescent="0.2">
      <c r="A959" s="41" t="s">
        <v>4198</v>
      </c>
      <c r="B959" s="2" t="s">
        <v>399</v>
      </c>
      <c r="C959" s="2" t="s">
        <v>5043</v>
      </c>
      <c r="D959" s="2" t="s">
        <v>8404</v>
      </c>
    </row>
    <row r="960" spans="1:4" x14ac:dyDescent="0.2">
      <c r="A960" s="41" t="s">
        <v>6188</v>
      </c>
      <c r="B960" s="2" t="s">
        <v>399</v>
      </c>
      <c r="C960" s="2" t="s">
        <v>5043</v>
      </c>
      <c r="D960" s="2" t="s">
        <v>8404</v>
      </c>
    </row>
    <row r="961" spans="1:4" x14ac:dyDescent="0.2">
      <c r="A961" s="41" t="s">
        <v>4181</v>
      </c>
      <c r="B961" s="2" t="s">
        <v>315</v>
      </c>
      <c r="C961" s="2" t="s">
        <v>5043</v>
      </c>
      <c r="D961" s="2" t="s">
        <v>8404</v>
      </c>
    </row>
    <row r="962" spans="1:4" x14ac:dyDescent="0.2">
      <c r="A962" s="41" t="s">
        <v>4182</v>
      </c>
      <c r="B962" s="2" t="s">
        <v>315</v>
      </c>
      <c r="C962" s="2" t="s">
        <v>5043</v>
      </c>
      <c r="D962" s="2" t="s">
        <v>8404</v>
      </c>
    </row>
    <row r="963" spans="1:4" x14ac:dyDescent="0.2">
      <c r="A963" s="41" t="s">
        <v>6189</v>
      </c>
      <c r="B963" s="2" t="s">
        <v>315</v>
      </c>
      <c r="C963" s="2" t="s">
        <v>5043</v>
      </c>
      <c r="D963" s="2" t="s">
        <v>8404</v>
      </c>
    </row>
    <row r="964" spans="1:4" x14ac:dyDescent="0.2">
      <c r="A964" s="41" t="s">
        <v>3675</v>
      </c>
      <c r="B964" s="2" t="s">
        <v>315</v>
      </c>
      <c r="C964" s="2" t="s">
        <v>5043</v>
      </c>
      <c r="D964" s="2" t="s">
        <v>8404</v>
      </c>
    </row>
    <row r="965" spans="1:4" x14ac:dyDescent="0.2">
      <c r="A965" s="41" t="s">
        <v>3676</v>
      </c>
      <c r="B965" s="2" t="s">
        <v>315</v>
      </c>
      <c r="C965" s="2" t="s">
        <v>5043</v>
      </c>
      <c r="D965" s="2" t="s">
        <v>8404</v>
      </c>
    </row>
    <row r="966" spans="1:4" x14ac:dyDescent="0.2">
      <c r="A966" s="41" t="s">
        <v>5348</v>
      </c>
      <c r="B966" s="2" t="s">
        <v>535</v>
      </c>
      <c r="C966" s="2" t="s">
        <v>5043</v>
      </c>
      <c r="D966" s="2" t="s">
        <v>8404</v>
      </c>
    </row>
    <row r="967" spans="1:4" x14ac:dyDescent="0.2">
      <c r="A967" s="41" t="s">
        <v>6190</v>
      </c>
      <c r="B967" s="2" t="s">
        <v>400</v>
      </c>
      <c r="C967" s="2" t="s">
        <v>5043</v>
      </c>
      <c r="D967" s="2" t="s">
        <v>8404</v>
      </c>
    </row>
    <row r="968" spans="1:4" x14ac:dyDescent="0.2">
      <c r="A968" s="41" t="s">
        <v>6191</v>
      </c>
      <c r="B968" s="2" t="s">
        <v>400</v>
      </c>
      <c r="C968" s="2" t="s">
        <v>5043</v>
      </c>
      <c r="D968" s="2" t="s">
        <v>8404</v>
      </c>
    </row>
    <row r="969" spans="1:4" x14ac:dyDescent="0.2">
      <c r="A969" s="41" t="s">
        <v>6192</v>
      </c>
      <c r="B969" s="2" t="s">
        <v>400</v>
      </c>
      <c r="C969" s="2" t="s">
        <v>5043</v>
      </c>
      <c r="D969" s="2" t="s">
        <v>8404</v>
      </c>
    </row>
    <row r="970" spans="1:4" x14ac:dyDescent="0.2">
      <c r="A970" s="41" t="s">
        <v>6193</v>
      </c>
      <c r="B970" s="2" t="s">
        <v>400</v>
      </c>
      <c r="C970" s="2" t="s">
        <v>5043</v>
      </c>
      <c r="D970" s="2" t="s">
        <v>8406</v>
      </c>
    </row>
    <row r="971" spans="1:4" x14ac:dyDescent="0.2">
      <c r="A971" s="41" t="s">
        <v>6194</v>
      </c>
      <c r="B971" s="2" t="s">
        <v>400</v>
      </c>
      <c r="C971" s="2" t="s">
        <v>5043</v>
      </c>
      <c r="D971" s="2" t="s">
        <v>8406</v>
      </c>
    </row>
    <row r="972" spans="1:4" x14ac:dyDescent="0.2">
      <c r="A972" s="41" t="s">
        <v>6195</v>
      </c>
      <c r="B972" s="2" t="s">
        <v>400</v>
      </c>
      <c r="C972" s="2" t="s">
        <v>5043</v>
      </c>
      <c r="D972" s="2" t="s">
        <v>8406</v>
      </c>
    </row>
    <row r="973" spans="1:4" x14ac:dyDescent="0.2">
      <c r="A973" s="41" t="s">
        <v>6196</v>
      </c>
      <c r="B973" s="2" t="s">
        <v>400</v>
      </c>
      <c r="C973" s="2" t="s">
        <v>5043</v>
      </c>
      <c r="D973" s="2" t="s">
        <v>8406</v>
      </c>
    </row>
    <row r="974" spans="1:4" x14ac:dyDescent="0.2">
      <c r="A974" s="41" t="s">
        <v>3253</v>
      </c>
      <c r="B974" s="2" t="s">
        <v>472</v>
      </c>
      <c r="C974" s="2" t="s">
        <v>5043</v>
      </c>
      <c r="D974" s="2" t="s">
        <v>8404</v>
      </c>
    </row>
    <row r="975" spans="1:4" x14ac:dyDescent="0.2">
      <c r="A975" s="41" t="s">
        <v>3611</v>
      </c>
      <c r="B975" s="2" t="s">
        <v>472</v>
      </c>
      <c r="C975" s="2" t="s">
        <v>5043</v>
      </c>
      <c r="D975" s="2" t="s">
        <v>8404</v>
      </c>
    </row>
    <row r="976" spans="1:4" x14ac:dyDescent="0.2">
      <c r="A976" s="41" t="s">
        <v>6197</v>
      </c>
      <c r="B976" s="2" t="s">
        <v>472</v>
      </c>
      <c r="C976" s="2" t="s">
        <v>5043</v>
      </c>
      <c r="D976" s="2" t="s">
        <v>8404</v>
      </c>
    </row>
    <row r="977" spans="1:4" x14ac:dyDescent="0.2">
      <c r="A977" s="41" t="s">
        <v>6198</v>
      </c>
      <c r="B977" s="2" t="s">
        <v>472</v>
      </c>
      <c r="C977" s="2" t="s">
        <v>5043</v>
      </c>
      <c r="D977" s="2" t="s">
        <v>8404</v>
      </c>
    </row>
    <row r="978" spans="1:4" x14ac:dyDescent="0.2">
      <c r="A978" s="41" t="s">
        <v>6199</v>
      </c>
      <c r="B978" s="2" t="s">
        <v>472</v>
      </c>
      <c r="C978" s="2" t="s">
        <v>5043</v>
      </c>
      <c r="D978" s="2" t="s">
        <v>8404</v>
      </c>
    </row>
    <row r="979" spans="1:4" x14ac:dyDescent="0.2">
      <c r="A979" s="41" t="s">
        <v>6200</v>
      </c>
      <c r="B979" s="2" t="s">
        <v>472</v>
      </c>
      <c r="C979" s="2" t="s">
        <v>5043</v>
      </c>
      <c r="D979" s="2" t="s">
        <v>8404</v>
      </c>
    </row>
    <row r="980" spans="1:4" x14ac:dyDescent="0.2">
      <c r="A980" s="41" t="s">
        <v>6201</v>
      </c>
      <c r="B980" s="2" t="s">
        <v>1170</v>
      </c>
      <c r="C980" s="2" t="s">
        <v>5083</v>
      </c>
      <c r="D980" s="2" t="s">
        <v>8416</v>
      </c>
    </row>
    <row r="981" spans="1:4" x14ac:dyDescent="0.2">
      <c r="A981" s="41" t="s">
        <v>6202</v>
      </c>
      <c r="B981" s="2" t="s">
        <v>1170</v>
      </c>
      <c r="C981" s="2" t="s">
        <v>5083</v>
      </c>
      <c r="D981" s="2" t="s">
        <v>8416</v>
      </c>
    </row>
    <row r="982" spans="1:4" x14ac:dyDescent="0.2">
      <c r="A982" s="41" t="s">
        <v>6203</v>
      </c>
      <c r="B982" s="2" t="s">
        <v>897</v>
      </c>
      <c r="C982" s="2" t="s">
        <v>5043</v>
      </c>
      <c r="D982" s="2" t="s">
        <v>8406</v>
      </c>
    </row>
    <row r="983" spans="1:4" x14ac:dyDescent="0.2">
      <c r="A983" s="41" t="s">
        <v>6204</v>
      </c>
      <c r="B983" s="2" t="s">
        <v>898</v>
      </c>
      <c r="C983" s="2" t="s">
        <v>5043</v>
      </c>
      <c r="D983" s="2" t="s">
        <v>8406</v>
      </c>
    </row>
    <row r="984" spans="1:4" x14ac:dyDescent="0.2">
      <c r="A984" s="41" t="s">
        <v>6205</v>
      </c>
      <c r="B984" s="2" t="s">
        <v>229</v>
      </c>
      <c r="C984" s="2" t="s">
        <v>5043</v>
      </c>
      <c r="D984" s="2" t="s">
        <v>8413</v>
      </c>
    </row>
    <row r="985" spans="1:4" x14ac:dyDescent="0.2">
      <c r="A985" s="41" t="s">
        <v>6206</v>
      </c>
      <c r="B985" s="2" t="s">
        <v>229</v>
      </c>
      <c r="C985" s="2" t="s">
        <v>5043</v>
      </c>
      <c r="D985" s="2" t="s">
        <v>8413</v>
      </c>
    </row>
    <row r="986" spans="1:4" x14ac:dyDescent="0.2">
      <c r="A986" s="41" t="s">
        <v>6207</v>
      </c>
      <c r="B986" s="2" t="s">
        <v>229</v>
      </c>
      <c r="C986" s="2" t="s">
        <v>5043</v>
      </c>
      <c r="D986" s="2" t="s">
        <v>8413</v>
      </c>
    </row>
    <row r="987" spans="1:4" x14ac:dyDescent="0.2">
      <c r="A987" s="41" t="s">
        <v>6208</v>
      </c>
      <c r="B987" s="2" t="s">
        <v>229</v>
      </c>
      <c r="C987" s="2" t="s">
        <v>5043</v>
      </c>
      <c r="D987" s="2" t="s">
        <v>8413</v>
      </c>
    </row>
    <row r="988" spans="1:4" x14ac:dyDescent="0.2">
      <c r="A988" s="41" t="s">
        <v>6209</v>
      </c>
      <c r="B988" s="2" t="s">
        <v>229</v>
      </c>
      <c r="C988" s="2" t="s">
        <v>5043</v>
      </c>
      <c r="D988" s="2" t="s">
        <v>8413</v>
      </c>
    </row>
    <row r="989" spans="1:4" x14ac:dyDescent="0.2">
      <c r="A989" s="41" t="s">
        <v>6210</v>
      </c>
      <c r="B989" s="2" t="s">
        <v>229</v>
      </c>
      <c r="C989" s="2" t="s">
        <v>5043</v>
      </c>
      <c r="D989" s="2" t="s">
        <v>8406</v>
      </c>
    </row>
    <row r="990" spans="1:4" x14ac:dyDescent="0.2">
      <c r="A990" s="41" t="s">
        <v>6211</v>
      </c>
      <c r="B990" s="2" t="s">
        <v>229</v>
      </c>
      <c r="C990" s="2" t="s">
        <v>5043</v>
      </c>
      <c r="D990" s="2" t="s">
        <v>8406</v>
      </c>
    </row>
    <row r="991" spans="1:4" x14ac:dyDescent="0.2">
      <c r="A991" s="41" t="s">
        <v>6212</v>
      </c>
      <c r="B991" s="2" t="s">
        <v>229</v>
      </c>
      <c r="C991" s="2" t="s">
        <v>5043</v>
      </c>
      <c r="D991" s="2" t="s">
        <v>8406</v>
      </c>
    </row>
    <row r="992" spans="1:4" x14ac:dyDescent="0.2">
      <c r="A992" s="41" t="s">
        <v>6213</v>
      </c>
      <c r="B992" s="2" t="s">
        <v>229</v>
      </c>
      <c r="C992" s="2" t="s">
        <v>5043</v>
      </c>
      <c r="D992" s="2" t="s">
        <v>8406</v>
      </c>
    </row>
    <row r="993" spans="1:4" x14ac:dyDescent="0.2">
      <c r="A993" s="41" t="s">
        <v>6214</v>
      </c>
      <c r="B993" s="2" t="s">
        <v>229</v>
      </c>
      <c r="C993" s="2" t="s">
        <v>5043</v>
      </c>
      <c r="D993" s="2" t="s">
        <v>8406</v>
      </c>
    </row>
    <row r="994" spans="1:4" x14ac:dyDescent="0.2">
      <c r="A994" s="41" t="s">
        <v>6215</v>
      </c>
      <c r="B994" s="2" t="s">
        <v>229</v>
      </c>
      <c r="C994" s="2" t="s">
        <v>5043</v>
      </c>
      <c r="D994" s="2" t="s">
        <v>8406</v>
      </c>
    </row>
    <row r="995" spans="1:4" x14ac:dyDescent="0.2">
      <c r="A995" s="41" t="s">
        <v>6216</v>
      </c>
      <c r="B995" s="2" t="s">
        <v>229</v>
      </c>
      <c r="C995" s="2" t="s">
        <v>5043</v>
      </c>
      <c r="D995" s="2" t="s">
        <v>8406</v>
      </c>
    </row>
    <row r="996" spans="1:4" x14ac:dyDescent="0.2">
      <c r="A996" s="41" t="s">
        <v>6217</v>
      </c>
      <c r="B996" s="2" t="s">
        <v>229</v>
      </c>
      <c r="C996" s="2" t="s">
        <v>5043</v>
      </c>
      <c r="D996" s="2" t="s">
        <v>8406</v>
      </c>
    </row>
    <row r="997" spans="1:4" x14ac:dyDescent="0.2">
      <c r="A997" s="41" t="s">
        <v>6218</v>
      </c>
      <c r="B997" s="2" t="s">
        <v>229</v>
      </c>
      <c r="C997" s="2" t="s">
        <v>5043</v>
      </c>
      <c r="D997" s="2" t="s">
        <v>8406</v>
      </c>
    </row>
    <row r="998" spans="1:4" x14ac:dyDescent="0.2">
      <c r="A998" s="41" t="s">
        <v>6219</v>
      </c>
      <c r="B998" s="2" t="s">
        <v>229</v>
      </c>
      <c r="C998" s="2" t="s">
        <v>5043</v>
      </c>
      <c r="D998" s="2" t="s">
        <v>8406</v>
      </c>
    </row>
    <row r="999" spans="1:4" x14ac:dyDescent="0.2">
      <c r="A999" s="41" t="s">
        <v>6220</v>
      </c>
      <c r="B999" s="2" t="s">
        <v>229</v>
      </c>
      <c r="C999" s="2" t="s">
        <v>5043</v>
      </c>
      <c r="D999" s="2" t="s">
        <v>8406</v>
      </c>
    </row>
    <row r="1000" spans="1:4" x14ac:dyDescent="0.2">
      <c r="A1000" s="41" t="s">
        <v>6221</v>
      </c>
      <c r="B1000" s="2" t="s">
        <v>229</v>
      </c>
      <c r="C1000" s="2" t="s">
        <v>5043</v>
      </c>
      <c r="D1000" s="2" t="s">
        <v>8406</v>
      </c>
    </row>
    <row r="1001" spans="1:4" x14ac:dyDescent="0.2">
      <c r="A1001" s="41" t="s">
        <v>6222</v>
      </c>
      <c r="B1001" s="2" t="s">
        <v>229</v>
      </c>
      <c r="C1001" s="2" t="s">
        <v>5043</v>
      </c>
      <c r="D1001" s="2" t="s">
        <v>8406</v>
      </c>
    </row>
    <row r="1002" spans="1:4" x14ac:dyDescent="0.2">
      <c r="A1002" s="41" t="s">
        <v>6223</v>
      </c>
      <c r="B1002" s="2" t="s">
        <v>229</v>
      </c>
      <c r="C1002" s="2" t="s">
        <v>5043</v>
      </c>
      <c r="D1002" s="2" t="s">
        <v>8406</v>
      </c>
    </row>
    <row r="1003" spans="1:4" x14ac:dyDescent="0.2">
      <c r="A1003" s="41" t="s">
        <v>6224</v>
      </c>
      <c r="B1003" s="2" t="s">
        <v>229</v>
      </c>
      <c r="C1003" s="2" t="s">
        <v>5043</v>
      </c>
      <c r="D1003" s="2" t="s">
        <v>8406</v>
      </c>
    </row>
    <row r="1004" spans="1:4" x14ac:dyDescent="0.2">
      <c r="A1004" s="41" t="s">
        <v>6225</v>
      </c>
      <c r="B1004" s="2" t="s">
        <v>229</v>
      </c>
      <c r="C1004" s="2" t="s">
        <v>5043</v>
      </c>
      <c r="D1004" s="2" t="s">
        <v>8406</v>
      </c>
    </row>
    <row r="1005" spans="1:4" x14ac:dyDescent="0.2">
      <c r="A1005" s="41" t="s">
        <v>6226</v>
      </c>
      <c r="B1005" s="2" t="s">
        <v>229</v>
      </c>
      <c r="C1005" s="2" t="s">
        <v>5043</v>
      </c>
      <c r="D1005" s="2" t="s">
        <v>8406</v>
      </c>
    </row>
    <row r="1006" spans="1:4" x14ac:dyDescent="0.2">
      <c r="A1006" s="41" t="s">
        <v>6227</v>
      </c>
      <c r="B1006" s="2" t="s">
        <v>229</v>
      </c>
      <c r="C1006" s="2" t="s">
        <v>5043</v>
      </c>
      <c r="D1006" s="2" t="s">
        <v>8406</v>
      </c>
    </row>
    <row r="1007" spans="1:4" x14ac:dyDescent="0.2">
      <c r="A1007" s="41" t="s">
        <v>6228</v>
      </c>
      <c r="B1007" s="2" t="s">
        <v>229</v>
      </c>
      <c r="C1007" s="2" t="s">
        <v>5043</v>
      </c>
      <c r="D1007" s="2" t="s">
        <v>8406</v>
      </c>
    </row>
    <row r="1008" spans="1:4" x14ac:dyDescent="0.2">
      <c r="A1008" s="41" t="s">
        <v>6229</v>
      </c>
      <c r="B1008" s="2" t="s">
        <v>229</v>
      </c>
      <c r="C1008" s="2" t="s">
        <v>5043</v>
      </c>
      <c r="D1008" s="2" t="s">
        <v>8406</v>
      </c>
    </row>
    <row r="1009" spans="1:4" x14ac:dyDescent="0.2">
      <c r="A1009" s="41" t="s">
        <v>6230</v>
      </c>
      <c r="B1009" s="2" t="s">
        <v>229</v>
      </c>
      <c r="C1009" s="2" t="s">
        <v>5043</v>
      </c>
      <c r="D1009" s="2" t="s">
        <v>8406</v>
      </c>
    </row>
    <row r="1010" spans="1:4" x14ac:dyDescent="0.2">
      <c r="A1010" s="41" t="s">
        <v>6231</v>
      </c>
      <c r="B1010" s="2" t="s">
        <v>229</v>
      </c>
      <c r="C1010" s="2" t="s">
        <v>5043</v>
      </c>
      <c r="D1010" s="2" t="s">
        <v>8406</v>
      </c>
    </row>
    <row r="1011" spans="1:4" x14ac:dyDescent="0.2">
      <c r="A1011" s="41" t="s">
        <v>6232</v>
      </c>
      <c r="B1011" s="2" t="s">
        <v>229</v>
      </c>
      <c r="C1011" s="2" t="s">
        <v>5043</v>
      </c>
      <c r="D1011" s="2" t="s">
        <v>8406</v>
      </c>
    </row>
    <row r="1012" spans="1:4" x14ac:dyDescent="0.2">
      <c r="A1012" s="41" t="s">
        <v>6233</v>
      </c>
      <c r="B1012" s="2" t="s">
        <v>229</v>
      </c>
      <c r="C1012" s="2" t="s">
        <v>5043</v>
      </c>
      <c r="D1012" s="2" t="s">
        <v>8406</v>
      </c>
    </row>
    <row r="1013" spans="1:4" x14ac:dyDescent="0.2">
      <c r="A1013" s="41" t="s">
        <v>6234</v>
      </c>
      <c r="B1013" s="2" t="s">
        <v>229</v>
      </c>
      <c r="C1013" s="2" t="s">
        <v>5043</v>
      </c>
      <c r="D1013" s="2" t="s">
        <v>8406</v>
      </c>
    </row>
    <row r="1014" spans="1:4" x14ac:dyDescent="0.2">
      <c r="A1014" s="41" t="s">
        <v>6235</v>
      </c>
      <c r="B1014" s="2" t="s">
        <v>229</v>
      </c>
      <c r="C1014" s="2" t="s">
        <v>5043</v>
      </c>
      <c r="D1014" s="2" t="s">
        <v>8406</v>
      </c>
    </row>
    <row r="1015" spans="1:4" x14ac:dyDescent="0.2">
      <c r="A1015" s="41" t="s">
        <v>2853</v>
      </c>
      <c r="B1015" s="2" t="s">
        <v>544</v>
      </c>
      <c r="C1015" s="2" t="s">
        <v>5043</v>
      </c>
      <c r="D1015" s="2" t="s">
        <v>8413</v>
      </c>
    </row>
    <row r="1016" spans="1:4" x14ac:dyDescent="0.2">
      <c r="A1016" s="41" t="s">
        <v>2854</v>
      </c>
      <c r="B1016" s="2" t="s">
        <v>230</v>
      </c>
      <c r="C1016" s="2" t="s">
        <v>5043</v>
      </c>
      <c r="D1016" s="2" t="s">
        <v>8410</v>
      </c>
    </row>
    <row r="1017" spans="1:4" x14ac:dyDescent="0.2">
      <c r="A1017" s="41" t="s">
        <v>6236</v>
      </c>
      <c r="B1017" s="2" t="s">
        <v>231</v>
      </c>
      <c r="C1017" s="2" t="s">
        <v>5043</v>
      </c>
      <c r="D1017" s="2" t="s">
        <v>8404</v>
      </c>
    </row>
    <row r="1018" spans="1:4" x14ac:dyDescent="0.2">
      <c r="A1018" s="41" t="s">
        <v>5541</v>
      </c>
      <c r="B1018" s="2" t="s">
        <v>231</v>
      </c>
      <c r="C1018" s="2" t="s">
        <v>5043</v>
      </c>
      <c r="D1018" s="2" t="s">
        <v>8404</v>
      </c>
    </row>
    <row r="1019" spans="1:4" x14ac:dyDescent="0.2">
      <c r="A1019" s="41" t="s">
        <v>6237</v>
      </c>
      <c r="B1019" s="2" t="s">
        <v>231</v>
      </c>
      <c r="C1019" s="2" t="s">
        <v>5043</v>
      </c>
      <c r="D1019" s="2" t="s">
        <v>8406</v>
      </c>
    </row>
    <row r="1020" spans="1:4" x14ac:dyDescent="0.2">
      <c r="A1020" s="41" t="s">
        <v>6238</v>
      </c>
      <c r="B1020" s="2" t="s">
        <v>231</v>
      </c>
      <c r="C1020" s="2" t="s">
        <v>5043</v>
      </c>
      <c r="D1020" s="2" t="s">
        <v>8406</v>
      </c>
    </row>
    <row r="1021" spans="1:4" x14ac:dyDescent="0.2">
      <c r="A1021" s="41" t="s">
        <v>6239</v>
      </c>
      <c r="B1021" s="2" t="s">
        <v>231</v>
      </c>
      <c r="C1021" s="2" t="s">
        <v>5043</v>
      </c>
      <c r="D1021" s="2" t="s">
        <v>8406</v>
      </c>
    </row>
    <row r="1022" spans="1:4" x14ac:dyDescent="0.2">
      <c r="A1022" s="41" t="s">
        <v>6240</v>
      </c>
      <c r="B1022" s="2" t="s">
        <v>231</v>
      </c>
      <c r="C1022" s="2" t="s">
        <v>5043</v>
      </c>
      <c r="D1022" s="2" t="s">
        <v>8406</v>
      </c>
    </row>
    <row r="1023" spans="1:4" x14ac:dyDescent="0.2">
      <c r="A1023" s="41" t="s">
        <v>6241</v>
      </c>
      <c r="B1023" s="2" t="s">
        <v>231</v>
      </c>
      <c r="C1023" s="2" t="s">
        <v>5043</v>
      </c>
      <c r="D1023" s="2" t="s">
        <v>8406</v>
      </c>
    </row>
    <row r="1024" spans="1:4" x14ac:dyDescent="0.2">
      <c r="A1024" s="41" t="s">
        <v>6242</v>
      </c>
      <c r="B1024" s="2" t="s">
        <v>231</v>
      </c>
      <c r="C1024" s="2" t="s">
        <v>5043</v>
      </c>
      <c r="D1024" s="2" t="s">
        <v>8406</v>
      </c>
    </row>
    <row r="1025" spans="1:4" x14ac:dyDescent="0.2">
      <c r="A1025" s="41" t="s">
        <v>6243</v>
      </c>
      <c r="B1025" s="2" t="s">
        <v>231</v>
      </c>
      <c r="C1025" s="2" t="s">
        <v>5043</v>
      </c>
      <c r="D1025" s="2" t="s">
        <v>8406</v>
      </c>
    </row>
    <row r="1026" spans="1:4" x14ac:dyDescent="0.2">
      <c r="A1026" s="41" t="s">
        <v>6244</v>
      </c>
      <c r="B1026" s="2" t="s">
        <v>231</v>
      </c>
      <c r="C1026" s="2" t="s">
        <v>5043</v>
      </c>
      <c r="D1026" s="2" t="s">
        <v>8406</v>
      </c>
    </row>
    <row r="1027" spans="1:4" x14ac:dyDescent="0.2">
      <c r="A1027" s="41" t="s">
        <v>6245</v>
      </c>
      <c r="B1027" s="2" t="s">
        <v>231</v>
      </c>
      <c r="C1027" s="2" t="s">
        <v>5043</v>
      </c>
      <c r="D1027" s="2" t="s">
        <v>8406</v>
      </c>
    </row>
    <row r="1028" spans="1:4" x14ac:dyDescent="0.2">
      <c r="A1028" s="41" t="s">
        <v>6246</v>
      </c>
      <c r="B1028" s="2" t="s">
        <v>231</v>
      </c>
      <c r="C1028" s="2" t="s">
        <v>5043</v>
      </c>
      <c r="D1028" s="2" t="s">
        <v>8406</v>
      </c>
    </row>
    <row r="1029" spans="1:4" x14ac:dyDescent="0.2">
      <c r="A1029" s="41" t="s">
        <v>6247</v>
      </c>
      <c r="B1029" s="2" t="s">
        <v>231</v>
      </c>
      <c r="C1029" s="2" t="s">
        <v>5043</v>
      </c>
      <c r="D1029" s="2" t="s">
        <v>8406</v>
      </c>
    </row>
    <row r="1030" spans="1:4" x14ac:dyDescent="0.2">
      <c r="A1030" s="41" t="s">
        <v>6248</v>
      </c>
      <c r="B1030" s="2" t="s">
        <v>231</v>
      </c>
      <c r="C1030" s="2" t="s">
        <v>5043</v>
      </c>
      <c r="D1030" s="2" t="s">
        <v>8406</v>
      </c>
    </row>
    <row r="1031" spans="1:4" x14ac:dyDescent="0.2">
      <c r="A1031" s="41" t="s">
        <v>6249</v>
      </c>
      <c r="B1031" s="2" t="s">
        <v>231</v>
      </c>
      <c r="C1031" s="2" t="s">
        <v>5043</v>
      </c>
      <c r="D1031" s="2" t="s">
        <v>8406</v>
      </c>
    </row>
    <row r="1032" spans="1:4" x14ac:dyDescent="0.2">
      <c r="A1032" s="41" t="s">
        <v>6250</v>
      </c>
      <c r="B1032" s="2" t="s">
        <v>231</v>
      </c>
      <c r="C1032" s="2" t="s">
        <v>5043</v>
      </c>
      <c r="D1032" s="2" t="s">
        <v>8406</v>
      </c>
    </row>
    <row r="1033" spans="1:4" x14ac:dyDescent="0.2">
      <c r="A1033" s="41" t="s">
        <v>6251</v>
      </c>
      <c r="B1033" s="2" t="s">
        <v>231</v>
      </c>
      <c r="C1033" s="2" t="s">
        <v>5043</v>
      </c>
      <c r="D1033" s="2" t="s">
        <v>8406</v>
      </c>
    </row>
    <row r="1034" spans="1:4" x14ac:dyDescent="0.2">
      <c r="A1034" s="41" t="s">
        <v>6252</v>
      </c>
      <c r="B1034" s="2" t="s">
        <v>231</v>
      </c>
      <c r="C1034" s="2" t="s">
        <v>5043</v>
      </c>
      <c r="D1034" s="2" t="s">
        <v>8406</v>
      </c>
    </row>
    <row r="1035" spans="1:4" x14ac:dyDescent="0.2">
      <c r="A1035" s="41" t="s">
        <v>6253</v>
      </c>
      <c r="B1035" s="2" t="s">
        <v>231</v>
      </c>
      <c r="C1035" s="2" t="s">
        <v>5043</v>
      </c>
      <c r="D1035" s="2" t="s">
        <v>8406</v>
      </c>
    </row>
    <row r="1036" spans="1:4" x14ac:dyDescent="0.2">
      <c r="A1036" s="41" t="s">
        <v>6254</v>
      </c>
      <c r="B1036" s="2" t="s">
        <v>231</v>
      </c>
      <c r="C1036" s="2" t="s">
        <v>5043</v>
      </c>
      <c r="D1036" s="2" t="s">
        <v>8406</v>
      </c>
    </row>
    <row r="1037" spans="1:4" x14ac:dyDescent="0.2">
      <c r="A1037" s="41" t="s">
        <v>6255</v>
      </c>
      <c r="B1037" s="2" t="s">
        <v>231</v>
      </c>
      <c r="C1037" s="2" t="s">
        <v>5043</v>
      </c>
      <c r="D1037" s="2" t="s">
        <v>8406</v>
      </c>
    </row>
    <row r="1038" spans="1:4" x14ac:dyDescent="0.2">
      <c r="A1038" s="41" t="s">
        <v>6256</v>
      </c>
      <c r="B1038" s="2" t="s">
        <v>231</v>
      </c>
      <c r="C1038" s="2" t="s">
        <v>5043</v>
      </c>
      <c r="D1038" s="2" t="s">
        <v>8406</v>
      </c>
    </row>
    <row r="1039" spans="1:4" x14ac:dyDescent="0.2">
      <c r="A1039" s="41" t="s">
        <v>6257</v>
      </c>
      <c r="B1039" s="2" t="s">
        <v>231</v>
      </c>
      <c r="C1039" s="2" t="s">
        <v>5043</v>
      </c>
      <c r="D1039" s="2" t="s">
        <v>8406</v>
      </c>
    </row>
    <row r="1040" spans="1:4" x14ac:dyDescent="0.2">
      <c r="A1040" s="41" t="s">
        <v>6258</v>
      </c>
      <c r="B1040" s="2" t="s">
        <v>231</v>
      </c>
      <c r="C1040" s="2" t="s">
        <v>5043</v>
      </c>
      <c r="D1040" s="2" t="s">
        <v>8406</v>
      </c>
    </row>
    <row r="1041" spans="1:4" x14ac:dyDescent="0.2">
      <c r="A1041" s="41" t="s">
        <v>6259</v>
      </c>
      <c r="B1041" s="2" t="s">
        <v>899</v>
      </c>
      <c r="C1041" s="2" t="s">
        <v>5043</v>
      </c>
      <c r="D1041" s="2" t="s">
        <v>8406</v>
      </c>
    </row>
    <row r="1042" spans="1:4" x14ac:dyDescent="0.2">
      <c r="A1042" s="41" t="s">
        <v>6260</v>
      </c>
      <c r="B1042" s="2" t="s">
        <v>327</v>
      </c>
      <c r="C1042" s="2" t="s">
        <v>5043</v>
      </c>
      <c r="D1042" s="2" t="s">
        <v>8415</v>
      </c>
    </row>
    <row r="1043" spans="1:4" x14ac:dyDescent="0.2">
      <c r="A1043" s="41" t="s">
        <v>6261</v>
      </c>
      <c r="B1043" s="2" t="s">
        <v>327</v>
      </c>
      <c r="C1043" s="2" t="s">
        <v>5043</v>
      </c>
      <c r="D1043" s="2" t="s">
        <v>8415</v>
      </c>
    </row>
    <row r="1044" spans="1:4" x14ac:dyDescent="0.2">
      <c r="A1044" s="41" t="s">
        <v>6262</v>
      </c>
      <c r="B1044" s="2" t="s">
        <v>327</v>
      </c>
      <c r="C1044" s="2" t="s">
        <v>5043</v>
      </c>
      <c r="D1044" s="2" t="s">
        <v>8415</v>
      </c>
    </row>
    <row r="1045" spans="1:4" x14ac:dyDescent="0.2">
      <c r="A1045" s="41" t="s">
        <v>6263</v>
      </c>
      <c r="B1045" s="2" t="s">
        <v>327</v>
      </c>
      <c r="C1045" s="2" t="s">
        <v>5043</v>
      </c>
      <c r="D1045" s="2" t="s">
        <v>8415</v>
      </c>
    </row>
    <row r="1046" spans="1:4" x14ac:dyDescent="0.2">
      <c r="A1046" s="41" t="s">
        <v>3586</v>
      </c>
      <c r="B1046" s="2" t="s">
        <v>327</v>
      </c>
      <c r="C1046" s="2" t="s">
        <v>5043</v>
      </c>
      <c r="D1046" s="2" t="s">
        <v>8415</v>
      </c>
    </row>
    <row r="1047" spans="1:4" x14ac:dyDescent="0.2">
      <c r="A1047" s="41" t="s">
        <v>6264</v>
      </c>
      <c r="B1047" s="2" t="s">
        <v>327</v>
      </c>
      <c r="C1047" s="2" t="s">
        <v>5043</v>
      </c>
      <c r="D1047" s="2" t="s">
        <v>8406</v>
      </c>
    </row>
    <row r="1048" spans="1:4" x14ac:dyDescent="0.2">
      <c r="A1048" s="41" t="s">
        <v>6265</v>
      </c>
      <c r="B1048" s="2" t="s">
        <v>327</v>
      </c>
      <c r="C1048" s="2" t="s">
        <v>5043</v>
      </c>
      <c r="D1048" s="2" t="s">
        <v>8406</v>
      </c>
    </row>
    <row r="1049" spans="1:4" x14ac:dyDescent="0.2">
      <c r="A1049" s="41" t="s">
        <v>6266</v>
      </c>
      <c r="B1049" s="2" t="s">
        <v>327</v>
      </c>
      <c r="C1049" s="2" t="s">
        <v>5043</v>
      </c>
      <c r="D1049" s="2" t="s">
        <v>8406</v>
      </c>
    </row>
    <row r="1050" spans="1:4" x14ac:dyDescent="0.2">
      <c r="A1050" s="41" t="s">
        <v>6267</v>
      </c>
      <c r="B1050" s="2" t="s">
        <v>327</v>
      </c>
      <c r="C1050" s="2" t="s">
        <v>5043</v>
      </c>
      <c r="D1050" s="2" t="s">
        <v>8406</v>
      </c>
    </row>
    <row r="1051" spans="1:4" x14ac:dyDescent="0.2">
      <c r="A1051" s="41" t="s">
        <v>6268</v>
      </c>
      <c r="B1051" s="2" t="s">
        <v>327</v>
      </c>
      <c r="C1051" s="2" t="s">
        <v>5043</v>
      </c>
      <c r="D1051" s="2" t="s">
        <v>8406</v>
      </c>
    </row>
    <row r="1052" spans="1:4" x14ac:dyDescent="0.2">
      <c r="A1052" s="41" t="s">
        <v>3587</v>
      </c>
      <c r="B1052" s="2" t="s">
        <v>232</v>
      </c>
      <c r="C1052" s="2" t="s">
        <v>5043</v>
      </c>
      <c r="D1052" s="2" t="s">
        <v>8404</v>
      </c>
    </row>
    <row r="1053" spans="1:4" x14ac:dyDescent="0.2">
      <c r="A1053" s="41" t="s">
        <v>6269</v>
      </c>
      <c r="B1053" s="2" t="s">
        <v>900</v>
      </c>
      <c r="C1053" s="2" t="s">
        <v>5043</v>
      </c>
      <c r="D1053" s="2" t="s">
        <v>8406</v>
      </c>
    </row>
    <row r="1054" spans="1:4" x14ac:dyDescent="0.2">
      <c r="A1054" s="41" t="s">
        <v>3588</v>
      </c>
      <c r="B1054" s="2" t="s">
        <v>233</v>
      </c>
      <c r="C1054" s="2" t="s">
        <v>5043</v>
      </c>
      <c r="D1054" s="2" t="s">
        <v>8404</v>
      </c>
    </row>
    <row r="1055" spans="1:4" x14ac:dyDescent="0.2">
      <c r="A1055" s="41" t="s">
        <v>6270</v>
      </c>
      <c r="B1055" s="2" t="s">
        <v>473</v>
      </c>
      <c r="C1055" s="2" t="s">
        <v>5043</v>
      </c>
      <c r="D1055" s="2" t="s">
        <v>8413</v>
      </c>
    </row>
    <row r="1056" spans="1:4" x14ac:dyDescent="0.2">
      <c r="A1056" s="41" t="s">
        <v>6271</v>
      </c>
      <c r="B1056" s="2" t="s">
        <v>473</v>
      </c>
      <c r="C1056" s="2" t="s">
        <v>5043</v>
      </c>
      <c r="D1056" s="2" t="s">
        <v>8413</v>
      </c>
    </row>
    <row r="1057" spans="1:4" x14ac:dyDescent="0.2">
      <c r="A1057" s="41" t="s">
        <v>3477</v>
      </c>
      <c r="B1057" s="2" t="s">
        <v>473</v>
      </c>
      <c r="C1057" s="2" t="s">
        <v>5043</v>
      </c>
      <c r="D1057" s="2" t="s">
        <v>8413</v>
      </c>
    </row>
    <row r="1058" spans="1:4" x14ac:dyDescent="0.2">
      <c r="A1058" s="41" t="s">
        <v>6272</v>
      </c>
      <c r="B1058" s="2" t="s">
        <v>234</v>
      </c>
      <c r="C1058" s="2" t="s">
        <v>5043</v>
      </c>
      <c r="D1058" s="2" t="s">
        <v>8404</v>
      </c>
    </row>
    <row r="1059" spans="1:4" x14ac:dyDescent="0.2">
      <c r="A1059" s="41" t="s">
        <v>6273</v>
      </c>
      <c r="B1059" s="2" t="s">
        <v>901</v>
      </c>
      <c r="C1059" s="2" t="s">
        <v>5043</v>
      </c>
      <c r="D1059" s="2" t="s">
        <v>8406</v>
      </c>
    </row>
    <row r="1060" spans="1:4" x14ac:dyDescent="0.2">
      <c r="A1060" s="41" t="s">
        <v>6274</v>
      </c>
      <c r="B1060" s="2" t="s">
        <v>902</v>
      </c>
      <c r="C1060" s="2" t="s">
        <v>5043</v>
      </c>
      <c r="D1060" s="2" t="s">
        <v>8406</v>
      </c>
    </row>
    <row r="1061" spans="1:4" x14ac:dyDescent="0.2">
      <c r="A1061" s="41" t="s">
        <v>6275</v>
      </c>
      <c r="B1061" s="2" t="s">
        <v>902</v>
      </c>
      <c r="C1061" s="2" t="s">
        <v>5043</v>
      </c>
      <c r="D1061" s="2" t="s">
        <v>8406</v>
      </c>
    </row>
    <row r="1062" spans="1:4" x14ac:dyDescent="0.2">
      <c r="A1062" s="41" t="s">
        <v>6276</v>
      </c>
      <c r="B1062" s="2" t="s">
        <v>902</v>
      </c>
      <c r="C1062" s="2" t="s">
        <v>5043</v>
      </c>
      <c r="D1062" s="2" t="s">
        <v>8406</v>
      </c>
    </row>
    <row r="1063" spans="1:4" x14ac:dyDescent="0.2">
      <c r="A1063" s="41" t="s">
        <v>6277</v>
      </c>
      <c r="B1063" s="2" t="s">
        <v>903</v>
      </c>
      <c r="C1063" s="2" t="s">
        <v>5043</v>
      </c>
      <c r="D1063" s="2" t="s">
        <v>8406</v>
      </c>
    </row>
    <row r="1064" spans="1:4" x14ac:dyDescent="0.2">
      <c r="A1064" s="41" t="s">
        <v>6278</v>
      </c>
      <c r="B1064" s="2" t="s">
        <v>904</v>
      </c>
      <c r="C1064" s="2" t="s">
        <v>5043</v>
      </c>
      <c r="D1064" s="2" t="s">
        <v>8406</v>
      </c>
    </row>
    <row r="1065" spans="1:4" x14ac:dyDescent="0.2">
      <c r="A1065" s="41" t="s">
        <v>6279</v>
      </c>
      <c r="B1065" s="2" t="s">
        <v>905</v>
      </c>
      <c r="C1065" s="2" t="s">
        <v>5043</v>
      </c>
      <c r="D1065" s="2" t="s">
        <v>8406</v>
      </c>
    </row>
    <row r="1066" spans="1:4" x14ac:dyDescent="0.2">
      <c r="A1066" s="41" t="s">
        <v>6280</v>
      </c>
      <c r="B1066" s="2" t="s">
        <v>905</v>
      </c>
      <c r="C1066" s="2" t="s">
        <v>5043</v>
      </c>
      <c r="D1066" s="2" t="s">
        <v>8406</v>
      </c>
    </row>
    <row r="1067" spans="1:4" x14ac:dyDescent="0.2">
      <c r="A1067" s="41" t="s">
        <v>6281</v>
      </c>
      <c r="B1067" s="2" t="s">
        <v>905</v>
      </c>
      <c r="C1067" s="2" t="s">
        <v>5043</v>
      </c>
      <c r="D1067" s="2" t="s">
        <v>8406</v>
      </c>
    </row>
    <row r="1068" spans="1:4" x14ac:dyDescent="0.2">
      <c r="A1068" s="41" t="s">
        <v>3859</v>
      </c>
      <c r="B1068" s="2" t="s">
        <v>905</v>
      </c>
      <c r="C1068" s="2" t="s">
        <v>5043</v>
      </c>
      <c r="D1068" s="2" t="s">
        <v>8406</v>
      </c>
    </row>
    <row r="1069" spans="1:4" x14ac:dyDescent="0.2">
      <c r="A1069" s="41" t="s">
        <v>3860</v>
      </c>
      <c r="B1069" s="2" t="s">
        <v>905</v>
      </c>
      <c r="C1069" s="2" t="s">
        <v>5043</v>
      </c>
      <c r="D1069" s="2" t="s">
        <v>8406</v>
      </c>
    </row>
    <row r="1070" spans="1:4" x14ac:dyDescent="0.2">
      <c r="A1070" s="41" t="s">
        <v>6282</v>
      </c>
      <c r="B1070" s="2" t="s">
        <v>905</v>
      </c>
      <c r="C1070" s="2" t="s">
        <v>5043</v>
      </c>
      <c r="D1070" s="2" t="s">
        <v>8406</v>
      </c>
    </row>
    <row r="1071" spans="1:4" x14ac:dyDescent="0.2">
      <c r="A1071" s="41" t="s">
        <v>6283</v>
      </c>
      <c r="B1071" s="2" t="s">
        <v>905</v>
      </c>
      <c r="C1071" s="2" t="s">
        <v>5043</v>
      </c>
      <c r="D1071" s="2" t="s">
        <v>8406</v>
      </c>
    </row>
    <row r="1072" spans="1:4" x14ac:dyDescent="0.2">
      <c r="A1072" s="41" t="s">
        <v>2761</v>
      </c>
      <c r="B1072" s="2" t="s">
        <v>906</v>
      </c>
      <c r="C1072" s="2" t="s">
        <v>5043</v>
      </c>
      <c r="D1072" s="2" t="s">
        <v>8417</v>
      </c>
    </row>
    <row r="1073" spans="1:4" x14ac:dyDescent="0.2">
      <c r="A1073" s="41" t="s">
        <v>2762</v>
      </c>
      <c r="B1073" s="2" t="s">
        <v>906</v>
      </c>
      <c r="C1073" s="2" t="s">
        <v>5043</v>
      </c>
      <c r="D1073" s="2" t="s">
        <v>8417</v>
      </c>
    </row>
    <row r="1074" spans="1:4" x14ac:dyDescent="0.2">
      <c r="A1074" s="41" t="s">
        <v>2763</v>
      </c>
      <c r="B1074" s="2" t="s">
        <v>906</v>
      </c>
      <c r="C1074" s="2" t="s">
        <v>5043</v>
      </c>
      <c r="D1074" s="2" t="s">
        <v>8417</v>
      </c>
    </row>
    <row r="1075" spans="1:4" x14ac:dyDescent="0.2">
      <c r="A1075" s="41" t="s">
        <v>6284</v>
      </c>
      <c r="B1075" s="2" t="s">
        <v>907</v>
      </c>
      <c r="C1075" s="2" t="s">
        <v>5043</v>
      </c>
      <c r="D1075" s="2" t="s">
        <v>8417</v>
      </c>
    </row>
    <row r="1076" spans="1:4" x14ac:dyDescent="0.2">
      <c r="A1076" s="41" t="s">
        <v>6285</v>
      </c>
      <c r="B1076" s="2" t="s">
        <v>908</v>
      </c>
      <c r="C1076" s="2" t="s">
        <v>5043</v>
      </c>
      <c r="D1076" s="2" t="s">
        <v>8417</v>
      </c>
    </row>
    <row r="1077" spans="1:4" x14ac:dyDescent="0.2">
      <c r="A1077" s="41" t="s">
        <v>4696</v>
      </c>
      <c r="B1077" s="2" t="s">
        <v>4697</v>
      </c>
      <c r="C1077" s="2" t="s">
        <v>5043</v>
      </c>
      <c r="D1077" s="2" t="s">
        <v>8417</v>
      </c>
    </row>
    <row r="1078" spans="1:4" x14ac:dyDescent="0.2">
      <c r="A1078" s="41" t="s">
        <v>6286</v>
      </c>
      <c r="B1078" s="2" t="s">
        <v>909</v>
      </c>
      <c r="C1078" s="2" t="s">
        <v>5043</v>
      </c>
      <c r="D1078" s="2" t="s">
        <v>8417</v>
      </c>
    </row>
    <row r="1079" spans="1:4" x14ac:dyDescent="0.2">
      <c r="A1079" s="41" t="s">
        <v>3194</v>
      </c>
      <c r="B1079" s="2" t="s">
        <v>910</v>
      </c>
      <c r="C1079" s="2" t="s">
        <v>5043</v>
      </c>
      <c r="D1079" s="2" t="s">
        <v>8417</v>
      </c>
    </row>
    <row r="1080" spans="1:4" x14ac:dyDescent="0.2">
      <c r="A1080" s="41" t="s">
        <v>3195</v>
      </c>
      <c r="B1080" s="2" t="s">
        <v>910</v>
      </c>
      <c r="C1080" s="2" t="s">
        <v>5043</v>
      </c>
      <c r="D1080" s="2" t="s">
        <v>8417</v>
      </c>
    </row>
    <row r="1081" spans="1:4" x14ac:dyDescent="0.2">
      <c r="A1081" s="41" t="s">
        <v>6287</v>
      </c>
      <c r="B1081" s="2" t="s">
        <v>911</v>
      </c>
      <c r="C1081" s="2" t="s">
        <v>5043</v>
      </c>
      <c r="D1081" s="2" t="s">
        <v>8417</v>
      </c>
    </row>
    <row r="1082" spans="1:4" x14ac:dyDescent="0.2">
      <c r="A1082" s="41" t="s">
        <v>3204</v>
      </c>
      <c r="B1082" s="2" t="s">
        <v>914</v>
      </c>
      <c r="C1082" s="2" t="s">
        <v>5043</v>
      </c>
      <c r="D1082" s="2" t="s">
        <v>8417</v>
      </c>
    </row>
    <row r="1083" spans="1:4" x14ac:dyDescent="0.2">
      <c r="A1083" s="41" t="s">
        <v>3206</v>
      </c>
      <c r="B1083" s="2" t="s">
        <v>914</v>
      </c>
      <c r="C1083" s="2" t="s">
        <v>5043</v>
      </c>
      <c r="D1083" s="2" t="s">
        <v>8417</v>
      </c>
    </row>
    <row r="1084" spans="1:4" x14ac:dyDescent="0.2">
      <c r="A1084" s="41" t="s">
        <v>3212</v>
      </c>
      <c r="B1084" s="2" t="s">
        <v>912</v>
      </c>
      <c r="C1084" s="2" t="s">
        <v>5043</v>
      </c>
      <c r="D1084" s="2" t="s">
        <v>8417</v>
      </c>
    </row>
    <row r="1085" spans="1:4" x14ac:dyDescent="0.2">
      <c r="A1085" s="41" t="s">
        <v>3217</v>
      </c>
      <c r="B1085" s="2" t="s">
        <v>912</v>
      </c>
      <c r="C1085" s="2" t="s">
        <v>5043</v>
      </c>
      <c r="D1085" s="2" t="s">
        <v>8417</v>
      </c>
    </row>
    <row r="1086" spans="1:4" x14ac:dyDescent="0.2">
      <c r="A1086" s="41" t="s">
        <v>6288</v>
      </c>
      <c r="B1086" s="2" t="s">
        <v>913</v>
      </c>
      <c r="C1086" s="2" t="s">
        <v>5043</v>
      </c>
      <c r="D1086" s="2" t="s">
        <v>8417</v>
      </c>
    </row>
    <row r="1087" spans="1:4" x14ac:dyDescent="0.2">
      <c r="A1087" s="41" t="s">
        <v>6289</v>
      </c>
      <c r="B1087" s="2" t="s">
        <v>915</v>
      </c>
      <c r="C1087" s="2" t="s">
        <v>5043</v>
      </c>
      <c r="D1087" s="2" t="s">
        <v>8417</v>
      </c>
    </row>
    <row r="1088" spans="1:4" x14ac:dyDescent="0.2">
      <c r="A1088" s="41" t="s">
        <v>6290</v>
      </c>
      <c r="B1088" s="2" t="s">
        <v>915</v>
      </c>
      <c r="C1088" s="2" t="s">
        <v>5043</v>
      </c>
      <c r="D1088" s="2" t="s">
        <v>8417</v>
      </c>
    </row>
    <row r="1089" spans="1:4" x14ac:dyDescent="0.2">
      <c r="A1089" s="41" t="s">
        <v>6291</v>
      </c>
      <c r="B1089" s="2" t="s">
        <v>2672</v>
      </c>
      <c r="C1089" s="2" t="s">
        <v>5043</v>
      </c>
      <c r="D1089" s="2" t="s">
        <v>8401</v>
      </c>
    </row>
    <row r="1090" spans="1:4" x14ac:dyDescent="0.2">
      <c r="A1090" s="41" t="s">
        <v>4587</v>
      </c>
      <c r="B1090" s="2" t="s">
        <v>2672</v>
      </c>
      <c r="C1090" s="2" t="s">
        <v>5043</v>
      </c>
      <c r="D1090" s="2" t="s">
        <v>8401</v>
      </c>
    </row>
    <row r="1091" spans="1:4" x14ac:dyDescent="0.2">
      <c r="A1091" s="41" t="s">
        <v>2644</v>
      </c>
      <c r="B1091" s="2" t="s">
        <v>2672</v>
      </c>
      <c r="C1091" s="2" t="s">
        <v>5043</v>
      </c>
      <c r="D1091" s="2" t="s">
        <v>8401</v>
      </c>
    </row>
    <row r="1092" spans="1:4" x14ac:dyDescent="0.2">
      <c r="A1092" s="41" t="s">
        <v>2645</v>
      </c>
      <c r="B1092" s="2" t="s">
        <v>2672</v>
      </c>
      <c r="C1092" s="2" t="s">
        <v>5043</v>
      </c>
      <c r="D1092" s="2" t="s">
        <v>8401</v>
      </c>
    </row>
    <row r="1093" spans="1:4" x14ac:dyDescent="0.2">
      <c r="A1093" s="41" t="s">
        <v>6292</v>
      </c>
      <c r="B1093" s="2" t="s">
        <v>916</v>
      </c>
      <c r="C1093" s="2" t="s">
        <v>5043</v>
      </c>
      <c r="D1093" s="2" t="s">
        <v>8417</v>
      </c>
    </row>
    <row r="1094" spans="1:4" x14ac:dyDescent="0.2">
      <c r="A1094" s="41" t="s">
        <v>6293</v>
      </c>
      <c r="B1094" s="2" t="s">
        <v>917</v>
      </c>
      <c r="C1094" s="2" t="s">
        <v>5043</v>
      </c>
      <c r="D1094" s="2" t="s">
        <v>8417</v>
      </c>
    </row>
    <row r="1095" spans="1:4" x14ac:dyDescent="0.2">
      <c r="A1095" s="41" t="s">
        <v>6294</v>
      </c>
      <c r="B1095" s="2" t="s">
        <v>1175</v>
      </c>
      <c r="C1095" s="2" t="s">
        <v>5043</v>
      </c>
      <c r="D1095" s="2" t="s">
        <v>8417</v>
      </c>
    </row>
    <row r="1096" spans="1:4" x14ac:dyDescent="0.2">
      <c r="A1096" s="41" t="s">
        <v>6295</v>
      </c>
      <c r="B1096" s="2" t="s">
        <v>1175</v>
      </c>
      <c r="C1096" s="2" t="s">
        <v>5043</v>
      </c>
      <c r="D1096" s="2" t="s">
        <v>8417</v>
      </c>
    </row>
    <row r="1097" spans="1:4" x14ac:dyDescent="0.2">
      <c r="A1097" s="41" t="s">
        <v>6296</v>
      </c>
      <c r="B1097" s="2" t="s">
        <v>1177</v>
      </c>
      <c r="C1097" s="2" t="s">
        <v>5043</v>
      </c>
      <c r="D1097" s="2" t="s">
        <v>8401</v>
      </c>
    </row>
    <row r="1098" spans="1:4" x14ac:dyDescent="0.2">
      <c r="A1098" s="41" t="s">
        <v>2555</v>
      </c>
      <c r="B1098" s="2" t="s">
        <v>918</v>
      </c>
      <c r="C1098" s="2" t="s">
        <v>5043</v>
      </c>
      <c r="D1098" s="2" t="s">
        <v>8417</v>
      </c>
    </row>
    <row r="1099" spans="1:4" x14ac:dyDescent="0.2">
      <c r="A1099" s="41" t="s">
        <v>2588</v>
      </c>
      <c r="B1099" s="2" t="s">
        <v>918</v>
      </c>
      <c r="C1099" s="2" t="s">
        <v>5043</v>
      </c>
      <c r="D1099" s="2" t="s">
        <v>8417</v>
      </c>
    </row>
    <row r="1100" spans="1:4" x14ac:dyDescent="0.2">
      <c r="A1100" s="41" t="s">
        <v>2589</v>
      </c>
      <c r="B1100" s="2" t="s">
        <v>918</v>
      </c>
      <c r="C1100" s="2" t="s">
        <v>5043</v>
      </c>
      <c r="D1100" s="2" t="s">
        <v>8417</v>
      </c>
    </row>
    <row r="1101" spans="1:4" x14ac:dyDescent="0.2">
      <c r="A1101" s="41" t="s">
        <v>2621</v>
      </c>
      <c r="B1101" s="2" t="s">
        <v>918</v>
      </c>
      <c r="C1101" s="2" t="s">
        <v>5043</v>
      </c>
      <c r="D1101" s="2" t="s">
        <v>8417</v>
      </c>
    </row>
    <row r="1102" spans="1:4" x14ac:dyDescent="0.2">
      <c r="A1102" s="41" t="s">
        <v>2622</v>
      </c>
      <c r="B1102" s="2" t="s">
        <v>918</v>
      </c>
      <c r="C1102" s="2" t="s">
        <v>5043</v>
      </c>
      <c r="D1102" s="2" t="s">
        <v>8417</v>
      </c>
    </row>
    <row r="1103" spans="1:4" x14ac:dyDescent="0.2">
      <c r="A1103" s="41" t="s">
        <v>2623</v>
      </c>
      <c r="B1103" s="2" t="s">
        <v>918</v>
      </c>
      <c r="C1103" s="2" t="s">
        <v>5043</v>
      </c>
      <c r="D1103" s="2" t="s">
        <v>8417</v>
      </c>
    </row>
    <row r="1104" spans="1:4" x14ac:dyDescent="0.2">
      <c r="A1104" s="41" t="s">
        <v>2624</v>
      </c>
      <c r="B1104" s="2" t="s">
        <v>918</v>
      </c>
      <c r="C1104" s="2" t="s">
        <v>5043</v>
      </c>
      <c r="D1104" s="2" t="s">
        <v>8417</v>
      </c>
    </row>
    <row r="1105" spans="1:4" x14ac:dyDescent="0.2">
      <c r="A1105" s="41" t="s">
        <v>6297</v>
      </c>
      <c r="B1105" s="2" t="s">
        <v>919</v>
      </c>
      <c r="C1105" s="2" t="s">
        <v>5043</v>
      </c>
      <c r="D1105" s="2" t="s">
        <v>8417</v>
      </c>
    </row>
    <row r="1106" spans="1:4" x14ac:dyDescent="0.2">
      <c r="A1106" s="41" t="s">
        <v>4466</v>
      </c>
      <c r="B1106" s="2" t="s">
        <v>920</v>
      </c>
      <c r="C1106" s="2" t="s">
        <v>5043</v>
      </c>
      <c r="D1106" s="2" t="s">
        <v>8417</v>
      </c>
    </row>
    <row r="1107" spans="1:4" x14ac:dyDescent="0.2">
      <c r="A1107" s="41" t="s">
        <v>4467</v>
      </c>
      <c r="B1107" s="2" t="s">
        <v>920</v>
      </c>
      <c r="C1107" s="2" t="s">
        <v>5043</v>
      </c>
      <c r="D1107" s="2" t="s">
        <v>8417</v>
      </c>
    </row>
    <row r="1108" spans="1:4" x14ac:dyDescent="0.2">
      <c r="A1108" s="41" t="s">
        <v>4468</v>
      </c>
      <c r="B1108" s="2" t="s">
        <v>920</v>
      </c>
      <c r="C1108" s="2" t="s">
        <v>5043</v>
      </c>
      <c r="D1108" s="2" t="s">
        <v>8417</v>
      </c>
    </row>
    <row r="1109" spans="1:4" x14ac:dyDescent="0.2">
      <c r="A1109" s="41" t="s">
        <v>6298</v>
      </c>
      <c r="B1109" s="2" t="s">
        <v>920</v>
      </c>
      <c r="C1109" s="2" t="s">
        <v>5043</v>
      </c>
      <c r="D1109" s="2" t="s">
        <v>8417</v>
      </c>
    </row>
    <row r="1110" spans="1:4" x14ac:dyDescent="0.2">
      <c r="A1110" s="41" t="s">
        <v>6299</v>
      </c>
      <c r="B1110" s="2" t="s">
        <v>920</v>
      </c>
      <c r="C1110" s="2" t="s">
        <v>5043</v>
      </c>
      <c r="D1110" s="2" t="s">
        <v>8417</v>
      </c>
    </row>
    <row r="1111" spans="1:4" x14ac:dyDescent="0.2">
      <c r="A1111" s="41" t="s">
        <v>6300</v>
      </c>
      <c r="B1111" s="2" t="s">
        <v>920</v>
      </c>
      <c r="C1111" s="2" t="s">
        <v>5043</v>
      </c>
      <c r="D1111" s="2" t="s">
        <v>8417</v>
      </c>
    </row>
    <row r="1112" spans="1:4" x14ac:dyDescent="0.2">
      <c r="A1112" s="41" t="s">
        <v>6301</v>
      </c>
      <c r="B1112" s="2" t="s">
        <v>920</v>
      </c>
      <c r="C1112" s="2" t="s">
        <v>5043</v>
      </c>
      <c r="D1112" s="2" t="s">
        <v>8417</v>
      </c>
    </row>
    <row r="1113" spans="1:4" x14ac:dyDescent="0.2">
      <c r="A1113" s="41" t="s">
        <v>6302</v>
      </c>
      <c r="B1113" s="2" t="s">
        <v>920</v>
      </c>
      <c r="C1113" s="2" t="s">
        <v>5043</v>
      </c>
      <c r="D1113" s="2" t="s">
        <v>8417</v>
      </c>
    </row>
    <row r="1114" spans="1:4" x14ac:dyDescent="0.2">
      <c r="A1114" s="41" t="s">
        <v>6303</v>
      </c>
      <c r="B1114" s="2" t="s">
        <v>920</v>
      </c>
      <c r="C1114" s="2" t="s">
        <v>5043</v>
      </c>
      <c r="D1114" s="2" t="s">
        <v>8417</v>
      </c>
    </row>
    <row r="1115" spans="1:4" x14ac:dyDescent="0.2">
      <c r="A1115" s="41" t="s">
        <v>6304</v>
      </c>
      <c r="B1115" s="2" t="s">
        <v>920</v>
      </c>
      <c r="C1115" s="2" t="s">
        <v>5043</v>
      </c>
      <c r="D1115" s="2" t="s">
        <v>8417</v>
      </c>
    </row>
    <row r="1116" spans="1:4" x14ac:dyDescent="0.2">
      <c r="A1116" s="41" t="s">
        <v>6305</v>
      </c>
      <c r="B1116" s="2" t="s">
        <v>1174</v>
      </c>
      <c r="C1116" s="2" t="s">
        <v>5043</v>
      </c>
      <c r="D1116" s="2" t="s">
        <v>8417</v>
      </c>
    </row>
    <row r="1117" spans="1:4" x14ac:dyDescent="0.2">
      <c r="A1117" s="41" t="s">
        <v>3765</v>
      </c>
      <c r="B1117" s="2" t="s">
        <v>921</v>
      </c>
      <c r="C1117" s="2" t="s">
        <v>5043</v>
      </c>
      <c r="D1117" s="2" t="s">
        <v>8417</v>
      </c>
    </row>
    <row r="1118" spans="1:4" x14ac:dyDescent="0.2">
      <c r="A1118" s="41" t="s">
        <v>3766</v>
      </c>
      <c r="B1118" s="2" t="s">
        <v>921</v>
      </c>
      <c r="C1118" s="2" t="s">
        <v>5043</v>
      </c>
      <c r="D1118" s="2" t="s">
        <v>8417</v>
      </c>
    </row>
    <row r="1119" spans="1:4" x14ac:dyDescent="0.2">
      <c r="A1119" s="41" t="s">
        <v>3767</v>
      </c>
      <c r="B1119" s="2" t="s">
        <v>921</v>
      </c>
      <c r="C1119" s="2" t="s">
        <v>5043</v>
      </c>
      <c r="D1119" s="2" t="s">
        <v>8417</v>
      </c>
    </row>
    <row r="1120" spans="1:4" x14ac:dyDescent="0.2">
      <c r="A1120" s="41" t="s">
        <v>3768</v>
      </c>
      <c r="B1120" s="2" t="s">
        <v>921</v>
      </c>
      <c r="C1120" s="2" t="s">
        <v>5043</v>
      </c>
      <c r="D1120" s="2" t="s">
        <v>8417</v>
      </c>
    </row>
    <row r="1121" spans="1:4" x14ac:dyDescent="0.2">
      <c r="A1121" s="41" t="s">
        <v>3769</v>
      </c>
      <c r="B1121" s="2" t="s">
        <v>921</v>
      </c>
      <c r="C1121" s="2" t="s">
        <v>5043</v>
      </c>
      <c r="D1121" s="2" t="s">
        <v>8417</v>
      </c>
    </row>
    <row r="1122" spans="1:4" x14ac:dyDescent="0.2">
      <c r="A1122" s="41" t="s">
        <v>3770</v>
      </c>
      <c r="B1122" s="2" t="s">
        <v>921</v>
      </c>
      <c r="C1122" s="2" t="s">
        <v>5043</v>
      </c>
      <c r="D1122" s="2" t="s">
        <v>8417</v>
      </c>
    </row>
    <row r="1123" spans="1:4" x14ac:dyDescent="0.2">
      <c r="A1123" s="41" t="s">
        <v>3771</v>
      </c>
      <c r="B1123" s="2" t="s">
        <v>922</v>
      </c>
      <c r="C1123" s="2" t="s">
        <v>5043</v>
      </c>
      <c r="D1123" s="2" t="s">
        <v>8417</v>
      </c>
    </row>
    <row r="1124" spans="1:4" x14ac:dyDescent="0.2">
      <c r="A1124" s="41" t="s">
        <v>3772</v>
      </c>
      <c r="B1124" s="2" t="s">
        <v>922</v>
      </c>
      <c r="C1124" s="2" t="s">
        <v>5043</v>
      </c>
      <c r="D1124" s="2" t="s">
        <v>8417</v>
      </c>
    </row>
    <row r="1125" spans="1:4" x14ac:dyDescent="0.2">
      <c r="A1125" s="41" t="s">
        <v>3773</v>
      </c>
      <c r="B1125" s="2" t="s">
        <v>922</v>
      </c>
      <c r="C1125" s="2" t="s">
        <v>5043</v>
      </c>
      <c r="D1125" s="2" t="s">
        <v>8417</v>
      </c>
    </row>
    <row r="1126" spans="1:4" x14ac:dyDescent="0.2">
      <c r="A1126" s="41" t="s">
        <v>3774</v>
      </c>
      <c r="B1126" s="2" t="s">
        <v>922</v>
      </c>
      <c r="C1126" s="2" t="s">
        <v>5043</v>
      </c>
      <c r="D1126" s="2" t="s">
        <v>8417</v>
      </c>
    </row>
    <row r="1127" spans="1:4" x14ac:dyDescent="0.2">
      <c r="A1127" s="41" t="s">
        <v>3775</v>
      </c>
      <c r="B1127" s="2" t="s">
        <v>922</v>
      </c>
      <c r="C1127" s="2" t="s">
        <v>5043</v>
      </c>
      <c r="D1127" s="2" t="s">
        <v>8417</v>
      </c>
    </row>
    <row r="1128" spans="1:4" x14ac:dyDescent="0.2">
      <c r="A1128" s="41" t="s">
        <v>3776</v>
      </c>
      <c r="B1128" s="2" t="s">
        <v>923</v>
      </c>
      <c r="C1128" s="2" t="s">
        <v>5043</v>
      </c>
      <c r="D1128" s="2" t="s">
        <v>8417</v>
      </c>
    </row>
    <row r="1129" spans="1:4" x14ac:dyDescent="0.2">
      <c r="A1129" s="41" t="s">
        <v>3777</v>
      </c>
      <c r="B1129" s="2" t="s">
        <v>923</v>
      </c>
      <c r="C1129" s="2" t="s">
        <v>5043</v>
      </c>
      <c r="D1129" s="2" t="s">
        <v>8417</v>
      </c>
    </row>
    <row r="1130" spans="1:4" x14ac:dyDescent="0.2">
      <c r="A1130" s="41" t="s">
        <v>3781</v>
      </c>
      <c r="B1130" s="2" t="s">
        <v>923</v>
      </c>
      <c r="C1130" s="2" t="s">
        <v>5043</v>
      </c>
      <c r="D1130" s="2" t="s">
        <v>8417</v>
      </c>
    </row>
    <row r="1131" spans="1:4" x14ac:dyDescent="0.2">
      <c r="A1131" s="41" t="s">
        <v>3791</v>
      </c>
      <c r="B1131" s="2" t="s">
        <v>923</v>
      </c>
      <c r="C1131" s="2" t="s">
        <v>5043</v>
      </c>
      <c r="D1131" s="2" t="s">
        <v>8417</v>
      </c>
    </row>
    <row r="1132" spans="1:4" x14ac:dyDescent="0.2">
      <c r="A1132" s="41" t="s">
        <v>3869</v>
      </c>
      <c r="B1132" s="2" t="s">
        <v>923</v>
      </c>
      <c r="C1132" s="2" t="s">
        <v>5043</v>
      </c>
      <c r="D1132" s="2" t="s">
        <v>8417</v>
      </c>
    </row>
    <row r="1133" spans="1:4" x14ac:dyDescent="0.2">
      <c r="A1133" s="41" t="s">
        <v>3870</v>
      </c>
      <c r="B1133" s="2" t="s">
        <v>923</v>
      </c>
      <c r="C1133" s="2" t="s">
        <v>5043</v>
      </c>
      <c r="D1133" s="2" t="s">
        <v>8417</v>
      </c>
    </row>
    <row r="1134" spans="1:4" x14ac:dyDescent="0.2">
      <c r="A1134" s="41" t="s">
        <v>3871</v>
      </c>
      <c r="B1134" s="2" t="s">
        <v>923</v>
      </c>
      <c r="C1134" s="2" t="s">
        <v>5043</v>
      </c>
      <c r="D1134" s="2" t="s">
        <v>8417</v>
      </c>
    </row>
    <row r="1135" spans="1:4" x14ac:dyDescent="0.2">
      <c r="A1135" s="41" t="s">
        <v>3872</v>
      </c>
      <c r="B1135" s="2" t="s">
        <v>923</v>
      </c>
      <c r="C1135" s="2" t="s">
        <v>5043</v>
      </c>
      <c r="D1135" s="2" t="s">
        <v>8417</v>
      </c>
    </row>
    <row r="1136" spans="1:4" x14ac:dyDescent="0.2">
      <c r="A1136" s="41" t="s">
        <v>3873</v>
      </c>
      <c r="B1136" s="2" t="s">
        <v>923</v>
      </c>
      <c r="C1136" s="2" t="s">
        <v>5043</v>
      </c>
      <c r="D1136" s="2" t="s">
        <v>8417</v>
      </c>
    </row>
    <row r="1137" spans="1:4" x14ac:dyDescent="0.2">
      <c r="A1137" s="41" t="s">
        <v>3875</v>
      </c>
      <c r="B1137" s="2" t="s">
        <v>923</v>
      </c>
      <c r="C1137" s="2" t="s">
        <v>5043</v>
      </c>
      <c r="D1137" s="2" t="s">
        <v>8417</v>
      </c>
    </row>
    <row r="1138" spans="1:4" x14ac:dyDescent="0.2">
      <c r="A1138" s="41" t="s">
        <v>3876</v>
      </c>
      <c r="B1138" s="2" t="s">
        <v>923</v>
      </c>
      <c r="C1138" s="2" t="s">
        <v>5043</v>
      </c>
      <c r="D1138" s="2" t="s">
        <v>8417</v>
      </c>
    </row>
    <row r="1139" spans="1:4" x14ac:dyDescent="0.2">
      <c r="A1139" s="41" t="s">
        <v>3877</v>
      </c>
      <c r="B1139" s="2" t="s">
        <v>923</v>
      </c>
      <c r="C1139" s="2" t="s">
        <v>5043</v>
      </c>
      <c r="D1139" s="2" t="s">
        <v>8417</v>
      </c>
    </row>
    <row r="1140" spans="1:4" x14ac:dyDescent="0.2">
      <c r="A1140" s="41" t="s">
        <v>3878</v>
      </c>
      <c r="B1140" s="2" t="s">
        <v>923</v>
      </c>
      <c r="C1140" s="2" t="s">
        <v>5043</v>
      </c>
      <c r="D1140" s="2" t="s">
        <v>8417</v>
      </c>
    </row>
    <row r="1141" spans="1:4" x14ac:dyDescent="0.2">
      <c r="A1141" s="41" t="s">
        <v>3879</v>
      </c>
      <c r="B1141" s="2" t="s">
        <v>924</v>
      </c>
      <c r="C1141" s="2" t="s">
        <v>5043</v>
      </c>
      <c r="D1141" s="2" t="s">
        <v>8417</v>
      </c>
    </row>
    <row r="1142" spans="1:4" x14ac:dyDescent="0.2">
      <c r="A1142" s="41" t="s">
        <v>3880</v>
      </c>
      <c r="B1142" s="2" t="s">
        <v>925</v>
      </c>
      <c r="C1142" s="2" t="s">
        <v>5043</v>
      </c>
      <c r="D1142" s="2" t="s">
        <v>8417</v>
      </c>
    </row>
    <row r="1143" spans="1:4" x14ac:dyDescent="0.2">
      <c r="A1143" s="41" t="s">
        <v>3881</v>
      </c>
      <c r="B1143" s="2" t="s">
        <v>925</v>
      </c>
      <c r="C1143" s="2" t="s">
        <v>5043</v>
      </c>
      <c r="D1143" s="2" t="s">
        <v>8417</v>
      </c>
    </row>
    <row r="1144" spans="1:4" x14ac:dyDescent="0.2">
      <c r="A1144" s="41" t="s">
        <v>3882</v>
      </c>
      <c r="B1144" s="2" t="s">
        <v>925</v>
      </c>
      <c r="C1144" s="2" t="s">
        <v>5043</v>
      </c>
      <c r="D1144" s="2" t="s">
        <v>8417</v>
      </c>
    </row>
    <row r="1145" spans="1:4" x14ac:dyDescent="0.2">
      <c r="A1145" s="41" t="s">
        <v>3883</v>
      </c>
      <c r="B1145" s="2" t="s">
        <v>925</v>
      </c>
      <c r="C1145" s="2" t="s">
        <v>5043</v>
      </c>
      <c r="D1145" s="2" t="s">
        <v>8417</v>
      </c>
    </row>
    <row r="1146" spans="1:4" x14ac:dyDescent="0.2">
      <c r="A1146" s="41" t="s">
        <v>3884</v>
      </c>
      <c r="B1146" s="2" t="s">
        <v>926</v>
      </c>
      <c r="C1146" s="2" t="s">
        <v>5043</v>
      </c>
      <c r="D1146" s="2" t="s">
        <v>8417</v>
      </c>
    </row>
    <row r="1147" spans="1:4" x14ac:dyDescent="0.2">
      <c r="A1147" s="41" t="s">
        <v>3886</v>
      </c>
      <c r="B1147" s="2" t="s">
        <v>926</v>
      </c>
      <c r="C1147" s="2" t="s">
        <v>5043</v>
      </c>
      <c r="D1147" s="2" t="s">
        <v>8417</v>
      </c>
    </row>
    <row r="1148" spans="1:4" x14ac:dyDescent="0.2">
      <c r="A1148" s="41" t="s">
        <v>3889</v>
      </c>
      <c r="B1148" s="2" t="s">
        <v>926</v>
      </c>
      <c r="C1148" s="2" t="s">
        <v>5043</v>
      </c>
      <c r="D1148" s="2" t="s">
        <v>8417</v>
      </c>
    </row>
    <row r="1149" spans="1:4" x14ac:dyDescent="0.2">
      <c r="A1149" s="41" t="s">
        <v>3890</v>
      </c>
      <c r="B1149" s="2" t="s">
        <v>926</v>
      </c>
      <c r="C1149" s="2" t="s">
        <v>5043</v>
      </c>
      <c r="D1149" s="2" t="s">
        <v>8417</v>
      </c>
    </row>
    <row r="1150" spans="1:4" x14ac:dyDescent="0.2">
      <c r="A1150" s="41" t="s">
        <v>3891</v>
      </c>
      <c r="B1150" s="2" t="s">
        <v>926</v>
      </c>
      <c r="C1150" s="2" t="s">
        <v>5043</v>
      </c>
      <c r="D1150" s="2" t="s">
        <v>8417</v>
      </c>
    </row>
    <row r="1151" spans="1:4" x14ac:dyDescent="0.2">
      <c r="A1151" s="41" t="s">
        <v>3892</v>
      </c>
      <c r="B1151" s="2" t="s">
        <v>926</v>
      </c>
      <c r="C1151" s="2" t="s">
        <v>5043</v>
      </c>
      <c r="D1151" s="2" t="s">
        <v>8417</v>
      </c>
    </row>
    <row r="1152" spans="1:4" x14ac:dyDescent="0.2">
      <c r="A1152" s="41" t="s">
        <v>3893</v>
      </c>
      <c r="B1152" s="2" t="s">
        <v>926</v>
      </c>
      <c r="C1152" s="2" t="s">
        <v>5043</v>
      </c>
      <c r="D1152" s="2" t="s">
        <v>8417</v>
      </c>
    </row>
    <row r="1153" spans="1:4" x14ac:dyDescent="0.2">
      <c r="A1153" s="41" t="s">
        <v>3895</v>
      </c>
      <c r="B1153" s="2" t="s">
        <v>927</v>
      </c>
      <c r="C1153" s="2" t="s">
        <v>5043</v>
      </c>
      <c r="D1153" s="2" t="s">
        <v>8417</v>
      </c>
    </row>
    <row r="1154" spans="1:4" x14ac:dyDescent="0.2">
      <c r="A1154" s="41" t="s">
        <v>6306</v>
      </c>
      <c r="B1154" s="2" t="s">
        <v>928</v>
      </c>
      <c r="C1154" s="2" t="s">
        <v>5043</v>
      </c>
      <c r="D1154" s="2" t="s">
        <v>8417</v>
      </c>
    </row>
    <row r="1155" spans="1:4" x14ac:dyDescent="0.2">
      <c r="A1155" s="41" t="s">
        <v>6307</v>
      </c>
      <c r="B1155" s="2" t="s">
        <v>928</v>
      </c>
      <c r="C1155" s="2" t="s">
        <v>5043</v>
      </c>
      <c r="D1155" s="2" t="s">
        <v>8417</v>
      </c>
    </row>
    <row r="1156" spans="1:4" x14ac:dyDescent="0.2">
      <c r="A1156" s="41" t="s">
        <v>6308</v>
      </c>
      <c r="B1156" s="2" t="s">
        <v>929</v>
      </c>
      <c r="C1156" s="2" t="s">
        <v>5043</v>
      </c>
      <c r="D1156" s="2" t="s">
        <v>8417</v>
      </c>
    </row>
    <row r="1157" spans="1:4" x14ac:dyDescent="0.2">
      <c r="A1157" s="41" t="s">
        <v>3669</v>
      </c>
      <c r="B1157" s="2" t="s">
        <v>930</v>
      </c>
      <c r="C1157" s="2" t="s">
        <v>5043</v>
      </c>
      <c r="D1157" s="2" t="s">
        <v>8417</v>
      </c>
    </row>
    <row r="1158" spans="1:4" x14ac:dyDescent="0.2">
      <c r="A1158" s="41" t="s">
        <v>3670</v>
      </c>
      <c r="B1158" s="2" t="s">
        <v>930</v>
      </c>
      <c r="C1158" s="2" t="s">
        <v>5043</v>
      </c>
      <c r="D1158" s="2" t="s">
        <v>8417</v>
      </c>
    </row>
    <row r="1159" spans="1:4" x14ac:dyDescent="0.2">
      <c r="A1159" s="41" t="s">
        <v>3671</v>
      </c>
      <c r="B1159" s="2" t="s">
        <v>931</v>
      </c>
      <c r="C1159" s="2" t="s">
        <v>5043</v>
      </c>
      <c r="D1159" s="2" t="s">
        <v>8417</v>
      </c>
    </row>
    <row r="1160" spans="1:4" x14ac:dyDescent="0.2">
      <c r="A1160" s="41" t="s">
        <v>3672</v>
      </c>
      <c r="B1160" s="2" t="s">
        <v>932</v>
      </c>
      <c r="C1160" s="2" t="s">
        <v>5043</v>
      </c>
      <c r="D1160" s="2" t="s">
        <v>8417</v>
      </c>
    </row>
    <row r="1161" spans="1:4" x14ac:dyDescent="0.2">
      <c r="A1161" s="41" t="s">
        <v>3673</v>
      </c>
      <c r="B1161" s="2" t="s">
        <v>932</v>
      </c>
      <c r="C1161" s="2" t="s">
        <v>5043</v>
      </c>
      <c r="D1161" s="2" t="s">
        <v>8417</v>
      </c>
    </row>
    <row r="1162" spans="1:4" x14ac:dyDescent="0.2">
      <c r="A1162" s="41" t="s">
        <v>3674</v>
      </c>
      <c r="B1162" s="2" t="s">
        <v>932</v>
      </c>
      <c r="C1162" s="2" t="s">
        <v>5043</v>
      </c>
      <c r="D1162" s="2" t="s">
        <v>8417</v>
      </c>
    </row>
    <row r="1163" spans="1:4" x14ac:dyDescent="0.2">
      <c r="A1163" s="41" t="s">
        <v>6309</v>
      </c>
      <c r="B1163" s="2" t="s">
        <v>932</v>
      </c>
      <c r="C1163" s="2" t="s">
        <v>5043</v>
      </c>
      <c r="D1163" s="2" t="s">
        <v>8417</v>
      </c>
    </row>
    <row r="1164" spans="1:4" x14ac:dyDescent="0.2">
      <c r="A1164" s="41" t="s">
        <v>6310</v>
      </c>
      <c r="B1164" s="2" t="s">
        <v>932</v>
      </c>
      <c r="C1164" s="2" t="s">
        <v>5043</v>
      </c>
      <c r="D1164" s="2" t="s">
        <v>8417</v>
      </c>
    </row>
    <row r="1165" spans="1:4" x14ac:dyDescent="0.2">
      <c r="A1165" s="41" t="s">
        <v>6311</v>
      </c>
      <c r="B1165" s="2" t="s">
        <v>933</v>
      </c>
      <c r="C1165" s="2" t="s">
        <v>5043</v>
      </c>
      <c r="D1165" s="2" t="s">
        <v>8417</v>
      </c>
    </row>
    <row r="1166" spans="1:4" x14ac:dyDescent="0.2">
      <c r="A1166" s="41" t="s">
        <v>6312</v>
      </c>
      <c r="B1166" s="2" t="s">
        <v>545</v>
      </c>
      <c r="C1166" s="2" t="s">
        <v>5043</v>
      </c>
      <c r="D1166" s="2" t="s">
        <v>8417</v>
      </c>
    </row>
    <row r="1167" spans="1:4" x14ac:dyDescent="0.2">
      <c r="A1167" s="41" t="s">
        <v>6313</v>
      </c>
      <c r="B1167" s="2" t="s">
        <v>934</v>
      </c>
      <c r="C1167" s="2" t="s">
        <v>5043</v>
      </c>
      <c r="D1167" s="2" t="s">
        <v>8417</v>
      </c>
    </row>
    <row r="1168" spans="1:4" x14ac:dyDescent="0.2">
      <c r="A1168" s="41" t="s">
        <v>6314</v>
      </c>
      <c r="B1168" s="2" t="s">
        <v>934</v>
      </c>
      <c r="C1168" s="2" t="s">
        <v>5043</v>
      </c>
      <c r="D1168" s="2" t="s">
        <v>8417</v>
      </c>
    </row>
    <row r="1169" spans="1:4" x14ac:dyDescent="0.2">
      <c r="A1169" s="41" t="s">
        <v>6315</v>
      </c>
      <c r="B1169" s="2" t="s">
        <v>934</v>
      </c>
      <c r="C1169" s="2" t="s">
        <v>5043</v>
      </c>
      <c r="D1169" s="2" t="s">
        <v>8417</v>
      </c>
    </row>
    <row r="1170" spans="1:4" x14ac:dyDescent="0.2">
      <c r="A1170" s="41" t="s">
        <v>6316</v>
      </c>
      <c r="B1170" s="2" t="s">
        <v>235</v>
      </c>
      <c r="C1170" s="2" t="s">
        <v>5043</v>
      </c>
      <c r="D1170" s="2" t="s">
        <v>8417</v>
      </c>
    </row>
    <row r="1171" spans="1:4" x14ac:dyDescent="0.2">
      <c r="A1171" s="41" t="s">
        <v>6317</v>
      </c>
      <c r="B1171" s="2" t="s">
        <v>235</v>
      </c>
      <c r="C1171" s="2" t="s">
        <v>5043</v>
      </c>
      <c r="D1171" s="2" t="s">
        <v>8417</v>
      </c>
    </row>
    <row r="1172" spans="1:4" x14ac:dyDescent="0.2">
      <c r="A1172" s="41" t="s">
        <v>6318</v>
      </c>
      <c r="B1172" s="2" t="s">
        <v>935</v>
      </c>
      <c r="C1172" s="2" t="s">
        <v>5043</v>
      </c>
      <c r="D1172" s="2" t="s">
        <v>8417</v>
      </c>
    </row>
    <row r="1173" spans="1:4" x14ac:dyDescent="0.2">
      <c r="A1173" s="41" t="s">
        <v>6319</v>
      </c>
      <c r="B1173" s="2" t="s">
        <v>935</v>
      </c>
      <c r="C1173" s="2" t="s">
        <v>5043</v>
      </c>
      <c r="D1173" s="2" t="s">
        <v>8417</v>
      </c>
    </row>
    <row r="1174" spans="1:4" x14ac:dyDescent="0.2">
      <c r="A1174" s="41" t="s">
        <v>6320</v>
      </c>
      <c r="B1174" s="2" t="s">
        <v>935</v>
      </c>
      <c r="C1174" s="2" t="s">
        <v>5043</v>
      </c>
      <c r="D1174" s="2" t="s">
        <v>8417</v>
      </c>
    </row>
    <row r="1175" spans="1:4" x14ac:dyDescent="0.2">
      <c r="A1175" s="41" t="s">
        <v>6321</v>
      </c>
      <c r="B1175" s="2" t="s">
        <v>935</v>
      </c>
      <c r="C1175" s="2" t="s">
        <v>5043</v>
      </c>
      <c r="D1175" s="2" t="s">
        <v>8417</v>
      </c>
    </row>
    <row r="1176" spans="1:4" x14ac:dyDescent="0.2">
      <c r="A1176" s="41" t="s">
        <v>3909</v>
      </c>
      <c r="B1176" s="2" t="s">
        <v>935</v>
      </c>
      <c r="C1176" s="2" t="s">
        <v>5043</v>
      </c>
      <c r="D1176" s="2" t="s">
        <v>8417</v>
      </c>
    </row>
    <row r="1177" spans="1:4" x14ac:dyDescent="0.2">
      <c r="A1177" s="41" t="s">
        <v>3910</v>
      </c>
      <c r="B1177" s="2" t="s">
        <v>935</v>
      </c>
      <c r="C1177" s="2" t="s">
        <v>5043</v>
      </c>
      <c r="D1177" s="2" t="s">
        <v>8417</v>
      </c>
    </row>
    <row r="1178" spans="1:4" x14ac:dyDescent="0.2">
      <c r="A1178" s="41" t="s">
        <v>3911</v>
      </c>
      <c r="B1178" s="2" t="s">
        <v>935</v>
      </c>
      <c r="C1178" s="2" t="s">
        <v>5043</v>
      </c>
      <c r="D1178" s="2" t="s">
        <v>8417</v>
      </c>
    </row>
    <row r="1179" spans="1:4" x14ac:dyDescent="0.2">
      <c r="A1179" s="41" t="s">
        <v>3912</v>
      </c>
      <c r="B1179" s="2" t="s">
        <v>935</v>
      </c>
      <c r="C1179" s="2" t="s">
        <v>5043</v>
      </c>
      <c r="D1179" s="2" t="s">
        <v>8417</v>
      </c>
    </row>
    <row r="1180" spans="1:4" x14ac:dyDescent="0.2">
      <c r="A1180" s="41" t="s">
        <v>3913</v>
      </c>
      <c r="B1180" s="2" t="s">
        <v>935</v>
      </c>
      <c r="C1180" s="2" t="s">
        <v>5043</v>
      </c>
      <c r="D1180" s="2" t="s">
        <v>8417</v>
      </c>
    </row>
    <row r="1181" spans="1:4" x14ac:dyDescent="0.2">
      <c r="A1181" s="41" t="s">
        <v>3914</v>
      </c>
      <c r="B1181" s="2" t="s">
        <v>935</v>
      </c>
      <c r="C1181" s="2" t="s">
        <v>5043</v>
      </c>
      <c r="D1181" s="2" t="s">
        <v>8417</v>
      </c>
    </row>
    <row r="1182" spans="1:4" x14ac:dyDescent="0.2">
      <c r="A1182" s="41" t="s">
        <v>3915</v>
      </c>
      <c r="B1182" s="2" t="s">
        <v>935</v>
      </c>
      <c r="C1182" s="2" t="s">
        <v>5043</v>
      </c>
      <c r="D1182" s="2" t="s">
        <v>8417</v>
      </c>
    </row>
    <row r="1183" spans="1:4" x14ac:dyDescent="0.2">
      <c r="A1183" s="41" t="s">
        <v>3908</v>
      </c>
      <c r="B1183" s="2" t="s">
        <v>935</v>
      </c>
      <c r="C1183" s="2" t="s">
        <v>5043</v>
      </c>
      <c r="D1183" s="2" t="s">
        <v>8417</v>
      </c>
    </row>
    <row r="1184" spans="1:4" x14ac:dyDescent="0.2">
      <c r="A1184" s="41" t="s">
        <v>6322</v>
      </c>
      <c r="B1184" s="2" t="s">
        <v>935</v>
      </c>
      <c r="C1184" s="2" t="s">
        <v>5043</v>
      </c>
      <c r="D1184" s="2" t="s">
        <v>8417</v>
      </c>
    </row>
    <row r="1185" spans="1:4" x14ac:dyDescent="0.2">
      <c r="A1185" s="41" t="s">
        <v>6323</v>
      </c>
      <c r="B1185" s="2" t="s">
        <v>936</v>
      </c>
      <c r="C1185" s="2" t="s">
        <v>5043</v>
      </c>
      <c r="D1185" s="2" t="s">
        <v>8417</v>
      </c>
    </row>
    <row r="1186" spans="1:4" x14ac:dyDescent="0.2">
      <c r="A1186" s="41" t="s">
        <v>6324</v>
      </c>
      <c r="B1186" s="2" t="s">
        <v>937</v>
      </c>
      <c r="C1186" s="2" t="s">
        <v>5043</v>
      </c>
      <c r="D1186" s="2" t="s">
        <v>8417</v>
      </c>
    </row>
    <row r="1187" spans="1:4" x14ac:dyDescent="0.2">
      <c r="A1187" s="41" t="s">
        <v>6325</v>
      </c>
      <c r="B1187" s="2" t="s">
        <v>937</v>
      </c>
      <c r="C1187" s="2" t="s">
        <v>5043</v>
      </c>
      <c r="D1187" s="2" t="s">
        <v>8417</v>
      </c>
    </row>
    <row r="1188" spans="1:4" x14ac:dyDescent="0.2">
      <c r="A1188" s="41" t="s">
        <v>6326</v>
      </c>
      <c r="B1188" s="2" t="s">
        <v>938</v>
      </c>
      <c r="C1188" s="2" t="s">
        <v>5043</v>
      </c>
      <c r="D1188" s="2" t="s">
        <v>8417</v>
      </c>
    </row>
    <row r="1189" spans="1:4" x14ac:dyDescent="0.2">
      <c r="A1189" s="41" t="s">
        <v>6327</v>
      </c>
      <c r="B1189" s="2" t="s">
        <v>938</v>
      </c>
      <c r="C1189" s="2" t="s">
        <v>5043</v>
      </c>
      <c r="D1189" s="2" t="s">
        <v>8417</v>
      </c>
    </row>
    <row r="1190" spans="1:4" x14ac:dyDescent="0.2">
      <c r="A1190" s="41" t="s">
        <v>6328</v>
      </c>
      <c r="B1190" s="2" t="s">
        <v>938</v>
      </c>
      <c r="C1190" s="2" t="s">
        <v>5043</v>
      </c>
      <c r="D1190" s="2" t="s">
        <v>8417</v>
      </c>
    </row>
    <row r="1191" spans="1:4" x14ac:dyDescent="0.2">
      <c r="A1191" s="41" t="s">
        <v>6329</v>
      </c>
      <c r="B1191" s="2" t="s">
        <v>938</v>
      </c>
      <c r="C1191" s="2" t="s">
        <v>5043</v>
      </c>
      <c r="D1191" s="2" t="s">
        <v>8417</v>
      </c>
    </row>
    <row r="1192" spans="1:4" x14ac:dyDescent="0.2">
      <c r="A1192" s="41" t="s">
        <v>6330</v>
      </c>
      <c r="B1192" s="2" t="s">
        <v>938</v>
      </c>
      <c r="C1192" s="2" t="s">
        <v>5043</v>
      </c>
      <c r="D1192" s="2" t="s">
        <v>8417</v>
      </c>
    </row>
    <row r="1193" spans="1:4" x14ac:dyDescent="0.2">
      <c r="A1193" s="41" t="s">
        <v>6331</v>
      </c>
      <c r="B1193" s="2" t="s">
        <v>938</v>
      </c>
      <c r="C1193" s="2" t="s">
        <v>5043</v>
      </c>
      <c r="D1193" s="2" t="s">
        <v>8417</v>
      </c>
    </row>
    <row r="1194" spans="1:4" x14ac:dyDescent="0.2">
      <c r="A1194" s="41" t="s">
        <v>6332</v>
      </c>
      <c r="B1194" s="2" t="s">
        <v>938</v>
      </c>
      <c r="C1194" s="2" t="s">
        <v>5043</v>
      </c>
      <c r="D1194" s="2" t="s">
        <v>8417</v>
      </c>
    </row>
    <row r="1195" spans="1:4" x14ac:dyDescent="0.2">
      <c r="A1195" s="41" t="s">
        <v>6333</v>
      </c>
      <c r="B1195" s="2" t="s">
        <v>939</v>
      </c>
      <c r="C1195" s="2" t="s">
        <v>5043</v>
      </c>
      <c r="D1195" s="2" t="s">
        <v>8417</v>
      </c>
    </row>
    <row r="1196" spans="1:4" x14ac:dyDescent="0.2">
      <c r="A1196" s="41" t="s">
        <v>6334</v>
      </c>
      <c r="B1196" s="2" t="s">
        <v>939</v>
      </c>
      <c r="C1196" s="2" t="s">
        <v>5043</v>
      </c>
      <c r="D1196" s="2" t="s">
        <v>8417</v>
      </c>
    </row>
    <row r="1197" spans="1:4" x14ac:dyDescent="0.2">
      <c r="A1197" s="41" t="s">
        <v>3916</v>
      </c>
      <c r="B1197" s="2" t="s">
        <v>939</v>
      </c>
      <c r="C1197" s="2" t="s">
        <v>5043</v>
      </c>
      <c r="D1197" s="2" t="s">
        <v>8417</v>
      </c>
    </row>
    <row r="1198" spans="1:4" x14ac:dyDescent="0.2">
      <c r="A1198" s="41" t="s">
        <v>3917</v>
      </c>
      <c r="B1198" s="2" t="s">
        <v>940</v>
      </c>
      <c r="C1198" s="2" t="s">
        <v>5043</v>
      </c>
      <c r="D1198" s="2" t="s">
        <v>8417</v>
      </c>
    </row>
    <row r="1199" spans="1:4" x14ac:dyDescent="0.2">
      <c r="A1199" s="41" t="s">
        <v>6335</v>
      </c>
      <c r="B1199" s="2" t="s">
        <v>941</v>
      </c>
      <c r="C1199" s="2" t="s">
        <v>5043</v>
      </c>
      <c r="D1199" s="2" t="s">
        <v>8417</v>
      </c>
    </row>
    <row r="1200" spans="1:4" x14ac:dyDescent="0.2">
      <c r="A1200" s="41" t="s">
        <v>6336</v>
      </c>
      <c r="B1200" s="2" t="s">
        <v>941</v>
      </c>
      <c r="C1200" s="2" t="s">
        <v>5043</v>
      </c>
      <c r="D1200" s="2" t="s">
        <v>8417</v>
      </c>
    </row>
    <row r="1201" spans="1:4" x14ac:dyDescent="0.2">
      <c r="A1201" s="41" t="s">
        <v>6337</v>
      </c>
      <c r="B1201" s="2" t="s">
        <v>941</v>
      </c>
      <c r="C1201" s="2" t="s">
        <v>5043</v>
      </c>
      <c r="D1201" s="2" t="s">
        <v>8417</v>
      </c>
    </row>
    <row r="1202" spans="1:4" x14ac:dyDescent="0.2">
      <c r="A1202" s="41" t="s">
        <v>6338</v>
      </c>
      <c r="B1202" s="2" t="s">
        <v>328</v>
      </c>
      <c r="C1202" s="2" t="s">
        <v>5043</v>
      </c>
      <c r="D1202" s="2" t="s">
        <v>8418</v>
      </c>
    </row>
    <row r="1203" spans="1:4" x14ac:dyDescent="0.2">
      <c r="A1203" s="41" t="s">
        <v>6339</v>
      </c>
      <c r="B1203" s="2" t="s">
        <v>329</v>
      </c>
      <c r="C1203" s="2" t="s">
        <v>5043</v>
      </c>
      <c r="D1203" s="2" t="s">
        <v>8404</v>
      </c>
    </row>
    <row r="1204" spans="1:4" x14ac:dyDescent="0.2">
      <c r="A1204" s="41" t="s">
        <v>6340</v>
      </c>
      <c r="B1204" s="2" t="s">
        <v>329</v>
      </c>
      <c r="C1204" s="2" t="s">
        <v>5043</v>
      </c>
      <c r="D1204" s="2" t="s">
        <v>8404</v>
      </c>
    </row>
    <row r="1205" spans="1:4" x14ac:dyDescent="0.2">
      <c r="A1205" s="41" t="s">
        <v>6341</v>
      </c>
      <c r="B1205" s="2" t="s">
        <v>329</v>
      </c>
      <c r="C1205" s="2" t="s">
        <v>5043</v>
      </c>
      <c r="D1205" s="2" t="s">
        <v>8404</v>
      </c>
    </row>
    <row r="1206" spans="1:4" x14ac:dyDescent="0.2">
      <c r="A1206" s="41" t="s">
        <v>6342</v>
      </c>
      <c r="B1206" s="2" t="s">
        <v>329</v>
      </c>
      <c r="C1206" s="2" t="s">
        <v>5043</v>
      </c>
      <c r="D1206" s="2" t="s">
        <v>8404</v>
      </c>
    </row>
    <row r="1207" spans="1:4" x14ac:dyDescent="0.2">
      <c r="A1207" s="41" t="s">
        <v>6343</v>
      </c>
      <c r="B1207" s="2" t="s">
        <v>329</v>
      </c>
      <c r="C1207" s="2" t="s">
        <v>5043</v>
      </c>
      <c r="D1207" s="2" t="s">
        <v>8404</v>
      </c>
    </row>
    <row r="1208" spans="1:4" x14ac:dyDescent="0.2">
      <c r="A1208" s="41" t="s">
        <v>6344</v>
      </c>
      <c r="B1208" s="2" t="s">
        <v>329</v>
      </c>
      <c r="C1208" s="2" t="s">
        <v>5043</v>
      </c>
      <c r="D1208" s="2" t="s">
        <v>8404</v>
      </c>
    </row>
    <row r="1209" spans="1:4" x14ac:dyDescent="0.2">
      <c r="A1209" s="41" t="s">
        <v>6345</v>
      </c>
      <c r="B1209" s="2" t="s">
        <v>329</v>
      </c>
      <c r="C1209" s="2" t="s">
        <v>5043</v>
      </c>
      <c r="D1209" s="2" t="s">
        <v>8404</v>
      </c>
    </row>
    <row r="1210" spans="1:4" x14ac:dyDescent="0.2">
      <c r="A1210" s="41" t="s">
        <v>6346</v>
      </c>
      <c r="B1210" s="2" t="s">
        <v>329</v>
      </c>
      <c r="C1210" s="2" t="s">
        <v>5043</v>
      </c>
      <c r="D1210" s="2" t="s">
        <v>8404</v>
      </c>
    </row>
    <row r="1211" spans="1:4" x14ac:dyDescent="0.2">
      <c r="A1211" s="41" t="s">
        <v>6347</v>
      </c>
      <c r="B1211" s="2" t="s">
        <v>329</v>
      </c>
      <c r="C1211" s="2" t="s">
        <v>5043</v>
      </c>
      <c r="D1211" s="2" t="s">
        <v>8404</v>
      </c>
    </row>
    <row r="1212" spans="1:4" x14ac:dyDescent="0.2">
      <c r="A1212" s="41" t="s">
        <v>6348</v>
      </c>
      <c r="B1212" s="2" t="s">
        <v>329</v>
      </c>
      <c r="C1212" s="2" t="s">
        <v>5043</v>
      </c>
      <c r="D1212" s="2" t="s">
        <v>8404</v>
      </c>
    </row>
    <row r="1213" spans="1:4" x14ac:dyDescent="0.2">
      <c r="A1213" s="41" t="s">
        <v>6349</v>
      </c>
      <c r="B1213" s="2" t="s">
        <v>329</v>
      </c>
      <c r="C1213" s="2" t="s">
        <v>5043</v>
      </c>
      <c r="D1213" s="2" t="s">
        <v>8404</v>
      </c>
    </row>
    <row r="1214" spans="1:4" x14ac:dyDescent="0.2">
      <c r="A1214" s="41" t="s">
        <v>6350</v>
      </c>
      <c r="B1214" s="2" t="s">
        <v>329</v>
      </c>
      <c r="C1214" s="2" t="s">
        <v>5043</v>
      </c>
      <c r="D1214" s="2" t="s">
        <v>8404</v>
      </c>
    </row>
    <row r="1215" spans="1:4" x14ac:dyDescent="0.2">
      <c r="A1215" s="41" t="s">
        <v>6351</v>
      </c>
      <c r="B1215" s="2" t="s">
        <v>329</v>
      </c>
      <c r="C1215" s="2" t="s">
        <v>5043</v>
      </c>
      <c r="D1215" s="2" t="s">
        <v>8404</v>
      </c>
    </row>
    <row r="1216" spans="1:4" x14ac:dyDescent="0.2">
      <c r="A1216" s="41" t="s">
        <v>3222</v>
      </c>
      <c r="B1216" s="2" t="s">
        <v>329</v>
      </c>
      <c r="C1216" s="2" t="s">
        <v>5043</v>
      </c>
      <c r="D1216" s="2" t="s">
        <v>8404</v>
      </c>
    </row>
    <row r="1217" spans="1:4" x14ac:dyDescent="0.2">
      <c r="A1217" s="41" t="s">
        <v>3223</v>
      </c>
      <c r="B1217" s="2" t="s">
        <v>329</v>
      </c>
      <c r="C1217" s="2" t="s">
        <v>5043</v>
      </c>
      <c r="D1217" s="2" t="s">
        <v>8404</v>
      </c>
    </row>
    <row r="1218" spans="1:4" x14ac:dyDescent="0.2">
      <c r="A1218" s="41" t="s">
        <v>6352</v>
      </c>
      <c r="B1218" s="2" t="s">
        <v>329</v>
      </c>
      <c r="C1218" s="2" t="s">
        <v>5043</v>
      </c>
      <c r="D1218" s="2" t="s">
        <v>8404</v>
      </c>
    </row>
    <row r="1219" spans="1:4" x14ac:dyDescent="0.2">
      <c r="A1219" s="41" t="s">
        <v>3286</v>
      </c>
      <c r="B1219" s="2" t="s">
        <v>329</v>
      </c>
      <c r="C1219" s="2" t="s">
        <v>5043</v>
      </c>
      <c r="D1219" s="2" t="s">
        <v>8404</v>
      </c>
    </row>
    <row r="1220" spans="1:4" x14ac:dyDescent="0.2">
      <c r="A1220" s="41" t="s">
        <v>3287</v>
      </c>
      <c r="B1220" s="2" t="s">
        <v>329</v>
      </c>
      <c r="C1220" s="2" t="s">
        <v>5043</v>
      </c>
      <c r="D1220" s="2" t="s">
        <v>8404</v>
      </c>
    </row>
    <row r="1221" spans="1:4" x14ac:dyDescent="0.2">
      <c r="A1221" s="41" t="s">
        <v>6353</v>
      </c>
      <c r="B1221" s="2" t="s">
        <v>546</v>
      </c>
      <c r="C1221" s="2" t="s">
        <v>5043</v>
      </c>
      <c r="D1221" s="2" t="s">
        <v>8418</v>
      </c>
    </row>
    <row r="1222" spans="1:4" x14ac:dyDescent="0.2">
      <c r="A1222" s="41" t="s">
        <v>6354</v>
      </c>
      <c r="B1222" s="2" t="s">
        <v>547</v>
      </c>
      <c r="C1222" s="2" t="s">
        <v>5043</v>
      </c>
      <c r="D1222" s="2" t="s">
        <v>8404</v>
      </c>
    </row>
    <row r="1223" spans="1:4" x14ac:dyDescent="0.2">
      <c r="A1223" s="41" t="s">
        <v>8317</v>
      </c>
      <c r="B1223" s="2" t="s">
        <v>547</v>
      </c>
      <c r="C1223" s="2" t="s">
        <v>5043</v>
      </c>
      <c r="D1223" s="2" t="s">
        <v>8404</v>
      </c>
    </row>
    <row r="1224" spans="1:4" x14ac:dyDescent="0.2">
      <c r="A1224" s="41" t="s">
        <v>6355</v>
      </c>
      <c r="B1224" s="2" t="s">
        <v>474</v>
      </c>
      <c r="C1224" s="2" t="s">
        <v>5043</v>
      </c>
      <c r="D1224" s="2" t="s">
        <v>8404</v>
      </c>
    </row>
    <row r="1225" spans="1:4" x14ac:dyDescent="0.2">
      <c r="A1225" s="41" t="s">
        <v>6356</v>
      </c>
      <c r="B1225" s="2" t="s">
        <v>474</v>
      </c>
      <c r="C1225" s="2" t="s">
        <v>5043</v>
      </c>
      <c r="D1225" s="2" t="s">
        <v>8404</v>
      </c>
    </row>
    <row r="1226" spans="1:4" x14ac:dyDescent="0.2">
      <c r="A1226" s="41" t="s">
        <v>6357</v>
      </c>
      <c r="B1226" s="2" t="s">
        <v>548</v>
      </c>
      <c r="C1226" s="2" t="s">
        <v>5043</v>
      </c>
      <c r="D1226" s="2" t="s">
        <v>8404</v>
      </c>
    </row>
    <row r="1227" spans="1:4" x14ac:dyDescent="0.2">
      <c r="A1227" s="41" t="s">
        <v>2590</v>
      </c>
      <c r="B1227" s="2" t="s">
        <v>2591</v>
      </c>
      <c r="C1227" s="2" t="s">
        <v>5043</v>
      </c>
      <c r="D1227" s="2" t="s">
        <v>8404</v>
      </c>
    </row>
    <row r="1228" spans="1:4" x14ac:dyDescent="0.2">
      <c r="A1228" s="41" t="s">
        <v>2592</v>
      </c>
      <c r="B1228" s="2" t="s">
        <v>2591</v>
      </c>
      <c r="C1228" s="2" t="s">
        <v>5043</v>
      </c>
      <c r="D1228" s="2" t="s">
        <v>8404</v>
      </c>
    </row>
    <row r="1229" spans="1:4" x14ac:dyDescent="0.2">
      <c r="A1229" s="41" t="s">
        <v>2593</v>
      </c>
      <c r="B1229" s="2" t="s">
        <v>2591</v>
      </c>
      <c r="C1229" s="2" t="s">
        <v>5043</v>
      </c>
      <c r="D1229" s="2" t="s">
        <v>8404</v>
      </c>
    </row>
    <row r="1230" spans="1:4" x14ac:dyDescent="0.2">
      <c r="A1230" s="41" t="s">
        <v>2594</v>
      </c>
      <c r="B1230" s="2" t="s">
        <v>2591</v>
      </c>
      <c r="C1230" s="2" t="s">
        <v>5043</v>
      </c>
      <c r="D1230" s="2" t="s">
        <v>8404</v>
      </c>
    </row>
    <row r="1231" spans="1:4" x14ac:dyDescent="0.2">
      <c r="A1231" s="41" t="s">
        <v>2595</v>
      </c>
      <c r="B1231" s="2" t="s">
        <v>2591</v>
      </c>
      <c r="C1231" s="2" t="s">
        <v>5043</v>
      </c>
      <c r="D1231" s="2" t="s">
        <v>8404</v>
      </c>
    </row>
    <row r="1232" spans="1:4" x14ac:dyDescent="0.2">
      <c r="A1232" s="41" t="s">
        <v>2596</v>
      </c>
      <c r="B1232" s="2" t="s">
        <v>2591</v>
      </c>
      <c r="C1232" s="2" t="s">
        <v>5043</v>
      </c>
      <c r="D1232" s="2" t="s">
        <v>8404</v>
      </c>
    </row>
    <row r="1233" spans="1:4" x14ac:dyDescent="0.2">
      <c r="A1233" s="41" t="s">
        <v>2597</v>
      </c>
      <c r="B1233" s="2" t="s">
        <v>2591</v>
      </c>
      <c r="C1233" s="2" t="s">
        <v>5043</v>
      </c>
      <c r="D1233" s="2" t="s">
        <v>8404</v>
      </c>
    </row>
    <row r="1234" spans="1:4" x14ac:dyDescent="0.2">
      <c r="A1234" s="41" t="s">
        <v>2598</v>
      </c>
      <c r="B1234" s="2" t="s">
        <v>2591</v>
      </c>
      <c r="C1234" s="2" t="s">
        <v>5043</v>
      </c>
      <c r="D1234" s="2" t="s">
        <v>8404</v>
      </c>
    </row>
    <row r="1235" spans="1:4" x14ac:dyDescent="0.2">
      <c r="A1235" s="41" t="s">
        <v>2599</v>
      </c>
      <c r="B1235" s="2" t="s">
        <v>2591</v>
      </c>
      <c r="C1235" s="2" t="s">
        <v>5043</v>
      </c>
      <c r="D1235" s="2" t="s">
        <v>8404</v>
      </c>
    </row>
    <row r="1236" spans="1:4" x14ac:dyDescent="0.2">
      <c r="A1236" s="41" t="s">
        <v>2666</v>
      </c>
      <c r="B1236" s="2" t="s">
        <v>2591</v>
      </c>
      <c r="C1236" s="2" t="s">
        <v>5043</v>
      </c>
      <c r="D1236" s="2" t="s">
        <v>8404</v>
      </c>
    </row>
    <row r="1237" spans="1:4" x14ac:dyDescent="0.2">
      <c r="A1237" s="41" t="s">
        <v>2667</v>
      </c>
      <c r="B1237" s="2" t="s">
        <v>2591</v>
      </c>
      <c r="C1237" s="2" t="s">
        <v>5043</v>
      </c>
      <c r="D1237" s="2" t="s">
        <v>8404</v>
      </c>
    </row>
    <row r="1238" spans="1:4" x14ac:dyDescent="0.2">
      <c r="A1238" s="41" t="s">
        <v>2668</v>
      </c>
      <c r="B1238" s="2" t="s">
        <v>2591</v>
      </c>
      <c r="C1238" s="2" t="s">
        <v>5043</v>
      </c>
      <c r="D1238" s="2" t="s">
        <v>8404</v>
      </c>
    </row>
    <row r="1239" spans="1:4" x14ac:dyDescent="0.2">
      <c r="A1239" s="41" t="s">
        <v>6359</v>
      </c>
      <c r="B1239" s="2" t="s">
        <v>330</v>
      </c>
      <c r="C1239" s="2" t="s">
        <v>5043</v>
      </c>
      <c r="D1239" s="2" t="s">
        <v>8404</v>
      </c>
    </row>
    <row r="1240" spans="1:4" x14ac:dyDescent="0.2">
      <c r="A1240" s="41" t="s">
        <v>2600</v>
      </c>
      <c r="B1240" s="2" t="s">
        <v>2601</v>
      </c>
      <c r="C1240" s="2" t="s">
        <v>5043</v>
      </c>
      <c r="D1240" s="2" t="s">
        <v>8404</v>
      </c>
    </row>
    <row r="1241" spans="1:4" x14ac:dyDescent="0.2">
      <c r="A1241" s="41" t="s">
        <v>2602</v>
      </c>
      <c r="B1241" s="2" t="s">
        <v>2601</v>
      </c>
      <c r="C1241" s="2" t="s">
        <v>5043</v>
      </c>
      <c r="D1241" s="2" t="s">
        <v>8404</v>
      </c>
    </row>
    <row r="1242" spans="1:4" x14ac:dyDescent="0.2">
      <c r="A1242" s="41" t="s">
        <v>2603</v>
      </c>
      <c r="B1242" s="2" t="s">
        <v>2601</v>
      </c>
      <c r="C1242" s="2" t="s">
        <v>5043</v>
      </c>
      <c r="D1242" s="2" t="s">
        <v>8404</v>
      </c>
    </row>
    <row r="1243" spans="1:4" x14ac:dyDescent="0.2">
      <c r="A1243" s="41" t="s">
        <v>2604</v>
      </c>
      <c r="B1243" s="2" t="s">
        <v>2601</v>
      </c>
      <c r="C1243" s="2" t="s">
        <v>5043</v>
      </c>
      <c r="D1243" s="2" t="s">
        <v>8404</v>
      </c>
    </row>
    <row r="1244" spans="1:4" x14ac:dyDescent="0.2">
      <c r="A1244" s="41" t="s">
        <v>4473</v>
      </c>
      <c r="B1244" s="2" t="s">
        <v>942</v>
      </c>
      <c r="C1244" s="2" t="s">
        <v>5043</v>
      </c>
      <c r="D1244" s="2" t="s">
        <v>8404</v>
      </c>
    </row>
    <row r="1245" spans="1:4" x14ac:dyDescent="0.2">
      <c r="A1245" s="41" t="s">
        <v>4474</v>
      </c>
      <c r="B1245" s="2" t="s">
        <v>942</v>
      </c>
      <c r="C1245" s="2" t="s">
        <v>5043</v>
      </c>
      <c r="D1245" s="2" t="s">
        <v>8404</v>
      </c>
    </row>
    <row r="1246" spans="1:4" x14ac:dyDescent="0.2">
      <c r="A1246" s="41" t="s">
        <v>4475</v>
      </c>
      <c r="B1246" s="2" t="s">
        <v>942</v>
      </c>
      <c r="C1246" s="2" t="s">
        <v>5043</v>
      </c>
      <c r="D1246" s="2" t="s">
        <v>8404</v>
      </c>
    </row>
    <row r="1247" spans="1:4" x14ac:dyDescent="0.2">
      <c r="A1247" s="41" t="s">
        <v>4476</v>
      </c>
      <c r="B1247" s="2" t="s">
        <v>942</v>
      </c>
      <c r="C1247" s="2" t="s">
        <v>5043</v>
      </c>
      <c r="D1247" s="2" t="s">
        <v>8404</v>
      </c>
    </row>
    <row r="1248" spans="1:4" x14ac:dyDescent="0.2">
      <c r="A1248" s="41" t="s">
        <v>4477</v>
      </c>
      <c r="B1248" s="2" t="s">
        <v>331</v>
      </c>
      <c r="C1248" s="2" t="s">
        <v>5043</v>
      </c>
      <c r="D1248" s="2" t="s">
        <v>8404</v>
      </c>
    </row>
    <row r="1249" spans="1:4" x14ac:dyDescent="0.2">
      <c r="A1249" s="41" t="s">
        <v>2728</v>
      </c>
      <c r="B1249" s="2" t="s">
        <v>331</v>
      </c>
      <c r="C1249" s="2" t="s">
        <v>5043</v>
      </c>
      <c r="D1249" s="2" t="s">
        <v>8404</v>
      </c>
    </row>
    <row r="1250" spans="1:4" x14ac:dyDescent="0.2">
      <c r="A1250" s="41" t="s">
        <v>2729</v>
      </c>
      <c r="B1250" s="2" t="s">
        <v>331</v>
      </c>
      <c r="C1250" s="2" t="s">
        <v>5043</v>
      </c>
      <c r="D1250" s="2" t="s">
        <v>8404</v>
      </c>
    </row>
    <row r="1251" spans="1:4" x14ac:dyDescent="0.2">
      <c r="A1251" s="41" t="s">
        <v>6360</v>
      </c>
      <c r="B1251" s="2" t="s">
        <v>331</v>
      </c>
      <c r="C1251" s="2" t="s">
        <v>5043</v>
      </c>
      <c r="D1251" s="2" t="s">
        <v>8404</v>
      </c>
    </row>
    <row r="1252" spans="1:4" x14ac:dyDescent="0.2">
      <c r="A1252" s="41" t="s">
        <v>6361</v>
      </c>
      <c r="B1252" s="2" t="s">
        <v>332</v>
      </c>
      <c r="C1252" s="2" t="s">
        <v>5043</v>
      </c>
      <c r="D1252" s="2" t="s">
        <v>8404</v>
      </c>
    </row>
    <row r="1253" spans="1:4" x14ac:dyDescent="0.2">
      <c r="A1253" s="41" t="s">
        <v>2730</v>
      </c>
      <c r="B1253" s="2" t="s">
        <v>332</v>
      </c>
      <c r="C1253" s="2" t="s">
        <v>5043</v>
      </c>
      <c r="D1253" s="2" t="s">
        <v>8404</v>
      </c>
    </row>
    <row r="1254" spans="1:4" x14ac:dyDescent="0.2">
      <c r="A1254" s="41" t="s">
        <v>2731</v>
      </c>
      <c r="B1254" s="2" t="s">
        <v>332</v>
      </c>
      <c r="C1254" s="2" t="s">
        <v>5043</v>
      </c>
      <c r="D1254" s="2" t="s">
        <v>8404</v>
      </c>
    </row>
    <row r="1255" spans="1:4" x14ac:dyDescent="0.2">
      <c r="A1255" s="41" t="s">
        <v>6362</v>
      </c>
      <c r="B1255" s="2" t="s">
        <v>332</v>
      </c>
      <c r="C1255" s="2" t="s">
        <v>5043</v>
      </c>
      <c r="D1255" s="2" t="s">
        <v>8404</v>
      </c>
    </row>
    <row r="1256" spans="1:4" x14ac:dyDescent="0.2">
      <c r="A1256" s="41" t="s">
        <v>6363</v>
      </c>
      <c r="B1256" s="2" t="s">
        <v>332</v>
      </c>
      <c r="C1256" s="2" t="s">
        <v>5043</v>
      </c>
      <c r="D1256" s="2" t="s">
        <v>8404</v>
      </c>
    </row>
    <row r="1257" spans="1:4" x14ac:dyDescent="0.2">
      <c r="A1257" s="41" t="s">
        <v>6364</v>
      </c>
      <c r="B1257" s="2" t="s">
        <v>332</v>
      </c>
      <c r="C1257" s="2" t="s">
        <v>5043</v>
      </c>
      <c r="D1257" s="2" t="s">
        <v>8404</v>
      </c>
    </row>
    <row r="1258" spans="1:4" x14ac:dyDescent="0.2">
      <c r="A1258" s="41" t="s">
        <v>2631</v>
      </c>
      <c r="B1258" s="2" t="s">
        <v>332</v>
      </c>
      <c r="C1258" s="2" t="s">
        <v>5043</v>
      </c>
      <c r="D1258" s="2" t="s">
        <v>8404</v>
      </c>
    </row>
    <row r="1259" spans="1:4" x14ac:dyDescent="0.2">
      <c r="A1259" s="41" t="s">
        <v>2633</v>
      </c>
      <c r="B1259" s="2" t="s">
        <v>332</v>
      </c>
      <c r="C1259" s="2" t="s">
        <v>5043</v>
      </c>
      <c r="D1259" s="2" t="s">
        <v>8404</v>
      </c>
    </row>
    <row r="1260" spans="1:4" x14ac:dyDescent="0.2">
      <c r="A1260" s="41" t="s">
        <v>2634</v>
      </c>
      <c r="B1260" s="2" t="s">
        <v>332</v>
      </c>
      <c r="C1260" s="2" t="s">
        <v>5043</v>
      </c>
      <c r="D1260" s="2" t="s">
        <v>8404</v>
      </c>
    </row>
    <row r="1261" spans="1:4" x14ac:dyDescent="0.2">
      <c r="A1261" s="41" t="s">
        <v>2635</v>
      </c>
      <c r="B1261" s="2" t="s">
        <v>332</v>
      </c>
      <c r="C1261" s="2" t="s">
        <v>5043</v>
      </c>
      <c r="D1261" s="2" t="s">
        <v>8404</v>
      </c>
    </row>
    <row r="1262" spans="1:4" x14ac:dyDescent="0.2">
      <c r="A1262" s="41" t="s">
        <v>2636</v>
      </c>
      <c r="B1262" s="2" t="s">
        <v>332</v>
      </c>
      <c r="C1262" s="2" t="s">
        <v>5043</v>
      </c>
      <c r="D1262" s="2" t="s">
        <v>8404</v>
      </c>
    </row>
    <row r="1263" spans="1:4" x14ac:dyDescent="0.2">
      <c r="A1263" s="41" t="s">
        <v>2637</v>
      </c>
      <c r="B1263" s="2" t="s">
        <v>332</v>
      </c>
      <c r="C1263" s="2" t="s">
        <v>5043</v>
      </c>
      <c r="D1263" s="2" t="s">
        <v>8404</v>
      </c>
    </row>
    <row r="1264" spans="1:4" x14ac:dyDescent="0.2">
      <c r="A1264" s="41" t="s">
        <v>2638</v>
      </c>
      <c r="B1264" s="2" t="s">
        <v>332</v>
      </c>
      <c r="C1264" s="2" t="s">
        <v>5043</v>
      </c>
      <c r="D1264" s="2" t="s">
        <v>8404</v>
      </c>
    </row>
    <row r="1265" spans="1:4" x14ac:dyDescent="0.2">
      <c r="A1265" s="41" t="s">
        <v>6365</v>
      </c>
      <c r="B1265" s="2" t="s">
        <v>332</v>
      </c>
      <c r="C1265" s="2" t="s">
        <v>5043</v>
      </c>
      <c r="D1265" s="2" t="s">
        <v>8404</v>
      </c>
    </row>
    <row r="1266" spans="1:4" x14ac:dyDescent="0.2">
      <c r="A1266" s="41" t="s">
        <v>6366</v>
      </c>
      <c r="B1266" s="2" t="s">
        <v>332</v>
      </c>
      <c r="C1266" s="2" t="s">
        <v>5043</v>
      </c>
      <c r="D1266" s="2" t="s">
        <v>8404</v>
      </c>
    </row>
    <row r="1267" spans="1:4" x14ac:dyDescent="0.2">
      <c r="A1267" s="41" t="s">
        <v>2639</v>
      </c>
      <c r="B1267" s="2" t="s">
        <v>332</v>
      </c>
      <c r="C1267" s="2" t="s">
        <v>5043</v>
      </c>
      <c r="D1267" s="2" t="s">
        <v>8404</v>
      </c>
    </row>
    <row r="1268" spans="1:4" x14ac:dyDescent="0.2">
      <c r="A1268" s="41" t="s">
        <v>6367</v>
      </c>
      <c r="B1268" s="2" t="s">
        <v>332</v>
      </c>
      <c r="C1268" s="2" t="s">
        <v>5043</v>
      </c>
      <c r="D1268" s="2" t="s">
        <v>8404</v>
      </c>
    </row>
    <row r="1269" spans="1:4" x14ac:dyDescent="0.2">
      <c r="A1269" s="41" t="s">
        <v>6368</v>
      </c>
      <c r="B1269" s="2" t="s">
        <v>332</v>
      </c>
      <c r="C1269" s="2" t="s">
        <v>5043</v>
      </c>
      <c r="D1269" s="2" t="s">
        <v>8404</v>
      </c>
    </row>
    <row r="1270" spans="1:4" x14ac:dyDescent="0.2">
      <c r="A1270" s="41" t="s">
        <v>6369</v>
      </c>
      <c r="B1270" s="2" t="s">
        <v>332</v>
      </c>
      <c r="C1270" s="2" t="s">
        <v>5043</v>
      </c>
      <c r="D1270" s="2" t="s">
        <v>8404</v>
      </c>
    </row>
    <row r="1271" spans="1:4" x14ac:dyDescent="0.2">
      <c r="A1271" s="41" t="s">
        <v>6370</v>
      </c>
      <c r="B1271" s="2" t="s">
        <v>332</v>
      </c>
      <c r="C1271" s="2" t="s">
        <v>5043</v>
      </c>
      <c r="D1271" s="2" t="s">
        <v>8404</v>
      </c>
    </row>
    <row r="1272" spans="1:4" x14ac:dyDescent="0.2">
      <c r="A1272" s="41" t="s">
        <v>6371</v>
      </c>
      <c r="B1272" s="2" t="s">
        <v>332</v>
      </c>
      <c r="C1272" s="2" t="s">
        <v>5043</v>
      </c>
      <c r="D1272" s="2" t="s">
        <v>8404</v>
      </c>
    </row>
    <row r="1273" spans="1:4" x14ac:dyDescent="0.2">
      <c r="A1273" s="41" t="s">
        <v>6372</v>
      </c>
      <c r="B1273" s="2" t="s">
        <v>332</v>
      </c>
      <c r="C1273" s="2" t="s">
        <v>5043</v>
      </c>
      <c r="D1273" s="2" t="s">
        <v>8404</v>
      </c>
    </row>
    <row r="1274" spans="1:4" x14ac:dyDescent="0.2">
      <c r="A1274" s="41" t="s">
        <v>6373</v>
      </c>
      <c r="B1274" s="2" t="s">
        <v>332</v>
      </c>
      <c r="C1274" s="2" t="s">
        <v>5043</v>
      </c>
      <c r="D1274" s="2" t="s">
        <v>8404</v>
      </c>
    </row>
    <row r="1275" spans="1:4" x14ac:dyDescent="0.2">
      <c r="A1275" s="41" t="s">
        <v>6374</v>
      </c>
      <c r="B1275" s="2" t="s">
        <v>332</v>
      </c>
      <c r="C1275" s="2" t="s">
        <v>5043</v>
      </c>
      <c r="D1275" s="2" t="s">
        <v>8404</v>
      </c>
    </row>
    <row r="1276" spans="1:4" x14ac:dyDescent="0.2">
      <c r="A1276" s="41" t="s">
        <v>6375</v>
      </c>
      <c r="B1276" s="2" t="s">
        <v>332</v>
      </c>
      <c r="C1276" s="2" t="s">
        <v>5043</v>
      </c>
      <c r="D1276" s="2" t="s">
        <v>8404</v>
      </c>
    </row>
    <row r="1277" spans="1:4" x14ac:dyDescent="0.2">
      <c r="A1277" s="41" t="s">
        <v>6376</v>
      </c>
      <c r="B1277" s="2" t="s">
        <v>332</v>
      </c>
      <c r="C1277" s="2" t="s">
        <v>5043</v>
      </c>
      <c r="D1277" s="2" t="s">
        <v>8404</v>
      </c>
    </row>
    <row r="1278" spans="1:4" x14ac:dyDescent="0.2">
      <c r="A1278" s="41" t="s">
        <v>6377</v>
      </c>
      <c r="B1278" s="2" t="s">
        <v>332</v>
      </c>
      <c r="C1278" s="2" t="s">
        <v>5043</v>
      </c>
      <c r="D1278" s="2" t="s">
        <v>8404</v>
      </c>
    </row>
    <row r="1279" spans="1:4" x14ac:dyDescent="0.2">
      <c r="A1279" s="41" t="s">
        <v>6378</v>
      </c>
      <c r="B1279" s="2" t="s">
        <v>332</v>
      </c>
      <c r="C1279" s="2" t="s">
        <v>5043</v>
      </c>
      <c r="D1279" s="2" t="s">
        <v>8404</v>
      </c>
    </row>
    <row r="1280" spans="1:4" x14ac:dyDescent="0.2">
      <c r="A1280" s="41" t="s">
        <v>2650</v>
      </c>
      <c r="B1280" s="2" t="s">
        <v>332</v>
      </c>
      <c r="C1280" s="2" t="s">
        <v>5043</v>
      </c>
      <c r="D1280" s="2" t="s">
        <v>8404</v>
      </c>
    </row>
    <row r="1281" spans="1:4" x14ac:dyDescent="0.2">
      <c r="A1281" s="41" t="s">
        <v>6379</v>
      </c>
      <c r="B1281" s="2" t="s">
        <v>332</v>
      </c>
      <c r="C1281" s="2" t="s">
        <v>5043</v>
      </c>
      <c r="D1281" s="2" t="s">
        <v>8404</v>
      </c>
    </row>
    <row r="1282" spans="1:4" x14ac:dyDescent="0.2">
      <c r="A1282" s="41" t="s">
        <v>6380</v>
      </c>
      <c r="B1282" s="2" t="s">
        <v>332</v>
      </c>
      <c r="C1282" s="2" t="s">
        <v>5043</v>
      </c>
      <c r="D1282" s="2" t="s">
        <v>8404</v>
      </c>
    </row>
    <row r="1283" spans="1:4" x14ac:dyDescent="0.2">
      <c r="A1283" s="41" t="s">
        <v>6381</v>
      </c>
      <c r="B1283" s="2" t="s">
        <v>332</v>
      </c>
      <c r="C1283" s="2" t="s">
        <v>5043</v>
      </c>
      <c r="D1283" s="2" t="s">
        <v>8404</v>
      </c>
    </row>
    <row r="1284" spans="1:4" x14ac:dyDescent="0.2">
      <c r="A1284" s="41" t="s">
        <v>6382</v>
      </c>
      <c r="B1284" s="2" t="s">
        <v>332</v>
      </c>
      <c r="C1284" s="2" t="s">
        <v>5043</v>
      </c>
      <c r="D1284" s="2" t="s">
        <v>8404</v>
      </c>
    </row>
    <row r="1285" spans="1:4" x14ac:dyDescent="0.2">
      <c r="A1285" s="41" t="s">
        <v>6383</v>
      </c>
      <c r="B1285" s="2" t="s">
        <v>332</v>
      </c>
      <c r="C1285" s="2" t="s">
        <v>5043</v>
      </c>
      <c r="D1285" s="2" t="s">
        <v>8404</v>
      </c>
    </row>
    <row r="1286" spans="1:4" x14ac:dyDescent="0.2">
      <c r="A1286" s="41" t="s">
        <v>6384</v>
      </c>
      <c r="B1286" s="2" t="s">
        <v>332</v>
      </c>
      <c r="C1286" s="2" t="s">
        <v>5043</v>
      </c>
      <c r="D1286" s="2" t="s">
        <v>8404</v>
      </c>
    </row>
    <row r="1287" spans="1:4" x14ac:dyDescent="0.2">
      <c r="A1287" s="41" t="s">
        <v>6385</v>
      </c>
      <c r="B1287" s="2" t="s">
        <v>943</v>
      </c>
      <c r="C1287" s="2" t="s">
        <v>5043</v>
      </c>
      <c r="D1287" s="2" t="s">
        <v>8404</v>
      </c>
    </row>
    <row r="1288" spans="1:4" x14ac:dyDescent="0.2">
      <c r="A1288" s="41" t="s">
        <v>2649</v>
      </c>
      <c r="B1288" s="2" t="s">
        <v>943</v>
      </c>
      <c r="C1288" s="2" t="s">
        <v>5043</v>
      </c>
      <c r="D1288" s="2" t="s">
        <v>8404</v>
      </c>
    </row>
    <row r="1289" spans="1:4" x14ac:dyDescent="0.2">
      <c r="A1289" s="41" t="s">
        <v>6386</v>
      </c>
      <c r="B1289" s="2" t="s">
        <v>943</v>
      </c>
      <c r="C1289" s="2" t="s">
        <v>5043</v>
      </c>
      <c r="D1289" s="2" t="s">
        <v>8404</v>
      </c>
    </row>
    <row r="1290" spans="1:4" x14ac:dyDescent="0.2">
      <c r="A1290" s="41" t="s">
        <v>2784</v>
      </c>
      <c r="B1290" s="2" t="s">
        <v>943</v>
      </c>
      <c r="C1290" s="2" t="s">
        <v>5043</v>
      </c>
      <c r="D1290" s="2" t="s">
        <v>8404</v>
      </c>
    </row>
    <row r="1291" spans="1:4" x14ac:dyDescent="0.2">
      <c r="A1291" s="41" t="s">
        <v>2785</v>
      </c>
      <c r="B1291" s="2" t="s">
        <v>943</v>
      </c>
      <c r="C1291" s="2" t="s">
        <v>5043</v>
      </c>
      <c r="D1291" s="2" t="s">
        <v>8404</v>
      </c>
    </row>
    <row r="1292" spans="1:4" x14ac:dyDescent="0.2">
      <c r="A1292" s="41" t="s">
        <v>6387</v>
      </c>
      <c r="B1292" s="2" t="s">
        <v>943</v>
      </c>
      <c r="C1292" s="2" t="s">
        <v>5043</v>
      </c>
      <c r="D1292" s="2" t="s">
        <v>8404</v>
      </c>
    </row>
    <row r="1293" spans="1:4" x14ac:dyDescent="0.2">
      <c r="A1293" s="41" t="s">
        <v>6389</v>
      </c>
      <c r="B1293" s="2" t="s">
        <v>6388</v>
      </c>
      <c r="C1293" s="2" t="s">
        <v>5043</v>
      </c>
      <c r="D1293" s="2" t="s">
        <v>8401</v>
      </c>
    </row>
    <row r="1294" spans="1:4" x14ac:dyDescent="0.2">
      <c r="A1294" s="41" t="s">
        <v>6390</v>
      </c>
      <c r="B1294" s="2" t="s">
        <v>6388</v>
      </c>
      <c r="C1294" s="2" t="s">
        <v>5043</v>
      </c>
      <c r="D1294" s="2" t="s">
        <v>8401</v>
      </c>
    </row>
    <row r="1295" spans="1:4" x14ac:dyDescent="0.2">
      <c r="A1295" s="41" t="s">
        <v>8318</v>
      </c>
      <c r="B1295" s="2" t="s">
        <v>6388</v>
      </c>
      <c r="C1295" s="2" t="s">
        <v>5043</v>
      </c>
      <c r="D1295" s="2" t="s">
        <v>8401</v>
      </c>
    </row>
    <row r="1296" spans="1:4" x14ac:dyDescent="0.2">
      <c r="A1296" s="41" t="s">
        <v>8319</v>
      </c>
      <c r="B1296" s="2" t="s">
        <v>6388</v>
      </c>
      <c r="C1296" s="2" t="s">
        <v>5043</v>
      </c>
      <c r="D1296" s="2" t="s">
        <v>8401</v>
      </c>
    </row>
    <row r="1297" spans="1:4" x14ac:dyDescent="0.2">
      <c r="A1297" s="41" t="s">
        <v>6391</v>
      </c>
      <c r="B1297" s="2" t="s">
        <v>944</v>
      </c>
      <c r="C1297" s="2" t="s">
        <v>5043</v>
      </c>
      <c r="D1297" s="2" t="s">
        <v>8404</v>
      </c>
    </row>
    <row r="1298" spans="1:4" x14ac:dyDescent="0.2">
      <c r="A1298" s="41" t="s">
        <v>6392</v>
      </c>
      <c r="B1298" s="2" t="s">
        <v>944</v>
      </c>
      <c r="C1298" s="2" t="s">
        <v>5043</v>
      </c>
      <c r="D1298" s="2" t="s">
        <v>8404</v>
      </c>
    </row>
    <row r="1299" spans="1:4" x14ac:dyDescent="0.2">
      <c r="A1299" s="41" t="s">
        <v>6393</v>
      </c>
      <c r="B1299" s="2" t="s">
        <v>944</v>
      </c>
      <c r="C1299" s="2" t="s">
        <v>5043</v>
      </c>
      <c r="D1299" s="2" t="s">
        <v>8404</v>
      </c>
    </row>
    <row r="1300" spans="1:4" x14ac:dyDescent="0.2">
      <c r="A1300" s="41" t="s">
        <v>6394</v>
      </c>
      <c r="B1300" s="2" t="s">
        <v>944</v>
      </c>
      <c r="C1300" s="2" t="s">
        <v>5043</v>
      </c>
      <c r="D1300" s="2" t="s">
        <v>8404</v>
      </c>
    </row>
    <row r="1301" spans="1:4" x14ac:dyDescent="0.2">
      <c r="A1301" s="41" t="s">
        <v>6395</v>
      </c>
      <c r="B1301" s="2" t="s">
        <v>944</v>
      </c>
      <c r="C1301" s="2" t="s">
        <v>5043</v>
      </c>
      <c r="D1301" s="2" t="s">
        <v>8404</v>
      </c>
    </row>
    <row r="1302" spans="1:4" x14ac:dyDescent="0.2">
      <c r="A1302" s="41" t="s">
        <v>6396</v>
      </c>
      <c r="B1302" s="2" t="s">
        <v>944</v>
      </c>
      <c r="C1302" s="2" t="s">
        <v>5043</v>
      </c>
      <c r="D1302" s="2" t="s">
        <v>8404</v>
      </c>
    </row>
    <row r="1303" spans="1:4" x14ac:dyDescent="0.2">
      <c r="A1303" s="41" t="s">
        <v>6397</v>
      </c>
      <c r="B1303" s="2" t="s">
        <v>944</v>
      </c>
      <c r="C1303" s="2" t="s">
        <v>5043</v>
      </c>
      <c r="D1303" s="2" t="s">
        <v>8404</v>
      </c>
    </row>
    <row r="1304" spans="1:4" x14ac:dyDescent="0.2">
      <c r="A1304" s="41" t="s">
        <v>6398</v>
      </c>
      <c r="B1304" s="2" t="s">
        <v>944</v>
      </c>
      <c r="C1304" s="2" t="s">
        <v>5043</v>
      </c>
      <c r="D1304" s="2" t="s">
        <v>8404</v>
      </c>
    </row>
    <row r="1305" spans="1:4" x14ac:dyDescent="0.2">
      <c r="A1305" s="41" t="s">
        <v>6399</v>
      </c>
      <c r="B1305" s="2" t="s">
        <v>944</v>
      </c>
      <c r="C1305" s="2" t="s">
        <v>5043</v>
      </c>
      <c r="D1305" s="2" t="s">
        <v>8404</v>
      </c>
    </row>
    <row r="1306" spans="1:4" x14ac:dyDescent="0.2">
      <c r="A1306" s="41" t="s">
        <v>6400</v>
      </c>
      <c r="B1306" s="2" t="s">
        <v>944</v>
      </c>
      <c r="C1306" s="2" t="s">
        <v>5043</v>
      </c>
      <c r="D1306" s="2" t="s">
        <v>8404</v>
      </c>
    </row>
    <row r="1307" spans="1:4" x14ac:dyDescent="0.2">
      <c r="A1307" s="41" t="s">
        <v>6401</v>
      </c>
      <c r="B1307" s="2" t="s">
        <v>944</v>
      </c>
      <c r="C1307" s="2" t="s">
        <v>5043</v>
      </c>
      <c r="D1307" s="2" t="s">
        <v>8404</v>
      </c>
    </row>
    <row r="1308" spans="1:4" x14ac:dyDescent="0.2">
      <c r="A1308" s="41" t="s">
        <v>6402</v>
      </c>
      <c r="B1308" s="2" t="s">
        <v>944</v>
      </c>
      <c r="C1308" s="2" t="s">
        <v>5043</v>
      </c>
      <c r="D1308" s="2" t="s">
        <v>8404</v>
      </c>
    </row>
    <row r="1309" spans="1:4" x14ac:dyDescent="0.2">
      <c r="A1309" s="41" t="s">
        <v>6403</v>
      </c>
      <c r="B1309" s="2" t="s">
        <v>944</v>
      </c>
      <c r="C1309" s="2" t="s">
        <v>5043</v>
      </c>
      <c r="D1309" s="2" t="s">
        <v>8404</v>
      </c>
    </row>
    <row r="1310" spans="1:4" x14ac:dyDescent="0.2">
      <c r="A1310" s="41" t="s">
        <v>6404</v>
      </c>
      <c r="B1310" s="2" t="s">
        <v>944</v>
      </c>
      <c r="C1310" s="2" t="s">
        <v>5043</v>
      </c>
      <c r="D1310" s="2" t="s">
        <v>8404</v>
      </c>
    </row>
    <row r="1311" spans="1:4" x14ac:dyDescent="0.2">
      <c r="A1311" s="41" t="s">
        <v>3039</v>
      </c>
      <c r="B1311" s="2" t="s">
        <v>944</v>
      </c>
      <c r="C1311" s="2" t="s">
        <v>5043</v>
      </c>
      <c r="D1311" s="2" t="s">
        <v>8404</v>
      </c>
    </row>
    <row r="1312" spans="1:4" x14ac:dyDescent="0.2">
      <c r="A1312" s="41" t="s">
        <v>6405</v>
      </c>
      <c r="B1312" s="2" t="s">
        <v>944</v>
      </c>
      <c r="C1312" s="2" t="s">
        <v>5043</v>
      </c>
      <c r="D1312" s="2" t="s">
        <v>8404</v>
      </c>
    </row>
    <row r="1313" spans="1:4" x14ac:dyDescent="0.2">
      <c r="A1313" s="41" t="s">
        <v>6406</v>
      </c>
      <c r="B1313" s="2" t="s">
        <v>944</v>
      </c>
      <c r="C1313" s="2" t="s">
        <v>5043</v>
      </c>
      <c r="D1313" s="2" t="s">
        <v>8404</v>
      </c>
    </row>
    <row r="1314" spans="1:4" x14ac:dyDescent="0.2">
      <c r="A1314" s="41" t="s">
        <v>6407</v>
      </c>
      <c r="B1314" s="2" t="s">
        <v>944</v>
      </c>
      <c r="C1314" s="2" t="s">
        <v>5043</v>
      </c>
      <c r="D1314" s="2" t="s">
        <v>8404</v>
      </c>
    </row>
    <row r="1315" spans="1:4" x14ac:dyDescent="0.2">
      <c r="A1315" s="41" t="s">
        <v>6408</v>
      </c>
      <c r="B1315" s="2" t="s">
        <v>944</v>
      </c>
      <c r="C1315" s="2" t="s">
        <v>5043</v>
      </c>
      <c r="D1315" s="2" t="s">
        <v>8404</v>
      </c>
    </row>
    <row r="1316" spans="1:4" x14ac:dyDescent="0.2">
      <c r="A1316" s="41" t="s">
        <v>6409</v>
      </c>
      <c r="B1316" s="2" t="s">
        <v>944</v>
      </c>
      <c r="C1316" s="2" t="s">
        <v>5043</v>
      </c>
      <c r="D1316" s="2" t="s">
        <v>8404</v>
      </c>
    </row>
    <row r="1317" spans="1:4" x14ac:dyDescent="0.2">
      <c r="A1317" s="41" t="s">
        <v>6410</v>
      </c>
      <c r="B1317" s="2" t="s">
        <v>944</v>
      </c>
      <c r="C1317" s="2" t="s">
        <v>5043</v>
      </c>
      <c r="D1317" s="2" t="s">
        <v>8404</v>
      </c>
    </row>
    <row r="1318" spans="1:4" x14ac:dyDescent="0.2">
      <c r="A1318" s="41" t="s">
        <v>6411</v>
      </c>
      <c r="B1318" s="2" t="s">
        <v>944</v>
      </c>
      <c r="C1318" s="2" t="s">
        <v>5043</v>
      </c>
      <c r="D1318" s="2" t="s">
        <v>8404</v>
      </c>
    </row>
    <row r="1319" spans="1:4" x14ac:dyDescent="0.2">
      <c r="A1319" s="41" t="s">
        <v>6412</v>
      </c>
      <c r="B1319" s="2" t="s">
        <v>333</v>
      </c>
      <c r="C1319" s="2" t="s">
        <v>5043</v>
      </c>
      <c r="D1319" s="2" t="s">
        <v>8408</v>
      </c>
    </row>
    <row r="1320" spans="1:4" x14ac:dyDescent="0.2">
      <c r="A1320" s="41" t="s">
        <v>6413</v>
      </c>
      <c r="B1320" s="2" t="s">
        <v>334</v>
      </c>
      <c r="C1320" s="2" t="s">
        <v>5043</v>
      </c>
      <c r="D1320" s="2" t="s">
        <v>8404</v>
      </c>
    </row>
    <row r="1321" spans="1:4" x14ac:dyDescent="0.2">
      <c r="A1321" s="41" t="s">
        <v>5513</v>
      </c>
      <c r="B1321" s="2" t="s">
        <v>335</v>
      </c>
      <c r="C1321" s="2" t="s">
        <v>5043</v>
      </c>
      <c r="D1321" s="2" t="s">
        <v>8408</v>
      </c>
    </row>
    <row r="1322" spans="1:4" x14ac:dyDescent="0.2">
      <c r="A1322" s="41" t="s">
        <v>6414</v>
      </c>
      <c r="B1322" s="2" t="s">
        <v>336</v>
      </c>
      <c r="C1322" s="2" t="s">
        <v>5043</v>
      </c>
      <c r="D1322" s="2" t="s">
        <v>8408</v>
      </c>
    </row>
    <row r="1323" spans="1:4" x14ac:dyDescent="0.2">
      <c r="A1323" s="41" t="s">
        <v>3323</v>
      </c>
      <c r="B1323" s="2" t="s">
        <v>945</v>
      </c>
      <c r="C1323" s="2" t="s">
        <v>5043</v>
      </c>
      <c r="D1323" s="2" t="s">
        <v>8404</v>
      </c>
    </row>
    <row r="1324" spans="1:4" x14ac:dyDescent="0.2">
      <c r="A1324" s="41" t="s">
        <v>3324</v>
      </c>
      <c r="B1324" s="2" t="s">
        <v>945</v>
      </c>
      <c r="C1324" s="2" t="s">
        <v>5043</v>
      </c>
      <c r="D1324" s="2" t="s">
        <v>8404</v>
      </c>
    </row>
    <row r="1325" spans="1:4" x14ac:dyDescent="0.2">
      <c r="A1325" s="41" t="s">
        <v>3326</v>
      </c>
      <c r="B1325" s="2" t="s">
        <v>945</v>
      </c>
      <c r="C1325" s="2" t="s">
        <v>5043</v>
      </c>
      <c r="D1325" s="2" t="s">
        <v>8404</v>
      </c>
    </row>
    <row r="1326" spans="1:4" x14ac:dyDescent="0.2">
      <c r="A1326" s="41" t="s">
        <v>3327</v>
      </c>
      <c r="B1326" s="2" t="s">
        <v>945</v>
      </c>
      <c r="C1326" s="2" t="s">
        <v>5043</v>
      </c>
      <c r="D1326" s="2" t="s">
        <v>8404</v>
      </c>
    </row>
    <row r="1327" spans="1:4" x14ac:dyDescent="0.2">
      <c r="A1327" s="41" t="s">
        <v>3344</v>
      </c>
      <c r="B1327" s="2" t="s">
        <v>946</v>
      </c>
      <c r="C1327" s="2" t="s">
        <v>5043</v>
      </c>
      <c r="D1327" s="2" t="s">
        <v>8404</v>
      </c>
    </row>
    <row r="1328" spans="1:4" x14ac:dyDescent="0.2">
      <c r="A1328" s="41" t="s">
        <v>4517</v>
      </c>
      <c r="B1328" s="2" t="s">
        <v>947</v>
      </c>
      <c r="C1328" s="2" t="s">
        <v>5043</v>
      </c>
      <c r="D1328" s="2" t="s">
        <v>8404</v>
      </c>
    </row>
    <row r="1329" spans="1:4" x14ac:dyDescent="0.2">
      <c r="A1329" s="41" t="s">
        <v>4518</v>
      </c>
      <c r="B1329" s="2" t="s">
        <v>947</v>
      </c>
      <c r="C1329" s="2" t="s">
        <v>5043</v>
      </c>
      <c r="D1329" s="2" t="s">
        <v>8404</v>
      </c>
    </row>
    <row r="1330" spans="1:4" x14ac:dyDescent="0.2">
      <c r="A1330" s="41" t="s">
        <v>6415</v>
      </c>
      <c r="B1330" s="2" t="s">
        <v>6416</v>
      </c>
      <c r="C1330" s="2" t="s">
        <v>5043</v>
      </c>
      <c r="D1330" s="2" t="s">
        <v>8401</v>
      </c>
    </row>
    <row r="1331" spans="1:4" x14ac:dyDescent="0.2">
      <c r="A1331" s="41" t="s">
        <v>8320</v>
      </c>
      <c r="B1331" s="2" t="s">
        <v>337</v>
      </c>
      <c r="C1331" s="2" t="s">
        <v>5043</v>
      </c>
      <c r="D1331" s="2" t="s">
        <v>8404</v>
      </c>
    </row>
    <row r="1332" spans="1:4" x14ac:dyDescent="0.2">
      <c r="A1332" s="41" t="s">
        <v>6417</v>
      </c>
      <c r="B1332" s="2" t="s">
        <v>948</v>
      </c>
      <c r="C1332" s="2" t="s">
        <v>5043</v>
      </c>
      <c r="D1332" s="2" t="s">
        <v>8404</v>
      </c>
    </row>
    <row r="1333" spans="1:4" x14ac:dyDescent="0.2">
      <c r="A1333" s="41" t="s">
        <v>6418</v>
      </c>
      <c r="B1333" s="2" t="s">
        <v>948</v>
      </c>
      <c r="C1333" s="2" t="s">
        <v>5043</v>
      </c>
      <c r="D1333" s="2" t="s">
        <v>8404</v>
      </c>
    </row>
    <row r="1334" spans="1:4" x14ac:dyDescent="0.2">
      <c r="A1334" s="41" t="s">
        <v>3050</v>
      </c>
      <c r="B1334" s="2" t="s">
        <v>948</v>
      </c>
      <c r="C1334" s="2" t="s">
        <v>5043</v>
      </c>
      <c r="D1334" s="2" t="s">
        <v>8404</v>
      </c>
    </row>
    <row r="1335" spans="1:4" x14ac:dyDescent="0.2">
      <c r="A1335" s="41" t="s">
        <v>6419</v>
      </c>
      <c r="B1335" s="2" t="s">
        <v>948</v>
      </c>
      <c r="C1335" s="2" t="s">
        <v>5043</v>
      </c>
      <c r="D1335" s="2" t="s">
        <v>8404</v>
      </c>
    </row>
    <row r="1336" spans="1:4" x14ac:dyDescent="0.2">
      <c r="A1336" s="41" t="s">
        <v>6420</v>
      </c>
      <c r="B1336" s="2" t="s">
        <v>236</v>
      </c>
      <c r="C1336" s="2" t="s">
        <v>5043</v>
      </c>
      <c r="D1336" s="2" t="s">
        <v>8404</v>
      </c>
    </row>
    <row r="1337" spans="1:4" x14ac:dyDescent="0.2">
      <c r="A1337" s="41" t="s">
        <v>6421</v>
      </c>
      <c r="B1337" s="2" t="s">
        <v>236</v>
      </c>
      <c r="C1337" s="2" t="s">
        <v>5043</v>
      </c>
      <c r="D1337" s="2" t="s">
        <v>8404</v>
      </c>
    </row>
    <row r="1338" spans="1:4" x14ac:dyDescent="0.2">
      <c r="A1338" s="41" t="s">
        <v>6422</v>
      </c>
      <c r="B1338" s="2" t="s">
        <v>236</v>
      </c>
      <c r="C1338" s="2" t="s">
        <v>5043</v>
      </c>
      <c r="D1338" s="2" t="s">
        <v>8404</v>
      </c>
    </row>
    <row r="1339" spans="1:4" x14ac:dyDescent="0.2">
      <c r="A1339" s="41" t="s">
        <v>3681</v>
      </c>
      <c r="B1339" s="2" t="s">
        <v>236</v>
      </c>
      <c r="C1339" s="2" t="s">
        <v>5043</v>
      </c>
      <c r="D1339" s="2" t="s">
        <v>8404</v>
      </c>
    </row>
    <row r="1340" spans="1:4" x14ac:dyDescent="0.2">
      <c r="A1340" s="41" t="s">
        <v>3682</v>
      </c>
      <c r="B1340" s="2" t="s">
        <v>236</v>
      </c>
      <c r="C1340" s="2" t="s">
        <v>5043</v>
      </c>
      <c r="D1340" s="2" t="s">
        <v>8404</v>
      </c>
    </row>
    <row r="1341" spans="1:4" x14ac:dyDescent="0.2">
      <c r="A1341" s="41" t="s">
        <v>3683</v>
      </c>
      <c r="B1341" s="2" t="s">
        <v>236</v>
      </c>
      <c r="C1341" s="2" t="s">
        <v>5043</v>
      </c>
      <c r="D1341" s="2" t="s">
        <v>8404</v>
      </c>
    </row>
    <row r="1342" spans="1:4" x14ac:dyDescent="0.2">
      <c r="A1342" s="41" t="s">
        <v>3684</v>
      </c>
      <c r="B1342" s="2" t="s">
        <v>236</v>
      </c>
      <c r="C1342" s="2" t="s">
        <v>5043</v>
      </c>
      <c r="D1342" s="2" t="s">
        <v>8404</v>
      </c>
    </row>
    <row r="1343" spans="1:4" x14ac:dyDescent="0.2">
      <c r="A1343" s="41" t="s">
        <v>3685</v>
      </c>
      <c r="B1343" s="2" t="s">
        <v>236</v>
      </c>
      <c r="C1343" s="2" t="s">
        <v>5043</v>
      </c>
      <c r="D1343" s="2" t="s">
        <v>8404</v>
      </c>
    </row>
    <row r="1344" spans="1:4" x14ac:dyDescent="0.2">
      <c r="A1344" s="41" t="s">
        <v>6423</v>
      </c>
      <c r="B1344" s="2" t="s">
        <v>236</v>
      </c>
      <c r="C1344" s="2" t="s">
        <v>5043</v>
      </c>
      <c r="D1344" s="2" t="s">
        <v>8404</v>
      </c>
    </row>
    <row r="1345" spans="1:4" x14ac:dyDescent="0.2">
      <c r="A1345" s="41" t="s">
        <v>6424</v>
      </c>
      <c r="B1345" s="2" t="s">
        <v>236</v>
      </c>
      <c r="C1345" s="2" t="s">
        <v>5043</v>
      </c>
      <c r="D1345" s="2" t="s">
        <v>8404</v>
      </c>
    </row>
    <row r="1346" spans="1:4" x14ac:dyDescent="0.2">
      <c r="A1346" s="41" t="s">
        <v>6425</v>
      </c>
      <c r="B1346" s="2" t="s">
        <v>236</v>
      </c>
      <c r="C1346" s="2" t="s">
        <v>5043</v>
      </c>
      <c r="D1346" s="2" t="s">
        <v>8404</v>
      </c>
    </row>
    <row r="1347" spans="1:4" x14ac:dyDescent="0.2">
      <c r="A1347" s="41" t="s">
        <v>6426</v>
      </c>
      <c r="B1347" s="2" t="s">
        <v>236</v>
      </c>
      <c r="C1347" s="2" t="s">
        <v>5043</v>
      </c>
      <c r="D1347" s="2" t="s">
        <v>8404</v>
      </c>
    </row>
    <row r="1348" spans="1:4" x14ac:dyDescent="0.2">
      <c r="A1348" s="41" t="s">
        <v>6427</v>
      </c>
      <c r="B1348" s="2" t="s">
        <v>236</v>
      </c>
      <c r="C1348" s="2" t="s">
        <v>5043</v>
      </c>
      <c r="D1348" s="2" t="s">
        <v>8404</v>
      </c>
    </row>
    <row r="1349" spans="1:4" x14ac:dyDescent="0.2">
      <c r="A1349" s="41" t="s">
        <v>6428</v>
      </c>
      <c r="B1349" s="2" t="s">
        <v>236</v>
      </c>
      <c r="C1349" s="2" t="s">
        <v>5043</v>
      </c>
      <c r="D1349" s="2" t="s">
        <v>8404</v>
      </c>
    </row>
    <row r="1350" spans="1:4" x14ac:dyDescent="0.2">
      <c r="A1350" s="41" t="s">
        <v>6429</v>
      </c>
      <c r="B1350" s="2" t="s">
        <v>236</v>
      </c>
      <c r="C1350" s="2" t="s">
        <v>5043</v>
      </c>
      <c r="D1350" s="2" t="s">
        <v>8404</v>
      </c>
    </row>
    <row r="1351" spans="1:4" x14ac:dyDescent="0.2">
      <c r="A1351" s="41" t="s">
        <v>6430</v>
      </c>
      <c r="B1351" s="2" t="s">
        <v>236</v>
      </c>
      <c r="C1351" s="2" t="s">
        <v>5043</v>
      </c>
      <c r="D1351" s="2" t="s">
        <v>8404</v>
      </c>
    </row>
    <row r="1352" spans="1:4" x14ac:dyDescent="0.2">
      <c r="A1352" s="41" t="s">
        <v>6431</v>
      </c>
      <c r="B1352" s="2" t="s">
        <v>236</v>
      </c>
      <c r="C1352" s="2" t="s">
        <v>5043</v>
      </c>
      <c r="D1352" s="2" t="s">
        <v>8404</v>
      </c>
    </row>
    <row r="1353" spans="1:4" x14ac:dyDescent="0.2">
      <c r="A1353" s="41" t="s">
        <v>6432</v>
      </c>
      <c r="B1353" s="2" t="s">
        <v>236</v>
      </c>
      <c r="C1353" s="2" t="s">
        <v>5043</v>
      </c>
      <c r="D1353" s="2" t="s">
        <v>8404</v>
      </c>
    </row>
    <row r="1354" spans="1:4" x14ac:dyDescent="0.2">
      <c r="A1354" s="41" t="s">
        <v>6433</v>
      </c>
      <c r="B1354" s="2" t="s">
        <v>236</v>
      </c>
      <c r="C1354" s="2" t="s">
        <v>5043</v>
      </c>
      <c r="D1354" s="2" t="s">
        <v>8404</v>
      </c>
    </row>
    <row r="1355" spans="1:4" x14ac:dyDescent="0.2">
      <c r="A1355" s="41" t="s">
        <v>6434</v>
      </c>
      <c r="B1355" s="2" t="s">
        <v>236</v>
      </c>
      <c r="C1355" s="2" t="s">
        <v>5043</v>
      </c>
      <c r="D1355" s="2" t="s">
        <v>8404</v>
      </c>
    </row>
    <row r="1356" spans="1:4" x14ac:dyDescent="0.2">
      <c r="A1356" s="41" t="s">
        <v>6435</v>
      </c>
      <c r="B1356" s="2" t="s">
        <v>949</v>
      </c>
      <c r="C1356" s="2" t="s">
        <v>5043</v>
      </c>
      <c r="D1356" s="2" t="s">
        <v>8404</v>
      </c>
    </row>
    <row r="1357" spans="1:4" x14ac:dyDescent="0.2">
      <c r="A1357" s="41" t="s">
        <v>6436</v>
      </c>
      <c r="B1357" s="2" t="s">
        <v>950</v>
      </c>
      <c r="C1357" s="2" t="s">
        <v>5043</v>
      </c>
      <c r="D1357" s="2" t="s">
        <v>8419</v>
      </c>
    </row>
    <row r="1358" spans="1:4" x14ac:dyDescent="0.2">
      <c r="A1358" s="41" t="s">
        <v>6437</v>
      </c>
      <c r="B1358" s="2" t="s">
        <v>950</v>
      </c>
      <c r="C1358" s="2" t="s">
        <v>5043</v>
      </c>
      <c r="D1358" s="2" t="s">
        <v>8419</v>
      </c>
    </row>
    <row r="1359" spans="1:4" x14ac:dyDescent="0.2">
      <c r="A1359" s="41" t="s">
        <v>6438</v>
      </c>
      <c r="B1359" s="2" t="s">
        <v>950</v>
      </c>
      <c r="C1359" s="2" t="s">
        <v>5043</v>
      </c>
      <c r="D1359" s="2" t="s">
        <v>8419</v>
      </c>
    </row>
    <row r="1360" spans="1:4" x14ac:dyDescent="0.2">
      <c r="A1360" s="41" t="s">
        <v>6439</v>
      </c>
      <c r="B1360" s="2" t="s">
        <v>950</v>
      </c>
      <c r="C1360" s="2" t="s">
        <v>5043</v>
      </c>
      <c r="D1360" s="2" t="s">
        <v>8419</v>
      </c>
    </row>
    <row r="1361" spans="1:4" x14ac:dyDescent="0.2">
      <c r="A1361" s="41" t="s">
        <v>6440</v>
      </c>
      <c r="B1361" s="2" t="s">
        <v>950</v>
      </c>
      <c r="C1361" s="2" t="s">
        <v>5043</v>
      </c>
      <c r="D1361" s="2" t="s">
        <v>8419</v>
      </c>
    </row>
    <row r="1362" spans="1:4" x14ac:dyDescent="0.2">
      <c r="A1362" s="41" t="s">
        <v>6441</v>
      </c>
      <c r="B1362" s="2" t="s">
        <v>951</v>
      </c>
      <c r="C1362" s="2" t="s">
        <v>5043</v>
      </c>
      <c r="D1362" s="2" t="s">
        <v>8404</v>
      </c>
    </row>
    <row r="1363" spans="1:4" x14ac:dyDescent="0.2">
      <c r="A1363" s="41" t="s">
        <v>6442</v>
      </c>
      <c r="B1363" s="2" t="s">
        <v>952</v>
      </c>
      <c r="C1363" s="2" t="s">
        <v>5043</v>
      </c>
      <c r="D1363" s="2" t="s">
        <v>8404</v>
      </c>
    </row>
    <row r="1364" spans="1:4" x14ac:dyDescent="0.2">
      <c r="A1364" s="41" t="s">
        <v>6443</v>
      </c>
      <c r="B1364" s="2" t="s">
        <v>952</v>
      </c>
      <c r="C1364" s="2" t="s">
        <v>5043</v>
      </c>
      <c r="D1364" s="2" t="s">
        <v>8404</v>
      </c>
    </row>
    <row r="1365" spans="1:4" x14ac:dyDescent="0.2">
      <c r="A1365" s="41" t="s">
        <v>6444</v>
      </c>
      <c r="B1365" s="2" t="s">
        <v>953</v>
      </c>
      <c r="C1365" s="2" t="s">
        <v>5043</v>
      </c>
      <c r="D1365" s="2" t="s">
        <v>8404</v>
      </c>
    </row>
    <row r="1366" spans="1:4" x14ac:dyDescent="0.2">
      <c r="A1366" s="41" t="s">
        <v>6445</v>
      </c>
      <c r="B1366" s="2" t="s">
        <v>954</v>
      </c>
      <c r="C1366" s="2" t="s">
        <v>5043</v>
      </c>
      <c r="D1366" s="2" t="s">
        <v>8404</v>
      </c>
    </row>
    <row r="1367" spans="1:4" x14ac:dyDescent="0.2">
      <c r="A1367" s="41" t="s">
        <v>6446</v>
      </c>
      <c r="B1367" s="2" t="s">
        <v>954</v>
      </c>
      <c r="C1367" s="2" t="s">
        <v>5043</v>
      </c>
      <c r="D1367" s="2" t="s">
        <v>8404</v>
      </c>
    </row>
    <row r="1368" spans="1:4" x14ac:dyDescent="0.2">
      <c r="A1368" s="41" t="s">
        <v>6447</v>
      </c>
      <c r="B1368" s="2" t="s">
        <v>954</v>
      </c>
      <c r="C1368" s="2" t="s">
        <v>5043</v>
      </c>
      <c r="D1368" s="2" t="s">
        <v>8404</v>
      </c>
    </row>
    <row r="1369" spans="1:4" x14ac:dyDescent="0.2">
      <c r="A1369" s="41" t="s">
        <v>6448</v>
      </c>
      <c r="B1369" s="2" t="s">
        <v>954</v>
      </c>
      <c r="C1369" s="2" t="s">
        <v>5043</v>
      </c>
      <c r="D1369" s="2" t="s">
        <v>8404</v>
      </c>
    </row>
    <row r="1370" spans="1:4" x14ac:dyDescent="0.2">
      <c r="A1370" s="41" t="s">
        <v>6449</v>
      </c>
      <c r="B1370" s="2" t="s">
        <v>954</v>
      </c>
      <c r="C1370" s="2" t="s">
        <v>5043</v>
      </c>
      <c r="D1370" s="2" t="s">
        <v>8404</v>
      </c>
    </row>
    <row r="1371" spans="1:4" x14ac:dyDescent="0.2">
      <c r="A1371" s="41" t="s">
        <v>8321</v>
      </c>
      <c r="B1371" s="2" t="s">
        <v>8322</v>
      </c>
      <c r="C1371" s="2" t="s">
        <v>5043</v>
      </c>
      <c r="D1371" s="2" t="s">
        <v>8404</v>
      </c>
    </row>
    <row r="1372" spans="1:4" x14ac:dyDescent="0.2">
      <c r="A1372" s="41" t="s">
        <v>8323</v>
      </c>
      <c r="B1372" s="2" t="s">
        <v>8322</v>
      </c>
      <c r="C1372" s="2" t="s">
        <v>5043</v>
      </c>
      <c r="D1372" s="2" t="s">
        <v>8404</v>
      </c>
    </row>
    <row r="1373" spans="1:4" x14ac:dyDescent="0.2">
      <c r="A1373" s="41" t="s">
        <v>8324</v>
      </c>
      <c r="B1373" s="2" t="s">
        <v>8322</v>
      </c>
      <c r="C1373" s="2" t="s">
        <v>5043</v>
      </c>
      <c r="D1373" s="2" t="s">
        <v>8404</v>
      </c>
    </row>
    <row r="1374" spans="1:4" x14ac:dyDescent="0.2">
      <c r="A1374" s="41" t="s">
        <v>8325</v>
      </c>
      <c r="B1374" s="2" t="s">
        <v>8326</v>
      </c>
      <c r="C1374" s="2" t="s">
        <v>5043</v>
      </c>
      <c r="D1374" s="2" t="s">
        <v>8401</v>
      </c>
    </row>
    <row r="1375" spans="1:4" x14ac:dyDescent="0.2">
      <c r="A1375" s="41" t="s">
        <v>6450</v>
      </c>
      <c r="B1375" s="2" t="s">
        <v>956</v>
      </c>
      <c r="C1375" s="2" t="s">
        <v>5043</v>
      </c>
      <c r="D1375" s="2" t="s">
        <v>8404</v>
      </c>
    </row>
    <row r="1376" spans="1:4" x14ac:dyDescent="0.2">
      <c r="A1376" s="41" t="s">
        <v>6451</v>
      </c>
      <c r="B1376" s="2" t="s">
        <v>957</v>
      </c>
      <c r="C1376" s="2" t="s">
        <v>5043</v>
      </c>
      <c r="D1376" s="2" t="s">
        <v>8404</v>
      </c>
    </row>
    <row r="1377" spans="1:4" x14ac:dyDescent="0.2">
      <c r="A1377" s="41" t="s">
        <v>3351</v>
      </c>
      <c r="B1377" s="2" t="s">
        <v>475</v>
      </c>
      <c r="C1377" s="2" t="s">
        <v>5043</v>
      </c>
      <c r="D1377" s="2" t="s">
        <v>8404</v>
      </c>
    </row>
    <row r="1378" spans="1:4" x14ac:dyDescent="0.2">
      <c r="A1378" s="41" t="s">
        <v>4698</v>
      </c>
      <c r="B1378" s="2" t="s">
        <v>4699</v>
      </c>
      <c r="C1378" s="2" t="s">
        <v>5043</v>
      </c>
      <c r="D1378" s="2" t="s">
        <v>8404</v>
      </c>
    </row>
    <row r="1379" spans="1:4" x14ac:dyDescent="0.2">
      <c r="A1379" s="41" t="s">
        <v>8327</v>
      </c>
      <c r="B1379" s="2" t="s">
        <v>8328</v>
      </c>
      <c r="C1379" s="2" t="s">
        <v>5043</v>
      </c>
      <c r="D1379" s="2" t="s">
        <v>8401</v>
      </c>
    </row>
    <row r="1380" spans="1:4" x14ac:dyDescent="0.2">
      <c r="A1380" s="41" t="s">
        <v>8329</v>
      </c>
      <c r="B1380" s="2" t="s">
        <v>8328</v>
      </c>
      <c r="C1380" s="2" t="s">
        <v>5043</v>
      </c>
      <c r="D1380" s="2" t="s">
        <v>8401</v>
      </c>
    </row>
    <row r="1381" spans="1:4" x14ac:dyDescent="0.2">
      <c r="A1381" s="41" t="s">
        <v>8330</v>
      </c>
      <c r="B1381" s="2" t="s">
        <v>8328</v>
      </c>
      <c r="C1381" s="2" t="s">
        <v>5043</v>
      </c>
      <c r="D1381" s="2" t="s">
        <v>8401</v>
      </c>
    </row>
    <row r="1382" spans="1:4" x14ac:dyDescent="0.2">
      <c r="A1382" s="41" t="s">
        <v>8331</v>
      </c>
      <c r="B1382" s="2" t="s">
        <v>8328</v>
      </c>
      <c r="C1382" s="2" t="s">
        <v>5043</v>
      </c>
      <c r="D1382" s="2" t="s">
        <v>8401</v>
      </c>
    </row>
    <row r="1383" spans="1:4" x14ac:dyDescent="0.2">
      <c r="A1383" s="41" t="s">
        <v>8332</v>
      </c>
      <c r="B1383" s="2" t="s">
        <v>8328</v>
      </c>
      <c r="C1383" s="2" t="s">
        <v>5043</v>
      </c>
      <c r="D1383" s="2" t="s">
        <v>8401</v>
      </c>
    </row>
    <row r="1384" spans="1:4" x14ac:dyDescent="0.2">
      <c r="A1384" s="41" t="s">
        <v>8333</v>
      </c>
      <c r="B1384" s="2" t="s">
        <v>8328</v>
      </c>
      <c r="C1384" s="2" t="s">
        <v>5043</v>
      </c>
      <c r="D1384" s="2" t="s">
        <v>8401</v>
      </c>
    </row>
    <row r="1385" spans="1:4" x14ac:dyDescent="0.2">
      <c r="A1385" s="41" t="s">
        <v>8334</v>
      </c>
      <c r="B1385" s="2" t="s">
        <v>8328</v>
      </c>
      <c r="C1385" s="2" t="s">
        <v>5043</v>
      </c>
      <c r="D1385" s="2" t="s">
        <v>8401</v>
      </c>
    </row>
    <row r="1386" spans="1:4" x14ac:dyDescent="0.2">
      <c r="A1386" s="41" t="s">
        <v>8335</v>
      </c>
      <c r="B1386" s="2" t="s">
        <v>8328</v>
      </c>
      <c r="C1386" s="2" t="s">
        <v>5043</v>
      </c>
      <c r="D1386" s="2" t="s">
        <v>8401</v>
      </c>
    </row>
    <row r="1387" spans="1:4" x14ac:dyDescent="0.2">
      <c r="A1387" s="41" t="s">
        <v>8336</v>
      </c>
      <c r="B1387" s="2" t="s">
        <v>8328</v>
      </c>
      <c r="C1387" s="2" t="s">
        <v>5043</v>
      </c>
      <c r="D1387" s="2" t="s">
        <v>8401</v>
      </c>
    </row>
    <row r="1388" spans="1:4" x14ac:dyDescent="0.2">
      <c r="A1388" s="41" t="s">
        <v>8337</v>
      </c>
      <c r="B1388" s="2" t="s">
        <v>8328</v>
      </c>
      <c r="C1388" s="2" t="s">
        <v>5043</v>
      </c>
      <c r="D1388" s="2" t="s">
        <v>8401</v>
      </c>
    </row>
    <row r="1389" spans="1:4" x14ac:dyDescent="0.2">
      <c r="A1389" s="41" t="s">
        <v>8338</v>
      </c>
      <c r="B1389" s="2" t="s">
        <v>8328</v>
      </c>
      <c r="C1389" s="2" t="s">
        <v>5043</v>
      </c>
      <c r="D1389" s="2" t="s">
        <v>8401</v>
      </c>
    </row>
    <row r="1390" spans="1:4" x14ac:dyDescent="0.2">
      <c r="A1390" s="41" t="s">
        <v>8339</v>
      </c>
      <c r="B1390" s="2" t="s">
        <v>8328</v>
      </c>
      <c r="C1390" s="2" t="s">
        <v>5043</v>
      </c>
      <c r="D1390" s="2" t="s">
        <v>8401</v>
      </c>
    </row>
    <row r="1391" spans="1:4" x14ac:dyDescent="0.2">
      <c r="A1391" s="41" t="s">
        <v>6452</v>
      </c>
      <c r="B1391" s="2" t="s">
        <v>955</v>
      </c>
      <c r="C1391" s="2" t="s">
        <v>5043</v>
      </c>
      <c r="D1391" s="2" t="s">
        <v>8404</v>
      </c>
    </row>
    <row r="1392" spans="1:4" x14ac:dyDescent="0.2">
      <c r="A1392" s="41" t="s">
        <v>6453</v>
      </c>
      <c r="B1392" s="2" t="s">
        <v>958</v>
      </c>
      <c r="C1392" s="2" t="s">
        <v>5043</v>
      </c>
      <c r="D1392" s="2" t="s">
        <v>8404</v>
      </c>
    </row>
    <row r="1393" spans="1:4" x14ac:dyDescent="0.2">
      <c r="A1393" s="41" t="s">
        <v>6454</v>
      </c>
      <c r="B1393" s="2" t="s">
        <v>958</v>
      </c>
      <c r="C1393" s="2" t="s">
        <v>5043</v>
      </c>
      <c r="D1393" s="2" t="s">
        <v>8404</v>
      </c>
    </row>
    <row r="1394" spans="1:4" x14ac:dyDescent="0.2">
      <c r="A1394" s="41" t="s">
        <v>3703</v>
      </c>
      <c r="B1394" s="2" t="s">
        <v>958</v>
      </c>
      <c r="C1394" s="2" t="s">
        <v>5043</v>
      </c>
      <c r="D1394" s="2" t="s">
        <v>8404</v>
      </c>
    </row>
    <row r="1395" spans="1:4" x14ac:dyDescent="0.2">
      <c r="A1395" s="41" t="s">
        <v>3704</v>
      </c>
      <c r="B1395" s="2" t="s">
        <v>958</v>
      </c>
      <c r="C1395" s="2" t="s">
        <v>5043</v>
      </c>
      <c r="D1395" s="2" t="s">
        <v>8404</v>
      </c>
    </row>
    <row r="1396" spans="1:4" x14ac:dyDescent="0.2">
      <c r="A1396" s="41" t="s">
        <v>3794</v>
      </c>
      <c r="B1396" s="2" t="s">
        <v>958</v>
      </c>
      <c r="C1396" s="2" t="s">
        <v>5043</v>
      </c>
      <c r="D1396" s="2" t="s">
        <v>8404</v>
      </c>
    </row>
    <row r="1397" spans="1:4" x14ac:dyDescent="0.2">
      <c r="A1397" s="41" t="s">
        <v>3795</v>
      </c>
      <c r="B1397" s="2" t="s">
        <v>958</v>
      </c>
      <c r="C1397" s="2" t="s">
        <v>5043</v>
      </c>
      <c r="D1397" s="2" t="s">
        <v>8404</v>
      </c>
    </row>
    <row r="1398" spans="1:4" x14ac:dyDescent="0.2">
      <c r="A1398" s="41" t="s">
        <v>6455</v>
      </c>
      <c r="B1398" s="2" t="s">
        <v>958</v>
      </c>
      <c r="C1398" s="2" t="s">
        <v>5043</v>
      </c>
      <c r="D1398" s="2" t="s">
        <v>8404</v>
      </c>
    </row>
    <row r="1399" spans="1:4" x14ac:dyDescent="0.2">
      <c r="A1399" s="41" t="s">
        <v>3798</v>
      </c>
      <c r="B1399" s="2" t="s">
        <v>958</v>
      </c>
      <c r="C1399" s="2" t="s">
        <v>5043</v>
      </c>
      <c r="D1399" s="2" t="s">
        <v>8404</v>
      </c>
    </row>
    <row r="1400" spans="1:4" x14ac:dyDescent="0.2">
      <c r="A1400" s="41" t="s">
        <v>3799</v>
      </c>
      <c r="B1400" s="2" t="s">
        <v>958</v>
      </c>
      <c r="C1400" s="2" t="s">
        <v>5043</v>
      </c>
      <c r="D1400" s="2" t="s">
        <v>8404</v>
      </c>
    </row>
    <row r="1401" spans="1:4" x14ac:dyDescent="0.2">
      <c r="A1401" s="41" t="s">
        <v>3800</v>
      </c>
      <c r="B1401" s="2" t="s">
        <v>958</v>
      </c>
      <c r="C1401" s="2" t="s">
        <v>5043</v>
      </c>
      <c r="D1401" s="2" t="s">
        <v>8404</v>
      </c>
    </row>
    <row r="1402" spans="1:4" x14ac:dyDescent="0.2">
      <c r="A1402" s="41" t="s">
        <v>6456</v>
      </c>
      <c r="B1402" s="2" t="s">
        <v>958</v>
      </c>
      <c r="C1402" s="2" t="s">
        <v>5043</v>
      </c>
      <c r="D1402" s="2" t="s">
        <v>8404</v>
      </c>
    </row>
    <row r="1403" spans="1:4" x14ac:dyDescent="0.2">
      <c r="A1403" s="41" t="s">
        <v>6457</v>
      </c>
      <c r="B1403" s="2" t="s">
        <v>958</v>
      </c>
      <c r="C1403" s="2" t="s">
        <v>5043</v>
      </c>
      <c r="D1403" s="2" t="s">
        <v>8404</v>
      </c>
    </row>
    <row r="1404" spans="1:4" x14ac:dyDescent="0.2">
      <c r="A1404" s="41" t="s">
        <v>6458</v>
      </c>
      <c r="B1404" s="2" t="s">
        <v>958</v>
      </c>
      <c r="C1404" s="2" t="s">
        <v>5043</v>
      </c>
      <c r="D1404" s="2" t="s">
        <v>8404</v>
      </c>
    </row>
    <row r="1405" spans="1:4" x14ac:dyDescent="0.2">
      <c r="A1405" s="41" t="s">
        <v>6459</v>
      </c>
      <c r="B1405" s="2" t="s">
        <v>958</v>
      </c>
      <c r="C1405" s="2" t="s">
        <v>5043</v>
      </c>
      <c r="D1405" s="2" t="s">
        <v>8404</v>
      </c>
    </row>
    <row r="1406" spans="1:4" x14ac:dyDescent="0.2">
      <c r="A1406" s="41" t="s">
        <v>6460</v>
      </c>
      <c r="B1406" s="2" t="s">
        <v>958</v>
      </c>
      <c r="C1406" s="2" t="s">
        <v>5043</v>
      </c>
      <c r="D1406" s="2" t="s">
        <v>8404</v>
      </c>
    </row>
    <row r="1407" spans="1:4" x14ac:dyDescent="0.2">
      <c r="A1407" s="41" t="s">
        <v>6461</v>
      </c>
      <c r="B1407" s="2" t="s">
        <v>958</v>
      </c>
      <c r="C1407" s="2" t="s">
        <v>5043</v>
      </c>
      <c r="D1407" s="2" t="s">
        <v>8404</v>
      </c>
    </row>
    <row r="1408" spans="1:4" x14ac:dyDescent="0.2">
      <c r="A1408" s="41" t="s">
        <v>6462</v>
      </c>
      <c r="B1408" s="2" t="s">
        <v>958</v>
      </c>
      <c r="C1408" s="2" t="s">
        <v>5043</v>
      </c>
      <c r="D1408" s="2" t="s">
        <v>8404</v>
      </c>
    </row>
    <row r="1409" spans="1:4" x14ac:dyDescent="0.2">
      <c r="A1409" s="41" t="s">
        <v>6463</v>
      </c>
      <c r="B1409" s="2" t="s">
        <v>958</v>
      </c>
      <c r="C1409" s="2" t="s">
        <v>5043</v>
      </c>
      <c r="D1409" s="2" t="s">
        <v>8404</v>
      </c>
    </row>
    <row r="1410" spans="1:4" x14ac:dyDescent="0.2">
      <c r="A1410" s="41" t="s">
        <v>3809</v>
      </c>
      <c r="B1410" s="2" t="s">
        <v>958</v>
      </c>
      <c r="C1410" s="2" t="s">
        <v>5043</v>
      </c>
      <c r="D1410" s="2" t="s">
        <v>8404</v>
      </c>
    </row>
    <row r="1411" spans="1:4" x14ac:dyDescent="0.2">
      <c r="A1411" s="41" t="s">
        <v>2625</v>
      </c>
      <c r="B1411" s="2" t="s">
        <v>958</v>
      </c>
      <c r="C1411" s="2" t="s">
        <v>5043</v>
      </c>
      <c r="D1411" s="2" t="s">
        <v>8404</v>
      </c>
    </row>
    <row r="1412" spans="1:4" x14ac:dyDescent="0.2">
      <c r="A1412" s="41" t="s">
        <v>2626</v>
      </c>
      <c r="B1412" s="2" t="s">
        <v>958</v>
      </c>
      <c r="C1412" s="2" t="s">
        <v>5043</v>
      </c>
      <c r="D1412" s="2" t="s">
        <v>8404</v>
      </c>
    </row>
    <row r="1413" spans="1:4" x14ac:dyDescent="0.2">
      <c r="A1413" s="41" t="s">
        <v>6464</v>
      </c>
      <c r="B1413" s="2" t="s">
        <v>959</v>
      </c>
      <c r="C1413" s="2" t="s">
        <v>5043</v>
      </c>
      <c r="D1413" s="2" t="s">
        <v>8404</v>
      </c>
    </row>
    <row r="1414" spans="1:4" x14ac:dyDescent="0.2">
      <c r="A1414" s="41" t="s">
        <v>6465</v>
      </c>
      <c r="B1414" s="2" t="s">
        <v>959</v>
      </c>
      <c r="C1414" s="2" t="s">
        <v>5043</v>
      </c>
      <c r="D1414" s="2" t="s">
        <v>8404</v>
      </c>
    </row>
    <row r="1415" spans="1:4" x14ac:dyDescent="0.2">
      <c r="A1415" s="41" t="s">
        <v>4238</v>
      </c>
      <c r="B1415" s="2" t="s">
        <v>959</v>
      </c>
      <c r="C1415" s="2" t="s">
        <v>5043</v>
      </c>
      <c r="D1415" s="2" t="s">
        <v>8404</v>
      </c>
    </row>
    <row r="1416" spans="1:4" x14ac:dyDescent="0.2">
      <c r="A1416" s="41" t="s">
        <v>4239</v>
      </c>
      <c r="B1416" s="2" t="s">
        <v>959</v>
      </c>
      <c r="C1416" s="2" t="s">
        <v>5043</v>
      </c>
      <c r="D1416" s="2" t="s">
        <v>8404</v>
      </c>
    </row>
    <row r="1417" spans="1:4" x14ac:dyDescent="0.2">
      <c r="A1417" s="41" t="s">
        <v>6466</v>
      </c>
      <c r="B1417" s="2" t="s">
        <v>959</v>
      </c>
      <c r="C1417" s="2" t="s">
        <v>5043</v>
      </c>
      <c r="D1417" s="2" t="s">
        <v>8404</v>
      </c>
    </row>
    <row r="1418" spans="1:4" x14ac:dyDescent="0.2">
      <c r="A1418" s="41" t="s">
        <v>6467</v>
      </c>
      <c r="B1418" s="2" t="s">
        <v>959</v>
      </c>
      <c r="C1418" s="2" t="s">
        <v>5043</v>
      </c>
      <c r="D1418" s="2" t="s">
        <v>8404</v>
      </c>
    </row>
    <row r="1419" spans="1:4" x14ac:dyDescent="0.2">
      <c r="A1419" s="41" t="s">
        <v>6468</v>
      </c>
      <c r="B1419" s="2" t="s">
        <v>959</v>
      </c>
      <c r="C1419" s="2" t="s">
        <v>5043</v>
      </c>
      <c r="D1419" s="2" t="s">
        <v>8404</v>
      </c>
    </row>
    <row r="1420" spans="1:4" x14ac:dyDescent="0.2">
      <c r="A1420" s="41" t="s">
        <v>6469</v>
      </c>
      <c r="B1420" s="2" t="s">
        <v>959</v>
      </c>
      <c r="C1420" s="2" t="s">
        <v>5043</v>
      </c>
      <c r="D1420" s="2" t="s">
        <v>8404</v>
      </c>
    </row>
    <row r="1421" spans="1:4" x14ac:dyDescent="0.2">
      <c r="A1421" s="41" t="s">
        <v>6470</v>
      </c>
      <c r="B1421" s="2" t="s">
        <v>959</v>
      </c>
      <c r="C1421" s="2" t="s">
        <v>5043</v>
      </c>
      <c r="D1421" s="2" t="s">
        <v>8404</v>
      </c>
    </row>
    <row r="1422" spans="1:4" x14ac:dyDescent="0.2">
      <c r="A1422" s="41" t="s">
        <v>6471</v>
      </c>
      <c r="B1422" s="2" t="s">
        <v>959</v>
      </c>
      <c r="C1422" s="2" t="s">
        <v>5043</v>
      </c>
      <c r="D1422" s="2" t="s">
        <v>8404</v>
      </c>
    </row>
    <row r="1423" spans="1:4" x14ac:dyDescent="0.2">
      <c r="A1423" s="41" t="s">
        <v>6472</v>
      </c>
      <c r="B1423" s="2" t="s">
        <v>959</v>
      </c>
      <c r="C1423" s="2" t="s">
        <v>5043</v>
      </c>
      <c r="D1423" s="2" t="s">
        <v>8404</v>
      </c>
    </row>
    <row r="1424" spans="1:4" x14ac:dyDescent="0.2">
      <c r="A1424" s="41" t="s">
        <v>6473</v>
      </c>
      <c r="B1424" s="2" t="s">
        <v>959</v>
      </c>
      <c r="C1424" s="2" t="s">
        <v>5043</v>
      </c>
      <c r="D1424" s="2" t="s">
        <v>8404</v>
      </c>
    </row>
    <row r="1425" spans="1:4" x14ac:dyDescent="0.2">
      <c r="A1425" s="41" t="s">
        <v>6474</v>
      </c>
      <c r="B1425" s="2" t="s">
        <v>959</v>
      </c>
      <c r="C1425" s="2" t="s">
        <v>5043</v>
      </c>
      <c r="D1425" s="2" t="s">
        <v>8404</v>
      </c>
    </row>
    <row r="1426" spans="1:4" x14ac:dyDescent="0.2">
      <c r="A1426" s="41" t="s">
        <v>6475</v>
      </c>
      <c r="B1426" s="2" t="s">
        <v>959</v>
      </c>
      <c r="C1426" s="2" t="s">
        <v>5043</v>
      </c>
      <c r="D1426" s="2" t="s">
        <v>8404</v>
      </c>
    </row>
    <row r="1427" spans="1:4" x14ac:dyDescent="0.2">
      <c r="A1427" s="41" t="s">
        <v>2627</v>
      </c>
      <c r="B1427" s="2" t="s">
        <v>959</v>
      </c>
      <c r="C1427" s="2" t="s">
        <v>5043</v>
      </c>
      <c r="D1427" s="2" t="s">
        <v>8404</v>
      </c>
    </row>
    <row r="1428" spans="1:4" x14ac:dyDescent="0.2">
      <c r="A1428" s="41" t="s">
        <v>6476</v>
      </c>
      <c r="B1428" s="2" t="s">
        <v>960</v>
      </c>
      <c r="C1428" s="2" t="s">
        <v>5043</v>
      </c>
      <c r="D1428" s="2" t="s">
        <v>8404</v>
      </c>
    </row>
    <row r="1429" spans="1:4" x14ac:dyDescent="0.2">
      <c r="A1429" s="41" t="s">
        <v>6477</v>
      </c>
      <c r="B1429" s="2" t="s">
        <v>960</v>
      </c>
      <c r="C1429" s="2" t="s">
        <v>5043</v>
      </c>
      <c r="D1429" s="2" t="s">
        <v>8404</v>
      </c>
    </row>
    <row r="1430" spans="1:4" x14ac:dyDescent="0.2">
      <c r="A1430" s="41" t="s">
        <v>4074</v>
      </c>
      <c r="B1430" s="2" t="s">
        <v>960</v>
      </c>
      <c r="C1430" s="2" t="s">
        <v>5043</v>
      </c>
      <c r="D1430" s="2" t="s">
        <v>8404</v>
      </c>
    </row>
    <row r="1431" spans="1:4" x14ac:dyDescent="0.2">
      <c r="A1431" s="41" t="s">
        <v>4075</v>
      </c>
      <c r="B1431" s="2" t="s">
        <v>960</v>
      </c>
      <c r="C1431" s="2" t="s">
        <v>5043</v>
      </c>
      <c r="D1431" s="2" t="s">
        <v>8404</v>
      </c>
    </row>
    <row r="1432" spans="1:4" x14ac:dyDescent="0.2">
      <c r="A1432" s="41" t="s">
        <v>6478</v>
      </c>
      <c r="B1432" s="2" t="s">
        <v>960</v>
      </c>
      <c r="C1432" s="2" t="s">
        <v>5043</v>
      </c>
      <c r="D1432" s="2" t="s">
        <v>8404</v>
      </c>
    </row>
    <row r="1433" spans="1:4" x14ac:dyDescent="0.2">
      <c r="A1433" s="41" t="s">
        <v>6479</v>
      </c>
      <c r="B1433" s="2" t="s">
        <v>960</v>
      </c>
      <c r="C1433" s="2" t="s">
        <v>5043</v>
      </c>
      <c r="D1433" s="2" t="s">
        <v>8404</v>
      </c>
    </row>
    <row r="1434" spans="1:4" x14ac:dyDescent="0.2">
      <c r="A1434" s="41" t="s">
        <v>3999</v>
      </c>
      <c r="B1434" s="2" t="s">
        <v>960</v>
      </c>
      <c r="C1434" s="2" t="s">
        <v>5043</v>
      </c>
      <c r="D1434" s="2" t="s">
        <v>8404</v>
      </c>
    </row>
    <row r="1435" spans="1:4" x14ac:dyDescent="0.2">
      <c r="A1435" s="41" t="s">
        <v>4000</v>
      </c>
      <c r="B1435" s="2" t="s">
        <v>960</v>
      </c>
      <c r="C1435" s="2" t="s">
        <v>5043</v>
      </c>
      <c r="D1435" s="2" t="s">
        <v>8404</v>
      </c>
    </row>
    <row r="1436" spans="1:4" x14ac:dyDescent="0.2">
      <c r="A1436" s="41" t="s">
        <v>6480</v>
      </c>
      <c r="B1436" s="2" t="s">
        <v>960</v>
      </c>
      <c r="C1436" s="2" t="s">
        <v>5043</v>
      </c>
      <c r="D1436" s="2" t="s">
        <v>8404</v>
      </c>
    </row>
    <row r="1437" spans="1:4" x14ac:dyDescent="0.2">
      <c r="A1437" s="41" t="s">
        <v>6481</v>
      </c>
      <c r="B1437" s="2" t="s">
        <v>960</v>
      </c>
      <c r="C1437" s="2" t="s">
        <v>5043</v>
      </c>
      <c r="D1437" s="2" t="s">
        <v>8404</v>
      </c>
    </row>
    <row r="1438" spans="1:4" x14ac:dyDescent="0.2">
      <c r="A1438" s="41" t="s">
        <v>6482</v>
      </c>
      <c r="B1438" s="2" t="s">
        <v>960</v>
      </c>
      <c r="C1438" s="2" t="s">
        <v>5043</v>
      </c>
      <c r="D1438" s="2" t="s">
        <v>8404</v>
      </c>
    </row>
    <row r="1439" spans="1:4" x14ac:dyDescent="0.2">
      <c r="A1439" s="41" t="s">
        <v>3666</v>
      </c>
      <c r="B1439" s="2" t="s">
        <v>960</v>
      </c>
      <c r="C1439" s="2" t="s">
        <v>5043</v>
      </c>
      <c r="D1439" s="2" t="s">
        <v>8404</v>
      </c>
    </row>
    <row r="1440" spans="1:4" x14ac:dyDescent="0.2">
      <c r="A1440" s="41" t="s">
        <v>3667</v>
      </c>
      <c r="B1440" s="2" t="s">
        <v>960</v>
      </c>
      <c r="C1440" s="2" t="s">
        <v>5043</v>
      </c>
      <c r="D1440" s="2" t="s">
        <v>8404</v>
      </c>
    </row>
    <row r="1441" spans="1:4" x14ac:dyDescent="0.2">
      <c r="A1441" s="41" t="s">
        <v>3668</v>
      </c>
      <c r="B1441" s="2" t="s">
        <v>960</v>
      </c>
      <c r="C1441" s="2" t="s">
        <v>5043</v>
      </c>
      <c r="D1441" s="2" t="s">
        <v>8404</v>
      </c>
    </row>
    <row r="1442" spans="1:4" x14ac:dyDescent="0.2">
      <c r="A1442" s="41" t="s">
        <v>2628</v>
      </c>
      <c r="B1442" s="2" t="s">
        <v>960</v>
      </c>
      <c r="C1442" s="2" t="s">
        <v>5043</v>
      </c>
      <c r="D1442" s="2" t="s">
        <v>8404</v>
      </c>
    </row>
    <row r="1443" spans="1:4" x14ac:dyDescent="0.2">
      <c r="A1443" s="41" t="s">
        <v>6483</v>
      </c>
      <c r="B1443" s="2" t="s">
        <v>961</v>
      </c>
      <c r="C1443" s="2" t="s">
        <v>5043</v>
      </c>
      <c r="D1443" s="2" t="s">
        <v>8404</v>
      </c>
    </row>
    <row r="1444" spans="1:4" x14ac:dyDescent="0.2">
      <c r="A1444" s="41" t="s">
        <v>6484</v>
      </c>
      <c r="B1444" s="2" t="s">
        <v>961</v>
      </c>
      <c r="C1444" s="2" t="s">
        <v>5043</v>
      </c>
      <c r="D1444" s="2" t="s">
        <v>8404</v>
      </c>
    </row>
    <row r="1445" spans="1:4" x14ac:dyDescent="0.2">
      <c r="A1445" s="41" t="s">
        <v>6485</v>
      </c>
      <c r="B1445" s="2" t="s">
        <v>961</v>
      </c>
      <c r="C1445" s="2" t="s">
        <v>5043</v>
      </c>
      <c r="D1445" s="2" t="s">
        <v>8404</v>
      </c>
    </row>
    <row r="1446" spans="1:4" x14ac:dyDescent="0.2">
      <c r="A1446" s="41" t="s">
        <v>6486</v>
      </c>
      <c r="B1446" s="2" t="s">
        <v>961</v>
      </c>
      <c r="C1446" s="2" t="s">
        <v>5043</v>
      </c>
      <c r="D1446" s="2" t="s">
        <v>8404</v>
      </c>
    </row>
    <row r="1447" spans="1:4" x14ac:dyDescent="0.2">
      <c r="A1447" s="41" t="s">
        <v>6487</v>
      </c>
      <c r="B1447" s="2" t="s">
        <v>961</v>
      </c>
      <c r="C1447" s="2" t="s">
        <v>5043</v>
      </c>
      <c r="D1447" s="2" t="s">
        <v>8404</v>
      </c>
    </row>
    <row r="1448" spans="1:4" x14ac:dyDescent="0.2">
      <c r="A1448" s="41" t="s">
        <v>6488</v>
      </c>
      <c r="B1448" s="2" t="s">
        <v>961</v>
      </c>
      <c r="C1448" s="2" t="s">
        <v>5043</v>
      </c>
      <c r="D1448" s="2" t="s">
        <v>8404</v>
      </c>
    </row>
    <row r="1449" spans="1:4" x14ac:dyDescent="0.2">
      <c r="A1449" s="41" t="s">
        <v>3646</v>
      </c>
      <c r="B1449" s="2" t="s">
        <v>961</v>
      </c>
      <c r="C1449" s="2" t="s">
        <v>5043</v>
      </c>
      <c r="D1449" s="2" t="s">
        <v>8404</v>
      </c>
    </row>
    <row r="1450" spans="1:4" x14ac:dyDescent="0.2">
      <c r="A1450" s="41" t="s">
        <v>3647</v>
      </c>
      <c r="B1450" s="2" t="s">
        <v>961</v>
      </c>
      <c r="C1450" s="2" t="s">
        <v>5043</v>
      </c>
      <c r="D1450" s="2" t="s">
        <v>8404</v>
      </c>
    </row>
    <row r="1451" spans="1:4" x14ac:dyDescent="0.2">
      <c r="A1451" s="41" t="s">
        <v>3648</v>
      </c>
      <c r="B1451" s="2" t="s">
        <v>961</v>
      </c>
      <c r="C1451" s="2" t="s">
        <v>5043</v>
      </c>
      <c r="D1451" s="2" t="s">
        <v>8404</v>
      </c>
    </row>
    <row r="1452" spans="1:4" x14ac:dyDescent="0.2">
      <c r="A1452" s="41" t="s">
        <v>6489</v>
      </c>
      <c r="B1452" s="2" t="s">
        <v>961</v>
      </c>
      <c r="C1452" s="2" t="s">
        <v>5043</v>
      </c>
      <c r="D1452" s="2" t="s">
        <v>8404</v>
      </c>
    </row>
    <row r="1453" spans="1:4" x14ac:dyDescent="0.2">
      <c r="A1453" s="41" t="s">
        <v>6490</v>
      </c>
      <c r="B1453" s="2" t="s">
        <v>961</v>
      </c>
      <c r="C1453" s="2" t="s">
        <v>5043</v>
      </c>
      <c r="D1453" s="2" t="s">
        <v>8404</v>
      </c>
    </row>
    <row r="1454" spans="1:4" x14ac:dyDescent="0.2">
      <c r="A1454" s="41" t="s">
        <v>6491</v>
      </c>
      <c r="B1454" s="2" t="s">
        <v>961</v>
      </c>
      <c r="C1454" s="2" t="s">
        <v>5043</v>
      </c>
      <c r="D1454" s="2" t="s">
        <v>8404</v>
      </c>
    </row>
    <row r="1455" spans="1:4" x14ac:dyDescent="0.2">
      <c r="A1455" s="41" t="s">
        <v>6492</v>
      </c>
      <c r="B1455" s="2" t="s">
        <v>961</v>
      </c>
      <c r="C1455" s="2" t="s">
        <v>5043</v>
      </c>
      <c r="D1455" s="2" t="s">
        <v>8404</v>
      </c>
    </row>
    <row r="1456" spans="1:4" x14ac:dyDescent="0.2">
      <c r="A1456" s="41" t="s">
        <v>6493</v>
      </c>
      <c r="B1456" s="2" t="s">
        <v>961</v>
      </c>
      <c r="C1456" s="2" t="s">
        <v>5043</v>
      </c>
      <c r="D1456" s="2" t="s">
        <v>8404</v>
      </c>
    </row>
    <row r="1457" spans="1:4" x14ac:dyDescent="0.2">
      <c r="A1457" s="41" t="s">
        <v>6494</v>
      </c>
      <c r="B1457" s="2" t="s">
        <v>961</v>
      </c>
      <c r="C1457" s="2" t="s">
        <v>5043</v>
      </c>
      <c r="D1457" s="2" t="s">
        <v>8404</v>
      </c>
    </row>
    <row r="1458" spans="1:4" x14ac:dyDescent="0.2">
      <c r="A1458" s="41" t="s">
        <v>6495</v>
      </c>
      <c r="B1458" s="2" t="s">
        <v>961</v>
      </c>
      <c r="C1458" s="2" t="s">
        <v>5043</v>
      </c>
      <c r="D1458" s="2" t="s">
        <v>8404</v>
      </c>
    </row>
    <row r="1459" spans="1:4" x14ac:dyDescent="0.2">
      <c r="A1459" s="41" t="s">
        <v>3918</v>
      </c>
      <c r="B1459" s="2" t="s">
        <v>961</v>
      </c>
      <c r="C1459" s="2" t="s">
        <v>5043</v>
      </c>
      <c r="D1459" s="2" t="s">
        <v>8404</v>
      </c>
    </row>
    <row r="1460" spans="1:4" x14ac:dyDescent="0.2">
      <c r="A1460" s="41" t="s">
        <v>3919</v>
      </c>
      <c r="B1460" s="2" t="s">
        <v>961</v>
      </c>
      <c r="C1460" s="2" t="s">
        <v>5043</v>
      </c>
      <c r="D1460" s="2" t="s">
        <v>8404</v>
      </c>
    </row>
    <row r="1461" spans="1:4" x14ac:dyDescent="0.2">
      <c r="A1461" s="41" t="s">
        <v>3920</v>
      </c>
      <c r="B1461" s="2" t="s">
        <v>961</v>
      </c>
      <c r="C1461" s="2" t="s">
        <v>5043</v>
      </c>
      <c r="D1461" s="2" t="s">
        <v>8404</v>
      </c>
    </row>
    <row r="1462" spans="1:4" x14ac:dyDescent="0.2">
      <c r="A1462" s="41" t="s">
        <v>3921</v>
      </c>
      <c r="B1462" s="2" t="s">
        <v>961</v>
      </c>
      <c r="C1462" s="2" t="s">
        <v>5043</v>
      </c>
      <c r="D1462" s="2" t="s">
        <v>8404</v>
      </c>
    </row>
    <row r="1463" spans="1:4" x14ac:dyDescent="0.2">
      <c r="A1463" s="41" t="s">
        <v>6496</v>
      </c>
      <c r="B1463" s="2" t="s">
        <v>961</v>
      </c>
      <c r="C1463" s="2" t="s">
        <v>5043</v>
      </c>
      <c r="D1463" s="2" t="s">
        <v>8404</v>
      </c>
    </row>
    <row r="1464" spans="1:4" x14ac:dyDescent="0.2">
      <c r="A1464" s="41" t="s">
        <v>3922</v>
      </c>
      <c r="B1464" s="2" t="s">
        <v>961</v>
      </c>
      <c r="C1464" s="2" t="s">
        <v>5043</v>
      </c>
      <c r="D1464" s="2" t="s">
        <v>8404</v>
      </c>
    </row>
    <row r="1465" spans="1:4" x14ac:dyDescent="0.2">
      <c r="A1465" s="41" t="s">
        <v>3923</v>
      </c>
      <c r="B1465" s="2" t="s">
        <v>961</v>
      </c>
      <c r="C1465" s="2" t="s">
        <v>5043</v>
      </c>
      <c r="D1465" s="2" t="s">
        <v>8404</v>
      </c>
    </row>
    <row r="1466" spans="1:4" x14ac:dyDescent="0.2">
      <c r="A1466" s="41" t="s">
        <v>3924</v>
      </c>
      <c r="B1466" s="2" t="s">
        <v>961</v>
      </c>
      <c r="C1466" s="2" t="s">
        <v>5043</v>
      </c>
      <c r="D1466" s="2" t="s">
        <v>8404</v>
      </c>
    </row>
    <row r="1467" spans="1:4" x14ac:dyDescent="0.2">
      <c r="A1467" s="41" t="s">
        <v>3925</v>
      </c>
      <c r="B1467" s="2" t="s">
        <v>961</v>
      </c>
      <c r="C1467" s="2" t="s">
        <v>5043</v>
      </c>
      <c r="D1467" s="2" t="s">
        <v>8404</v>
      </c>
    </row>
    <row r="1468" spans="1:4" x14ac:dyDescent="0.2">
      <c r="A1468" s="41" t="s">
        <v>3926</v>
      </c>
      <c r="B1468" s="2" t="s">
        <v>961</v>
      </c>
      <c r="C1468" s="2" t="s">
        <v>5043</v>
      </c>
      <c r="D1468" s="2" t="s">
        <v>8404</v>
      </c>
    </row>
    <row r="1469" spans="1:4" x14ac:dyDescent="0.2">
      <c r="A1469" s="41" t="s">
        <v>3927</v>
      </c>
      <c r="B1469" s="2" t="s">
        <v>961</v>
      </c>
      <c r="C1469" s="2" t="s">
        <v>5043</v>
      </c>
      <c r="D1469" s="2" t="s">
        <v>8404</v>
      </c>
    </row>
    <row r="1470" spans="1:4" x14ac:dyDescent="0.2">
      <c r="A1470" s="41" t="s">
        <v>3928</v>
      </c>
      <c r="B1470" s="2" t="s">
        <v>961</v>
      </c>
      <c r="C1470" s="2" t="s">
        <v>5043</v>
      </c>
      <c r="D1470" s="2" t="s">
        <v>8404</v>
      </c>
    </row>
    <row r="1471" spans="1:4" x14ac:dyDescent="0.2">
      <c r="A1471" s="41" t="s">
        <v>3929</v>
      </c>
      <c r="B1471" s="2" t="s">
        <v>961</v>
      </c>
      <c r="C1471" s="2" t="s">
        <v>5043</v>
      </c>
      <c r="D1471" s="2" t="s">
        <v>8404</v>
      </c>
    </row>
    <row r="1472" spans="1:4" x14ac:dyDescent="0.2">
      <c r="A1472" s="41" t="s">
        <v>2629</v>
      </c>
      <c r="B1472" s="2" t="s">
        <v>961</v>
      </c>
      <c r="C1472" s="2" t="s">
        <v>5043</v>
      </c>
      <c r="D1472" s="2" t="s">
        <v>8404</v>
      </c>
    </row>
    <row r="1473" spans="1:4" x14ac:dyDescent="0.2">
      <c r="A1473" s="41" t="s">
        <v>2630</v>
      </c>
      <c r="B1473" s="2" t="s">
        <v>961</v>
      </c>
      <c r="C1473" s="2" t="s">
        <v>5043</v>
      </c>
      <c r="D1473" s="2" t="s">
        <v>8404</v>
      </c>
    </row>
    <row r="1474" spans="1:4" x14ac:dyDescent="0.2">
      <c r="A1474" s="41" t="s">
        <v>3930</v>
      </c>
      <c r="B1474" s="2" t="s">
        <v>962</v>
      </c>
      <c r="C1474" s="2" t="s">
        <v>5043</v>
      </c>
      <c r="D1474" s="2" t="s">
        <v>8404</v>
      </c>
    </row>
    <row r="1475" spans="1:4" x14ac:dyDescent="0.2">
      <c r="A1475" s="41" t="s">
        <v>3931</v>
      </c>
      <c r="B1475" s="2" t="s">
        <v>962</v>
      </c>
      <c r="C1475" s="2" t="s">
        <v>5043</v>
      </c>
      <c r="D1475" s="2" t="s">
        <v>8404</v>
      </c>
    </row>
    <row r="1476" spans="1:4" x14ac:dyDescent="0.2">
      <c r="A1476" s="41" t="s">
        <v>6497</v>
      </c>
      <c r="B1476" s="2" t="s">
        <v>963</v>
      </c>
      <c r="C1476" s="2" t="s">
        <v>5043</v>
      </c>
      <c r="D1476" s="2" t="s">
        <v>8404</v>
      </c>
    </row>
    <row r="1477" spans="1:4" x14ac:dyDescent="0.2">
      <c r="A1477" s="41" t="s">
        <v>6498</v>
      </c>
      <c r="B1477" s="2" t="s">
        <v>963</v>
      </c>
      <c r="C1477" s="2" t="s">
        <v>5043</v>
      </c>
      <c r="D1477" s="2" t="s">
        <v>8404</v>
      </c>
    </row>
    <row r="1478" spans="1:4" x14ac:dyDescent="0.2">
      <c r="A1478" s="41" t="s">
        <v>6499</v>
      </c>
      <c r="B1478" s="2" t="s">
        <v>964</v>
      </c>
      <c r="C1478" s="2" t="s">
        <v>5043</v>
      </c>
      <c r="D1478" s="2" t="s">
        <v>8404</v>
      </c>
    </row>
    <row r="1479" spans="1:4" x14ac:dyDescent="0.2">
      <c r="A1479" s="41" t="s">
        <v>6500</v>
      </c>
      <c r="B1479" s="2" t="s">
        <v>1179</v>
      </c>
      <c r="C1479" s="2" t="s">
        <v>5043</v>
      </c>
      <c r="D1479" s="2" t="s">
        <v>8401</v>
      </c>
    </row>
    <row r="1480" spans="1:4" x14ac:dyDescent="0.2">
      <c r="A1480" s="41" t="s">
        <v>6501</v>
      </c>
      <c r="B1480" s="2" t="s">
        <v>965</v>
      </c>
      <c r="C1480" s="2" t="s">
        <v>5043</v>
      </c>
      <c r="D1480" s="2" t="s">
        <v>8409</v>
      </c>
    </row>
    <row r="1481" spans="1:4" x14ac:dyDescent="0.2">
      <c r="A1481" s="41" t="s">
        <v>6502</v>
      </c>
      <c r="B1481" s="2" t="s">
        <v>966</v>
      </c>
      <c r="C1481" s="2" t="s">
        <v>5043</v>
      </c>
      <c r="D1481" s="2" t="s">
        <v>8409</v>
      </c>
    </row>
    <row r="1482" spans="1:4" x14ac:dyDescent="0.2">
      <c r="A1482" s="41" t="s">
        <v>6503</v>
      </c>
      <c r="B1482" s="2" t="s">
        <v>966</v>
      </c>
      <c r="C1482" s="2" t="s">
        <v>5043</v>
      </c>
      <c r="D1482" s="2" t="s">
        <v>8409</v>
      </c>
    </row>
    <row r="1483" spans="1:4" x14ac:dyDescent="0.2">
      <c r="A1483" s="41" t="s">
        <v>6504</v>
      </c>
      <c r="B1483" s="2" t="s">
        <v>967</v>
      </c>
      <c r="C1483" s="2" t="s">
        <v>5043</v>
      </c>
      <c r="D1483" s="2" t="s">
        <v>8409</v>
      </c>
    </row>
    <row r="1484" spans="1:4" x14ac:dyDescent="0.2">
      <c r="A1484" s="41" t="s">
        <v>6505</v>
      </c>
      <c r="B1484" s="2" t="s">
        <v>968</v>
      </c>
      <c r="C1484" s="2" t="s">
        <v>5043</v>
      </c>
      <c r="D1484" s="2" t="s">
        <v>8409</v>
      </c>
    </row>
    <row r="1485" spans="1:4" x14ac:dyDescent="0.2">
      <c r="A1485" s="41" t="s">
        <v>6506</v>
      </c>
      <c r="B1485" s="2" t="s">
        <v>968</v>
      </c>
      <c r="C1485" s="2" t="s">
        <v>5043</v>
      </c>
      <c r="D1485" s="2" t="s">
        <v>8409</v>
      </c>
    </row>
    <row r="1486" spans="1:4" x14ac:dyDescent="0.2">
      <c r="A1486" s="41" t="s">
        <v>6507</v>
      </c>
      <c r="B1486" s="2" t="s">
        <v>969</v>
      </c>
      <c r="C1486" s="2" t="s">
        <v>5043</v>
      </c>
      <c r="D1486" s="2" t="s">
        <v>8409</v>
      </c>
    </row>
    <row r="1487" spans="1:4" x14ac:dyDescent="0.2">
      <c r="A1487" s="41" t="s">
        <v>6508</v>
      </c>
      <c r="B1487" s="2" t="s">
        <v>969</v>
      </c>
      <c r="C1487" s="2" t="s">
        <v>5043</v>
      </c>
      <c r="D1487" s="2" t="s">
        <v>8409</v>
      </c>
    </row>
    <row r="1488" spans="1:4" x14ac:dyDescent="0.2">
      <c r="A1488" s="41" t="s">
        <v>6509</v>
      </c>
      <c r="B1488" s="2" t="s">
        <v>969</v>
      </c>
      <c r="C1488" s="2" t="s">
        <v>5043</v>
      </c>
      <c r="D1488" s="2" t="s">
        <v>8409</v>
      </c>
    </row>
    <row r="1489" spans="1:4" x14ac:dyDescent="0.2">
      <c r="A1489" s="41" t="s">
        <v>6510</v>
      </c>
      <c r="B1489" s="2" t="s">
        <v>969</v>
      </c>
      <c r="C1489" s="2" t="s">
        <v>5043</v>
      </c>
      <c r="D1489" s="2" t="s">
        <v>8409</v>
      </c>
    </row>
    <row r="1490" spans="1:4" x14ac:dyDescent="0.2">
      <c r="A1490" s="41" t="s">
        <v>6511</v>
      </c>
      <c r="B1490" s="2" t="s">
        <v>969</v>
      </c>
      <c r="C1490" s="2" t="s">
        <v>5043</v>
      </c>
      <c r="D1490" s="2" t="s">
        <v>8409</v>
      </c>
    </row>
    <row r="1491" spans="1:4" x14ac:dyDescent="0.2">
      <c r="A1491" s="41" t="s">
        <v>6512</v>
      </c>
      <c r="B1491" s="2" t="s">
        <v>969</v>
      </c>
      <c r="C1491" s="2" t="s">
        <v>5043</v>
      </c>
      <c r="D1491" s="2" t="s">
        <v>8409</v>
      </c>
    </row>
    <row r="1492" spans="1:4" x14ac:dyDescent="0.2">
      <c r="A1492" s="41" t="s">
        <v>6513</v>
      </c>
      <c r="B1492" s="2" t="s">
        <v>969</v>
      </c>
      <c r="C1492" s="2" t="s">
        <v>5043</v>
      </c>
      <c r="D1492" s="2" t="s">
        <v>8409</v>
      </c>
    </row>
    <row r="1493" spans="1:4" x14ac:dyDescent="0.2">
      <c r="A1493" s="41" t="s">
        <v>6514</v>
      </c>
      <c r="B1493" s="2" t="s">
        <v>969</v>
      </c>
      <c r="C1493" s="2" t="s">
        <v>5043</v>
      </c>
      <c r="D1493" s="2" t="s">
        <v>8409</v>
      </c>
    </row>
    <row r="1494" spans="1:4" x14ac:dyDescent="0.2">
      <c r="A1494" s="41" t="s">
        <v>6515</v>
      </c>
      <c r="B1494" s="2" t="s">
        <v>969</v>
      </c>
      <c r="C1494" s="2" t="s">
        <v>5043</v>
      </c>
      <c r="D1494" s="2" t="s">
        <v>8409</v>
      </c>
    </row>
    <row r="1495" spans="1:4" x14ac:dyDescent="0.2">
      <c r="A1495" s="41" t="s">
        <v>6516</v>
      </c>
      <c r="B1495" s="2" t="s">
        <v>969</v>
      </c>
      <c r="C1495" s="2" t="s">
        <v>5043</v>
      </c>
      <c r="D1495" s="2" t="s">
        <v>8409</v>
      </c>
    </row>
    <row r="1496" spans="1:4" x14ac:dyDescent="0.2">
      <c r="A1496" s="41" t="s">
        <v>6517</v>
      </c>
      <c r="B1496" s="2" t="s">
        <v>970</v>
      </c>
      <c r="C1496" s="2" t="s">
        <v>5043</v>
      </c>
      <c r="D1496" s="2" t="s">
        <v>8409</v>
      </c>
    </row>
    <row r="1497" spans="1:4" x14ac:dyDescent="0.2">
      <c r="A1497" s="41" t="s">
        <v>6518</v>
      </c>
      <c r="B1497" s="2" t="s">
        <v>970</v>
      </c>
      <c r="C1497" s="2" t="s">
        <v>5043</v>
      </c>
      <c r="D1497" s="2" t="s">
        <v>8409</v>
      </c>
    </row>
    <row r="1498" spans="1:4" x14ac:dyDescent="0.2">
      <c r="A1498" s="41" t="s">
        <v>6519</v>
      </c>
      <c r="B1498" s="2" t="s">
        <v>970</v>
      </c>
      <c r="C1498" s="2" t="s">
        <v>5043</v>
      </c>
      <c r="D1498" s="2" t="s">
        <v>8409</v>
      </c>
    </row>
    <row r="1499" spans="1:4" x14ac:dyDescent="0.2">
      <c r="A1499" s="41" t="s">
        <v>6520</v>
      </c>
      <c r="B1499" s="2" t="s">
        <v>970</v>
      </c>
      <c r="C1499" s="2" t="s">
        <v>5043</v>
      </c>
      <c r="D1499" s="2" t="s">
        <v>8409</v>
      </c>
    </row>
    <row r="1500" spans="1:4" x14ac:dyDescent="0.2">
      <c r="A1500" s="41" t="s">
        <v>6521</v>
      </c>
      <c r="B1500" s="2" t="s">
        <v>970</v>
      </c>
      <c r="C1500" s="2" t="s">
        <v>5043</v>
      </c>
      <c r="D1500" s="2" t="s">
        <v>8409</v>
      </c>
    </row>
    <row r="1501" spans="1:4" x14ac:dyDescent="0.2">
      <c r="A1501" s="41" t="s">
        <v>6522</v>
      </c>
      <c r="B1501" s="2" t="s">
        <v>970</v>
      </c>
      <c r="C1501" s="2" t="s">
        <v>5043</v>
      </c>
      <c r="D1501" s="2" t="s">
        <v>8409</v>
      </c>
    </row>
    <row r="1502" spans="1:4" x14ac:dyDescent="0.2">
      <c r="A1502" s="41" t="s">
        <v>6523</v>
      </c>
      <c r="B1502" s="2" t="s">
        <v>970</v>
      </c>
      <c r="C1502" s="2" t="s">
        <v>5043</v>
      </c>
      <c r="D1502" s="2" t="s">
        <v>8409</v>
      </c>
    </row>
    <row r="1503" spans="1:4" x14ac:dyDescent="0.2">
      <c r="A1503" s="41" t="s">
        <v>6524</v>
      </c>
      <c r="B1503" s="2" t="s">
        <v>970</v>
      </c>
      <c r="C1503" s="2" t="s">
        <v>5043</v>
      </c>
      <c r="D1503" s="2" t="s">
        <v>8409</v>
      </c>
    </row>
    <row r="1504" spans="1:4" x14ac:dyDescent="0.2">
      <c r="A1504" s="41" t="s">
        <v>6525</v>
      </c>
      <c r="B1504" s="2" t="s">
        <v>970</v>
      </c>
      <c r="C1504" s="2" t="s">
        <v>5043</v>
      </c>
      <c r="D1504" s="2" t="s">
        <v>8409</v>
      </c>
    </row>
    <row r="1505" spans="1:4" x14ac:dyDescent="0.2">
      <c r="A1505" s="41" t="s">
        <v>6526</v>
      </c>
      <c r="B1505" s="2" t="s">
        <v>970</v>
      </c>
      <c r="C1505" s="2" t="s">
        <v>5043</v>
      </c>
      <c r="D1505" s="2" t="s">
        <v>8409</v>
      </c>
    </row>
    <row r="1506" spans="1:4" x14ac:dyDescent="0.2">
      <c r="A1506" s="41" t="s">
        <v>6527</v>
      </c>
      <c r="B1506" s="2" t="s">
        <v>970</v>
      </c>
      <c r="C1506" s="2" t="s">
        <v>5043</v>
      </c>
      <c r="D1506" s="2" t="s">
        <v>8409</v>
      </c>
    </row>
    <row r="1507" spans="1:4" x14ac:dyDescent="0.2">
      <c r="A1507" s="41" t="s">
        <v>6528</v>
      </c>
      <c r="B1507" s="2" t="s">
        <v>971</v>
      </c>
      <c r="C1507" s="2" t="s">
        <v>5043</v>
      </c>
      <c r="D1507" s="2" t="s">
        <v>8409</v>
      </c>
    </row>
    <row r="1508" spans="1:4" x14ac:dyDescent="0.2">
      <c r="A1508" s="41" t="s">
        <v>6529</v>
      </c>
      <c r="B1508" s="2" t="s">
        <v>971</v>
      </c>
      <c r="C1508" s="2" t="s">
        <v>5043</v>
      </c>
      <c r="D1508" s="2" t="s">
        <v>8409</v>
      </c>
    </row>
    <row r="1509" spans="1:4" x14ac:dyDescent="0.2">
      <c r="A1509" s="41" t="s">
        <v>6530</v>
      </c>
      <c r="B1509" s="2" t="s">
        <v>971</v>
      </c>
      <c r="C1509" s="2" t="s">
        <v>5043</v>
      </c>
      <c r="D1509" s="2" t="s">
        <v>8409</v>
      </c>
    </row>
    <row r="1510" spans="1:4" x14ac:dyDescent="0.2">
      <c r="A1510" s="41" t="s">
        <v>6531</v>
      </c>
      <c r="B1510" s="2" t="s">
        <v>971</v>
      </c>
      <c r="C1510" s="2" t="s">
        <v>5043</v>
      </c>
      <c r="D1510" s="2" t="s">
        <v>8409</v>
      </c>
    </row>
    <row r="1511" spans="1:4" x14ac:dyDescent="0.2">
      <c r="A1511" s="41" t="s">
        <v>2655</v>
      </c>
      <c r="B1511" s="2" t="s">
        <v>476</v>
      </c>
      <c r="C1511" s="2" t="s">
        <v>5043</v>
      </c>
      <c r="D1511" s="2" t="s">
        <v>8409</v>
      </c>
    </row>
    <row r="1512" spans="1:4" x14ac:dyDescent="0.2">
      <c r="A1512" s="41" t="s">
        <v>3263</v>
      </c>
      <c r="B1512" s="2" t="s">
        <v>972</v>
      </c>
      <c r="C1512" s="2" t="s">
        <v>5043</v>
      </c>
      <c r="D1512" s="2" t="s">
        <v>8409</v>
      </c>
    </row>
    <row r="1513" spans="1:4" x14ac:dyDescent="0.2">
      <c r="A1513" s="41" t="s">
        <v>3264</v>
      </c>
      <c r="B1513" s="2" t="s">
        <v>972</v>
      </c>
      <c r="C1513" s="2" t="s">
        <v>5043</v>
      </c>
      <c r="D1513" s="2" t="s">
        <v>8409</v>
      </c>
    </row>
    <row r="1514" spans="1:4" x14ac:dyDescent="0.2">
      <c r="A1514" s="41" t="s">
        <v>6532</v>
      </c>
      <c r="B1514" s="2" t="s">
        <v>973</v>
      </c>
      <c r="C1514" s="2" t="s">
        <v>5043</v>
      </c>
      <c r="D1514" s="2" t="s">
        <v>8409</v>
      </c>
    </row>
    <row r="1515" spans="1:4" x14ac:dyDescent="0.2">
      <c r="A1515" s="41" t="s">
        <v>6533</v>
      </c>
      <c r="B1515" s="2" t="s">
        <v>477</v>
      </c>
      <c r="C1515" s="2" t="s">
        <v>5043</v>
      </c>
      <c r="D1515" s="2" t="s">
        <v>8404</v>
      </c>
    </row>
    <row r="1516" spans="1:4" x14ac:dyDescent="0.2">
      <c r="A1516" s="41" t="s">
        <v>6534</v>
      </c>
      <c r="B1516" s="2" t="s">
        <v>477</v>
      </c>
      <c r="C1516" s="2" t="s">
        <v>5043</v>
      </c>
      <c r="D1516" s="2" t="s">
        <v>8404</v>
      </c>
    </row>
    <row r="1517" spans="1:4" x14ac:dyDescent="0.2">
      <c r="A1517" s="41" t="s">
        <v>6535</v>
      </c>
      <c r="B1517" s="2" t="s">
        <v>477</v>
      </c>
      <c r="C1517" s="2" t="s">
        <v>5043</v>
      </c>
      <c r="D1517" s="2" t="s">
        <v>8404</v>
      </c>
    </row>
    <row r="1518" spans="1:4" x14ac:dyDescent="0.2">
      <c r="A1518" s="41" t="s">
        <v>6536</v>
      </c>
      <c r="B1518" s="2" t="s">
        <v>477</v>
      </c>
      <c r="C1518" s="2" t="s">
        <v>5043</v>
      </c>
      <c r="D1518" s="2" t="s">
        <v>8404</v>
      </c>
    </row>
    <row r="1519" spans="1:4" x14ac:dyDescent="0.2">
      <c r="A1519" s="41" t="s">
        <v>2910</v>
      </c>
      <c r="B1519" s="2" t="s">
        <v>477</v>
      </c>
      <c r="C1519" s="2" t="s">
        <v>5043</v>
      </c>
      <c r="D1519" s="2" t="s">
        <v>8409</v>
      </c>
    </row>
    <row r="1520" spans="1:4" x14ac:dyDescent="0.2">
      <c r="A1520" s="41" t="s">
        <v>6537</v>
      </c>
      <c r="B1520" s="2" t="s">
        <v>549</v>
      </c>
      <c r="C1520" s="2" t="s">
        <v>5043</v>
      </c>
      <c r="D1520" s="2" t="s">
        <v>8404</v>
      </c>
    </row>
    <row r="1521" spans="1:4" x14ac:dyDescent="0.2">
      <c r="A1521" s="41" t="s">
        <v>6538</v>
      </c>
      <c r="B1521" s="2" t="s">
        <v>550</v>
      </c>
      <c r="C1521" s="2" t="s">
        <v>5043</v>
      </c>
      <c r="D1521" s="2" t="s">
        <v>8404</v>
      </c>
    </row>
    <row r="1522" spans="1:4" x14ac:dyDescent="0.2">
      <c r="A1522" s="41" t="s">
        <v>6539</v>
      </c>
      <c r="B1522" s="2" t="s">
        <v>237</v>
      </c>
      <c r="C1522" s="2" t="s">
        <v>5043</v>
      </c>
      <c r="D1522" s="2" t="s">
        <v>8404</v>
      </c>
    </row>
    <row r="1523" spans="1:4" x14ac:dyDescent="0.2">
      <c r="A1523" s="41" t="s">
        <v>6540</v>
      </c>
      <c r="B1523" s="2" t="s">
        <v>237</v>
      </c>
      <c r="C1523" s="2" t="s">
        <v>5043</v>
      </c>
      <c r="D1523" s="2" t="s">
        <v>8404</v>
      </c>
    </row>
    <row r="1524" spans="1:4" x14ac:dyDescent="0.2">
      <c r="A1524" s="41" t="s">
        <v>2654</v>
      </c>
      <c r="B1524" s="2" t="s">
        <v>974</v>
      </c>
      <c r="C1524" s="2" t="s">
        <v>5043</v>
      </c>
      <c r="D1524" s="2" t="s">
        <v>8409</v>
      </c>
    </row>
    <row r="1525" spans="1:4" x14ac:dyDescent="0.2">
      <c r="A1525" s="41" t="s">
        <v>3304</v>
      </c>
      <c r="B1525" s="2" t="s">
        <v>238</v>
      </c>
      <c r="C1525" s="2" t="s">
        <v>5043</v>
      </c>
      <c r="D1525" s="2" t="s">
        <v>8404</v>
      </c>
    </row>
    <row r="1526" spans="1:4" x14ac:dyDescent="0.2">
      <c r="A1526" s="41" t="s">
        <v>6541</v>
      </c>
      <c r="B1526" s="2" t="s">
        <v>238</v>
      </c>
      <c r="C1526" s="2" t="s">
        <v>5043</v>
      </c>
      <c r="D1526" s="2" t="s">
        <v>8409</v>
      </c>
    </row>
    <row r="1527" spans="1:4" x14ac:dyDescent="0.2">
      <c r="A1527" s="41" t="s">
        <v>6542</v>
      </c>
      <c r="B1527" s="2" t="s">
        <v>238</v>
      </c>
      <c r="C1527" s="2" t="s">
        <v>5043</v>
      </c>
      <c r="D1527" s="2" t="s">
        <v>8409</v>
      </c>
    </row>
    <row r="1528" spans="1:4" x14ac:dyDescent="0.2">
      <c r="A1528" s="41" t="s">
        <v>3303</v>
      </c>
      <c r="B1528" s="2" t="s">
        <v>316</v>
      </c>
      <c r="C1528" s="2" t="s">
        <v>5043</v>
      </c>
      <c r="D1528" s="2" t="s">
        <v>8404</v>
      </c>
    </row>
    <row r="1529" spans="1:4" x14ac:dyDescent="0.2">
      <c r="A1529" s="41" t="s">
        <v>6543</v>
      </c>
      <c r="B1529" s="2" t="s">
        <v>316</v>
      </c>
      <c r="C1529" s="2" t="s">
        <v>5043</v>
      </c>
      <c r="D1529" s="2" t="s">
        <v>8409</v>
      </c>
    </row>
    <row r="1530" spans="1:4" x14ac:dyDescent="0.2">
      <c r="A1530" s="41" t="s">
        <v>6544</v>
      </c>
      <c r="B1530" s="2" t="s">
        <v>316</v>
      </c>
      <c r="C1530" s="2" t="s">
        <v>5043</v>
      </c>
      <c r="D1530" s="2" t="s">
        <v>8409</v>
      </c>
    </row>
    <row r="1531" spans="1:4" x14ac:dyDescent="0.2">
      <c r="A1531" s="41" t="s">
        <v>6545</v>
      </c>
      <c r="B1531" s="2" t="s">
        <v>1183</v>
      </c>
      <c r="C1531" s="2" t="s">
        <v>5043</v>
      </c>
      <c r="D1531" s="2" t="s">
        <v>8409</v>
      </c>
    </row>
    <row r="1532" spans="1:4" x14ac:dyDescent="0.2">
      <c r="A1532" s="41" t="s">
        <v>6546</v>
      </c>
      <c r="B1532" s="2" t="s">
        <v>1184</v>
      </c>
      <c r="C1532" s="2" t="s">
        <v>5043</v>
      </c>
      <c r="D1532" s="2" t="s">
        <v>8409</v>
      </c>
    </row>
    <row r="1533" spans="1:4" x14ac:dyDescent="0.2">
      <c r="A1533" s="41" t="s">
        <v>3305</v>
      </c>
      <c r="B1533" s="2" t="s">
        <v>551</v>
      </c>
      <c r="C1533" s="2" t="s">
        <v>5043</v>
      </c>
      <c r="D1533" s="2" t="s">
        <v>8404</v>
      </c>
    </row>
    <row r="1534" spans="1:4" x14ac:dyDescent="0.2">
      <c r="A1534" s="41" t="s">
        <v>6547</v>
      </c>
      <c r="B1534" s="2" t="s">
        <v>975</v>
      </c>
      <c r="C1534" s="2" t="s">
        <v>5043</v>
      </c>
      <c r="D1534" s="2" t="s">
        <v>8409</v>
      </c>
    </row>
    <row r="1535" spans="1:4" x14ac:dyDescent="0.2">
      <c r="A1535" s="41" t="s">
        <v>6548</v>
      </c>
      <c r="B1535" s="2" t="s">
        <v>588</v>
      </c>
      <c r="C1535" s="2" t="s">
        <v>5043</v>
      </c>
      <c r="D1535" s="2" t="s">
        <v>8404</v>
      </c>
    </row>
    <row r="1536" spans="1:4" x14ac:dyDescent="0.2">
      <c r="A1536" s="41" t="s">
        <v>4199</v>
      </c>
      <c r="B1536" s="2" t="s">
        <v>976</v>
      </c>
      <c r="C1536" s="2" t="s">
        <v>5043</v>
      </c>
      <c r="D1536" s="2" t="s">
        <v>8409</v>
      </c>
    </row>
    <row r="1537" spans="1:4" x14ac:dyDescent="0.2">
      <c r="A1537" s="41" t="s">
        <v>6549</v>
      </c>
      <c r="B1537" s="2" t="s">
        <v>977</v>
      </c>
      <c r="C1537" s="2" t="s">
        <v>5043</v>
      </c>
      <c r="D1537" s="2" t="s">
        <v>8409</v>
      </c>
    </row>
    <row r="1538" spans="1:4" x14ac:dyDescent="0.2">
      <c r="A1538" s="41" t="s">
        <v>6550</v>
      </c>
      <c r="B1538" s="2" t="s">
        <v>317</v>
      </c>
      <c r="C1538" s="2" t="s">
        <v>5043</v>
      </c>
      <c r="D1538" s="2" t="s">
        <v>8404</v>
      </c>
    </row>
    <row r="1539" spans="1:4" x14ac:dyDescent="0.2">
      <c r="A1539" s="41" t="s">
        <v>6551</v>
      </c>
      <c r="B1539" s="2" t="s">
        <v>239</v>
      </c>
      <c r="C1539" s="2" t="s">
        <v>5043</v>
      </c>
      <c r="D1539" s="2" t="s">
        <v>8420</v>
      </c>
    </row>
    <row r="1540" spans="1:4" x14ac:dyDescent="0.2">
      <c r="A1540" s="41" t="s">
        <v>6552</v>
      </c>
      <c r="B1540" s="2" t="s">
        <v>239</v>
      </c>
      <c r="C1540" s="2" t="s">
        <v>5043</v>
      </c>
      <c r="D1540" s="2" t="s">
        <v>8420</v>
      </c>
    </row>
    <row r="1541" spans="1:4" x14ac:dyDescent="0.2">
      <c r="A1541" s="41" t="s">
        <v>3173</v>
      </c>
      <c r="B1541" s="2" t="s">
        <v>239</v>
      </c>
      <c r="C1541" s="2" t="s">
        <v>5043</v>
      </c>
      <c r="D1541" s="2" t="s">
        <v>8420</v>
      </c>
    </row>
    <row r="1542" spans="1:4" x14ac:dyDescent="0.2">
      <c r="A1542" s="41" t="s">
        <v>3174</v>
      </c>
      <c r="B1542" s="2" t="s">
        <v>239</v>
      </c>
      <c r="C1542" s="2" t="s">
        <v>5043</v>
      </c>
      <c r="D1542" s="2" t="s">
        <v>8420</v>
      </c>
    </row>
    <row r="1543" spans="1:4" x14ac:dyDescent="0.2">
      <c r="A1543" s="41" t="s">
        <v>3175</v>
      </c>
      <c r="B1543" s="2" t="s">
        <v>552</v>
      </c>
      <c r="C1543" s="2" t="s">
        <v>5043</v>
      </c>
      <c r="D1543" s="2" t="s">
        <v>8421</v>
      </c>
    </row>
    <row r="1544" spans="1:4" x14ac:dyDescent="0.2">
      <c r="A1544" s="41" t="s">
        <v>6553</v>
      </c>
      <c r="B1544" s="2" t="s">
        <v>552</v>
      </c>
      <c r="C1544" s="2" t="s">
        <v>5043</v>
      </c>
      <c r="D1544" s="2" t="s">
        <v>8421</v>
      </c>
    </row>
    <row r="1545" spans="1:4" x14ac:dyDescent="0.2">
      <c r="A1545" s="41" t="s">
        <v>6554</v>
      </c>
      <c r="B1545" s="2" t="s">
        <v>552</v>
      </c>
      <c r="C1545" s="2" t="s">
        <v>5043</v>
      </c>
      <c r="D1545" s="2" t="s">
        <v>8421</v>
      </c>
    </row>
    <row r="1546" spans="1:4" x14ac:dyDescent="0.2">
      <c r="A1546" s="41" t="s">
        <v>6555</v>
      </c>
      <c r="B1546" s="2" t="s">
        <v>479</v>
      </c>
      <c r="C1546" s="2" t="s">
        <v>5043</v>
      </c>
      <c r="D1546" s="2" t="s">
        <v>8404</v>
      </c>
    </row>
    <row r="1547" spans="1:4" x14ac:dyDescent="0.2">
      <c r="A1547" s="41" t="s">
        <v>6556</v>
      </c>
      <c r="B1547" s="2" t="s">
        <v>478</v>
      </c>
      <c r="C1547" s="2" t="s">
        <v>5043</v>
      </c>
      <c r="D1547" s="2" t="s">
        <v>8404</v>
      </c>
    </row>
    <row r="1548" spans="1:4" x14ac:dyDescent="0.2">
      <c r="A1548" s="41" t="s">
        <v>6557</v>
      </c>
      <c r="B1548" s="2" t="s">
        <v>478</v>
      </c>
      <c r="C1548" s="2" t="s">
        <v>5043</v>
      </c>
      <c r="D1548" s="2" t="s">
        <v>8404</v>
      </c>
    </row>
    <row r="1549" spans="1:4" x14ac:dyDescent="0.2">
      <c r="A1549" s="41" t="s">
        <v>6558</v>
      </c>
      <c r="B1549" s="2" t="s">
        <v>478</v>
      </c>
      <c r="C1549" s="2" t="s">
        <v>5043</v>
      </c>
      <c r="D1549" s="2" t="s">
        <v>8404</v>
      </c>
    </row>
    <row r="1550" spans="1:4" x14ac:dyDescent="0.2">
      <c r="A1550" s="41" t="s">
        <v>6559</v>
      </c>
      <c r="B1550" s="2" t="s">
        <v>478</v>
      </c>
      <c r="C1550" s="2" t="s">
        <v>5043</v>
      </c>
      <c r="D1550" s="2" t="s">
        <v>8404</v>
      </c>
    </row>
    <row r="1551" spans="1:4" x14ac:dyDescent="0.2">
      <c r="A1551" s="41" t="s">
        <v>6560</v>
      </c>
      <c r="B1551" s="2" t="s">
        <v>478</v>
      </c>
      <c r="C1551" s="2" t="s">
        <v>5043</v>
      </c>
      <c r="D1551" s="2" t="s">
        <v>8404</v>
      </c>
    </row>
    <row r="1552" spans="1:4" x14ac:dyDescent="0.2">
      <c r="A1552" s="41" t="s">
        <v>6561</v>
      </c>
      <c r="B1552" s="2" t="s">
        <v>478</v>
      </c>
      <c r="C1552" s="2" t="s">
        <v>5043</v>
      </c>
      <c r="D1552" s="2" t="s">
        <v>8404</v>
      </c>
    </row>
    <row r="1553" spans="1:4" x14ac:dyDescent="0.2">
      <c r="A1553" s="41" t="s">
        <v>6562</v>
      </c>
      <c r="B1553" s="2" t="s">
        <v>480</v>
      </c>
      <c r="C1553" s="2" t="s">
        <v>5043</v>
      </c>
      <c r="D1553" s="2" t="s">
        <v>8404</v>
      </c>
    </row>
    <row r="1554" spans="1:4" x14ac:dyDescent="0.2">
      <c r="A1554" s="41" t="s">
        <v>6563</v>
      </c>
      <c r="B1554" s="2" t="s">
        <v>480</v>
      </c>
      <c r="C1554" s="2" t="s">
        <v>5043</v>
      </c>
      <c r="D1554" s="2" t="s">
        <v>8404</v>
      </c>
    </row>
    <row r="1555" spans="1:4" x14ac:dyDescent="0.2">
      <c r="A1555" s="41" t="s">
        <v>2701</v>
      </c>
      <c r="B1555" s="2" t="s">
        <v>240</v>
      </c>
      <c r="C1555" s="2" t="s">
        <v>5043</v>
      </c>
      <c r="D1555" s="2" t="s">
        <v>8404</v>
      </c>
    </row>
    <row r="1556" spans="1:4" x14ac:dyDescent="0.2">
      <c r="A1556" s="41" t="s">
        <v>3867</v>
      </c>
      <c r="B1556" s="2" t="s">
        <v>240</v>
      </c>
      <c r="C1556" s="2" t="s">
        <v>5043</v>
      </c>
      <c r="D1556" s="2" t="s">
        <v>8409</v>
      </c>
    </row>
    <row r="1557" spans="1:4" x14ac:dyDescent="0.2">
      <c r="A1557" s="41" t="s">
        <v>6564</v>
      </c>
      <c r="B1557" s="2" t="s">
        <v>240</v>
      </c>
      <c r="C1557" s="2" t="s">
        <v>5043</v>
      </c>
      <c r="D1557" s="2" t="s">
        <v>8409</v>
      </c>
    </row>
    <row r="1558" spans="1:4" x14ac:dyDescent="0.2">
      <c r="A1558" s="41" t="s">
        <v>6565</v>
      </c>
      <c r="B1558" s="2" t="s">
        <v>978</v>
      </c>
      <c r="C1558" s="2" t="s">
        <v>5043</v>
      </c>
      <c r="D1558" s="2" t="s">
        <v>8409</v>
      </c>
    </row>
    <row r="1559" spans="1:4" x14ac:dyDescent="0.2">
      <c r="A1559" s="41" t="s">
        <v>6566</v>
      </c>
      <c r="B1559" s="2" t="s">
        <v>978</v>
      </c>
      <c r="C1559" s="2" t="s">
        <v>5043</v>
      </c>
      <c r="D1559" s="2" t="s">
        <v>8409</v>
      </c>
    </row>
    <row r="1560" spans="1:4" x14ac:dyDescent="0.2">
      <c r="A1560" s="41" t="s">
        <v>2705</v>
      </c>
      <c r="B1560" s="2" t="s">
        <v>241</v>
      </c>
      <c r="C1560" s="2" t="s">
        <v>5043</v>
      </c>
      <c r="D1560" s="2" t="s">
        <v>8404</v>
      </c>
    </row>
    <row r="1561" spans="1:4" x14ac:dyDescent="0.2">
      <c r="A1561" s="41" t="s">
        <v>6567</v>
      </c>
      <c r="B1561" s="2" t="s">
        <v>241</v>
      </c>
      <c r="C1561" s="2" t="s">
        <v>5043</v>
      </c>
      <c r="D1561" s="2" t="s">
        <v>8404</v>
      </c>
    </row>
    <row r="1562" spans="1:4" x14ac:dyDescent="0.2">
      <c r="A1562" s="41" t="s">
        <v>6568</v>
      </c>
      <c r="B1562" s="2" t="s">
        <v>241</v>
      </c>
      <c r="C1562" s="2" t="s">
        <v>5043</v>
      </c>
      <c r="D1562" s="2" t="s">
        <v>8404</v>
      </c>
    </row>
    <row r="1563" spans="1:4" x14ac:dyDescent="0.2">
      <c r="A1563" s="41" t="s">
        <v>2864</v>
      </c>
      <c r="B1563" s="2" t="s">
        <v>241</v>
      </c>
      <c r="C1563" s="2" t="s">
        <v>5043</v>
      </c>
      <c r="D1563" s="2" t="s">
        <v>8404</v>
      </c>
    </row>
    <row r="1564" spans="1:4" x14ac:dyDescent="0.2">
      <c r="A1564" s="41" t="s">
        <v>6569</v>
      </c>
      <c r="B1564" s="2" t="s">
        <v>241</v>
      </c>
      <c r="C1564" s="2" t="s">
        <v>5043</v>
      </c>
      <c r="D1564" s="2" t="s">
        <v>8404</v>
      </c>
    </row>
    <row r="1565" spans="1:4" x14ac:dyDescent="0.2">
      <c r="A1565" s="41" t="s">
        <v>3005</v>
      </c>
      <c r="B1565" s="2" t="s">
        <v>241</v>
      </c>
      <c r="C1565" s="2" t="s">
        <v>5043</v>
      </c>
      <c r="D1565" s="2" t="s">
        <v>8404</v>
      </c>
    </row>
    <row r="1566" spans="1:4" x14ac:dyDescent="0.2">
      <c r="A1566" s="41" t="s">
        <v>6570</v>
      </c>
      <c r="B1566" s="2" t="s">
        <v>241</v>
      </c>
      <c r="C1566" s="2" t="s">
        <v>5043</v>
      </c>
      <c r="D1566" s="2" t="s">
        <v>8404</v>
      </c>
    </row>
    <row r="1567" spans="1:4" x14ac:dyDescent="0.2">
      <c r="A1567" s="41" t="s">
        <v>3068</v>
      </c>
      <c r="B1567" s="2" t="s">
        <v>241</v>
      </c>
      <c r="C1567" s="2" t="s">
        <v>5043</v>
      </c>
      <c r="D1567" s="2" t="s">
        <v>8404</v>
      </c>
    </row>
    <row r="1568" spans="1:4" x14ac:dyDescent="0.2">
      <c r="A1568" s="41" t="s">
        <v>3109</v>
      </c>
      <c r="B1568" s="2" t="s">
        <v>241</v>
      </c>
      <c r="C1568" s="2" t="s">
        <v>5043</v>
      </c>
      <c r="D1568" s="2" t="s">
        <v>8404</v>
      </c>
    </row>
    <row r="1569" spans="1:4" x14ac:dyDescent="0.2">
      <c r="A1569" s="41" t="s">
        <v>3116</v>
      </c>
      <c r="B1569" s="2" t="s">
        <v>241</v>
      </c>
      <c r="C1569" s="2" t="s">
        <v>5043</v>
      </c>
      <c r="D1569" s="2" t="s">
        <v>8404</v>
      </c>
    </row>
    <row r="1570" spans="1:4" x14ac:dyDescent="0.2">
      <c r="A1570" s="41" t="s">
        <v>3117</v>
      </c>
      <c r="B1570" s="2" t="s">
        <v>241</v>
      </c>
      <c r="C1570" s="2" t="s">
        <v>5043</v>
      </c>
      <c r="D1570" s="2" t="s">
        <v>8404</v>
      </c>
    </row>
    <row r="1571" spans="1:4" x14ac:dyDescent="0.2">
      <c r="A1571" s="41" t="s">
        <v>6571</v>
      </c>
      <c r="B1571" s="2" t="s">
        <v>241</v>
      </c>
      <c r="C1571" s="2" t="s">
        <v>5043</v>
      </c>
      <c r="D1571" s="2" t="s">
        <v>8404</v>
      </c>
    </row>
    <row r="1572" spans="1:4" x14ac:dyDescent="0.2">
      <c r="A1572" s="41" t="s">
        <v>6572</v>
      </c>
      <c r="B1572" s="2" t="s">
        <v>979</v>
      </c>
      <c r="C1572" s="2" t="s">
        <v>5043</v>
      </c>
      <c r="D1572" s="2" t="s">
        <v>8409</v>
      </c>
    </row>
    <row r="1573" spans="1:4" x14ac:dyDescent="0.2">
      <c r="A1573" s="41" t="s">
        <v>6573</v>
      </c>
      <c r="B1573" s="2" t="s">
        <v>979</v>
      </c>
      <c r="C1573" s="2" t="s">
        <v>5043</v>
      </c>
      <c r="D1573" s="2" t="s">
        <v>8409</v>
      </c>
    </row>
    <row r="1574" spans="1:4" x14ac:dyDescent="0.2">
      <c r="A1574" s="41" t="s">
        <v>6574</v>
      </c>
      <c r="B1574" s="2" t="s">
        <v>481</v>
      </c>
      <c r="C1574" s="2" t="s">
        <v>5043</v>
      </c>
      <c r="D1574" s="2" t="s">
        <v>8404</v>
      </c>
    </row>
    <row r="1575" spans="1:4" x14ac:dyDescent="0.2">
      <c r="A1575" s="41" t="s">
        <v>6575</v>
      </c>
      <c r="B1575" s="2" t="s">
        <v>482</v>
      </c>
      <c r="C1575" s="2" t="s">
        <v>5043</v>
      </c>
      <c r="D1575" s="2" t="s">
        <v>8404</v>
      </c>
    </row>
    <row r="1576" spans="1:4" x14ac:dyDescent="0.2">
      <c r="A1576" s="41" t="s">
        <v>6576</v>
      </c>
      <c r="B1576" s="2" t="s">
        <v>318</v>
      </c>
      <c r="C1576" s="2" t="s">
        <v>5043</v>
      </c>
      <c r="D1576" s="2" t="s">
        <v>8404</v>
      </c>
    </row>
    <row r="1577" spans="1:4" x14ac:dyDescent="0.2">
      <c r="A1577" s="41" t="s">
        <v>6577</v>
      </c>
      <c r="B1577" s="2" t="s">
        <v>372</v>
      </c>
      <c r="C1577" s="2" t="s">
        <v>5043</v>
      </c>
      <c r="D1577" s="2" t="s">
        <v>8404</v>
      </c>
    </row>
    <row r="1578" spans="1:4" x14ac:dyDescent="0.2">
      <c r="A1578" s="41" t="s">
        <v>6578</v>
      </c>
      <c r="B1578" s="2" t="s">
        <v>373</v>
      </c>
      <c r="C1578" s="2" t="s">
        <v>5043</v>
      </c>
      <c r="D1578" s="2" t="s">
        <v>8404</v>
      </c>
    </row>
    <row r="1579" spans="1:4" x14ac:dyDescent="0.2">
      <c r="A1579" s="41" t="s">
        <v>6579</v>
      </c>
      <c r="B1579" s="2" t="s">
        <v>242</v>
      </c>
      <c r="C1579" s="2" t="s">
        <v>5043</v>
      </c>
      <c r="D1579" s="2" t="s">
        <v>8404</v>
      </c>
    </row>
    <row r="1580" spans="1:4" x14ac:dyDescent="0.2">
      <c r="A1580" s="41" t="s">
        <v>6580</v>
      </c>
      <c r="B1580" s="2" t="s">
        <v>242</v>
      </c>
      <c r="C1580" s="2" t="s">
        <v>5043</v>
      </c>
      <c r="D1580" s="2" t="s">
        <v>8404</v>
      </c>
    </row>
    <row r="1581" spans="1:4" x14ac:dyDescent="0.2">
      <c r="A1581" s="41" t="s">
        <v>6581</v>
      </c>
      <c r="B1581" s="2" t="s">
        <v>374</v>
      </c>
      <c r="C1581" s="2" t="s">
        <v>5043</v>
      </c>
      <c r="D1581" s="2" t="s">
        <v>8404</v>
      </c>
    </row>
    <row r="1582" spans="1:4" x14ac:dyDescent="0.2">
      <c r="A1582" s="41" t="s">
        <v>6582</v>
      </c>
      <c r="B1582" s="2" t="s">
        <v>483</v>
      </c>
      <c r="C1582" s="2" t="s">
        <v>5043</v>
      </c>
      <c r="D1582" s="2" t="s">
        <v>8404</v>
      </c>
    </row>
    <row r="1583" spans="1:4" x14ac:dyDescent="0.2">
      <c r="A1583" s="41" t="s">
        <v>6583</v>
      </c>
      <c r="B1583" s="2" t="s">
        <v>319</v>
      </c>
      <c r="C1583" s="2" t="s">
        <v>5043</v>
      </c>
      <c r="D1583" s="2" t="s">
        <v>8404</v>
      </c>
    </row>
    <row r="1584" spans="1:4" x14ac:dyDescent="0.2">
      <c r="A1584" s="41" t="s">
        <v>6584</v>
      </c>
      <c r="B1584" s="2" t="s">
        <v>319</v>
      </c>
      <c r="C1584" s="2" t="s">
        <v>5043</v>
      </c>
      <c r="D1584" s="2" t="s">
        <v>8404</v>
      </c>
    </row>
    <row r="1585" spans="1:4" x14ac:dyDescent="0.2">
      <c r="A1585" s="41" t="s">
        <v>6585</v>
      </c>
      <c r="B1585" s="2" t="s">
        <v>522</v>
      </c>
      <c r="C1585" s="2" t="s">
        <v>5043</v>
      </c>
      <c r="D1585" s="2" t="s">
        <v>8404</v>
      </c>
    </row>
    <row r="1586" spans="1:4" x14ac:dyDescent="0.2">
      <c r="A1586" s="41" t="s">
        <v>6586</v>
      </c>
      <c r="B1586" s="2" t="s">
        <v>522</v>
      </c>
      <c r="C1586" s="2" t="s">
        <v>5043</v>
      </c>
      <c r="D1586" s="2" t="s">
        <v>8404</v>
      </c>
    </row>
    <row r="1587" spans="1:4" x14ac:dyDescent="0.2">
      <c r="A1587" s="41" t="s">
        <v>6587</v>
      </c>
      <c r="B1587" s="2" t="s">
        <v>522</v>
      </c>
      <c r="C1587" s="2" t="s">
        <v>5043</v>
      </c>
      <c r="D1587" s="2" t="s">
        <v>8404</v>
      </c>
    </row>
    <row r="1588" spans="1:4" x14ac:dyDescent="0.2">
      <c r="A1588" s="41" t="s">
        <v>6588</v>
      </c>
      <c r="B1588" s="2" t="s">
        <v>243</v>
      </c>
      <c r="C1588" s="2" t="s">
        <v>5043</v>
      </c>
      <c r="D1588" s="2" t="s">
        <v>8404</v>
      </c>
    </row>
    <row r="1589" spans="1:4" x14ac:dyDescent="0.2">
      <c r="A1589" s="41" t="s">
        <v>6589</v>
      </c>
      <c r="B1589" s="2" t="s">
        <v>320</v>
      </c>
      <c r="C1589" s="2" t="s">
        <v>5043</v>
      </c>
      <c r="D1589" s="2" t="s">
        <v>8404</v>
      </c>
    </row>
    <row r="1590" spans="1:4" x14ac:dyDescent="0.2">
      <c r="A1590" s="41" t="s">
        <v>6590</v>
      </c>
      <c r="B1590" s="2" t="s">
        <v>320</v>
      </c>
      <c r="C1590" s="2" t="s">
        <v>5043</v>
      </c>
      <c r="D1590" s="2" t="s">
        <v>8404</v>
      </c>
    </row>
    <row r="1591" spans="1:4" x14ac:dyDescent="0.2">
      <c r="A1591" s="41" t="s">
        <v>6591</v>
      </c>
      <c r="B1591" s="2" t="s">
        <v>244</v>
      </c>
      <c r="C1591" s="2" t="s">
        <v>5043</v>
      </c>
      <c r="D1591" s="2" t="s">
        <v>8404</v>
      </c>
    </row>
    <row r="1592" spans="1:4" x14ac:dyDescent="0.2">
      <c r="A1592" s="41" t="s">
        <v>6592</v>
      </c>
      <c r="B1592" s="2" t="s">
        <v>321</v>
      </c>
      <c r="C1592" s="2" t="s">
        <v>5043</v>
      </c>
      <c r="D1592" s="2" t="s">
        <v>8404</v>
      </c>
    </row>
    <row r="1593" spans="1:4" x14ac:dyDescent="0.2">
      <c r="A1593" s="41" t="s">
        <v>6593</v>
      </c>
      <c r="B1593" s="2" t="s">
        <v>245</v>
      </c>
      <c r="C1593" s="2" t="s">
        <v>5043</v>
      </c>
      <c r="D1593" s="2" t="s">
        <v>8404</v>
      </c>
    </row>
    <row r="1594" spans="1:4" x14ac:dyDescent="0.2">
      <c r="A1594" s="41" t="s">
        <v>6594</v>
      </c>
      <c r="B1594" s="2" t="s">
        <v>245</v>
      </c>
      <c r="C1594" s="2" t="s">
        <v>5043</v>
      </c>
      <c r="D1594" s="2" t="s">
        <v>8404</v>
      </c>
    </row>
    <row r="1595" spans="1:4" x14ac:dyDescent="0.2">
      <c r="A1595" s="41" t="s">
        <v>6595</v>
      </c>
      <c r="B1595" s="2" t="s">
        <v>375</v>
      </c>
      <c r="C1595" s="2" t="s">
        <v>5043</v>
      </c>
      <c r="D1595" s="2" t="s">
        <v>8404</v>
      </c>
    </row>
    <row r="1596" spans="1:4" x14ac:dyDescent="0.2">
      <c r="A1596" s="41" t="s">
        <v>3309</v>
      </c>
      <c r="B1596" s="2" t="s">
        <v>484</v>
      </c>
      <c r="C1596" s="2" t="s">
        <v>5043</v>
      </c>
      <c r="D1596" s="2" t="s">
        <v>8404</v>
      </c>
    </row>
    <row r="1597" spans="1:4" x14ac:dyDescent="0.2">
      <c r="A1597" s="41" t="s">
        <v>3310</v>
      </c>
      <c r="B1597" s="2" t="s">
        <v>484</v>
      </c>
      <c r="C1597" s="2" t="s">
        <v>5043</v>
      </c>
      <c r="D1597" s="2" t="s">
        <v>8404</v>
      </c>
    </row>
    <row r="1598" spans="1:4" x14ac:dyDescent="0.2">
      <c r="A1598" s="41" t="s">
        <v>3311</v>
      </c>
      <c r="B1598" s="2" t="s">
        <v>484</v>
      </c>
      <c r="C1598" s="2" t="s">
        <v>5043</v>
      </c>
      <c r="D1598" s="2" t="s">
        <v>8404</v>
      </c>
    </row>
    <row r="1599" spans="1:4" x14ac:dyDescent="0.2">
      <c r="A1599" s="41" t="s">
        <v>6596</v>
      </c>
      <c r="B1599" s="2" t="s">
        <v>484</v>
      </c>
      <c r="C1599" s="2" t="s">
        <v>5043</v>
      </c>
      <c r="D1599" s="2" t="s">
        <v>8404</v>
      </c>
    </row>
    <row r="1600" spans="1:4" x14ac:dyDescent="0.2">
      <c r="A1600" s="41" t="s">
        <v>6597</v>
      </c>
      <c r="B1600" s="2" t="s">
        <v>246</v>
      </c>
      <c r="C1600" s="2" t="s">
        <v>5043</v>
      </c>
      <c r="D1600" s="2" t="s">
        <v>8404</v>
      </c>
    </row>
    <row r="1601" spans="1:4" x14ac:dyDescent="0.2">
      <c r="A1601" s="41" t="s">
        <v>6598</v>
      </c>
      <c r="B1601" s="2" t="s">
        <v>246</v>
      </c>
      <c r="C1601" s="2" t="s">
        <v>5043</v>
      </c>
      <c r="D1601" s="2" t="s">
        <v>8404</v>
      </c>
    </row>
    <row r="1602" spans="1:4" x14ac:dyDescent="0.2">
      <c r="A1602" s="41" t="s">
        <v>6599</v>
      </c>
      <c r="B1602" s="2" t="s">
        <v>246</v>
      </c>
      <c r="C1602" s="2" t="s">
        <v>5043</v>
      </c>
      <c r="D1602" s="2" t="s">
        <v>8404</v>
      </c>
    </row>
    <row r="1603" spans="1:4" x14ac:dyDescent="0.2">
      <c r="A1603" s="41" t="s">
        <v>6600</v>
      </c>
      <c r="B1603" s="2" t="s">
        <v>246</v>
      </c>
      <c r="C1603" s="2" t="s">
        <v>5043</v>
      </c>
      <c r="D1603" s="2" t="s">
        <v>8404</v>
      </c>
    </row>
    <row r="1604" spans="1:4" x14ac:dyDescent="0.2">
      <c r="A1604" s="41" t="s">
        <v>6601</v>
      </c>
      <c r="B1604" s="2" t="s">
        <v>322</v>
      </c>
      <c r="C1604" s="2" t="s">
        <v>5043</v>
      </c>
      <c r="D1604" s="2" t="s">
        <v>8404</v>
      </c>
    </row>
    <row r="1605" spans="1:4" x14ac:dyDescent="0.2">
      <c r="A1605" s="41" t="s">
        <v>6602</v>
      </c>
      <c r="B1605" s="2" t="s">
        <v>322</v>
      </c>
      <c r="C1605" s="2" t="s">
        <v>5043</v>
      </c>
      <c r="D1605" s="2" t="s">
        <v>8404</v>
      </c>
    </row>
    <row r="1606" spans="1:4" x14ac:dyDescent="0.2">
      <c r="A1606" s="41" t="s">
        <v>6603</v>
      </c>
      <c r="B1606" s="2" t="s">
        <v>376</v>
      </c>
      <c r="C1606" s="2" t="s">
        <v>5043</v>
      </c>
      <c r="D1606" s="2" t="s">
        <v>8404</v>
      </c>
    </row>
    <row r="1607" spans="1:4" x14ac:dyDescent="0.2">
      <c r="A1607" s="41" t="s">
        <v>6604</v>
      </c>
      <c r="B1607" s="2" t="s">
        <v>376</v>
      </c>
      <c r="C1607" s="2" t="s">
        <v>5043</v>
      </c>
      <c r="D1607" s="2" t="s">
        <v>8404</v>
      </c>
    </row>
    <row r="1608" spans="1:4" x14ac:dyDescent="0.2">
      <c r="A1608" s="41" t="s">
        <v>4588</v>
      </c>
      <c r="B1608" s="2" t="s">
        <v>353</v>
      </c>
      <c r="C1608" s="2" t="s">
        <v>5043</v>
      </c>
      <c r="D1608" s="2" t="s">
        <v>8404</v>
      </c>
    </row>
    <row r="1609" spans="1:4" x14ac:dyDescent="0.2">
      <c r="A1609" s="41" t="s">
        <v>6605</v>
      </c>
      <c r="B1609" s="2" t="s">
        <v>589</v>
      </c>
      <c r="C1609" s="2" t="s">
        <v>5043</v>
      </c>
      <c r="D1609" s="2" t="s">
        <v>8409</v>
      </c>
    </row>
    <row r="1610" spans="1:4" x14ac:dyDescent="0.2">
      <c r="A1610" s="41" t="s">
        <v>6606</v>
      </c>
      <c r="B1610" s="2" t="s">
        <v>589</v>
      </c>
      <c r="C1610" s="2" t="s">
        <v>5043</v>
      </c>
      <c r="D1610" s="2" t="s">
        <v>8404</v>
      </c>
    </row>
    <row r="1611" spans="1:4" x14ac:dyDescent="0.2">
      <c r="A1611" s="41" t="s">
        <v>6607</v>
      </c>
      <c r="B1611" s="2" t="s">
        <v>485</v>
      </c>
      <c r="C1611" s="2" t="s">
        <v>5043</v>
      </c>
      <c r="D1611" s="2" t="s">
        <v>8404</v>
      </c>
    </row>
    <row r="1612" spans="1:4" x14ac:dyDescent="0.2">
      <c r="A1612" s="41" t="s">
        <v>6608</v>
      </c>
      <c r="B1612" s="2" t="s">
        <v>486</v>
      </c>
      <c r="C1612" s="2" t="s">
        <v>5043</v>
      </c>
      <c r="D1612" s="2" t="s">
        <v>8409</v>
      </c>
    </row>
    <row r="1613" spans="1:4" x14ac:dyDescent="0.2">
      <c r="A1613" s="41" t="s">
        <v>6609</v>
      </c>
      <c r="B1613" s="2" t="s">
        <v>590</v>
      </c>
      <c r="C1613" s="2" t="s">
        <v>5043</v>
      </c>
      <c r="D1613" s="2" t="s">
        <v>8409</v>
      </c>
    </row>
    <row r="1614" spans="1:4" x14ac:dyDescent="0.2">
      <c r="A1614" s="41" t="s">
        <v>6610</v>
      </c>
      <c r="B1614" s="2" t="s">
        <v>980</v>
      </c>
      <c r="C1614" s="2" t="s">
        <v>5043</v>
      </c>
      <c r="D1614" s="2" t="s">
        <v>8409</v>
      </c>
    </row>
    <row r="1615" spans="1:4" x14ac:dyDescent="0.2">
      <c r="A1615" s="41" t="s">
        <v>6611</v>
      </c>
      <c r="B1615" s="2" t="s">
        <v>980</v>
      </c>
      <c r="C1615" s="2" t="s">
        <v>5043</v>
      </c>
      <c r="D1615" s="2" t="s">
        <v>8409</v>
      </c>
    </row>
    <row r="1616" spans="1:4" x14ac:dyDescent="0.2">
      <c r="A1616" s="41" t="s">
        <v>6612</v>
      </c>
      <c r="B1616" s="2" t="s">
        <v>487</v>
      </c>
      <c r="C1616" s="2" t="s">
        <v>5043</v>
      </c>
      <c r="D1616" s="2" t="s">
        <v>8409</v>
      </c>
    </row>
    <row r="1617" spans="1:4" x14ac:dyDescent="0.2">
      <c r="A1617" s="41" t="s">
        <v>6613</v>
      </c>
      <c r="B1617" s="2" t="s">
        <v>487</v>
      </c>
      <c r="C1617" s="2" t="s">
        <v>5043</v>
      </c>
      <c r="D1617" s="2" t="s">
        <v>8404</v>
      </c>
    </row>
    <row r="1618" spans="1:4" x14ac:dyDescent="0.2">
      <c r="A1618" s="41" t="s">
        <v>5555</v>
      </c>
      <c r="B1618" s="2" t="s">
        <v>487</v>
      </c>
      <c r="C1618" s="2" t="s">
        <v>5043</v>
      </c>
      <c r="D1618" s="2" t="s">
        <v>8404</v>
      </c>
    </row>
    <row r="1619" spans="1:4" x14ac:dyDescent="0.2">
      <c r="A1619" s="41" t="s">
        <v>6614</v>
      </c>
      <c r="B1619" s="2" t="s">
        <v>488</v>
      </c>
      <c r="C1619" s="2" t="s">
        <v>5043</v>
      </c>
      <c r="D1619" s="2" t="s">
        <v>8409</v>
      </c>
    </row>
    <row r="1620" spans="1:4" x14ac:dyDescent="0.2">
      <c r="A1620" s="41" t="s">
        <v>6615</v>
      </c>
      <c r="B1620" s="2" t="s">
        <v>489</v>
      </c>
      <c r="C1620" s="2" t="s">
        <v>5043</v>
      </c>
      <c r="D1620" s="2" t="s">
        <v>8409</v>
      </c>
    </row>
    <row r="1621" spans="1:4" x14ac:dyDescent="0.2">
      <c r="A1621" s="41" t="s">
        <v>6616</v>
      </c>
      <c r="B1621" s="2" t="s">
        <v>490</v>
      </c>
      <c r="C1621" s="2" t="s">
        <v>5043</v>
      </c>
      <c r="D1621" s="2" t="s">
        <v>8404</v>
      </c>
    </row>
    <row r="1622" spans="1:4" x14ac:dyDescent="0.2">
      <c r="A1622" s="41" t="s">
        <v>6617</v>
      </c>
      <c r="B1622" s="2" t="s">
        <v>491</v>
      </c>
      <c r="C1622" s="2" t="s">
        <v>5043</v>
      </c>
      <c r="D1622" s="2" t="s">
        <v>8409</v>
      </c>
    </row>
    <row r="1623" spans="1:4" x14ac:dyDescent="0.2">
      <c r="A1623" s="41" t="s">
        <v>6618</v>
      </c>
      <c r="B1623" s="2" t="s">
        <v>401</v>
      </c>
      <c r="C1623" s="2" t="s">
        <v>5043</v>
      </c>
      <c r="D1623" s="2" t="s">
        <v>8404</v>
      </c>
    </row>
    <row r="1624" spans="1:4" x14ac:dyDescent="0.2">
      <c r="A1624" s="41" t="s">
        <v>6619</v>
      </c>
      <c r="B1624" s="2" t="s">
        <v>401</v>
      </c>
      <c r="C1624" s="2" t="s">
        <v>5043</v>
      </c>
      <c r="D1624" s="2" t="s">
        <v>8404</v>
      </c>
    </row>
    <row r="1625" spans="1:4" x14ac:dyDescent="0.2">
      <c r="A1625" s="41" t="s">
        <v>6620</v>
      </c>
      <c r="B1625" s="2" t="s">
        <v>401</v>
      </c>
      <c r="C1625" s="2" t="s">
        <v>5043</v>
      </c>
      <c r="D1625" s="2" t="s">
        <v>8404</v>
      </c>
    </row>
    <row r="1626" spans="1:4" x14ac:dyDescent="0.2">
      <c r="A1626" s="41" t="s">
        <v>6621</v>
      </c>
      <c r="B1626" s="2" t="s">
        <v>247</v>
      </c>
      <c r="C1626" s="2" t="s">
        <v>5043</v>
      </c>
      <c r="D1626" s="2" t="s">
        <v>8404</v>
      </c>
    </row>
    <row r="1627" spans="1:4" x14ac:dyDescent="0.2">
      <c r="A1627" s="41" t="s">
        <v>6622</v>
      </c>
      <c r="B1627" s="2" t="s">
        <v>492</v>
      </c>
      <c r="C1627" s="2" t="s">
        <v>5043</v>
      </c>
      <c r="D1627" s="2" t="s">
        <v>8404</v>
      </c>
    </row>
    <row r="1628" spans="1:4" x14ac:dyDescent="0.2">
      <c r="A1628" s="41" t="s">
        <v>6623</v>
      </c>
      <c r="B1628" s="2" t="s">
        <v>981</v>
      </c>
      <c r="C1628" s="2" t="s">
        <v>5043</v>
      </c>
      <c r="D1628" s="2" t="s">
        <v>8409</v>
      </c>
    </row>
    <row r="1629" spans="1:4" x14ac:dyDescent="0.2">
      <c r="A1629" s="41" t="s">
        <v>6624</v>
      </c>
      <c r="B1629" s="2" t="s">
        <v>981</v>
      </c>
      <c r="C1629" s="2" t="s">
        <v>5043</v>
      </c>
      <c r="D1629" s="2" t="s">
        <v>8409</v>
      </c>
    </row>
    <row r="1630" spans="1:4" x14ac:dyDescent="0.2">
      <c r="A1630" s="41" t="s">
        <v>6625</v>
      </c>
      <c r="B1630" s="2" t="s">
        <v>248</v>
      </c>
      <c r="C1630" s="2" t="s">
        <v>5043</v>
      </c>
      <c r="D1630" s="2" t="s">
        <v>8404</v>
      </c>
    </row>
    <row r="1631" spans="1:4" x14ac:dyDescent="0.2">
      <c r="A1631" s="41" t="s">
        <v>6626</v>
      </c>
      <c r="B1631" s="2" t="s">
        <v>248</v>
      </c>
      <c r="C1631" s="2" t="s">
        <v>5043</v>
      </c>
      <c r="D1631" s="2" t="s">
        <v>8404</v>
      </c>
    </row>
    <row r="1632" spans="1:4" x14ac:dyDescent="0.2">
      <c r="A1632" s="41" t="s">
        <v>6627</v>
      </c>
      <c r="B1632" s="2" t="s">
        <v>248</v>
      </c>
      <c r="C1632" s="2" t="s">
        <v>5043</v>
      </c>
      <c r="D1632" s="2" t="s">
        <v>8404</v>
      </c>
    </row>
    <row r="1633" spans="1:4" x14ac:dyDescent="0.2">
      <c r="A1633" s="41" t="s">
        <v>6628</v>
      </c>
      <c r="B1633" s="2" t="s">
        <v>493</v>
      </c>
      <c r="C1633" s="2" t="s">
        <v>5043</v>
      </c>
      <c r="D1633" s="2" t="s">
        <v>8404</v>
      </c>
    </row>
    <row r="1634" spans="1:4" x14ac:dyDescent="0.2">
      <c r="A1634" s="41" t="s">
        <v>6629</v>
      </c>
      <c r="B1634" s="2" t="s">
        <v>493</v>
      </c>
      <c r="C1634" s="2" t="s">
        <v>5043</v>
      </c>
      <c r="D1634" s="2" t="s">
        <v>8404</v>
      </c>
    </row>
    <row r="1635" spans="1:4" x14ac:dyDescent="0.2">
      <c r="A1635" s="41" t="s">
        <v>6630</v>
      </c>
      <c r="B1635" s="2" t="s">
        <v>493</v>
      </c>
      <c r="C1635" s="2" t="s">
        <v>5043</v>
      </c>
      <c r="D1635" s="2" t="s">
        <v>8404</v>
      </c>
    </row>
    <row r="1636" spans="1:4" x14ac:dyDescent="0.2">
      <c r="A1636" s="41" t="s">
        <v>6631</v>
      </c>
      <c r="B1636" s="2" t="s">
        <v>494</v>
      </c>
      <c r="C1636" s="2" t="s">
        <v>5043</v>
      </c>
      <c r="D1636" s="2" t="s">
        <v>8404</v>
      </c>
    </row>
    <row r="1637" spans="1:4" x14ac:dyDescent="0.2">
      <c r="A1637" s="41" t="s">
        <v>6632</v>
      </c>
      <c r="B1637" s="2" t="s">
        <v>494</v>
      </c>
      <c r="C1637" s="2" t="s">
        <v>5043</v>
      </c>
      <c r="D1637" s="2" t="s">
        <v>8404</v>
      </c>
    </row>
    <row r="1638" spans="1:4" x14ac:dyDescent="0.2">
      <c r="A1638" s="41" t="s">
        <v>6633</v>
      </c>
      <c r="B1638" s="2" t="s">
        <v>495</v>
      </c>
      <c r="C1638" s="2" t="s">
        <v>5043</v>
      </c>
      <c r="D1638" s="2" t="s">
        <v>8404</v>
      </c>
    </row>
    <row r="1639" spans="1:4" x14ac:dyDescent="0.2">
      <c r="A1639" s="41" t="s">
        <v>6634</v>
      </c>
      <c r="B1639" s="2" t="s">
        <v>495</v>
      </c>
      <c r="C1639" s="2" t="s">
        <v>5043</v>
      </c>
      <c r="D1639" s="2" t="s">
        <v>8404</v>
      </c>
    </row>
    <row r="1640" spans="1:4" x14ac:dyDescent="0.2">
      <c r="A1640" s="41" t="s">
        <v>3691</v>
      </c>
      <c r="B1640" s="2" t="s">
        <v>982</v>
      </c>
      <c r="C1640" s="2" t="s">
        <v>5043</v>
      </c>
      <c r="D1640" s="2" t="s">
        <v>8409</v>
      </c>
    </row>
    <row r="1641" spans="1:4" x14ac:dyDescent="0.2">
      <c r="A1641" s="41" t="s">
        <v>6635</v>
      </c>
      <c r="B1641" s="2" t="s">
        <v>523</v>
      </c>
      <c r="C1641" s="2" t="s">
        <v>5043</v>
      </c>
      <c r="D1641" s="2" t="s">
        <v>8404</v>
      </c>
    </row>
    <row r="1642" spans="1:4" x14ac:dyDescent="0.2">
      <c r="A1642" s="41" t="s">
        <v>3692</v>
      </c>
      <c r="B1642" s="2" t="s">
        <v>983</v>
      </c>
      <c r="C1642" s="2" t="s">
        <v>5043</v>
      </c>
      <c r="D1642" s="2" t="s">
        <v>8409</v>
      </c>
    </row>
    <row r="1643" spans="1:4" x14ac:dyDescent="0.2">
      <c r="A1643" s="41" t="s">
        <v>3693</v>
      </c>
      <c r="B1643" s="2" t="s">
        <v>984</v>
      </c>
      <c r="C1643" s="2" t="s">
        <v>5043</v>
      </c>
      <c r="D1643" s="2" t="s">
        <v>8409</v>
      </c>
    </row>
    <row r="1644" spans="1:4" x14ac:dyDescent="0.2">
      <c r="A1644" s="41" t="s">
        <v>3696</v>
      </c>
      <c r="B1644" s="2" t="s">
        <v>984</v>
      </c>
      <c r="C1644" s="2" t="s">
        <v>5043</v>
      </c>
      <c r="D1644" s="2" t="s">
        <v>8409</v>
      </c>
    </row>
    <row r="1645" spans="1:4" x14ac:dyDescent="0.2">
      <c r="A1645" s="41" t="s">
        <v>6636</v>
      </c>
      <c r="B1645" s="2" t="s">
        <v>985</v>
      </c>
      <c r="C1645" s="2" t="s">
        <v>5043</v>
      </c>
      <c r="D1645" s="2" t="s">
        <v>8409</v>
      </c>
    </row>
    <row r="1646" spans="1:4" x14ac:dyDescent="0.2">
      <c r="A1646" s="41" t="s">
        <v>6637</v>
      </c>
      <c r="B1646" s="2" t="s">
        <v>985</v>
      </c>
      <c r="C1646" s="2" t="s">
        <v>5043</v>
      </c>
      <c r="D1646" s="2" t="s">
        <v>8409</v>
      </c>
    </row>
    <row r="1647" spans="1:4" x14ac:dyDescent="0.2">
      <c r="A1647" s="41" t="s">
        <v>6638</v>
      </c>
      <c r="B1647" s="2" t="s">
        <v>591</v>
      </c>
      <c r="C1647" s="2" t="s">
        <v>5043</v>
      </c>
      <c r="D1647" s="2" t="s">
        <v>8404</v>
      </c>
    </row>
    <row r="1648" spans="1:4" x14ac:dyDescent="0.2">
      <c r="A1648" s="41" t="s">
        <v>6639</v>
      </c>
      <c r="B1648" s="2" t="s">
        <v>496</v>
      </c>
      <c r="C1648" s="2" t="s">
        <v>5043</v>
      </c>
      <c r="D1648" s="2" t="s">
        <v>8404</v>
      </c>
    </row>
    <row r="1649" spans="1:4" x14ac:dyDescent="0.2">
      <c r="A1649" s="41" t="s">
        <v>6640</v>
      </c>
      <c r="B1649" s="2" t="s">
        <v>496</v>
      </c>
      <c r="C1649" s="2" t="s">
        <v>5043</v>
      </c>
      <c r="D1649" s="2" t="s">
        <v>8404</v>
      </c>
    </row>
    <row r="1650" spans="1:4" x14ac:dyDescent="0.2">
      <c r="A1650" s="41" t="s">
        <v>6641</v>
      </c>
      <c r="B1650" s="2" t="s">
        <v>536</v>
      </c>
      <c r="C1650" s="2" t="s">
        <v>5043</v>
      </c>
      <c r="D1650" s="2" t="s">
        <v>8409</v>
      </c>
    </row>
    <row r="1651" spans="1:4" x14ac:dyDescent="0.2">
      <c r="A1651" s="41" t="s">
        <v>3316</v>
      </c>
      <c r="B1651" s="2" t="s">
        <v>536</v>
      </c>
      <c r="C1651" s="2" t="s">
        <v>5043</v>
      </c>
      <c r="D1651" s="2" t="s">
        <v>8409</v>
      </c>
    </row>
    <row r="1652" spans="1:4" x14ac:dyDescent="0.2">
      <c r="A1652" s="41" t="s">
        <v>6642</v>
      </c>
      <c r="B1652" s="2" t="s">
        <v>536</v>
      </c>
      <c r="C1652" s="2" t="s">
        <v>5043</v>
      </c>
      <c r="D1652" s="2" t="s">
        <v>8404</v>
      </c>
    </row>
    <row r="1653" spans="1:4" x14ac:dyDescent="0.2">
      <c r="A1653" s="41" t="s">
        <v>6643</v>
      </c>
      <c r="B1653" s="2" t="s">
        <v>536</v>
      </c>
      <c r="C1653" s="2" t="s">
        <v>5043</v>
      </c>
      <c r="D1653" s="2" t="s">
        <v>8404</v>
      </c>
    </row>
    <row r="1654" spans="1:4" x14ac:dyDescent="0.2">
      <c r="A1654" s="41" t="s">
        <v>6644</v>
      </c>
      <c r="B1654" s="2" t="s">
        <v>592</v>
      </c>
      <c r="C1654" s="2" t="s">
        <v>5043</v>
      </c>
      <c r="D1654" s="2" t="s">
        <v>8404</v>
      </c>
    </row>
    <row r="1655" spans="1:4" x14ac:dyDescent="0.2">
      <c r="A1655" s="41" t="s">
        <v>6645</v>
      </c>
      <c r="B1655" s="2" t="s">
        <v>497</v>
      </c>
      <c r="C1655" s="2" t="s">
        <v>5043</v>
      </c>
      <c r="D1655" s="2" t="s">
        <v>8409</v>
      </c>
    </row>
    <row r="1656" spans="1:4" x14ac:dyDescent="0.2">
      <c r="A1656" s="41" t="s">
        <v>6646</v>
      </c>
      <c r="B1656" s="2" t="s">
        <v>497</v>
      </c>
      <c r="C1656" s="2" t="s">
        <v>5043</v>
      </c>
      <c r="D1656" s="2" t="s">
        <v>8404</v>
      </c>
    </row>
    <row r="1657" spans="1:4" x14ac:dyDescent="0.2">
      <c r="A1657" s="41" t="s">
        <v>6647</v>
      </c>
      <c r="B1657" s="2" t="s">
        <v>498</v>
      </c>
      <c r="C1657" s="2" t="s">
        <v>5043</v>
      </c>
      <c r="D1657" s="2" t="s">
        <v>8404</v>
      </c>
    </row>
    <row r="1658" spans="1:4" x14ac:dyDescent="0.2">
      <c r="A1658" s="41" t="s">
        <v>6648</v>
      </c>
      <c r="B1658" s="2" t="s">
        <v>498</v>
      </c>
      <c r="C1658" s="2" t="s">
        <v>5043</v>
      </c>
      <c r="D1658" s="2" t="s">
        <v>8404</v>
      </c>
    </row>
    <row r="1659" spans="1:4" x14ac:dyDescent="0.2">
      <c r="A1659" s="41" t="s">
        <v>6649</v>
      </c>
      <c r="B1659" s="2" t="s">
        <v>498</v>
      </c>
      <c r="C1659" s="2" t="s">
        <v>5043</v>
      </c>
      <c r="D1659" s="2" t="s">
        <v>8404</v>
      </c>
    </row>
    <row r="1660" spans="1:4" x14ac:dyDescent="0.2">
      <c r="A1660" s="41" t="s">
        <v>6650</v>
      </c>
      <c r="B1660" s="2" t="s">
        <v>498</v>
      </c>
      <c r="C1660" s="2" t="s">
        <v>5043</v>
      </c>
      <c r="D1660" s="2" t="s">
        <v>8404</v>
      </c>
    </row>
    <row r="1661" spans="1:4" x14ac:dyDescent="0.2">
      <c r="A1661" s="41" t="s">
        <v>6651</v>
      </c>
      <c r="B1661" s="2" t="s">
        <v>498</v>
      </c>
      <c r="C1661" s="2" t="s">
        <v>5043</v>
      </c>
      <c r="D1661" s="2" t="s">
        <v>8404</v>
      </c>
    </row>
    <row r="1662" spans="1:4" x14ac:dyDescent="0.2">
      <c r="A1662" s="41" t="s">
        <v>6652</v>
      </c>
      <c r="B1662" s="2" t="s">
        <v>498</v>
      </c>
      <c r="C1662" s="2" t="s">
        <v>5043</v>
      </c>
      <c r="D1662" s="2" t="s">
        <v>8404</v>
      </c>
    </row>
    <row r="1663" spans="1:4" x14ac:dyDescent="0.2">
      <c r="A1663" s="41" t="s">
        <v>6653</v>
      </c>
      <c r="B1663" s="2" t="s">
        <v>498</v>
      </c>
      <c r="C1663" s="2" t="s">
        <v>5043</v>
      </c>
      <c r="D1663" s="2" t="s">
        <v>8404</v>
      </c>
    </row>
    <row r="1664" spans="1:4" x14ac:dyDescent="0.2">
      <c r="A1664" s="41" t="s">
        <v>6654</v>
      </c>
      <c r="B1664" s="2" t="s">
        <v>498</v>
      </c>
      <c r="C1664" s="2" t="s">
        <v>5043</v>
      </c>
      <c r="D1664" s="2" t="s">
        <v>8404</v>
      </c>
    </row>
    <row r="1665" spans="1:4" x14ac:dyDescent="0.2">
      <c r="A1665" s="41" t="s">
        <v>6655</v>
      </c>
      <c r="B1665" s="2" t="s">
        <v>498</v>
      </c>
      <c r="C1665" s="2" t="s">
        <v>5043</v>
      </c>
      <c r="D1665" s="2" t="s">
        <v>8404</v>
      </c>
    </row>
    <row r="1666" spans="1:4" x14ac:dyDescent="0.2">
      <c r="A1666" s="41" t="s">
        <v>3409</v>
      </c>
      <c r="B1666" s="2" t="s">
        <v>498</v>
      </c>
      <c r="C1666" s="2" t="s">
        <v>5043</v>
      </c>
      <c r="D1666" s="2" t="s">
        <v>8404</v>
      </c>
    </row>
    <row r="1667" spans="1:4" x14ac:dyDescent="0.2">
      <c r="A1667" s="41" t="s">
        <v>3410</v>
      </c>
      <c r="B1667" s="2" t="s">
        <v>498</v>
      </c>
      <c r="C1667" s="2" t="s">
        <v>5043</v>
      </c>
      <c r="D1667" s="2" t="s">
        <v>8404</v>
      </c>
    </row>
    <row r="1668" spans="1:4" x14ac:dyDescent="0.2">
      <c r="A1668" s="41" t="s">
        <v>6656</v>
      </c>
      <c r="B1668" s="2" t="s">
        <v>498</v>
      </c>
      <c r="C1668" s="2" t="s">
        <v>5043</v>
      </c>
      <c r="D1668" s="2" t="s">
        <v>8404</v>
      </c>
    </row>
    <row r="1669" spans="1:4" x14ac:dyDescent="0.2">
      <c r="A1669" s="41" t="s">
        <v>6657</v>
      </c>
      <c r="B1669" s="2" t="s">
        <v>498</v>
      </c>
      <c r="C1669" s="2" t="s">
        <v>5043</v>
      </c>
      <c r="D1669" s="2" t="s">
        <v>8404</v>
      </c>
    </row>
    <row r="1670" spans="1:4" x14ac:dyDescent="0.2">
      <c r="A1670" s="41" t="s">
        <v>6658</v>
      </c>
      <c r="B1670" s="2" t="s">
        <v>498</v>
      </c>
      <c r="C1670" s="2" t="s">
        <v>5043</v>
      </c>
      <c r="D1670" s="2" t="s">
        <v>8404</v>
      </c>
    </row>
    <row r="1671" spans="1:4" x14ac:dyDescent="0.2">
      <c r="A1671" s="41" t="s">
        <v>6659</v>
      </c>
      <c r="B1671" s="2" t="s">
        <v>498</v>
      </c>
      <c r="C1671" s="2" t="s">
        <v>5043</v>
      </c>
      <c r="D1671" s="2" t="s">
        <v>8404</v>
      </c>
    </row>
    <row r="1672" spans="1:4" x14ac:dyDescent="0.2">
      <c r="A1672" s="41" t="s">
        <v>6660</v>
      </c>
      <c r="B1672" s="2" t="s">
        <v>498</v>
      </c>
      <c r="C1672" s="2" t="s">
        <v>5043</v>
      </c>
      <c r="D1672" s="2" t="s">
        <v>8404</v>
      </c>
    </row>
    <row r="1673" spans="1:4" x14ac:dyDescent="0.2">
      <c r="A1673" s="41" t="s">
        <v>6661</v>
      </c>
      <c r="B1673" s="2" t="s">
        <v>499</v>
      </c>
      <c r="C1673" s="2" t="s">
        <v>5043</v>
      </c>
      <c r="D1673" s="2" t="s">
        <v>8404</v>
      </c>
    </row>
    <row r="1674" spans="1:4" x14ac:dyDescent="0.2">
      <c r="A1674" s="41" t="s">
        <v>6662</v>
      </c>
      <c r="B1674" s="2" t="s">
        <v>499</v>
      </c>
      <c r="C1674" s="2" t="s">
        <v>5043</v>
      </c>
      <c r="D1674" s="2" t="s">
        <v>8404</v>
      </c>
    </row>
    <row r="1675" spans="1:4" x14ac:dyDescent="0.2">
      <c r="A1675" s="41" t="s">
        <v>6663</v>
      </c>
      <c r="B1675" s="2" t="s">
        <v>986</v>
      </c>
      <c r="C1675" s="2" t="s">
        <v>5043</v>
      </c>
      <c r="D1675" s="2" t="s">
        <v>8409</v>
      </c>
    </row>
    <row r="1676" spans="1:4" x14ac:dyDescent="0.2">
      <c r="A1676" s="41" t="s">
        <v>6664</v>
      </c>
      <c r="B1676" s="2" t="s">
        <v>986</v>
      </c>
      <c r="C1676" s="2" t="s">
        <v>5043</v>
      </c>
      <c r="D1676" s="2" t="s">
        <v>8409</v>
      </c>
    </row>
    <row r="1677" spans="1:4" x14ac:dyDescent="0.2">
      <c r="A1677" s="41" t="s">
        <v>6665</v>
      </c>
      <c r="B1677" s="2" t="s">
        <v>500</v>
      </c>
      <c r="C1677" s="2" t="s">
        <v>5043</v>
      </c>
      <c r="D1677" s="2" t="s">
        <v>8404</v>
      </c>
    </row>
    <row r="1678" spans="1:4" x14ac:dyDescent="0.2">
      <c r="A1678" s="41" t="s">
        <v>6666</v>
      </c>
      <c r="B1678" s="2" t="s">
        <v>402</v>
      </c>
      <c r="C1678" s="2" t="s">
        <v>5043</v>
      </c>
      <c r="D1678" s="2" t="s">
        <v>8404</v>
      </c>
    </row>
    <row r="1679" spans="1:4" x14ac:dyDescent="0.2">
      <c r="A1679" s="41" t="s">
        <v>6667</v>
      </c>
      <c r="B1679" s="2" t="s">
        <v>402</v>
      </c>
      <c r="C1679" s="2" t="s">
        <v>5043</v>
      </c>
      <c r="D1679" s="2" t="s">
        <v>8404</v>
      </c>
    </row>
    <row r="1680" spans="1:4" x14ac:dyDescent="0.2">
      <c r="A1680" s="41" t="s">
        <v>6668</v>
      </c>
      <c r="B1680" s="2" t="s">
        <v>501</v>
      </c>
      <c r="C1680" s="2" t="s">
        <v>5043</v>
      </c>
      <c r="D1680" s="2" t="s">
        <v>8404</v>
      </c>
    </row>
    <row r="1681" spans="1:4" x14ac:dyDescent="0.2">
      <c r="A1681" s="41" t="s">
        <v>6669</v>
      </c>
      <c r="B1681" s="2" t="s">
        <v>501</v>
      </c>
      <c r="C1681" s="2" t="s">
        <v>5043</v>
      </c>
      <c r="D1681" s="2" t="s">
        <v>8404</v>
      </c>
    </row>
    <row r="1682" spans="1:4" x14ac:dyDescent="0.2">
      <c r="A1682" s="41" t="s">
        <v>6670</v>
      </c>
      <c r="B1682" s="2" t="s">
        <v>501</v>
      </c>
      <c r="C1682" s="2" t="s">
        <v>5043</v>
      </c>
      <c r="D1682" s="2" t="s">
        <v>8404</v>
      </c>
    </row>
    <row r="1683" spans="1:4" x14ac:dyDescent="0.2">
      <c r="A1683" s="41" t="s">
        <v>6671</v>
      </c>
      <c r="B1683" s="2" t="s">
        <v>502</v>
      </c>
      <c r="C1683" s="2" t="s">
        <v>5043</v>
      </c>
      <c r="D1683" s="2" t="s">
        <v>8404</v>
      </c>
    </row>
    <row r="1684" spans="1:4" x14ac:dyDescent="0.2">
      <c r="A1684" s="41" t="s">
        <v>6672</v>
      </c>
      <c r="B1684" s="2" t="s">
        <v>502</v>
      </c>
      <c r="C1684" s="2" t="s">
        <v>5043</v>
      </c>
      <c r="D1684" s="2" t="s">
        <v>8404</v>
      </c>
    </row>
    <row r="1685" spans="1:4" x14ac:dyDescent="0.2">
      <c r="A1685" s="41" t="s">
        <v>3628</v>
      </c>
      <c r="B1685" s="2" t="s">
        <v>987</v>
      </c>
      <c r="C1685" s="2" t="s">
        <v>5043</v>
      </c>
      <c r="D1685" s="2" t="s">
        <v>8409</v>
      </c>
    </row>
    <row r="1686" spans="1:4" x14ac:dyDescent="0.2">
      <c r="A1686" s="41" t="s">
        <v>3629</v>
      </c>
      <c r="B1686" s="2" t="s">
        <v>987</v>
      </c>
      <c r="C1686" s="2" t="s">
        <v>5043</v>
      </c>
      <c r="D1686" s="2" t="s">
        <v>8409</v>
      </c>
    </row>
    <row r="1687" spans="1:4" x14ac:dyDescent="0.2">
      <c r="A1687" s="41" t="s">
        <v>6673</v>
      </c>
      <c r="B1687" s="2" t="s">
        <v>377</v>
      </c>
      <c r="C1687" s="2" t="s">
        <v>5043</v>
      </c>
      <c r="D1687" s="2" t="s">
        <v>8404</v>
      </c>
    </row>
    <row r="1688" spans="1:4" x14ac:dyDescent="0.2">
      <c r="A1688" s="41" t="s">
        <v>6674</v>
      </c>
      <c r="B1688" s="2" t="s">
        <v>377</v>
      </c>
      <c r="C1688" s="2" t="s">
        <v>5043</v>
      </c>
      <c r="D1688" s="2" t="s">
        <v>8404</v>
      </c>
    </row>
    <row r="1689" spans="1:4" x14ac:dyDescent="0.2">
      <c r="A1689" s="41" t="s">
        <v>6675</v>
      </c>
      <c r="B1689" s="2" t="s">
        <v>377</v>
      </c>
      <c r="C1689" s="2" t="s">
        <v>5043</v>
      </c>
      <c r="D1689" s="2" t="s">
        <v>8404</v>
      </c>
    </row>
    <row r="1690" spans="1:4" x14ac:dyDescent="0.2">
      <c r="A1690" s="41" t="s">
        <v>6676</v>
      </c>
      <c r="B1690" s="2" t="s">
        <v>377</v>
      </c>
      <c r="C1690" s="2" t="s">
        <v>5043</v>
      </c>
      <c r="D1690" s="2" t="s">
        <v>8404</v>
      </c>
    </row>
    <row r="1691" spans="1:4" x14ac:dyDescent="0.2">
      <c r="A1691" s="41" t="s">
        <v>6677</v>
      </c>
      <c r="B1691" s="2" t="s">
        <v>377</v>
      </c>
      <c r="C1691" s="2" t="s">
        <v>5043</v>
      </c>
      <c r="D1691" s="2" t="s">
        <v>8409</v>
      </c>
    </row>
    <row r="1692" spans="1:4" x14ac:dyDescent="0.2">
      <c r="A1692" s="41" t="s">
        <v>6678</v>
      </c>
      <c r="B1692" s="2" t="s">
        <v>377</v>
      </c>
      <c r="C1692" s="2" t="s">
        <v>5043</v>
      </c>
      <c r="D1692" s="2" t="s">
        <v>8409</v>
      </c>
    </row>
    <row r="1693" spans="1:4" x14ac:dyDescent="0.2">
      <c r="A1693" s="41" t="s">
        <v>2908</v>
      </c>
      <c r="B1693" s="2" t="s">
        <v>377</v>
      </c>
      <c r="C1693" s="2" t="s">
        <v>5043</v>
      </c>
      <c r="D1693" s="2" t="s">
        <v>8409</v>
      </c>
    </row>
    <row r="1694" spans="1:4" x14ac:dyDescent="0.2">
      <c r="A1694" s="41" t="s">
        <v>2909</v>
      </c>
      <c r="B1694" s="2" t="s">
        <v>377</v>
      </c>
      <c r="C1694" s="2" t="s">
        <v>5043</v>
      </c>
      <c r="D1694" s="2" t="s">
        <v>8409</v>
      </c>
    </row>
    <row r="1695" spans="1:4" x14ac:dyDescent="0.2">
      <c r="A1695" s="41" t="s">
        <v>6679</v>
      </c>
      <c r="B1695" s="2" t="s">
        <v>593</v>
      </c>
      <c r="C1695" s="2" t="s">
        <v>5043</v>
      </c>
      <c r="D1695" s="2" t="s">
        <v>8404</v>
      </c>
    </row>
    <row r="1696" spans="1:4" x14ac:dyDescent="0.2">
      <c r="A1696" s="41" t="s">
        <v>6680</v>
      </c>
      <c r="B1696" s="2" t="s">
        <v>593</v>
      </c>
      <c r="C1696" s="2" t="s">
        <v>5043</v>
      </c>
      <c r="D1696" s="2" t="s">
        <v>8404</v>
      </c>
    </row>
    <row r="1697" spans="1:4" x14ac:dyDescent="0.2">
      <c r="A1697" s="41" t="s">
        <v>6681</v>
      </c>
      <c r="B1697" s="2" t="s">
        <v>593</v>
      </c>
      <c r="C1697" s="2" t="s">
        <v>5043</v>
      </c>
      <c r="D1697" s="2" t="s">
        <v>8404</v>
      </c>
    </row>
    <row r="1698" spans="1:4" x14ac:dyDescent="0.2">
      <c r="A1698" s="41" t="s">
        <v>6682</v>
      </c>
      <c r="B1698" s="2" t="s">
        <v>593</v>
      </c>
      <c r="C1698" s="2" t="s">
        <v>5043</v>
      </c>
      <c r="D1698" s="2" t="s">
        <v>8404</v>
      </c>
    </row>
    <row r="1699" spans="1:4" x14ac:dyDescent="0.2">
      <c r="A1699" s="41" t="s">
        <v>6683</v>
      </c>
      <c r="B1699" s="2" t="s">
        <v>593</v>
      </c>
      <c r="C1699" s="2" t="s">
        <v>5043</v>
      </c>
      <c r="D1699" s="2" t="s">
        <v>8404</v>
      </c>
    </row>
    <row r="1700" spans="1:4" x14ac:dyDescent="0.2">
      <c r="A1700" s="41" t="s">
        <v>6684</v>
      </c>
      <c r="B1700" s="2" t="s">
        <v>593</v>
      </c>
      <c r="C1700" s="2" t="s">
        <v>5043</v>
      </c>
      <c r="D1700" s="2" t="s">
        <v>8404</v>
      </c>
    </row>
    <row r="1701" spans="1:4" x14ac:dyDescent="0.2">
      <c r="A1701" s="41" t="s">
        <v>6685</v>
      </c>
      <c r="B1701" s="2" t="s">
        <v>593</v>
      </c>
      <c r="C1701" s="2" t="s">
        <v>5043</v>
      </c>
      <c r="D1701" s="2" t="s">
        <v>8404</v>
      </c>
    </row>
    <row r="1702" spans="1:4" x14ac:dyDescent="0.2">
      <c r="A1702" s="41" t="s">
        <v>3630</v>
      </c>
      <c r="B1702" s="2" t="s">
        <v>988</v>
      </c>
      <c r="C1702" s="2" t="s">
        <v>5043</v>
      </c>
      <c r="D1702" s="2" t="s">
        <v>8409</v>
      </c>
    </row>
    <row r="1703" spans="1:4" x14ac:dyDescent="0.2">
      <c r="A1703" s="41" t="s">
        <v>3632</v>
      </c>
      <c r="B1703" s="2" t="s">
        <v>989</v>
      </c>
      <c r="C1703" s="2" t="s">
        <v>5043</v>
      </c>
      <c r="D1703" s="2" t="s">
        <v>8409</v>
      </c>
    </row>
    <row r="1704" spans="1:4" x14ac:dyDescent="0.2">
      <c r="A1704" s="41" t="s">
        <v>3633</v>
      </c>
      <c r="B1704" s="2" t="s">
        <v>989</v>
      </c>
      <c r="C1704" s="2" t="s">
        <v>5043</v>
      </c>
      <c r="D1704" s="2" t="s">
        <v>8409</v>
      </c>
    </row>
    <row r="1705" spans="1:4" x14ac:dyDescent="0.2">
      <c r="A1705" s="41" t="s">
        <v>6686</v>
      </c>
      <c r="B1705" s="2" t="s">
        <v>537</v>
      </c>
      <c r="C1705" s="2" t="s">
        <v>5043</v>
      </c>
      <c r="D1705" s="2" t="s">
        <v>8404</v>
      </c>
    </row>
    <row r="1706" spans="1:4" x14ac:dyDescent="0.2">
      <c r="A1706" s="41" t="s">
        <v>3634</v>
      </c>
      <c r="B1706" s="2" t="s">
        <v>537</v>
      </c>
      <c r="C1706" s="2" t="s">
        <v>5043</v>
      </c>
      <c r="D1706" s="2" t="s">
        <v>8409</v>
      </c>
    </row>
    <row r="1707" spans="1:4" x14ac:dyDescent="0.2">
      <c r="A1707" s="41" t="s">
        <v>6687</v>
      </c>
      <c r="B1707" s="2" t="s">
        <v>503</v>
      </c>
      <c r="C1707" s="2" t="s">
        <v>5043</v>
      </c>
      <c r="D1707" s="2" t="s">
        <v>8404</v>
      </c>
    </row>
    <row r="1708" spans="1:4" x14ac:dyDescent="0.2">
      <c r="A1708" s="41" t="s">
        <v>6688</v>
      </c>
      <c r="B1708" s="2" t="s">
        <v>503</v>
      </c>
      <c r="C1708" s="2" t="s">
        <v>5043</v>
      </c>
      <c r="D1708" s="2" t="s">
        <v>8404</v>
      </c>
    </row>
    <row r="1709" spans="1:4" x14ac:dyDescent="0.2">
      <c r="A1709" s="41" t="s">
        <v>6689</v>
      </c>
      <c r="B1709" s="2" t="s">
        <v>503</v>
      </c>
      <c r="C1709" s="2" t="s">
        <v>5043</v>
      </c>
      <c r="D1709" s="2" t="s">
        <v>8404</v>
      </c>
    </row>
    <row r="1710" spans="1:4" x14ac:dyDescent="0.2">
      <c r="A1710" s="41" t="s">
        <v>6690</v>
      </c>
      <c r="B1710" s="2" t="s">
        <v>503</v>
      </c>
      <c r="C1710" s="2" t="s">
        <v>5043</v>
      </c>
      <c r="D1710" s="2" t="s">
        <v>8404</v>
      </c>
    </row>
    <row r="1711" spans="1:4" x14ac:dyDescent="0.2">
      <c r="A1711" s="41" t="s">
        <v>3635</v>
      </c>
      <c r="B1711" s="2" t="s">
        <v>990</v>
      </c>
      <c r="C1711" s="2" t="s">
        <v>5043</v>
      </c>
      <c r="D1711" s="2" t="s">
        <v>8409</v>
      </c>
    </row>
    <row r="1712" spans="1:4" x14ac:dyDescent="0.2">
      <c r="A1712" s="41" t="s">
        <v>6691</v>
      </c>
      <c r="B1712" s="2" t="s">
        <v>504</v>
      </c>
      <c r="C1712" s="2" t="s">
        <v>5043</v>
      </c>
      <c r="D1712" s="2" t="s">
        <v>8404</v>
      </c>
    </row>
    <row r="1713" spans="1:4" x14ac:dyDescent="0.2">
      <c r="A1713" s="41" t="s">
        <v>3636</v>
      </c>
      <c r="B1713" s="2" t="s">
        <v>504</v>
      </c>
      <c r="C1713" s="2" t="s">
        <v>5043</v>
      </c>
      <c r="D1713" s="2" t="s">
        <v>8409</v>
      </c>
    </row>
    <row r="1714" spans="1:4" x14ac:dyDescent="0.2">
      <c r="A1714" s="41" t="s">
        <v>3637</v>
      </c>
      <c r="B1714" s="2" t="s">
        <v>504</v>
      </c>
      <c r="C1714" s="2" t="s">
        <v>5043</v>
      </c>
      <c r="D1714" s="2" t="s">
        <v>8409</v>
      </c>
    </row>
    <row r="1715" spans="1:4" x14ac:dyDescent="0.2">
      <c r="A1715" s="41" t="s">
        <v>6692</v>
      </c>
      <c r="B1715" s="2" t="s">
        <v>249</v>
      </c>
      <c r="C1715" s="2" t="s">
        <v>5043</v>
      </c>
      <c r="D1715" s="2" t="s">
        <v>8404</v>
      </c>
    </row>
    <row r="1716" spans="1:4" x14ac:dyDescent="0.2">
      <c r="A1716" s="41" t="s">
        <v>3638</v>
      </c>
      <c r="B1716" s="2" t="s">
        <v>991</v>
      </c>
      <c r="C1716" s="2" t="s">
        <v>5043</v>
      </c>
      <c r="D1716" s="2" t="s">
        <v>8409</v>
      </c>
    </row>
    <row r="1717" spans="1:4" x14ac:dyDescent="0.2">
      <c r="A1717" s="41" t="s">
        <v>6693</v>
      </c>
      <c r="B1717" s="2" t="s">
        <v>505</v>
      </c>
      <c r="C1717" s="2" t="s">
        <v>5043</v>
      </c>
      <c r="D1717" s="2" t="s">
        <v>8404</v>
      </c>
    </row>
    <row r="1718" spans="1:4" x14ac:dyDescent="0.2">
      <c r="A1718" s="41" t="s">
        <v>6694</v>
      </c>
      <c r="B1718" s="2" t="s">
        <v>505</v>
      </c>
      <c r="C1718" s="2" t="s">
        <v>5043</v>
      </c>
      <c r="D1718" s="2" t="s">
        <v>8404</v>
      </c>
    </row>
    <row r="1719" spans="1:4" x14ac:dyDescent="0.2">
      <c r="A1719" s="41" t="s">
        <v>6695</v>
      </c>
      <c r="B1719" s="2" t="s">
        <v>505</v>
      </c>
      <c r="C1719" s="2" t="s">
        <v>5043</v>
      </c>
      <c r="D1719" s="2" t="s">
        <v>8404</v>
      </c>
    </row>
    <row r="1720" spans="1:4" x14ac:dyDescent="0.2">
      <c r="A1720" s="41" t="s">
        <v>3639</v>
      </c>
      <c r="B1720" s="2" t="s">
        <v>505</v>
      </c>
      <c r="C1720" s="2" t="s">
        <v>5043</v>
      </c>
      <c r="D1720" s="2" t="s">
        <v>8409</v>
      </c>
    </row>
    <row r="1721" spans="1:4" x14ac:dyDescent="0.2">
      <c r="A1721" s="41" t="s">
        <v>3640</v>
      </c>
      <c r="B1721" s="2" t="s">
        <v>505</v>
      </c>
      <c r="C1721" s="2" t="s">
        <v>5043</v>
      </c>
      <c r="D1721" s="2" t="s">
        <v>8409</v>
      </c>
    </row>
    <row r="1722" spans="1:4" x14ac:dyDescent="0.2">
      <c r="A1722" s="41" t="s">
        <v>3641</v>
      </c>
      <c r="B1722" s="2" t="s">
        <v>505</v>
      </c>
      <c r="C1722" s="2" t="s">
        <v>5043</v>
      </c>
      <c r="D1722" s="2" t="s">
        <v>8409</v>
      </c>
    </row>
    <row r="1723" spans="1:4" x14ac:dyDescent="0.2">
      <c r="A1723" s="41" t="s">
        <v>6696</v>
      </c>
      <c r="B1723" s="2" t="s">
        <v>250</v>
      </c>
      <c r="C1723" s="2" t="s">
        <v>5043</v>
      </c>
      <c r="D1723" s="2" t="s">
        <v>8404</v>
      </c>
    </row>
    <row r="1724" spans="1:4" x14ac:dyDescent="0.2">
      <c r="A1724" s="41" t="s">
        <v>6697</v>
      </c>
      <c r="B1724" s="2" t="s">
        <v>250</v>
      </c>
      <c r="C1724" s="2" t="s">
        <v>5043</v>
      </c>
      <c r="D1724" s="2" t="s">
        <v>8404</v>
      </c>
    </row>
    <row r="1725" spans="1:4" x14ac:dyDescent="0.2">
      <c r="A1725" s="41" t="s">
        <v>6698</v>
      </c>
      <c r="B1725" s="2" t="s">
        <v>250</v>
      </c>
      <c r="C1725" s="2" t="s">
        <v>5043</v>
      </c>
      <c r="D1725" s="2" t="s">
        <v>8404</v>
      </c>
    </row>
    <row r="1726" spans="1:4" x14ac:dyDescent="0.2">
      <c r="A1726" s="41" t="s">
        <v>3642</v>
      </c>
      <c r="B1726" s="2" t="s">
        <v>250</v>
      </c>
      <c r="C1726" s="2" t="s">
        <v>5043</v>
      </c>
      <c r="D1726" s="2" t="s">
        <v>8409</v>
      </c>
    </row>
    <row r="1727" spans="1:4" x14ac:dyDescent="0.2">
      <c r="A1727" s="41" t="s">
        <v>3643</v>
      </c>
      <c r="B1727" s="2" t="s">
        <v>250</v>
      </c>
      <c r="C1727" s="2" t="s">
        <v>5043</v>
      </c>
      <c r="D1727" s="2" t="s">
        <v>8409</v>
      </c>
    </row>
    <row r="1728" spans="1:4" x14ac:dyDescent="0.2">
      <c r="A1728" s="41" t="s">
        <v>3644</v>
      </c>
      <c r="B1728" s="2" t="s">
        <v>250</v>
      </c>
      <c r="C1728" s="2" t="s">
        <v>5043</v>
      </c>
      <c r="D1728" s="2" t="s">
        <v>8409</v>
      </c>
    </row>
    <row r="1729" spans="1:4" x14ac:dyDescent="0.2">
      <c r="A1729" s="41" t="s">
        <v>6699</v>
      </c>
      <c r="B1729" s="2" t="s">
        <v>506</v>
      </c>
      <c r="C1729" s="2" t="s">
        <v>5043</v>
      </c>
      <c r="D1729" s="2" t="s">
        <v>8404</v>
      </c>
    </row>
    <row r="1730" spans="1:4" x14ac:dyDescent="0.2">
      <c r="A1730" s="41" t="s">
        <v>3645</v>
      </c>
      <c r="B1730" s="2" t="s">
        <v>992</v>
      </c>
      <c r="C1730" s="2" t="s">
        <v>5043</v>
      </c>
      <c r="D1730" s="2" t="s">
        <v>8409</v>
      </c>
    </row>
    <row r="1731" spans="1:4" x14ac:dyDescent="0.2">
      <c r="A1731" s="41" t="s">
        <v>3282</v>
      </c>
      <c r="B1731" s="2" t="s">
        <v>993</v>
      </c>
      <c r="C1731" s="2" t="s">
        <v>5043</v>
      </c>
      <c r="D1731" s="2" t="s">
        <v>8409</v>
      </c>
    </row>
    <row r="1732" spans="1:4" x14ac:dyDescent="0.2">
      <c r="A1732" s="41" t="s">
        <v>3283</v>
      </c>
      <c r="B1732" s="2" t="s">
        <v>993</v>
      </c>
      <c r="C1732" s="2" t="s">
        <v>5043</v>
      </c>
      <c r="D1732" s="2" t="s">
        <v>8409</v>
      </c>
    </row>
    <row r="1733" spans="1:4" x14ac:dyDescent="0.2">
      <c r="A1733" s="41" t="s">
        <v>6700</v>
      </c>
      <c r="B1733" s="2" t="s">
        <v>507</v>
      </c>
      <c r="C1733" s="2" t="s">
        <v>5043</v>
      </c>
      <c r="D1733" s="2" t="s">
        <v>8404</v>
      </c>
    </row>
    <row r="1734" spans="1:4" x14ac:dyDescent="0.2">
      <c r="A1734" s="41" t="s">
        <v>3285</v>
      </c>
      <c r="B1734" s="2" t="s">
        <v>994</v>
      </c>
      <c r="C1734" s="2" t="s">
        <v>5043</v>
      </c>
      <c r="D1734" s="2" t="s">
        <v>8409</v>
      </c>
    </row>
    <row r="1735" spans="1:4" x14ac:dyDescent="0.2">
      <c r="A1735" s="41" t="s">
        <v>3284</v>
      </c>
      <c r="B1735" s="2" t="s">
        <v>994</v>
      </c>
      <c r="C1735" s="2" t="s">
        <v>5043</v>
      </c>
      <c r="D1735" s="2" t="s">
        <v>8409</v>
      </c>
    </row>
    <row r="1736" spans="1:4" x14ac:dyDescent="0.2">
      <c r="A1736" s="41" t="s">
        <v>3288</v>
      </c>
      <c r="B1736" s="2" t="s">
        <v>994</v>
      </c>
      <c r="C1736" s="2" t="s">
        <v>5043</v>
      </c>
      <c r="D1736" s="2" t="s">
        <v>8409</v>
      </c>
    </row>
    <row r="1737" spans="1:4" x14ac:dyDescent="0.2">
      <c r="A1737" s="41" t="s">
        <v>3289</v>
      </c>
      <c r="B1737" s="2" t="s">
        <v>994</v>
      </c>
      <c r="C1737" s="2" t="s">
        <v>5043</v>
      </c>
      <c r="D1737" s="2" t="s">
        <v>8409</v>
      </c>
    </row>
    <row r="1738" spans="1:4" x14ac:dyDescent="0.2">
      <c r="A1738" s="41" t="s">
        <v>3290</v>
      </c>
      <c r="B1738" s="2" t="s">
        <v>994</v>
      </c>
      <c r="C1738" s="2" t="s">
        <v>5043</v>
      </c>
      <c r="D1738" s="2" t="s">
        <v>8409</v>
      </c>
    </row>
    <row r="1739" spans="1:4" x14ac:dyDescent="0.2">
      <c r="A1739" s="41" t="s">
        <v>3291</v>
      </c>
      <c r="B1739" s="2" t="s">
        <v>994</v>
      </c>
      <c r="C1739" s="2" t="s">
        <v>5043</v>
      </c>
      <c r="D1739" s="2" t="s">
        <v>8409</v>
      </c>
    </row>
    <row r="1740" spans="1:4" x14ac:dyDescent="0.2">
      <c r="A1740" s="41" t="s">
        <v>3292</v>
      </c>
      <c r="B1740" s="2" t="s">
        <v>994</v>
      </c>
      <c r="C1740" s="2" t="s">
        <v>5043</v>
      </c>
      <c r="D1740" s="2" t="s">
        <v>8409</v>
      </c>
    </row>
    <row r="1741" spans="1:4" x14ac:dyDescent="0.2">
      <c r="A1741" s="41" t="s">
        <v>3293</v>
      </c>
      <c r="B1741" s="2" t="s">
        <v>994</v>
      </c>
      <c r="C1741" s="2" t="s">
        <v>5043</v>
      </c>
      <c r="D1741" s="2" t="s">
        <v>8409</v>
      </c>
    </row>
    <row r="1742" spans="1:4" x14ac:dyDescent="0.2">
      <c r="A1742" s="41" t="s">
        <v>3294</v>
      </c>
      <c r="B1742" s="2" t="s">
        <v>994</v>
      </c>
      <c r="C1742" s="2" t="s">
        <v>5043</v>
      </c>
      <c r="D1742" s="2" t="s">
        <v>8409</v>
      </c>
    </row>
    <row r="1743" spans="1:4" x14ac:dyDescent="0.2">
      <c r="A1743" s="41" t="s">
        <v>3295</v>
      </c>
      <c r="B1743" s="2" t="s">
        <v>994</v>
      </c>
      <c r="C1743" s="2" t="s">
        <v>5043</v>
      </c>
      <c r="D1743" s="2" t="s">
        <v>8409</v>
      </c>
    </row>
    <row r="1744" spans="1:4" x14ac:dyDescent="0.2">
      <c r="A1744" s="41" t="s">
        <v>3296</v>
      </c>
      <c r="B1744" s="2" t="s">
        <v>995</v>
      </c>
      <c r="C1744" s="2" t="s">
        <v>5043</v>
      </c>
      <c r="D1744" s="2" t="s">
        <v>8409</v>
      </c>
    </row>
    <row r="1745" spans="1:4" x14ac:dyDescent="0.2">
      <c r="A1745" s="41" t="s">
        <v>3297</v>
      </c>
      <c r="B1745" s="2" t="s">
        <v>995</v>
      </c>
      <c r="C1745" s="2" t="s">
        <v>5043</v>
      </c>
      <c r="D1745" s="2" t="s">
        <v>8409</v>
      </c>
    </row>
    <row r="1746" spans="1:4" x14ac:dyDescent="0.2">
      <c r="A1746" s="41" t="s">
        <v>3298</v>
      </c>
      <c r="B1746" s="2" t="s">
        <v>995</v>
      </c>
      <c r="C1746" s="2" t="s">
        <v>5043</v>
      </c>
      <c r="D1746" s="2" t="s">
        <v>8409</v>
      </c>
    </row>
    <row r="1747" spans="1:4" x14ac:dyDescent="0.2">
      <c r="A1747" s="41" t="s">
        <v>6701</v>
      </c>
      <c r="B1747" s="2" t="s">
        <v>508</v>
      </c>
      <c r="C1747" s="2" t="s">
        <v>5043</v>
      </c>
      <c r="D1747" s="2" t="s">
        <v>8404</v>
      </c>
    </row>
    <row r="1748" spans="1:4" x14ac:dyDescent="0.2">
      <c r="A1748" s="41" t="s">
        <v>3313</v>
      </c>
      <c r="B1748" s="2" t="s">
        <v>996</v>
      </c>
      <c r="C1748" s="2" t="s">
        <v>5043</v>
      </c>
      <c r="D1748" s="2" t="s">
        <v>8409</v>
      </c>
    </row>
    <row r="1749" spans="1:4" x14ac:dyDescent="0.2">
      <c r="A1749" s="41" t="s">
        <v>3314</v>
      </c>
      <c r="B1749" s="2" t="s">
        <v>996</v>
      </c>
      <c r="C1749" s="2" t="s">
        <v>5043</v>
      </c>
      <c r="D1749" s="2" t="s">
        <v>8409</v>
      </c>
    </row>
    <row r="1750" spans="1:4" x14ac:dyDescent="0.2">
      <c r="A1750" s="41" t="s">
        <v>3299</v>
      </c>
      <c r="B1750" s="2" t="s">
        <v>996</v>
      </c>
      <c r="C1750" s="2" t="s">
        <v>5043</v>
      </c>
      <c r="D1750" s="2" t="s">
        <v>8409</v>
      </c>
    </row>
    <row r="1751" spans="1:4" x14ac:dyDescent="0.2">
      <c r="A1751" s="41" t="s">
        <v>3307</v>
      </c>
      <c r="B1751" s="2" t="s">
        <v>996</v>
      </c>
      <c r="C1751" s="2" t="s">
        <v>5043</v>
      </c>
      <c r="D1751" s="2" t="s">
        <v>8409</v>
      </c>
    </row>
    <row r="1752" spans="1:4" x14ac:dyDescent="0.2">
      <c r="A1752" s="41" t="s">
        <v>3308</v>
      </c>
      <c r="B1752" s="2" t="s">
        <v>996</v>
      </c>
      <c r="C1752" s="2" t="s">
        <v>5043</v>
      </c>
      <c r="D1752" s="2" t="s">
        <v>8409</v>
      </c>
    </row>
    <row r="1753" spans="1:4" x14ac:dyDescent="0.2">
      <c r="A1753" s="41" t="s">
        <v>3312</v>
      </c>
      <c r="B1753" s="2" t="s">
        <v>996</v>
      </c>
      <c r="C1753" s="2" t="s">
        <v>5043</v>
      </c>
      <c r="D1753" s="2" t="s">
        <v>8409</v>
      </c>
    </row>
    <row r="1754" spans="1:4" x14ac:dyDescent="0.2">
      <c r="A1754" s="41" t="s">
        <v>3315</v>
      </c>
      <c r="B1754" s="2" t="s">
        <v>996</v>
      </c>
      <c r="C1754" s="2" t="s">
        <v>5043</v>
      </c>
      <c r="D1754" s="2" t="s">
        <v>8409</v>
      </c>
    </row>
    <row r="1755" spans="1:4" x14ac:dyDescent="0.2">
      <c r="A1755" s="41" t="s">
        <v>3320</v>
      </c>
      <c r="B1755" s="2" t="s">
        <v>996</v>
      </c>
      <c r="C1755" s="2" t="s">
        <v>5043</v>
      </c>
      <c r="D1755" s="2" t="s">
        <v>8409</v>
      </c>
    </row>
    <row r="1756" spans="1:4" x14ac:dyDescent="0.2">
      <c r="A1756" s="41" t="s">
        <v>3322</v>
      </c>
      <c r="B1756" s="2" t="s">
        <v>996</v>
      </c>
      <c r="C1756" s="2" t="s">
        <v>5043</v>
      </c>
      <c r="D1756" s="2" t="s">
        <v>8409</v>
      </c>
    </row>
    <row r="1757" spans="1:4" x14ac:dyDescent="0.2">
      <c r="A1757" s="41" t="s">
        <v>2912</v>
      </c>
      <c r="B1757" s="2" t="s">
        <v>997</v>
      </c>
      <c r="C1757" s="2" t="s">
        <v>5043</v>
      </c>
      <c r="D1757" s="2" t="s">
        <v>8409</v>
      </c>
    </row>
    <row r="1758" spans="1:4" x14ac:dyDescent="0.2">
      <c r="A1758" s="41" t="s">
        <v>2913</v>
      </c>
      <c r="B1758" s="2" t="s">
        <v>997</v>
      </c>
      <c r="C1758" s="2" t="s">
        <v>5043</v>
      </c>
      <c r="D1758" s="2" t="s">
        <v>8409</v>
      </c>
    </row>
    <row r="1759" spans="1:4" x14ac:dyDescent="0.2">
      <c r="A1759" s="41" t="s">
        <v>2914</v>
      </c>
      <c r="B1759" s="2" t="s">
        <v>997</v>
      </c>
      <c r="C1759" s="2" t="s">
        <v>5043</v>
      </c>
      <c r="D1759" s="2" t="s">
        <v>8409</v>
      </c>
    </row>
    <row r="1760" spans="1:4" x14ac:dyDescent="0.2">
      <c r="A1760" s="41" t="s">
        <v>6702</v>
      </c>
      <c r="B1760" s="2" t="s">
        <v>997</v>
      </c>
      <c r="C1760" s="2" t="s">
        <v>5043</v>
      </c>
      <c r="D1760" s="2" t="s">
        <v>8409</v>
      </c>
    </row>
    <row r="1761" spans="1:4" x14ac:dyDescent="0.2">
      <c r="A1761" s="41" t="s">
        <v>6703</v>
      </c>
      <c r="B1761" s="2" t="s">
        <v>997</v>
      </c>
      <c r="C1761" s="2" t="s">
        <v>5043</v>
      </c>
      <c r="D1761" s="2" t="s">
        <v>8409</v>
      </c>
    </row>
    <row r="1762" spans="1:4" x14ac:dyDescent="0.2">
      <c r="A1762" s="41" t="s">
        <v>6704</v>
      </c>
      <c r="B1762" s="2" t="s">
        <v>997</v>
      </c>
      <c r="C1762" s="2" t="s">
        <v>5043</v>
      </c>
      <c r="D1762" s="2" t="s">
        <v>8409</v>
      </c>
    </row>
    <row r="1763" spans="1:4" x14ac:dyDescent="0.2">
      <c r="A1763" s="41" t="s">
        <v>6705</v>
      </c>
      <c r="B1763" s="2" t="s">
        <v>997</v>
      </c>
      <c r="C1763" s="2" t="s">
        <v>5043</v>
      </c>
      <c r="D1763" s="2" t="s">
        <v>8409</v>
      </c>
    </row>
    <row r="1764" spans="1:4" x14ac:dyDescent="0.2">
      <c r="A1764" s="41" t="s">
        <v>6706</v>
      </c>
      <c r="B1764" s="2" t="s">
        <v>997</v>
      </c>
      <c r="C1764" s="2" t="s">
        <v>5043</v>
      </c>
      <c r="D1764" s="2" t="s">
        <v>8409</v>
      </c>
    </row>
    <row r="1765" spans="1:4" x14ac:dyDescent="0.2">
      <c r="A1765" s="41" t="s">
        <v>6707</v>
      </c>
      <c r="B1765" s="2" t="s">
        <v>997</v>
      </c>
      <c r="C1765" s="2" t="s">
        <v>5043</v>
      </c>
      <c r="D1765" s="2" t="s">
        <v>8409</v>
      </c>
    </row>
    <row r="1766" spans="1:4" x14ac:dyDescent="0.2">
      <c r="A1766" s="41" t="s">
        <v>6708</v>
      </c>
      <c r="B1766" s="2" t="s">
        <v>997</v>
      </c>
      <c r="C1766" s="2" t="s">
        <v>5043</v>
      </c>
      <c r="D1766" s="2" t="s">
        <v>8409</v>
      </c>
    </row>
    <row r="1767" spans="1:4" x14ac:dyDescent="0.2">
      <c r="A1767" s="41" t="s">
        <v>6709</v>
      </c>
      <c r="B1767" s="2" t="s">
        <v>997</v>
      </c>
      <c r="C1767" s="2" t="s">
        <v>5043</v>
      </c>
      <c r="D1767" s="2" t="s">
        <v>8409</v>
      </c>
    </row>
    <row r="1768" spans="1:4" x14ac:dyDescent="0.2">
      <c r="A1768" s="41" t="s">
        <v>6710</v>
      </c>
      <c r="B1768" s="2" t="s">
        <v>997</v>
      </c>
      <c r="C1768" s="2" t="s">
        <v>5043</v>
      </c>
      <c r="D1768" s="2" t="s">
        <v>8409</v>
      </c>
    </row>
    <row r="1769" spans="1:4" x14ac:dyDescent="0.2">
      <c r="A1769" s="41" t="s">
        <v>3006</v>
      </c>
      <c r="B1769" s="2" t="s">
        <v>997</v>
      </c>
      <c r="C1769" s="2" t="s">
        <v>5043</v>
      </c>
      <c r="D1769" s="2" t="s">
        <v>8409</v>
      </c>
    </row>
    <row r="1770" spans="1:4" x14ac:dyDescent="0.2">
      <c r="A1770" s="41" t="s">
        <v>6711</v>
      </c>
      <c r="B1770" s="2" t="s">
        <v>997</v>
      </c>
      <c r="C1770" s="2" t="s">
        <v>5043</v>
      </c>
      <c r="D1770" s="2" t="s">
        <v>8409</v>
      </c>
    </row>
    <row r="1771" spans="1:4" x14ac:dyDescent="0.2">
      <c r="A1771" s="41" t="s">
        <v>6712</v>
      </c>
      <c r="B1771" s="2" t="s">
        <v>997</v>
      </c>
      <c r="C1771" s="2" t="s">
        <v>5043</v>
      </c>
      <c r="D1771" s="2" t="s">
        <v>8409</v>
      </c>
    </row>
    <row r="1772" spans="1:4" x14ac:dyDescent="0.2">
      <c r="A1772" s="41" t="s">
        <v>2571</v>
      </c>
      <c r="B1772" s="2" t="s">
        <v>997</v>
      </c>
      <c r="C1772" s="2" t="s">
        <v>5043</v>
      </c>
      <c r="D1772" s="2" t="s">
        <v>8409</v>
      </c>
    </row>
    <row r="1773" spans="1:4" x14ac:dyDescent="0.2">
      <c r="A1773" s="41" t="s">
        <v>6713</v>
      </c>
      <c r="B1773" s="2" t="s">
        <v>997</v>
      </c>
      <c r="C1773" s="2" t="s">
        <v>5043</v>
      </c>
      <c r="D1773" s="2" t="s">
        <v>8409</v>
      </c>
    </row>
    <row r="1774" spans="1:4" x14ac:dyDescent="0.2">
      <c r="A1774" s="41" t="s">
        <v>6714</v>
      </c>
      <c r="B1774" s="2" t="s">
        <v>997</v>
      </c>
      <c r="C1774" s="2" t="s">
        <v>5043</v>
      </c>
      <c r="D1774" s="2" t="s">
        <v>8409</v>
      </c>
    </row>
    <row r="1775" spans="1:4" x14ac:dyDescent="0.2">
      <c r="A1775" s="41" t="s">
        <v>6715</v>
      </c>
      <c r="B1775" s="2" t="s">
        <v>997</v>
      </c>
      <c r="C1775" s="2" t="s">
        <v>5043</v>
      </c>
      <c r="D1775" s="2" t="s">
        <v>8409</v>
      </c>
    </row>
    <row r="1776" spans="1:4" x14ac:dyDescent="0.2">
      <c r="A1776" s="41" t="s">
        <v>6716</v>
      </c>
      <c r="B1776" s="2" t="s">
        <v>997</v>
      </c>
      <c r="C1776" s="2" t="s">
        <v>5043</v>
      </c>
      <c r="D1776" s="2" t="s">
        <v>8409</v>
      </c>
    </row>
    <row r="1777" spans="1:4" x14ac:dyDescent="0.2">
      <c r="A1777" s="41" t="s">
        <v>2567</v>
      </c>
      <c r="B1777" s="2" t="s">
        <v>997</v>
      </c>
      <c r="C1777" s="2" t="s">
        <v>5043</v>
      </c>
      <c r="D1777" s="2" t="s">
        <v>8409</v>
      </c>
    </row>
    <row r="1778" spans="1:4" x14ac:dyDescent="0.2">
      <c r="A1778" s="41" t="s">
        <v>2568</v>
      </c>
      <c r="B1778" s="2" t="s">
        <v>997</v>
      </c>
      <c r="C1778" s="2" t="s">
        <v>5043</v>
      </c>
      <c r="D1778" s="2" t="s">
        <v>8409</v>
      </c>
    </row>
    <row r="1779" spans="1:4" x14ac:dyDescent="0.2">
      <c r="A1779" s="41" t="s">
        <v>6717</v>
      </c>
      <c r="B1779" s="2" t="s">
        <v>997</v>
      </c>
      <c r="C1779" s="2" t="s">
        <v>5043</v>
      </c>
      <c r="D1779" s="2" t="s">
        <v>8409</v>
      </c>
    </row>
    <row r="1780" spans="1:4" x14ac:dyDescent="0.2">
      <c r="A1780" s="41" t="s">
        <v>6718</v>
      </c>
      <c r="B1780" s="2" t="s">
        <v>997</v>
      </c>
      <c r="C1780" s="2" t="s">
        <v>5043</v>
      </c>
      <c r="D1780" s="2" t="s">
        <v>8409</v>
      </c>
    </row>
    <row r="1781" spans="1:4" x14ac:dyDescent="0.2">
      <c r="A1781" s="41" t="s">
        <v>6719</v>
      </c>
      <c r="B1781" s="2" t="s">
        <v>997</v>
      </c>
      <c r="C1781" s="2" t="s">
        <v>5043</v>
      </c>
      <c r="D1781" s="2" t="s">
        <v>8409</v>
      </c>
    </row>
    <row r="1782" spans="1:4" x14ac:dyDescent="0.2">
      <c r="A1782" s="41" t="s">
        <v>6720</v>
      </c>
      <c r="B1782" s="2" t="s">
        <v>997</v>
      </c>
      <c r="C1782" s="2" t="s">
        <v>5043</v>
      </c>
      <c r="D1782" s="2" t="s">
        <v>8409</v>
      </c>
    </row>
    <row r="1783" spans="1:4" x14ac:dyDescent="0.2">
      <c r="A1783" s="41" t="s">
        <v>6721</v>
      </c>
      <c r="B1783" s="2" t="s">
        <v>997</v>
      </c>
      <c r="C1783" s="2" t="s">
        <v>5043</v>
      </c>
      <c r="D1783" s="2" t="s">
        <v>8409</v>
      </c>
    </row>
    <row r="1784" spans="1:4" x14ac:dyDescent="0.2">
      <c r="A1784" s="41" t="s">
        <v>3129</v>
      </c>
      <c r="B1784" s="2" t="s">
        <v>997</v>
      </c>
      <c r="C1784" s="2" t="s">
        <v>5043</v>
      </c>
      <c r="D1784" s="2" t="s">
        <v>8409</v>
      </c>
    </row>
    <row r="1785" spans="1:4" x14ac:dyDescent="0.2">
      <c r="A1785" s="41" t="s">
        <v>6722</v>
      </c>
      <c r="B1785" s="2" t="s">
        <v>997</v>
      </c>
      <c r="C1785" s="2" t="s">
        <v>5043</v>
      </c>
      <c r="D1785" s="2" t="s">
        <v>8409</v>
      </c>
    </row>
    <row r="1786" spans="1:4" x14ac:dyDescent="0.2">
      <c r="A1786" s="41" t="s">
        <v>2569</v>
      </c>
      <c r="B1786" s="2" t="s">
        <v>997</v>
      </c>
      <c r="C1786" s="2" t="s">
        <v>5043</v>
      </c>
      <c r="D1786" s="2" t="s">
        <v>8409</v>
      </c>
    </row>
    <row r="1787" spans="1:4" x14ac:dyDescent="0.2">
      <c r="A1787" s="41" t="s">
        <v>2565</v>
      </c>
      <c r="B1787" s="2" t="s">
        <v>997</v>
      </c>
      <c r="C1787" s="2" t="s">
        <v>5043</v>
      </c>
      <c r="D1787" s="2" t="s">
        <v>8409</v>
      </c>
    </row>
    <row r="1788" spans="1:4" x14ac:dyDescent="0.2">
      <c r="A1788" s="41" t="s">
        <v>6723</v>
      </c>
      <c r="B1788" s="2" t="s">
        <v>997</v>
      </c>
      <c r="C1788" s="2" t="s">
        <v>5043</v>
      </c>
      <c r="D1788" s="2" t="s">
        <v>8409</v>
      </c>
    </row>
    <row r="1789" spans="1:4" x14ac:dyDescent="0.2">
      <c r="A1789" s="41" t="s">
        <v>6724</v>
      </c>
      <c r="B1789" s="2" t="s">
        <v>997</v>
      </c>
      <c r="C1789" s="2" t="s">
        <v>5043</v>
      </c>
      <c r="D1789" s="2" t="s">
        <v>8409</v>
      </c>
    </row>
    <row r="1790" spans="1:4" x14ac:dyDescent="0.2">
      <c r="A1790" s="41" t="s">
        <v>6725</v>
      </c>
      <c r="B1790" s="2" t="s">
        <v>997</v>
      </c>
      <c r="C1790" s="2" t="s">
        <v>5043</v>
      </c>
      <c r="D1790" s="2" t="s">
        <v>8409</v>
      </c>
    </row>
    <row r="1791" spans="1:4" x14ac:dyDescent="0.2">
      <c r="A1791" s="41" t="s">
        <v>6726</v>
      </c>
      <c r="B1791" s="2" t="s">
        <v>997</v>
      </c>
      <c r="C1791" s="2" t="s">
        <v>5043</v>
      </c>
      <c r="D1791" s="2" t="s">
        <v>8409</v>
      </c>
    </row>
    <row r="1792" spans="1:4" x14ac:dyDescent="0.2">
      <c r="A1792" s="41" t="s">
        <v>6727</v>
      </c>
      <c r="B1792" s="2" t="s">
        <v>997</v>
      </c>
      <c r="C1792" s="2" t="s">
        <v>5043</v>
      </c>
      <c r="D1792" s="2" t="s">
        <v>8409</v>
      </c>
    </row>
    <row r="1793" spans="1:4" x14ac:dyDescent="0.2">
      <c r="A1793" s="41" t="s">
        <v>6728</v>
      </c>
      <c r="B1793" s="2" t="s">
        <v>997</v>
      </c>
      <c r="C1793" s="2" t="s">
        <v>5043</v>
      </c>
      <c r="D1793" s="2" t="s">
        <v>8409</v>
      </c>
    </row>
    <row r="1794" spans="1:4" x14ac:dyDescent="0.2">
      <c r="A1794" s="41" t="s">
        <v>6729</v>
      </c>
      <c r="B1794" s="2" t="s">
        <v>997</v>
      </c>
      <c r="C1794" s="2" t="s">
        <v>5043</v>
      </c>
      <c r="D1794" s="2" t="s">
        <v>8409</v>
      </c>
    </row>
    <row r="1795" spans="1:4" x14ac:dyDescent="0.2">
      <c r="A1795" s="41" t="s">
        <v>6730</v>
      </c>
      <c r="B1795" s="2" t="s">
        <v>997</v>
      </c>
      <c r="C1795" s="2" t="s">
        <v>5043</v>
      </c>
      <c r="D1795" s="2" t="s">
        <v>8409</v>
      </c>
    </row>
    <row r="1796" spans="1:4" x14ac:dyDescent="0.2">
      <c r="A1796" s="41" t="s">
        <v>2587</v>
      </c>
      <c r="B1796" s="2" t="s">
        <v>997</v>
      </c>
      <c r="C1796" s="2" t="s">
        <v>5043</v>
      </c>
      <c r="D1796" s="2" t="s">
        <v>8409</v>
      </c>
    </row>
    <row r="1797" spans="1:4" x14ac:dyDescent="0.2">
      <c r="A1797" s="41" t="s">
        <v>6731</v>
      </c>
      <c r="B1797" s="2" t="s">
        <v>997</v>
      </c>
      <c r="C1797" s="2" t="s">
        <v>5043</v>
      </c>
      <c r="D1797" s="2" t="s">
        <v>8409</v>
      </c>
    </row>
    <row r="1798" spans="1:4" x14ac:dyDescent="0.2">
      <c r="A1798" s="41" t="s">
        <v>6732</v>
      </c>
      <c r="B1798" s="2" t="s">
        <v>997</v>
      </c>
      <c r="C1798" s="2" t="s">
        <v>5043</v>
      </c>
      <c r="D1798" s="2" t="s">
        <v>8409</v>
      </c>
    </row>
    <row r="1799" spans="1:4" x14ac:dyDescent="0.2">
      <c r="A1799" s="41" t="s">
        <v>6733</v>
      </c>
      <c r="B1799" s="2" t="s">
        <v>605</v>
      </c>
      <c r="C1799" s="2" t="s">
        <v>5043</v>
      </c>
      <c r="D1799" s="2" t="s">
        <v>8420</v>
      </c>
    </row>
    <row r="1800" spans="1:4" x14ac:dyDescent="0.2">
      <c r="A1800" s="41" t="s">
        <v>6734</v>
      </c>
      <c r="B1800" s="2" t="s">
        <v>605</v>
      </c>
      <c r="C1800" s="2" t="s">
        <v>5043</v>
      </c>
      <c r="D1800" s="2" t="s">
        <v>8420</v>
      </c>
    </row>
    <row r="1801" spans="1:4" x14ac:dyDescent="0.2">
      <c r="A1801" s="41" t="s">
        <v>2585</v>
      </c>
      <c r="B1801" s="2" t="s">
        <v>998</v>
      </c>
      <c r="C1801" s="2" t="s">
        <v>5043</v>
      </c>
      <c r="D1801" s="2" t="s">
        <v>8409</v>
      </c>
    </row>
    <row r="1802" spans="1:4" x14ac:dyDescent="0.2">
      <c r="A1802" s="41" t="s">
        <v>6735</v>
      </c>
      <c r="B1802" s="2" t="s">
        <v>999</v>
      </c>
      <c r="C1802" s="2" t="s">
        <v>5043</v>
      </c>
      <c r="D1802" s="2" t="s">
        <v>8409</v>
      </c>
    </row>
    <row r="1803" spans="1:4" x14ac:dyDescent="0.2">
      <c r="A1803" s="41" t="s">
        <v>6736</v>
      </c>
      <c r="B1803" s="2" t="s">
        <v>999</v>
      </c>
      <c r="C1803" s="2" t="s">
        <v>5043</v>
      </c>
      <c r="D1803" s="2" t="s">
        <v>8409</v>
      </c>
    </row>
    <row r="1804" spans="1:4" x14ac:dyDescent="0.2">
      <c r="A1804" s="41" t="s">
        <v>6737</v>
      </c>
      <c r="B1804" s="2" t="s">
        <v>999</v>
      </c>
      <c r="C1804" s="2" t="s">
        <v>5043</v>
      </c>
      <c r="D1804" s="2" t="s">
        <v>8409</v>
      </c>
    </row>
    <row r="1805" spans="1:4" x14ac:dyDescent="0.2">
      <c r="A1805" s="41" t="s">
        <v>6738</v>
      </c>
      <c r="B1805" s="2" t="s">
        <v>999</v>
      </c>
      <c r="C1805" s="2" t="s">
        <v>5043</v>
      </c>
      <c r="D1805" s="2" t="s">
        <v>8409</v>
      </c>
    </row>
    <row r="1806" spans="1:4" x14ac:dyDescent="0.2">
      <c r="A1806" s="41" t="s">
        <v>6739</v>
      </c>
      <c r="B1806" s="2" t="s">
        <v>999</v>
      </c>
      <c r="C1806" s="2" t="s">
        <v>5043</v>
      </c>
      <c r="D1806" s="2" t="s">
        <v>8409</v>
      </c>
    </row>
    <row r="1807" spans="1:4" x14ac:dyDescent="0.2">
      <c r="A1807" s="41" t="s">
        <v>6740</v>
      </c>
      <c r="B1807" s="2" t="s">
        <v>999</v>
      </c>
      <c r="C1807" s="2" t="s">
        <v>5043</v>
      </c>
      <c r="D1807" s="2" t="s">
        <v>8409</v>
      </c>
    </row>
    <row r="1808" spans="1:4" x14ac:dyDescent="0.2">
      <c r="A1808" s="41" t="s">
        <v>6741</v>
      </c>
      <c r="B1808" s="2" t="s">
        <v>999</v>
      </c>
      <c r="C1808" s="2" t="s">
        <v>5043</v>
      </c>
      <c r="D1808" s="2" t="s">
        <v>8409</v>
      </c>
    </row>
    <row r="1809" spans="1:4" x14ac:dyDescent="0.2">
      <c r="A1809" s="41" t="s">
        <v>2583</v>
      </c>
      <c r="B1809" s="2" t="s">
        <v>999</v>
      </c>
      <c r="C1809" s="2" t="s">
        <v>5043</v>
      </c>
      <c r="D1809" s="2" t="s">
        <v>8409</v>
      </c>
    </row>
    <row r="1810" spans="1:4" x14ac:dyDescent="0.2">
      <c r="A1810" s="41" t="s">
        <v>6742</v>
      </c>
      <c r="B1810" s="2" t="s">
        <v>999</v>
      </c>
      <c r="C1810" s="2" t="s">
        <v>5043</v>
      </c>
      <c r="D1810" s="2" t="s">
        <v>8409</v>
      </c>
    </row>
    <row r="1811" spans="1:4" x14ac:dyDescent="0.2">
      <c r="A1811" s="41" t="s">
        <v>6743</v>
      </c>
      <c r="B1811" s="2" t="s">
        <v>999</v>
      </c>
      <c r="C1811" s="2" t="s">
        <v>5043</v>
      </c>
      <c r="D1811" s="2" t="s">
        <v>8409</v>
      </c>
    </row>
    <row r="1812" spans="1:4" x14ac:dyDescent="0.2">
      <c r="A1812" s="41" t="s">
        <v>3491</v>
      </c>
      <c r="B1812" s="2" t="s">
        <v>1000</v>
      </c>
      <c r="C1812" s="2" t="s">
        <v>5043</v>
      </c>
      <c r="D1812" s="2" t="s">
        <v>8409</v>
      </c>
    </row>
    <row r="1813" spans="1:4" x14ac:dyDescent="0.2">
      <c r="A1813" s="41" t="s">
        <v>3492</v>
      </c>
      <c r="B1813" s="2" t="s">
        <v>1000</v>
      </c>
      <c r="C1813" s="2" t="s">
        <v>5043</v>
      </c>
      <c r="D1813" s="2" t="s">
        <v>8409</v>
      </c>
    </row>
    <row r="1814" spans="1:4" x14ac:dyDescent="0.2">
      <c r="A1814" s="41" t="s">
        <v>3493</v>
      </c>
      <c r="B1814" s="2" t="s">
        <v>1001</v>
      </c>
      <c r="C1814" s="2" t="s">
        <v>5043</v>
      </c>
      <c r="D1814" s="2" t="s">
        <v>8409</v>
      </c>
    </row>
    <row r="1815" spans="1:4" x14ac:dyDescent="0.2">
      <c r="A1815" s="41" t="s">
        <v>3494</v>
      </c>
      <c r="B1815" s="2" t="s">
        <v>1001</v>
      </c>
      <c r="C1815" s="2" t="s">
        <v>5043</v>
      </c>
      <c r="D1815" s="2" t="s">
        <v>8409</v>
      </c>
    </row>
    <row r="1816" spans="1:4" x14ac:dyDescent="0.2">
      <c r="A1816" s="41" t="s">
        <v>3498</v>
      </c>
      <c r="B1816" s="2" t="s">
        <v>1001</v>
      </c>
      <c r="C1816" s="2" t="s">
        <v>5043</v>
      </c>
      <c r="D1816" s="2" t="s">
        <v>8409</v>
      </c>
    </row>
    <row r="1817" spans="1:4" x14ac:dyDescent="0.2">
      <c r="A1817" s="41" t="s">
        <v>3499</v>
      </c>
      <c r="B1817" s="2" t="s">
        <v>1001</v>
      </c>
      <c r="C1817" s="2" t="s">
        <v>5043</v>
      </c>
      <c r="D1817" s="2" t="s">
        <v>8409</v>
      </c>
    </row>
    <row r="1818" spans="1:4" x14ac:dyDescent="0.2">
      <c r="A1818" s="41" t="s">
        <v>3500</v>
      </c>
      <c r="B1818" s="2" t="s">
        <v>1001</v>
      </c>
      <c r="C1818" s="2" t="s">
        <v>5043</v>
      </c>
      <c r="D1818" s="2" t="s">
        <v>8409</v>
      </c>
    </row>
    <row r="1819" spans="1:4" x14ac:dyDescent="0.2">
      <c r="A1819" s="41" t="s">
        <v>3501</v>
      </c>
      <c r="B1819" s="2" t="s">
        <v>1001</v>
      </c>
      <c r="C1819" s="2" t="s">
        <v>5043</v>
      </c>
      <c r="D1819" s="2" t="s">
        <v>8409</v>
      </c>
    </row>
    <row r="1820" spans="1:4" x14ac:dyDescent="0.2">
      <c r="A1820" s="41" t="s">
        <v>3502</v>
      </c>
      <c r="B1820" s="2" t="s">
        <v>1001</v>
      </c>
      <c r="C1820" s="2" t="s">
        <v>5043</v>
      </c>
      <c r="D1820" s="2" t="s">
        <v>8409</v>
      </c>
    </row>
    <row r="1821" spans="1:4" x14ac:dyDescent="0.2">
      <c r="A1821" s="41" t="s">
        <v>3503</v>
      </c>
      <c r="B1821" s="2" t="s">
        <v>1001</v>
      </c>
      <c r="C1821" s="2" t="s">
        <v>5043</v>
      </c>
      <c r="D1821" s="2" t="s">
        <v>8409</v>
      </c>
    </row>
    <row r="1822" spans="1:4" x14ac:dyDescent="0.2">
      <c r="A1822" s="41" t="s">
        <v>3504</v>
      </c>
      <c r="B1822" s="2" t="s">
        <v>1001</v>
      </c>
      <c r="C1822" s="2" t="s">
        <v>5043</v>
      </c>
      <c r="D1822" s="2" t="s">
        <v>8409</v>
      </c>
    </row>
    <row r="1823" spans="1:4" x14ac:dyDescent="0.2">
      <c r="A1823" s="41" t="s">
        <v>3505</v>
      </c>
      <c r="B1823" s="2" t="s">
        <v>1001</v>
      </c>
      <c r="C1823" s="2" t="s">
        <v>5043</v>
      </c>
      <c r="D1823" s="2" t="s">
        <v>8409</v>
      </c>
    </row>
    <row r="1824" spans="1:4" x14ac:dyDescent="0.2">
      <c r="A1824" s="41" t="s">
        <v>3506</v>
      </c>
      <c r="B1824" s="2" t="s">
        <v>1002</v>
      </c>
      <c r="C1824" s="2" t="s">
        <v>5043</v>
      </c>
      <c r="D1824" s="2" t="s">
        <v>8409</v>
      </c>
    </row>
    <row r="1825" spans="1:4" x14ac:dyDescent="0.2">
      <c r="A1825" s="41" t="s">
        <v>3507</v>
      </c>
      <c r="B1825" s="2" t="s">
        <v>1002</v>
      </c>
      <c r="C1825" s="2" t="s">
        <v>5043</v>
      </c>
      <c r="D1825" s="2" t="s">
        <v>8409</v>
      </c>
    </row>
    <row r="1826" spans="1:4" x14ac:dyDescent="0.2">
      <c r="A1826" s="41" t="s">
        <v>3508</v>
      </c>
      <c r="B1826" s="2" t="s">
        <v>1002</v>
      </c>
      <c r="C1826" s="2" t="s">
        <v>5043</v>
      </c>
      <c r="D1826" s="2" t="s">
        <v>8409</v>
      </c>
    </row>
    <row r="1827" spans="1:4" x14ac:dyDescent="0.2">
      <c r="A1827" s="41" t="s">
        <v>3509</v>
      </c>
      <c r="B1827" s="2" t="s">
        <v>1002</v>
      </c>
      <c r="C1827" s="2" t="s">
        <v>5043</v>
      </c>
      <c r="D1827" s="2" t="s">
        <v>8409</v>
      </c>
    </row>
    <row r="1828" spans="1:4" x14ac:dyDescent="0.2">
      <c r="A1828" s="41" t="s">
        <v>3510</v>
      </c>
      <c r="B1828" s="2" t="s">
        <v>1002</v>
      </c>
      <c r="C1828" s="2" t="s">
        <v>5043</v>
      </c>
      <c r="D1828" s="2" t="s">
        <v>8409</v>
      </c>
    </row>
    <row r="1829" spans="1:4" x14ac:dyDescent="0.2">
      <c r="A1829" s="41" t="s">
        <v>3511</v>
      </c>
      <c r="B1829" s="2" t="s">
        <v>1003</v>
      </c>
      <c r="C1829" s="2" t="s">
        <v>5043</v>
      </c>
      <c r="D1829" s="2" t="s">
        <v>8409</v>
      </c>
    </row>
    <row r="1830" spans="1:4" x14ac:dyDescent="0.2">
      <c r="A1830" s="41" t="s">
        <v>3512</v>
      </c>
      <c r="B1830" s="2" t="s">
        <v>1003</v>
      </c>
      <c r="C1830" s="2" t="s">
        <v>5043</v>
      </c>
      <c r="D1830" s="2" t="s">
        <v>8409</v>
      </c>
    </row>
    <row r="1831" spans="1:4" x14ac:dyDescent="0.2">
      <c r="A1831" s="41" t="s">
        <v>3513</v>
      </c>
      <c r="B1831" s="2" t="s">
        <v>1003</v>
      </c>
      <c r="C1831" s="2" t="s">
        <v>5043</v>
      </c>
      <c r="D1831" s="2" t="s">
        <v>8409</v>
      </c>
    </row>
    <row r="1832" spans="1:4" x14ac:dyDescent="0.2">
      <c r="A1832" s="41" t="s">
        <v>2823</v>
      </c>
      <c r="B1832" s="2" t="s">
        <v>606</v>
      </c>
      <c r="C1832" s="2" t="s">
        <v>5043</v>
      </c>
      <c r="D1832" s="2" t="s">
        <v>8404</v>
      </c>
    </row>
    <row r="1833" spans="1:4" x14ac:dyDescent="0.2">
      <c r="A1833" s="41" t="s">
        <v>6744</v>
      </c>
      <c r="B1833" s="2" t="s">
        <v>1004</v>
      </c>
      <c r="C1833" s="2" t="s">
        <v>5043</v>
      </c>
      <c r="D1833" s="2" t="s">
        <v>8409</v>
      </c>
    </row>
    <row r="1834" spans="1:4" x14ac:dyDescent="0.2">
      <c r="A1834" s="41" t="s">
        <v>6745</v>
      </c>
      <c r="B1834" s="2" t="s">
        <v>1004</v>
      </c>
      <c r="C1834" s="2" t="s">
        <v>5043</v>
      </c>
      <c r="D1834" s="2" t="s">
        <v>8409</v>
      </c>
    </row>
    <row r="1835" spans="1:4" x14ac:dyDescent="0.2">
      <c r="A1835" s="41" t="s">
        <v>6746</v>
      </c>
      <c r="B1835" s="2" t="s">
        <v>1005</v>
      </c>
      <c r="C1835" s="2" t="s">
        <v>5043</v>
      </c>
      <c r="D1835" s="2" t="s">
        <v>8409</v>
      </c>
    </row>
    <row r="1836" spans="1:4" x14ac:dyDescent="0.2">
      <c r="A1836" s="41" t="s">
        <v>6747</v>
      </c>
      <c r="B1836" s="2" t="s">
        <v>1005</v>
      </c>
      <c r="C1836" s="2" t="s">
        <v>5043</v>
      </c>
      <c r="D1836" s="2" t="s">
        <v>8409</v>
      </c>
    </row>
    <row r="1837" spans="1:4" x14ac:dyDescent="0.2">
      <c r="A1837" s="41" t="s">
        <v>6748</v>
      </c>
      <c r="B1837" s="2" t="s">
        <v>1005</v>
      </c>
      <c r="C1837" s="2" t="s">
        <v>5043</v>
      </c>
      <c r="D1837" s="2" t="s">
        <v>8409</v>
      </c>
    </row>
    <row r="1838" spans="1:4" x14ac:dyDescent="0.2">
      <c r="A1838" s="41" t="s">
        <v>6749</v>
      </c>
      <c r="B1838" s="2" t="s">
        <v>1005</v>
      </c>
      <c r="C1838" s="2" t="s">
        <v>5043</v>
      </c>
      <c r="D1838" s="2" t="s">
        <v>8409</v>
      </c>
    </row>
    <row r="1839" spans="1:4" x14ac:dyDescent="0.2">
      <c r="A1839" s="41" t="s">
        <v>6750</v>
      </c>
      <c r="B1839" s="2" t="s">
        <v>1005</v>
      </c>
      <c r="C1839" s="2" t="s">
        <v>5043</v>
      </c>
      <c r="D1839" s="2" t="s">
        <v>8409</v>
      </c>
    </row>
    <row r="1840" spans="1:4" x14ac:dyDescent="0.2">
      <c r="A1840" s="41" t="s">
        <v>3553</v>
      </c>
      <c r="B1840" s="2" t="s">
        <v>1005</v>
      </c>
      <c r="C1840" s="2" t="s">
        <v>5043</v>
      </c>
      <c r="D1840" s="2" t="s">
        <v>8409</v>
      </c>
    </row>
    <row r="1841" spans="1:4" x14ac:dyDescent="0.2">
      <c r="A1841" s="41" t="s">
        <v>3554</v>
      </c>
      <c r="B1841" s="2" t="s">
        <v>1005</v>
      </c>
      <c r="C1841" s="2" t="s">
        <v>5043</v>
      </c>
      <c r="D1841" s="2" t="s">
        <v>8409</v>
      </c>
    </row>
    <row r="1842" spans="1:4" x14ac:dyDescent="0.2">
      <c r="A1842" s="41" t="s">
        <v>3555</v>
      </c>
      <c r="B1842" s="2" t="s">
        <v>1005</v>
      </c>
      <c r="C1842" s="2" t="s">
        <v>5043</v>
      </c>
      <c r="D1842" s="2" t="s">
        <v>8409</v>
      </c>
    </row>
    <row r="1843" spans="1:4" x14ac:dyDescent="0.2">
      <c r="A1843" s="41" t="s">
        <v>3589</v>
      </c>
      <c r="B1843" s="2" t="s">
        <v>1005</v>
      </c>
      <c r="C1843" s="2" t="s">
        <v>5043</v>
      </c>
      <c r="D1843" s="2" t="s">
        <v>8409</v>
      </c>
    </row>
    <row r="1844" spans="1:4" x14ac:dyDescent="0.2">
      <c r="A1844" s="41" t="s">
        <v>3590</v>
      </c>
      <c r="B1844" s="2" t="s">
        <v>1005</v>
      </c>
      <c r="C1844" s="2" t="s">
        <v>5043</v>
      </c>
      <c r="D1844" s="2" t="s">
        <v>8409</v>
      </c>
    </row>
    <row r="1845" spans="1:4" x14ac:dyDescent="0.2">
      <c r="A1845" s="41" t="s">
        <v>3591</v>
      </c>
      <c r="B1845" s="2" t="s">
        <v>1006</v>
      </c>
      <c r="C1845" s="2" t="s">
        <v>5043</v>
      </c>
      <c r="D1845" s="2" t="s">
        <v>8409</v>
      </c>
    </row>
    <row r="1846" spans="1:4" x14ac:dyDescent="0.2">
      <c r="A1846" s="41" t="s">
        <v>6751</v>
      </c>
      <c r="B1846" s="2" t="s">
        <v>1006</v>
      </c>
      <c r="C1846" s="2" t="s">
        <v>5043</v>
      </c>
      <c r="D1846" s="2" t="s">
        <v>8409</v>
      </c>
    </row>
    <row r="1847" spans="1:4" x14ac:dyDescent="0.2">
      <c r="A1847" s="41" t="s">
        <v>6752</v>
      </c>
      <c r="B1847" s="2" t="s">
        <v>1006</v>
      </c>
      <c r="C1847" s="2" t="s">
        <v>5043</v>
      </c>
      <c r="D1847" s="2" t="s">
        <v>8409</v>
      </c>
    </row>
    <row r="1848" spans="1:4" x14ac:dyDescent="0.2">
      <c r="A1848" s="41" t="s">
        <v>6753</v>
      </c>
      <c r="B1848" s="2" t="s">
        <v>1006</v>
      </c>
      <c r="C1848" s="2" t="s">
        <v>5043</v>
      </c>
      <c r="D1848" s="2" t="s">
        <v>8409</v>
      </c>
    </row>
    <row r="1849" spans="1:4" x14ac:dyDescent="0.2">
      <c r="A1849" s="41" t="s">
        <v>6754</v>
      </c>
      <c r="B1849" s="2" t="s">
        <v>1006</v>
      </c>
      <c r="C1849" s="2" t="s">
        <v>5043</v>
      </c>
      <c r="D1849" s="2" t="s">
        <v>8409</v>
      </c>
    </row>
    <row r="1850" spans="1:4" x14ac:dyDescent="0.2">
      <c r="A1850" s="41" t="s">
        <v>6755</v>
      </c>
      <c r="B1850" s="2" t="s">
        <v>607</v>
      </c>
      <c r="C1850" s="2" t="s">
        <v>5043</v>
      </c>
      <c r="D1850" s="2" t="s">
        <v>8404</v>
      </c>
    </row>
    <row r="1851" spans="1:4" x14ac:dyDescent="0.2">
      <c r="A1851" s="41" t="s">
        <v>6756</v>
      </c>
      <c r="B1851" s="2" t="s">
        <v>1007</v>
      </c>
      <c r="C1851" s="2" t="s">
        <v>5043</v>
      </c>
      <c r="D1851" s="2" t="s">
        <v>8409</v>
      </c>
    </row>
    <row r="1852" spans="1:4" x14ac:dyDescent="0.2">
      <c r="A1852" s="41" t="s">
        <v>6757</v>
      </c>
      <c r="B1852" s="2" t="s">
        <v>1008</v>
      </c>
      <c r="C1852" s="2" t="s">
        <v>5043</v>
      </c>
      <c r="D1852" s="2" t="s">
        <v>8409</v>
      </c>
    </row>
    <row r="1853" spans="1:4" x14ac:dyDescent="0.2">
      <c r="A1853" s="41" t="s">
        <v>6758</v>
      </c>
      <c r="B1853" s="2" t="s">
        <v>1009</v>
      </c>
      <c r="C1853" s="2" t="s">
        <v>5043</v>
      </c>
      <c r="D1853" s="2" t="s">
        <v>8409</v>
      </c>
    </row>
    <row r="1854" spans="1:4" x14ac:dyDescent="0.2">
      <c r="A1854" s="41" t="s">
        <v>6759</v>
      </c>
      <c r="B1854" s="2" t="s">
        <v>1010</v>
      </c>
      <c r="C1854" s="2" t="s">
        <v>5043</v>
      </c>
      <c r="D1854" s="2" t="s">
        <v>8409</v>
      </c>
    </row>
    <row r="1855" spans="1:4" x14ac:dyDescent="0.2">
      <c r="A1855" s="41" t="s">
        <v>6760</v>
      </c>
      <c r="B1855" s="2" t="s">
        <v>1010</v>
      </c>
      <c r="C1855" s="2" t="s">
        <v>5043</v>
      </c>
      <c r="D1855" s="2" t="s">
        <v>8409</v>
      </c>
    </row>
    <row r="1856" spans="1:4" x14ac:dyDescent="0.2">
      <c r="A1856" s="41" t="s">
        <v>6761</v>
      </c>
      <c r="B1856" s="2" t="s">
        <v>1010</v>
      </c>
      <c r="C1856" s="2" t="s">
        <v>5043</v>
      </c>
      <c r="D1856" s="2" t="s">
        <v>8409</v>
      </c>
    </row>
    <row r="1857" spans="1:4" x14ac:dyDescent="0.2">
      <c r="A1857" s="41" t="s">
        <v>6762</v>
      </c>
      <c r="B1857" s="2" t="s">
        <v>1011</v>
      </c>
      <c r="C1857" s="2" t="s">
        <v>5043</v>
      </c>
      <c r="D1857" s="2" t="s">
        <v>8409</v>
      </c>
    </row>
    <row r="1858" spans="1:4" x14ac:dyDescent="0.2">
      <c r="A1858" s="41" t="s">
        <v>6763</v>
      </c>
      <c r="B1858" s="2" t="s">
        <v>1012</v>
      </c>
      <c r="C1858" s="2" t="s">
        <v>5043</v>
      </c>
      <c r="D1858" s="2" t="s">
        <v>8409</v>
      </c>
    </row>
    <row r="1859" spans="1:4" x14ac:dyDescent="0.2">
      <c r="A1859" s="41" t="s">
        <v>3864</v>
      </c>
      <c r="B1859" s="2" t="s">
        <v>1012</v>
      </c>
      <c r="C1859" s="2" t="s">
        <v>5043</v>
      </c>
      <c r="D1859" s="2" t="s">
        <v>8409</v>
      </c>
    </row>
    <row r="1860" spans="1:4" x14ac:dyDescent="0.2">
      <c r="A1860" s="41" t="s">
        <v>3865</v>
      </c>
      <c r="B1860" s="2" t="s">
        <v>1012</v>
      </c>
      <c r="C1860" s="2" t="s">
        <v>5043</v>
      </c>
      <c r="D1860" s="2" t="s">
        <v>8409</v>
      </c>
    </row>
    <row r="1861" spans="1:4" x14ac:dyDescent="0.2">
      <c r="A1861" s="41" t="s">
        <v>3866</v>
      </c>
      <c r="B1861" s="2" t="s">
        <v>1012</v>
      </c>
      <c r="C1861" s="2" t="s">
        <v>5043</v>
      </c>
      <c r="D1861" s="2" t="s">
        <v>8409</v>
      </c>
    </row>
    <row r="1862" spans="1:4" x14ac:dyDescent="0.2">
      <c r="A1862" s="41" t="s">
        <v>6764</v>
      </c>
      <c r="B1862" s="2" t="s">
        <v>1013</v>
      </c>
      <c r="C1862" s="2" t="s">
        <v>5043</v>
      </c>
      <c r="D1862" s="2" t="s">
        <v>8409</v>
      </c>
    </row>
    <row r="1863" spans="1:4" x14ac:dyDescent="0.2">
      <c r="A1863" s="41" t="s">
        <v>6765</v>
      </c>
      <c r="B1863" s="2" t="s">
        <v>1013</v>
      </c>
      <c r="C1863" s="2" t="s">
        <v>5043</v>
      </c>
      <c r="D1863" s="2" t="s">
        <v>8409</v>
      </c>
    </row>
    <row r="1864" spans="1:4" x14ac:dyDescent="0.2">
      <c r="A1864" s="41" t="s">
        <v>6766</v>
      </c>
      <c r="B1864" s="2" t="s">
        <v>1013</v>
      </c>
      <c r="C1864" s="2" t="s">
        <v>5043</v>
      </c>
      <c r="D1864" s="2" t="s">
        <v>8409</v>
      </c>
    </row>
    <row r="1865" spans="1:4" x14ac:dyDescent="0.2">
      <c r="A1865" s="41" t="s">
        <v>6767</v>
      </c>
      <c r="B1865" s="2" t="s">
        <v>1014</v>
      </c>
      <c r="C1865" s="2" t="s">
        <v>5043</v>
      </c>
      <c r="D1865" s="2" t="s">
        <v>8409</v>
      </c>
    </row>
    <row r="1866" spans="1:4" x14ac:dyDescent="0.2">
      <c r="A1866" s="41" t="s">
        <v>6768</v>
      </c>
      <c r="B1866" s="2" t="s">
        <v>1015</v>
      </c>
      <c r="C1866" s="2" t="s">
        <v>5043</v>
      </c>
      <c r="D1866" s="2" t="s">
        <v>8409</v>
      </c>
    </row>
    <row r="1867" spans="1:4" x14ac:dyDescent="0.2">
      <c r="A1867" s="41" t="s">
        <v>6769</v>
      </c>
      <c r="B1867" s="2" t="s">
        <v>1185</v>
      </c>
      <c r="C1867" s="2" t="s">
        <v>5043</v>
      </c>
      <c r="D1867" s="2" t="s">
        <v>8409</v>
      </c>
    </row>
    <row r="1868" spans="1:4" x14ac:dyDescent="0.2">
      <c r="A1868" s="41" t="s">
        <v>6770</v>
      </c>
      <c r="B1868" s="2" t="s">
        <v>6771</v>
      </c>
      <c r="C1868" s="2" t="s">
        <v>5043</v>
      </c>
      <c r="D1868" s="2" t="s">
        <v>8409</v>
      </c>
    </row>
    <row r="1869" spans="1:4" x14ac:dyDescent="0.2">
      <c r="A1869" s="41" t="s">
        <v>6772</v>
      </c>
      <c r="B1869" s="2" t="s">
        <v>6771</v>
      </c>
      <c r="C1869" s="2" t="s">
        <v>5043</v>
      </c>
      <c r="D1869" s="2" t="s">
        <v>8409</v>
      </c>
    </row>
    <row r="1870" spans="1:4" x14ac:dyDescent="0.2">
      <c r="A1870" s="41" t="s">
        <v>2615</v>
      </c>
      <c r="B1870" s="2" t="s">
        <v>6771</v>
      </c>
      <c r="C1870" s="2" t="s">
        <v>5043</v>
      </c>
      <c r="D1870" s="2" t="s">
        <v>8409</v>
      </c>
    </row>
    <row r="1871" spans="1:4" x14ac:dyDescent="0.2">
      <c r="A1871" s="41" t="s">
        <v>6773</v>
      </c>
      <c r="B1871" s="2" t="s">
        <v>6771</v>
      </c>
      <c r="C1871" s="2" t="s">
        <v>5043</v>
      </c>
      <c r="D1871" s="2" t="s">
        <v>8409</v>
      </c>
    </row>
    <row r="1872" spans="1:4" x14ac:dyDescent="0.2">
      <c r="A1872" s="41" t="s">
        <v>3107</v>
      </c>
      <c r="B1872" s="2" t="s">
        <v>1016</v>
      </c>
      <c r="C1872" s="2" t="s">
        <v>5043</v>
      </c>
      <c r="D1872" s="2" t="s">
        <v>8409</v>
      </c>
    </row>
    <row r="1873" spans="1:4" x14ac:dyDescent="0.2">
      <c r="A1873" s="41" t="s">
        <v>3108</v>
      </c>
      <c r="B1873" s="2" t="s">
        <v>1016</v>
      </c>
      <c r="C1873" s="2" t="s">
        <v>5043</v>
      </c>
      <c r="D1873" s="2" t="s">
        <v>8409</v>
      </c>
    </row>
    <row r="1874" spans="1:4" x14ac:dyDescent="0.2">
      <c r="A1874" s="41" t="s">
        <v>3125</v>
      </c>
      <c r="B1874" s="2" t="s">
        <v>1017</v>
      </c>
      <c r="C1874" s="2" t="s">
        <v>5043</v>
      </c>
      <c r="D1874" s="2" t="s">
        <v>8409</v>
      </c>
    </row>
    <row r="1875" spans="1:4" x14ac:dyDescent="0.2">
      <c r="A1875" s="41" t="s">
        <v>6774</v>
      </c>
      <c r="B1875" s="2" t="s">
        <v>1017</v>
      </c>
      <c r="C1875" s="2" t="s">
        <v>5043</v>
      </c>
      <c r="D1875" s="2" t="s">
        <v>8409</v>
      </c>
    </row>
    <row r="1876" spans="1:4" x14ac:dyDescent="0.2">
      <c r="A1876" s="41" t="s">
        <v>3130</v>
      </c>
      <c r="B1876" s="2" t="s">
        <v>1017</v>
      </c>
      <c r="C1876" s="2" t="s">
        <v>5043</v>
      </c>
      <c r="D1876" s="2" t="s">
        <v>8409</v>
      </c>
    </row>
    <row r="1877" spans="1:4" x14ac:dyDescent="0.2">
      <c r="A1877" s="41" t="s">
        <v>3131</v>
      </c>
      <c r="B1877" s="2" t="s">
        <v>1017</v>
      </c>
      <c r="C1877" s="2" t="s">
        <v>5043</v>
      </c>
      <c r="D1877" s="2" t="s">
        <v>8409</v>
      </c>
    </row>
    <row r="1878" spans="1:4" x14ac:dyDescent="0.2">
      <c r="A1878" s="41" t="s">
        <v>3132</v>
      </c>
      <c r="B1878" s="2" t="s">
        <v>1017</v>
      </c>
      <c r="C1878" s="2" t="s">
        <v>5043</v>
      </c>
      <c r="D1878" s="2" t="s">
        <v>8409</v>
      </c>
    </row>
    <row r="1879" spans="1:4" x14ac:dyDescent="0.2">
      <c r="A1879" s="41" t="s">
        <v>3133</v>
      </c>
      <c r="B1879" s="2" t="s">
        <v>1017</v>
      </c>
      <c r="C1879" s="2" t="s">
        <v>5043</v>
      </c>
      <c r="D1879" s="2" t="s">
        <v>8409</v>
      </c>
    </row>
    <row r="1880" spans="1:4" x14ac:dyDescent="0.2">
      <c r="A1880" s="41" t="s">
        <v>3134</v>
      </c>
      <c r="B1880" s="2" t="s">
        <v>1017</v>
      </c>
      <c r="C1880" s="2" t="s">
        <v>5043</v>
      </c>
      <c r="D1880" s="2" t="s">
        <v>8409</v>
      </c>
    </row>
    <row r="1881" spans="1:4" x14ac:dyDescent="0.2">
      <c r="A1881" s="41" t="s">
        <v>3135</v>
      </c>
      <c r="B1881" s="2" t="s">
        <v>1017</v>
      </c>
      <c r="C1881" s="2" t="s">
        <v>5043</v>
      </c>
      <c r="D1881" s="2" t="s">
        <v>8409</v>
      </c>
    </row>
    <row r="1882" spans="1:4" x14ac:dyDescent="0.2">
      <c r="A1882" s="41" t="s">
        <v>3281</v>
      </c>
      <c r="B1882" s="2" t="s">
        <v>1018</v>
      </c>
      <c r="C1882" s="2" t="s">
        <v>5043</v>
      </c>
      <c r="D1882" s="2" t="s">
        <v>8409</v>
      </c>
    </row>
    <row r="1883" spans="1:4" x14ac:dyDescent="0.2">
      <c r="A1883" s="41" t="s">
        <v>6775</v>
      </c>
      <c r="B1883" s="2" t="s">
        <v>1019</v>
      </c>
      <c r="C1883" s="2" t="s">
        <v>5043</v>
      </c>
      <c r="D1883" s="2" t="s">
        <v>8409</v>
      </c>
    </row>
    <row r="1884" spans="1:4" x14ac:dyDescent="0.2">
      <c r="A1884" s="41" t="s">
        <v>6776</v>
      </c>
      <c r="B1884" s="2" t="s">
        <v>1019</v>
      </c>
      <c r="C1884" s="2" t="s">
        <v>5043</v>
      </c>
      <c r="D1884" s="2" t="s">
        <v>8409</v>
      </c>
    </row>
    <row r="1885" spans="1:4" x14ac:dyDescent="0.2">
      <c r="A1885" s="41" t="s">
        <v>6777</v>
      </c>
      <c r="B1885" s="2" t="s">
        <v>1020</v>
      </c>
      <c r="C1885" s="2" t="s">
        <v>5043</v>
      </c>
      <c r="D1885" s="2" t="s">
        <v>8409</v>
      </c>
    </row>
    <row r="1886" spans="1:4" x14ac:dyDescent="0.2">
      <c r="A1886" s="41" t="s">
        <v>6778</v>
      </c>
      <c r="B1886" s="2" t="s">
        <v>1020</v>
      </c>
      <c r="C1886" s="2" t="s">
        <v>5043</v>
      </c>
      <c r="D1886" s="2" t="s">
        <v>8409</v>
      </c>
    </row>
    <row r="1887" spans="1:4" x14ac:dyDescent="0.2">
      <c r="A1887" s="41" t="s">
        <v>6779</v>
      </c>
      <c r="B1887" s="2" t="s">
        <v>1021</v>
      </c>
      <c r="C1887" s="2" t="s">
        <v>5043</v>
      </c>
      <c r="D1887" s="2" t="s">
        <v>8409</v>
      </c>
    </row>
    <row r="1888" spans="1:4" x14ac:dyDescent="0.2">
      <c r="A1888" s="41" t="s">
        <v>6780</v>
      </c>
      <c r="B1888" s="2" t="s">
        <v>1021</v>
      </c>
      <c r="C1888" s="2" t="s">
        <v>5043</v>
      </c>
      <c r="D1888" s="2" t="s">
        <v>8409</v>
      </c>
    </row>
    <row r="1889" spans="1:4" x14ac:dyDescent="0.2">
      <c r="A1889" s="41" t="s">
        <v>6781</v>
      </c>
      <c r="B1889" s="2" t="s">
        <v>1022</v>
      </c>
      <c r="C1889" s="2" t="s">
        <v>5043</v>
      </c>
      <c r="D1889" s="2" t="s">
        <v>8404</v>
      </c>
    </row>
    <row r="1890" spans="1:4" x14ac:dyDescent="0.2">
      <c r="A1890" s="41" t="s">
        <v>3631</v>
      </c>
      <c r="B1890" s="2" t="s">
        <v>1023</v>
      </c>
      <c r="C1890" s="2" t="s">
        <v>5043</v>
      </c>
      <c r="D1890" s="2" t="s">
        <v>8404</v>
      </c>
    </row>
    <row r="1891" spans="1:4" x14ac:dyDescent="0.2">
      <c r="A1891" s="41" t="s">
        <v>6782</v>
      </c>
      <c r="B1891" s="2" t="s">
        <v>1024</v>
      </c>
      <c r="C1891" s="2" t="s">
        <v>5043</v>
      </c>
      <c r="D1891" s="2" t="s">
        <v>8404</v>
      </c>
    </row>
    <row r="1892" spans="1:4" x14ac:dyDescent="0.2">
      <c r="A1892" s="41" t="s">
        <v>6783</v>
      </c>
      <c r="B1892" s="2" t="s">
        <v>1024</v>
      </c>
      <c r="C1892" s="2" t="s">
        <v>5043</v>
      </c>
      <c r="D1892" s="2" t="s">
        <v>8404</v>
      </c>
    </row>
    <row r="1893" spans="1:4" x14ac:dyDescent="0.2">
      <c r="A1893" s="41" t="s">
        <v>6784</v>
      </c>
      <c r="B1893" s="2" t="s">
        <v>1025</v>
      </c>
      <c r="C1893" s="2" t="s">
        <v>5043</v>
      </c>
      <c r="D1893" s="2" t="s">
        <v>8404</v>
      </c>
    </row>
    <row r="1894" spans="1:4" x14ac:dyDescent="0.2">
      <c r="A1894" s="41" t="s">
        <v>6785</v>
      </c>
      <c r="B1894" s="2" t="s">
        <v>1025</v>
      </c>
      <c r="C1894" s="2" t="s">
        <v>5043</v>
      </c>
      <c r="D1894" s="2" t="s">
        <v>8404</v>
      </c>
    </row>
    <row r="1895" spans="1:4" x14ac:dyDescent="0.2">
      <c r="A1895" s="41" t="s">
        <v>6786</v>
      </c>
      <c r="B1895" s="2" t="s">
        <v>1025</v>
      </c>
      <c r="C1895" s="2" t="s">
        <v>5043</v>
      </c>
      <c r="D1895" s="2" t="s">
        <v>8404</v>
      </c>
    </row>
    <row r="1896" spans="1:4" x14ac:dyDescent="0.2">
      <c r="A1896" s="41" t="s">
        <v>6787</v>
      </c>
      <c r="B1896" s="2" t="s">
        <v>1025</v>
      </c>
      <c r="C1896" s="2" t="s">
        <v>5043</v>
      </c>
      <c r="D1896" s="2" t="s">
        <v>8404</v>
      </c>
    </row>
    <row r="1897" spans="1:4" x14ac:dyDescent="0.2">
      <c r="A1897" s="41" t="s">
        <v>6788</v>
      </c>
      <c r="B1897" s="2" t="s">
        <v>1025</v>
      </c>
      <c r="C1897" s="2" t="s">
        <v>5043</v>
      </c>
      <c r="D1897" s="2" t="s">
        <v>8404</v>
      </c>
    </row>
    <row r="1898" spans="1:4" x14ac:dyDescent="0.2">
      <c r="A1898" s="41" t="s">
        <v>6789</v>
      </c>
      <c r="B1898" s="2" t="s">
        <v>1025</v>
      </c>
      <c r="C1898" s="2" t="s">
        <v>5043</v>
      </c>
      <c r="D1898" s="2" t="s">
        <v>8404</v>
      </c>
    </row>
    <row r="1899" spans="1:4" x14ac:dyDescent="0.2">
      <c r="A1899" s="41" t="s">
        <v>6790</v>
      </c>
      <c r="B1899" s="2" t="s">
        <v>1025</v>
      </c>
      <c r="C1899" s="2" t="s">
        <v>5043</v>
      </c>
      <c r="D1899" s="2" t="s">
        <v>8404</v>
      </c>
    </row>
    <row r="1900" spans="1:4" x14ac:dyDescent="0.2">
      <c r="A1900" s="41" t="s">
        <v>6791</v>
      </c>
      <c r="B1900" s="2" t="s">
        <v>1025</v>
      </c>
      <c r="C1900" s="2" t="s">
        <v>5043</v>
      </c>
      <c r="D1900" s="2" t="s">
        <v>8404</v>
      </c>
    </row>
    <row r="1901" spans="1:4" x14ac:dyDescent="0.2">
      <c r="A1901" s="41" t="s">
        <v>6792</v>
      </c>
      <c r="B1901" s="2" t="s">
        <v>1025</v>
      </c>
      <c r="C1901" s="2" t="s">
        <v>5043</v>
      </c>
      <c r="D1901" s="2" t="s">
        <v>8404</v>
      </c>
    </row>
    <row r="1902" spans="1:4" x14ac:dyDescent="0.2">
      <c r="A1902" s="41" t="s">
        <v>6793</v>
      </c>
      <c r="B1902" s="2" t="s">
        <v>1026</v>
      </c>
      <c r="C1902" s="2" t="s">
        <v>5043</v>
      </c>
      <c r="D1902" s="2" t="s">
        <v>8404</v>
      </c>
    </row>
    <row r="1903" spans="1:4" x14ac:dyDescent="0.2">
      <c r="A1903" s="41" t="s">
        <v>3342</v>
      </c>
      <c r="B1903" s="2" t="s">
        <v>1026</v>
      </c>
      <c r="C1903" s="2" t="s">
        <v>5043</v>
      </c>
      <c r="D1903" s="2" t="s">
        <v>8404</v>
      </c>
    </row>
    <row r="1904" spans="1:4" x14ac:dyDescent="0.2">
      <c r="A1904" s="41" t="s">
        <v>3343</v>
      </c>
      <c r="B1904" s="2" t="s">
        <v>1026</v>
      </c>
      <c r="C1904" s="2" t="s">
        <v>5043</v>
      </c>
      <c r="D1904" s="2" t="s">
        <v>8404</v>
      </c>
    </row>
    <row r="1905" spans="1:4" x14ac:dyDescent="0.2">
      <c r="A1905" s="41" t="s">
        <v>6794</v>
      </c>
      <c r="B1905" s="2" t="s">
        <v>1026</v>
      </c>
      <c r="C1905" s="2" t="s">
        <v>5043</v>
      </c>
      <c r="D1905" s="2" t="s">
        <v>8404</v>
      </c>
    </row>
    <row r="1906" spans="1:4" x14ac:dyDescent="0.2">
      <c r="A1906" s="41" t="s">
        <v>6795</v>
      </c>
      <c r="B1906" s="2" t="s">
        <v>1026</v>
      </c>
      <c r="C1906" s="2" t="s">
        <v>5043</v>
      </c>
      <c r="D1906" s="2" t="s">
        <v>8404</v>
      </c>
    </row>
    <row r="1907" spans="1:4" x14ac:dyDescent="0.2">
      <c r="A1907" s="41" t="s">
        <v>6796</v>
      </c>
      <c r="B1907" s="2" t="s">
        <v>1026</v>
      </c>
      <c r="C1907" s="2" t="s">
        <v>5043</v>
      </c>
      <c r="D1907" s="2" t="s">
        <v>8404</v>
      </c>
    </row>
    <row r="1908" spans="1:4" x14ac:dyDescent="0.2">
      <c r="A1908" s="41" t="s">
        <v>6797</v>
      </c>
      <c r="B1908" s="2" t="s">
        <v>1027</v>
      </c>
      <c r="C1908" s="2" t="s">
        <v>5043</v>
      </c>
      <c r="D1908" s="2" t="s">
        <v>8404</v>
      </c>
    </row>
    <row r="1909" spans="1:4" x14ac:dyDescent="0.2">
      <c r="A1909" s="41" t="s">
        <v>6798</v>
      </c>
      <c r="B1909" s="2" t="s">
        <v>1028</v>
      </c>
      <c r="C1909" s="2" t="s">
        <v>5043</v>
      </c>
      <c r="D1909" s="2" t="s">
        <v>8404</v>
      </c>
    </row>
    <row r="1910" spans="1:4" x14ac:dyDescent="0.2">
      <c r="A1910" s="41" t="s">
        <v>6799</v>
      </c>
      <c r="B1910" s="2" t="s">
        <v>1028</v>
      </c>
      <c r="C1910" s="2" t="s">
        <v>5043</v>
      </c>
      <c r="D1910" s="2" t="s">
        <v>8404</v>
      </c>
    </row>
    <row r="1911" spans="1:4" x14ac:dyDescent="0.2">
      <c r="A1911" s="41" t="s">
        <v>6800</v>
      </c>
      <c r="B1911" s="2" t="s">
        <v>1028</v>
      </c>
      <c r="C1911" s="2" t="s">
        <v>5043</v>
      </c>
      <c r="D1911" s="2" t="s">
        <v>8404</v>
      </c>
    </row>
    <row r="1912" spans="1:4" x14ac:dyDescent="0.2">
      <c r="A1912" s="41" t="s">
        <v>6801</v>
      </c>
      <c r="B1912" s="2" t="s">
        <v>1028</v>
      </c>
      <c r="C1912" s="2" t="s">
        <v>5043</v>
      </c>
      <c r="D1912" s="2" t="s">
        <v>8404</v>
      </c>
    </row>
    <row r="1913" spans="1:4" x14ac:dyDescent="0.2">
      <c r="A1913" s="41" t="s">
        <v>6802</v>
      </c>
      <c r="B1913" s="2" t="s">
        <v>1028</v>
      </c>
      <c r="C1913" s="2" t="s">
        <v>5043</v>
      </c>
      <c r="D1913" s="2" t="s">
        <v>8404</v>
      </c>
    </row>
    <row r="1914" spans="1:4" x14ac:dyDescent="0.2">
      <c r="A1914" s="41" t="s">
        <v>6803</v>
      </c>
      <c r="B1914" s="2" t="s">
        <v>1028</v>
      </c>
      <c r="C1914" s="2" t="s">
        <v>5043</v>
      </c>
      <c r="D1914" s="2" t="s">
        <v>8404</v>
      </c>
    </row>
    <row r="1915" spans="1:4" x14ac:dyDescent="0.2">
      <c r="A1915" s="41" t="s">
        <v>6804</v>
      </c>
      <c r="B1915" s="2" t="s">
        <v>1028</v>
      </c>
      <c r="C1915" s="2" t="s">
        <v>5043</v>
      </c>
      <c r="D1915" s="2" t="s">
        <v>8404</v>
      </c>
    </row>
    <row r="1916" spans="1:4" x14ac:dyDescent="0.2">
      <c r="A1916" s="41" t="s">
        <v>6805</v>
      </c>
      <c r="B1916" s="2" t="s">
        <v>1029</v>
      </c>
      <c r="C1916" s="2" t="s">
        <v>5043</v>
      </c>
      <c r="D1916" s="2" t="s">
        <v>8404</v>
      </c>
    </row>
    <row r="1917" spans="1:4" x14ac:dyDescent="0.2">
      <c r="A1917" s="41" t="s">
        <v>6806</v>
      </c>
      <c r="B1917" s="2" t="s">
        <v>1029</v>
      </c>
      <c r="C1917" s="2" t="s">
        <v>5043</v>
      </c>
      <c r="D1917" s="2" t="s">
        <v>8404</v>
      </c>
    </row>
    <row r="1918" spans="1:4" x14ac:dyDescent="0.2">
      <c r="A1918" s="41" t="s">
        <v>6807</v>
      </c>
      <c r="B1918" s="2" t="s">
        <v>1029</v>
      </c>
      <c r="C1918" s="2" t="s">
        <v>5043</v>
      </c>
      <c r="D1918" s="2" t="s">
        <v>8404</v>
      </c>
    </row>
    <row r="1919" spans="1:4" x14ac:dyDescent="0.2">
      <c r="A1919" s="41" t="s">
        <v>6808</v>
      </c>
      <c r="B1919" s="2" t="s">
        <v>354</v>
      </c>
      <c r="C1919" s="2" t="s">
        <v>5043</v>
      </c>
      <c r="D1919" s="2" t="s">
        <v>8413</v>
      </c>
    </row>
    <row r="1920" spans="1:4" x14ac:dyDescent="0.2">
      <c r="A1920" s="41" t="s">
        <v>4536</v>
      </c>
      <c r="B1920" s="2" t="s">
        <v>354</v>
      </c>
      <c r="C1920" s="2" t="s">
        <v>5043</v>
      </c>
      <c r="D1920" s="2" t="s">
        <v>8404</v>
      </c>
    </row>
    <row r="1921" spans="1:4" x14ac:dyDescent="0.2">
      <c r="A1921" s="41" t="s">
        <v>4537</v>
      </c>
      <c r="B1921" s="2" t="s">
        <v>354</v>
      </c>
      <c r="C1921" s="2" t="s">
        <v>5043</v>
      </c>
      <c r="D1921" s="2" t="s">
        <v>8404</v>
      </c>
    </row>
    <row r="1922" spans="1:4" x14ac:dyDescent="0.2">
      <c r="A1922" s="41" t="s">
        <v>4538</v>
      </c>
      <c r="B1922" s="2" t="s">
        <v>354</v>
      </c>
      <c r="C1922" s="2" t="s">
        <v>5043</v>
      </c>
      <c r="D1922" s="2" t="s">
        <v>8404</v>
      </c>
    </row>
    <row r="1923" spans="1:4" x14ac:dyDescent="0.2">
      <c r="A1923" s="41" t="s">
        <v>4545</v>
      </c>
      <c r="B1923" s="2" t="s">
        <v>354</v>
      </c>
      <c r="C1923" s="2" t="s">
        <v>5043</v>
      </c>
      <c r="D1923" s="2" t="s">
        <v>8404</v>
      </c>
    </row>
    <row r="1924" spans="1:4" x14ac:dyDescent="0.2">
      <c r="A1924" s="41" t="s">
        <v>4546</v>
      </c>
      <c r="B1924" s="2" t="s">
        <v>354</v>
      </c>
      <c r="C1924" s="2" t="s">
        <v>5043</v>
      </c>
      <c r="D1924" s="2" t="s">
        <v>8404</v>
      </c>
    </row>
    <row r="1925" spans="1:4" x14ac:dyDescent="0.2">
      <c r="A1925" s="41" t="s">
        <v>4554</v>
      </c>
      <c r="B1925" s="2" t="s">
        <v>354</v>
      </c>
      <c r="C1925" s="2" t="s">
        <v>5043</v>
      </c>
      <c r="D1925" s="2" t="s">
        <v>8404</v>
      </c>
    </row>
    <row r="1926" spans="1:4" x14ac:dyDescent="0.2">
      <c r="A1926" s="41" t="s">
        <v>4555</v>
      </c>
      <c r="B1926" s="2" t="s">
        <v>354</v>
      </c>
      <c r="C1926" s="2" t="s">
        <v>5043</v>
      </c>
      <c r="D1926" s="2" t="s">
        <v>8404</v>
      </c>
    </row>
    <row r="1927" spans="1:4" x14ac:dyDescent="0.2">
      <c r="A1927" s="41" t="s">
        <v>4556</v>
      </c>
      <c r="B1927" s="2" t="s">
        <v>354</v>
      </c>
      <c r="C1927" s="2" t="s">
        <v>5043</v>
      </c>
      <c r="D1927" s="2" t="s">
        <v>8404</v>
      </c>
    </row>
    <row r="1928" spans="1:4" x14ac:dyDescent="0.2">
      <c r="A1928" s="41" t="s">
        <v>4560</v>
      </c>
      <c r="B1928" s="2" t="s">
        <v>354</v>
      </c>
      <c r="C1928" s="2" t="s">
        <v>5043</v>
      </c>
      <c r="D1928" s="2" t="s">
        <v>8404</v>
      </c>
    </row>
    <row r="1929" spans="1:4" x14ac:dyDescent="0.2">
      <c r="A1929" s="41" t="s">
        <v>6809</v>
      </c>
      <c r="B1929" s="2" t="s">
        <v>553</v>
      </c>
      <c r="C1929" s="2" t="s">
        <v>5043</v>
      </c>
      <c r="D1929" s="2" t="s">
        <v>8404</v>
      </c>
    </row>
    <row r="1930" spans="1:4" x14ac:dyDescent="0.2">
      <c r="A1930" s="41" t="s">
        <v>3613</v>
      </c>
      <c r="B1930" s="2" t="s">
        <v>1030</v>
      </c>
      <c r="C1930" s="2" t="s">
        <v>5043</v>
      </c>
      <c r="D1930" s="2" t="s">
        <v>8404</v>
      </c>
    </row>
    <row r="1931" spans="1:4" x14ac:dyDescent="0.2">
      <c r="A1931" s="41" t="s">
        <v>3614</v>
      </c>
      <c r="B1931" s="2" t="s">
        <v>1030</v>
      </c>
      <c r="C1931" s="2" t="s">
        <v>5043</v>
      </c>
      <c r="D1931" s="2" t="s">
        <v>8404</v>
      </c>
    </row>
    <row r="1932" spans="1:4" x14ac:dyDescent="0.2">
      <c r="A1932" s="41" t="s">
        <v>3615</v>
      </c>
      <c r="B1932" s="2" t="s">
        <v>1030</v>
      </c>
      <c r="C1932" s="2" t="s">
        <v>5043</v>
      </c>
      <c r="D1932" s="2" t="s">
        <v>8404</v>
      </c>
    </row>
    <row r="1933" spans="1:4" x14ac:dyDescent="0.2">
      <c r="A1933" s="41" t="s">
        <v>3616</v>
      </c>
      <c r="B1933" s="2" t="s">
        <v>1030</v>
      </c>
      <c r="C1933" s="2" t="s">
        <v>5043</v>
      </c>
      <c r="D1933" s="2" t="s">
        <v>8404</v>
      </c>
    </row>
    <row r="1934" spans="1:4" x14ac:dyDescent="0.2">
      <c r="A1934" s="41" t="s">
        <v>3617</v>
      </c>
      <c r="B1934" s="2" t="s">
        <v>1030</v>
      </c>
      <c r="C1934" s="2" t="s">
        <v>5043</v>
      </c>
      <c r="D1934" s="2" t="s">
        <v>8404</v>
      </c>
    </row>
    <row r="1935" spans="1:4" x14ac:dyDescent="0.2">
      <c r="A1935" s="41" t="s">
        <v>3618</v>
      </c>
      <c r="B1935" s="2" t="s">
        <v>1030</v>
      </c>
      <c r="C1935" s="2" t="s">
        <v>5043</v>
      </c>
      <c r="D1935" s="2" t="s">
        <v>8404</v>
      </c>
    </row>
    <row r="1936" spans="1:4" x14ac:dyDescent="0.2">
      <c r="A1936" s="41" t="s">
        <v>6810</v>
      </c>
      <c r="B1936" s="2" t="s">
        <v>338</v>
      </c>
      <c r="C1936" s="2" t="s">
        <v>5043</v>
      </c>
      <c r="D1936" s="2" t="s">
        <v>8404</v>
      </c>
    </row>
    <row r="1937" spans="1:4" x14ac:dyDescent="0.2">
      <c r="A1937" s="41" t="s">
        <v>3619</v>
      </c>
      <c r="B1937" s="2" t="s">
        <v>338</v>
      </c>
      <c r="C1937" s="2" t="s">
        <v>5043</v>
      </c>
      <c r="D1937" s="2" t="s">
        <v>8404</v>
      </c>
    </row>
    <row r="1938" spans="1:4" x14ac:dyDescent="0.2">
      <c r="A1938" s="41" t="s">
        <v>3620</v>
      </c>
      <c r="B1938" s="2" t="s">
        <v>1031</v>
      </c>
      <c r="C1938" s="2" t="s">
        <v>5043</v>
      </c>
      <c r="D1938" s="2" t="s">
        <v>8404</v>
      </c>
    </row>
    <row r="1939" spans="1:4" x14ac:dyDescent="0.2">
      <c r="A1939" s="41" t="s">
        <v>8396</v>
      </c>
      <c r="B1939" s="2" t="s">
        <v>8397</v>
      </c>
      <c r="C1939" s="2" t="s">
        <v>5043</v>
      </c>
      <c r="D1939" s="2" t="s">
        <v>8401</v>
      </c>
    </row>
    <row r="1940" spans="1:4" x14ac:dyDescent="0.2">
      <c r="A1940" s="41" t="s">
        <v>8398</v>
      </c>
      <c r="B1940" s="2" t="s">
        <v>8397</v>
      </c>
      <c r="C1940" s="2" t="s">
        <v>5043</v>
      </c>
      <c r="D1940" s="2" t="s">
        <v>8401</v>
      </c>
    </row>
    <row r="1941" spans="1:4" x14ac:dyDescent="0.2">
      <c r="A1941" s="41" t="s">
        <v>8399</v>
      </c>
      <c r="B1941" s="2" t="s">
        <v>8397</v>
      </c>
      <c r="C1941" s="2" t="s">
        <v>5043</v>
      </c>
      <c r="D1941" s="2" t="s">
        <v>8401</v>
      </c>
    </row>
    <row r="1942" spans="1:4" x14ac:dyDescent="0.2">
      <c r="A1942" s="41" t="s">
        <v>8400</v>
      </c>
      <c r="B1942" s="2" t="s">
        <v>8397</v>
      </c>
      <c r="C1942" s="2" t="s">
        <v>5043</v>
      </c>
      <c r="D1942" s="2" t="s">
        <v>8401</v>
      </c>
    </row>
    <row r="1943" spans="1:4" x14ac:dyDescent="0.2">
      <c r="A1943" s="41" t="s">
        <v>4176</v>
      </c>
      <c r="B1943" s="2" t="s">
        <v>554</v>
      </c>
      <c r="C1943" s="2" t="s">
        <v>5043</v>
      </c>
      <c r="D1943" s="2" t="s">
        <v>8404</v>
      </c>
    </row>
    <row r="1944" spans="1:4" x14ac:dyDescent="0.2">
      <c r="A1944" s="41" t="s">
        <v>4177</v>
      </c>
      <c r="B1944" s="2" t="s">
        <v>251</v>
      </c>
      <c r="C1944" s="2" t="s">
        <v>5043</v>
      </c>
      <c r="D1944" s="2" t="s">
        <v>8404</v>
      </c>
    </row>
    <row r="1945" spans="1:4" x14ac:dyDescent="0.2">
      <c r="A1945" s="41" t="s">
        <v>4178</v>
      </c>
      <c r="B1945" s="2" t="s">
        <v>555</v>
      </c>
      <c r="C1945" s="2" t="s">
        <v>5043</v>
      </c>
      <c r="D1945" s="2" t="s">
        <v>8404</v>
      </c>
    </row>
    <row r="1946" spans="1:4" x14ac:dyDescent="0.2">
      <c r="A1946" s="41" t="s">
        <v>3621</v>
      </c>
      <c r="B1946" s="2" t="s">
        <v>1032</v>
      </c>
      <c r="C1946" s="2" t="s">
        <v>5043</v>
      </c>
      <c r="D1946" s="2" t="s">
        <v>8404</v>
      </c>
    </row>
    <row r="1947" spans="1:4" x14ac:dyDescent="0.2">
      <c r="A1947" s="41" t="s">
        <v>3622</v>
      </c>
      <c r="B1947" s="2" t="s">
        <v>1033</v>
      </c>
      <c r="C1947" s="2" t="s">
        <v>5043</v>
      </c>
      <c r="D1947" s="2" t="s">
        <v>8404</v>
      </c>
    </row>
    <row r="1948" spans="1:4" x14ac:dyDescent="0.2">
      <c r="A1948" s="41" t="s">
        <v>3623</v>
      </c>
      <c r="B1948" s="2" t="s">
        <v>1033</v>
      </c>
      <c r="C1948" s="2" t="s">
        <v>5043</v>
      </c>
      <c r="D1948" s="2" t="s">
        <v>8404</v>
      </c>
    </row>
    <row r="1949" spans="1:4" x14ac:dyDescent="0.2">
      <c r="A1949" s="41" t="s">
        <v>3624</v>
      </c>
      <c r="B1949" s="2" t="s">
        <v>1033</v>
      </c>
      <c r="C1949" s="2" t="s">
        <v>5043</v>
      </c>
      <c r="D1949" s="2" t="s">
        <v>8404</v>
      </c>
    </row>
    <row r="1950" spans="1:4" x14ac:dyDescent="0.2">
      <c r="A1950" s="41" t="s">
        <v>3625</v>
      </c>
      <c r="B1950" s="2" t="s">
        <v>1033</v>
      </c>
      <c r="C1950" s="2" t="s">
        <v>5043</v>
      </c>
      <c r="D1950" s="2" t="s">
        <v>8404</v>
      </c>
    </row>
    <row r="1951" spans="1:4" x14ac:dyDescent="0.2">
      <c r="A1951" s="41" t="s">
        <v>3626</v>
      </c>
      <c r="B1951" s="2" t="s">
        <v>1034</v>
      </c>
      <c r="C1951" s="2" t="s">
        <v>5043</v>
      </c>
      <c r="D1951" s="2" t="s">
        <v>8404</v>
      </c>
    </row>
    <row r="1952" spans="1:4" x14ac:dyDescent="0.2">
      <c r="A1952" s="41" t="s">
        <v>3627</v>
      </c>
      <c r="B1952" s="2" t="s">
        <v>1034</v>
      </c>
      <c r="C1952" s="2" t="s">
        <v>5043</v>
      </c>
      <c r="D1952" s="2" t="s">
        <v>8404</v>
      </c>
    </row>
    <row r="1953" spans="1:4" x14ac:dyDescent="0.2">
      <c r="A1953" s="41" t="s">
        <v>3392</v>
      </c>
      <c r="B1953" s="2" t="s">
        <v>355</v>
      </c>
      <c r="C1953" s="2" t="s">
        <v>5043</v>
      </c>
      <c r="D1953" s="2" t="s">
        <v>8404</v>
      </c>
    </row>
    <row r="1954" spans="1:4" x14ac:dyDescent="0.2">
      <c r="A1954" s="41" t="s">
        <v>6811</v>
      </c>
      <c r="B1954" s="2" t="s">
        <v>1035</v>
      </c>
      <c r="C1954" s="2" t="s">
        <v>5043</v>
      </c>
      <c r="D1954" s="2" t="s">
        <v>8404</v>
      </c>
    </row>
    <row r="1955" spans="1:4" x14ac:dyDescent="0.2">
      <c r="A1955" s="41" t="s">
        <v>6812</v>
      </c>
      <c r="B1955" s="2" t="s">
        <v>1035</v>
      </c>
      <c r="C1955" s="2" t="s">
        <v>5043</v>
      </c>
      <c r="D1955" s="2" t="s">
        <v>8404</v>
      </c>
    </row>
    <row r="1956" spans="1:4" x14ac:dyDescent="0.2">
      <c r="A1956" s="41" t="s">
        <v>6813</v>
      </c>
      <c r="B1956" s="2" t="s">
        <v>509</v>
      </c>
      <c r="C1956" s="2" t="s">
        <v>5043</v>
      </c>
      <c r="D1956" s="2" t="s">
        <v>8404</v>
      </c>
    </row>
    <row r="1957" spans="1:4" x14ac:dyDescent="0.2">
      <c r="A1957" s="41" t="s">
        <v>6814</v>
      </c>
      <c r="B1957" s="2" t="s">
        <v>356</v>
      </c>
      <c r="C1957" s="2" t="s">
        <v>5043</v>
      </c>
      <c r="D1957" s="2" t="s">
        <v>8422</v>
      </c>
    </row>
    <row r="1958" spans="1:4" x14ac:dyDescent="0.2">
      <c r="A1958" s="41" t="s">
        <v>6815</v>
      </c>
      <c r="B1958" s="2" t="s">
        <v>1036</v>
      </c>
      <c r="C1958" s="2" t="s">
        <v>5043</v>
      </c>
      <c r="D1958" s="2" t="s">
        <v>8423</v>
      </c>
    </row>
    <row r="1959" spans="1:4" x14ac:dyDescent="0.2">
      <c r="A1959" s="41" t="s">
        <v>6816</v>
      </c>
      <c r="B1959" s="2" t="s">
        <v>1037</v>
      </c>
      <c r="C1959" s="2" t="s">
        <v>5043</v>
      </c>
      <c r="D1959" s="2" t="s">
        <v>8423</v>
      </c>
    </row>
    <row r="1960" spans="1:4" x14ac:dyDescent="0.2">
      <c r="A1960" s="41" t="s">
        <v>6817</v>
      </c>
      <c r="B1960" s="2" t="s">
        <v>556</v>
      </c>
      <c r="C1960" s="2" t="s">
        <v>5043</v>
      </c>
      <c r="D1960" s="2" t="s">
        <v>8423</v>
      </c>
    </row>
    <row r="1961" spans="1:4" x14ac:dyDescent="0.2">
      <c r="A1961" s="41" t="s">
        <v>6818</v>
      </c>
      <c r="B1961" s="2" t="s">
        <v>252</v>
      </c>
      <c r="C1961" s="2" t="s">
        <v>5043</v>
      </c>
      <c r="D1961" s="2" t="s">
        <v>8423</v>
      </c>
    </row>
    <row r="1962" spans="1:4" x14ac:dyDescent="0.2">
      <c r="A1962" s="41" t="s">
        <v>4070</v>
      </c>
      <c r="B1962" s="2" t="s">
        <v>252</v>
      </c>
      <c r="C1962" s="2" t="s">
        <v>5043</v>
      </c>
      <c r="D1962" s="2" t="s">
        <v>8423</v>
      </c>
    </row>
    <row r="1963" spans="1:4" x14ac:dyDescent="0.2">
      <c r="A1963" s="41" t="s">
        <v>6819</v>
      </c>
      <c r="B1963" s="2" t="s">
        <v>252</v>
      </c>
      <c r="C1963" s="2" t="s">
        <v>5043</v>
      </c>
      <c r="D1963" s="2" t="s">
        <v>8423</v>
      </c>
    </row>
    <row r="1964" spans="1:4" x14ac:dyDescent="0.2">
      <c r="A1964" s="41" t="s">
        <v>6820</v>
      </c>
      <c r="B1964" s="2" t="s">
        <v>1038</v>
      </c>
      <c r="C1964" s="2" t="s">
        <v>5043</v>
      </c>
      <c r="D1964" s="2" t="s">
        <v>8423</v>
      </c>
    </row>
    <row r="1965" spans="1:4" x14ac:dyDescent="0.2">
      <c r="A1965" s="41" t="s">
        <v>4071</v>
      </c>
      <c r="B1965" s="2" t="s">
        <v>253</v>
      </c>
      <c r="C1965" s="2" t="s">
        <v>5043</v>
      </c>
      <c r="D1965" s="2" t="s">
        <v>8423</v>
      </c>
    </row>
    <row r="1966" spans="1:4" x14ac:dyDescent="0.2">
      <c r="A1966" s="41" t="s">
        <v>6821</v>
      </c>
      <c r="B1966" s="2" t="s">
        <v>253</v>
      </c>
      <c r="C1966" s="2" t="s">
        <v>5043</v>
      </c>
      <c r="D1966" s="2" t="s">
        <v>8423</v>
      </c>
    </row>
    <row r="1967" spans="1:4" x14ac:dyDescent="0.2">
      <c r="A1967" s="41" t="s">
        <v>6822</v>
      </c>
      <c r="B1967" s="2" t="s">
        <v>253</v>
      </c>
      <c r="C1967" s="2" t="s">
        <v>5043</v>
      </c>
      <c r="D1967" s="2" t="s">
        <v>8423</v>
      </c>
    </row>
    <row r="1968" spans="1:4" x14ac:dyDescent="0.2">
      <c r="A1968" s="41" t="s">
        <v>2833</v>
      </c>
      <c r="B1968" s="2" t="s">
        <v>557</v>
      </c>
      <c r="C1968" s="2" t="s">
        <v>5043</v>
      </c>
      <c r="D1968" s="2" t="s">
        <v>8423</v>
      </c>
    </row>
    <row r="1969" spans="1:4" x14ac:dyDescent="0.2">
      <c r="A1969" s="41" t="s">
        <v>6823</v>
      </c>
      <c r="B1969" s="2" t="s">
        <v>557</v>
      </c>
      <c r="C1969" s="2" t="s">
        <v>5043</v>
      </c>
      <c r="D1969" s="2" t="s">
        <v>8423</v>
      </c>
    </row>
    <row r="1970" spans="1:4" x14ac:dyDescent="0.2">
      <c r="A1970" s="41" t="s">
        <v>2605</v>
      </c>
      <c r="B1970" s="2" t="s">
        <v>1039</v>
      </c>
      <c r="C1970" s="2" t="s">
        <v>5043</v>
      </c>
      <c r="D1970" s="2" t="s">
        <v>8404</v>
      </c>
    </row>
    <row r="1971" spans="1:4" x14ac:dyDescent="0.2">
      <c r="A1971" s="41" t="s">
        <v>6824</v>
      </c>
      <c r="B1971" s="2" t="s">
        <v>403</v>
      </c>
      <c r="C1971" s="2" t="s">
        <v>5043</v>
      </c>
      <c r="D1971" s="2" t="s">
        <v>8423</v>
      </c>
    </row>
    <row r="1972" spans="1:4" x14ac:dyDescent="0.2">
      <c r="A1972" s="41" t="s">
        <v>6825</v>
      </c>
      <c r="B1972" s="2" t="s">
        <v>1040</v>
      </c>
      <c r="C1972" s="2" t="s">
        <v>5043</v>
      </c>
      <c r="D1972" s="2" t="s">
        <v>8423</v>
      </c>
    </row>
    <row r="1973" spans="1:4" x14ac:dyDescent="0.2">
      <c r="A1973" s="41" t="s">
        <v>6826</v>
      </c>
      <c r="B1973" s="2" t="s">
        <v>404</v>
      </c>
      <c r="C1973" s="2" t="s">
        <v>5043</v>
      </c>
      <c r="D1973" s="2" t="s">
        <v>8404</v>
      </c>
    </row>
    <row r="1974" spans="1:4" x14ac:dyDescent="0.2">
      <c r="A1974" s="41" t="s">
        <v>3600</v>
      </c>
      <c r="B1974" s="2" t="s">
        <v>254</v>
      </c>
      <c r="C1974" s="2" t="s">
        <v>5043</v>
      </c>
      <c r="D1974" s="2" t="s">
        <v>8404</v>
      </c>
    </row>
    <row r="1975" spans="1:4" x14ac:dyDescent="0.2">
      <c r="A1975" s="41" t="s">
        <v>6827</v>
      </c>
      <c r="B1975" s="2" t="s">
        <v>254</v>
      </c>
      <c r="C1975" s="2" t="s">
        <v>5043</v>
      </c>
      <c r="D1975" s="2" t="s">
        <v>8404</v>
      </c>
    </row>
    <row r="1976" spans="1:4" x14ac:dyDescent="0.2">
      <c r="A1976" s="41" t="s">
        <v>6828</v>
      </c>
      <c r="B1976" s="2" t="s">
        <v>254</v>
      </c>
      <c r="C1976" s="2" t="s">
        <v>5043</v>
      </c>
      <c r="D1976" s="2" t="s">
        <v>8404</v>
      </c>
    </row>
    <row r="1977" spans="1:4" x14ac:dyDescent="0.2">
      <c r="A1977" s="41" t="s">
        <v>6829</v>
      </c>
      <c r="B1977" s="2" t="s">
        <v>254</v>
      </c>
      <c r="C1977" s="2" t="s">
        <v>5043</v>
      </c>
      <c r="D1977" s="2" t="s">
        <v>8404</v>
      </c>
    </row>
    <row r="1978" spans="1:4" x14ac:dyDescent="0.2">
      <c r="A1978" s="41" t="s">
        <v>6830</v>
      </c>
      <c r="B1978" s="2" t="s">
        <v>254</v>
      </c>
      <c r="C1978" s="2" t="s">
        <v>5043</v>
      </c>
      <c r="D1978" s="2" t="s">
        <v>8404</v>
      </c>
    </row>
    <row r="1979" spans="1:4" x14ac:dyDescent="0.2">
      <c r="A1979" s="41" t="s">
        <v>6831</v>
      </c>
      <c r="B1979" s="2" t="s">
        <v>254</v>
      </c>
      <c r="C1979" s="2" t="s">
        <v>5043</v>
      </c>
      <c r="D1979" s="2" t="s">
        <v>8404</v>
      </c>
    </row>
    <row r="1980" spans="1:4" x14ac:dyDescent="0.2">
      <c r="A1980" s="41" t="s">
        <v>6832</v>
      </c>
      <c r="B1980" s="2" t="s">
        <v>254</v>
      </c>
      <c r="C1980" s="2" t="s">
        <v>5043</v>
      </c>
      <c r="D1980" s="2" t="s">
        <v>8404</v>
      </c>
    </row>
    <row r="1981" spans="1:4" x14ac:dyDescent="0.2">
      <c r="A1981" s="41" t="s">
        <v>6833</v>
      </c>
      <c r="B1981" s="2" t="s">
        <v>254</v>
      </c>
      <c r="C1981" s="2" t="s">
        <v>5043</v>
      </c>
      <c r="D1981" s="2" t="s">
        <v>8404</v>
      </c>
    </row>
    <row r="1982" spans="1:4" x14ac:dyDescent="0.2">
      <c r="A1982" s="41" t="s">
        <v>6834</v>
      </c>
      <c r="B1982" s="2" t="s">
        <v>254</v>
      </c>
      <c r="C1982" s="2" t="s">
        <v>5043</v>
      </c>
      <c r="D1982" s="2" t="s">
        <v>8404</v>
      </c>
    </row>
    <row r="1983" spans="1:4" x14ac:dyDescent="0.2">
      <c r="A1983" s="41" t="s">
        <v>6835</v>
      </c>
      <c r="B1983" s="2" t="s">
        <v>254</v>
      </c>
      <c r="C1983" s="2" t="s">
        <v>5043</v>
      </c>
      <c r="D1983" s="2" t="s">
        <v>8404</v>
      </c>
    </row>
    <row r="1984" spans="1:4" x14ac:dyDescent="0.2">
      <c r="A1984" s="41" t="s">
        <v>6836</v>
      </c>
      <c r="B1984" s="2" t="s">
        <v>254</v>
      </c>
      <c r="C1984" s="2" t="s">
        <v>5043</v>
      </c>
      <c r="D1984" s="2" t="s">
        <v>8404</v>
      </c>
    </row>
    <row r="1985" spans="1:4" x14ac:dyDescent="0.2">
      <c r="A1985" s="41" t="s">
        <v>6837</v>
      </c>
      <c r="B1985" s="2" t="s">
        <v>1041</v>
      </c>
      <c r="C1985" s="2" t="s">
        <v>5043</v>
      </c>
      <c r="D1985" s="2" t="s">
        <v>8424</v>
      </c>
    </row>
    <row r="1986" spans="1:4" x14ac:dyDescent="0.2">
      <c r="A1986" s="41" t="s">
        <v>6838</v>
      </c>
      <c r="B1986" s="2" t="s">
        <v>601</v>
      </c>
      <c r="C1986" s="2" t="s">
        <v>5043</v>
      </c>
      <c r="D1986" s="2" t="s">
        <v>8404</v>
      </c>
    </row>
    <row r="1987" spans="1:4" x14ac:dyDescent="0.2">
      <c r="A1987" s="41" t="s">
        <v>6839</v>
      </c>
      <c r="B1987" s="2" t="s">
        <v>601</v>
      </c>
      <c r="C1987" s="2" t="s">
        <v>5043</v>
      </c>
      <c r="D1987" s="2" t="s">
        <v>8404</v>
      </c>
    </row>
    <row r="1988" spans="1:4" x14ac:dyDescent="0.2">
      <c r="A1988" s="41" t="s">
        <v>6840</v>
      </c>
      <c r="B1988" s="2" t="s">
        <v>601</v>
      </c>
      <c r="C1988" s="2" t="s">
        <v>5043</v>
      </c>
      <c r="D1988" s="2" t="s">
        <v>8404</v>
      </c>
    </row>
    <row r="1989" spans="1:4" x14ac:dyDescent="0.2">
      <c r="A1989" s="41" t="s">
        <v>6841</v>
      </c>
      <c r="B1989" s="2" t="s">
        <v>601</v>
      </c>
      <c r="C1989" s="2" t="s">
        <v>5043</v>
      </c>
      <c r="D1989" s="2" t="s">
        <v>8404</v>
      </c>
    </row>
    <row r="1990" spans="1:4" x14ac:dyDescent="0.2">
      <c r="A1990" s="41" t="s">
        <v>6842</v>
      </c>
      <c r="B1990" s="2" t="s">
        <v>601</v>
      </c>
      <c r="C1990" s="2" t="s">
        <v>5043</v>
      </c>
      <c r="D1990" s="2" t="s">
        <v>8404</v>
      </c>
    </row>
    <row r="1991" spans="1:4" x14ac:dyDescent="0.2">
      <c r="A1991" s="41" t="s">
        <v>6843</v>
      </c>
      <c r="B1991" s="2" t="s">
        <v>601</v>
      </c>
      <c r="C1991" s="2" t="s">
        <v>5043</v>
      </c>
      <c r="D1991" s="2" t="s">
        <v>8404</v>
      </c>
    </row>
    <row r="1992" spans="1:4" x14ac:dyDescent="0.2">
      <c r="A1992" s="41" t="s">
        <v>6844</v>
      </c>
      <c r="B1992" s="2" t="s">
        <v>601</v>
      </c>
      <c r="C1992" s="2" t="s">
        <v>5043</v>
      </c>
      <c r="D1992" s="2" t="s">
        <v>8404</v>
      </c>
    </row>
    <row r="1993" spans="1:4" x14ac:dyDescent="0.2">
      <c r="A1993" s="41" t="s">
        <v>6845</v>
      </c>
      <c r="B1993" s="2" t="s">
        <v>602</v>
      </c>
      <c r="C1993" s="2" t="s">
        <v>5043</v>
      </c>
      <c r="D1993" s="2" t="s">
        <v>8424</v>
      </c>
    </row>
    <row r="1994" spans="1:4" x14ac:dyDescent="0.2">
      <c r="A1994" s="41" t="s">
        <v>6846</v>
      </c>
      <c r="B1994" s="2" t="s">
        <v>602</v>
      </c>
      <c r="C1994" s="2" t="s">
        <v>5043</v>
      </c>
      <c r="D1994" s="2" t="s">
        <v>8424</v>
      </c>
    </row>
    <row r="1995" spans="1:4" x14ac:dyDescent="0.2">
      <c r="A1995" s="41" t="s">
        <v>6847</v>
      </c>
      <c r="B1995" s="2" t="s">
        <v>602</v>
      </c>
      <c r="C1995" s="2" t="s">
        <v>5043</v>
      </c>
      <c r="D1995" s="2" t="s">
        <v>8424</v>
      </c>
    </row>
    <row r="1996" spans="1:4" x14ac:dyDescent="0.2">
      <c r="A1996" s="41" t="s">
        <v>6848</v>
      </c>
      <c r="B1996" s="2" t="s">
        <v>602</v>
      </c>
      <c r="C1996" s="2" t="s">
        <v>5043</v>
      </c>
      <c r="D1996" s="2" t="s">
        <v>8424</v>
      </c>
    </row>
    <row r="1997" spans="1:4" x14ac:dyDescent="0.2">
      <c r="A1997" s="41" t="s">
        <v>6849</v>
      </c>
      <c r="B1997" s="2" t="s">
        <v>602</v>
      </c>
      <c r="C1997" s="2" t="s">
        <v>5043</v>
      </c>
      <c r="D1997" s="2" t="s">
        <v>8424</v>
      </c>
    </row>
    <row r="1998" spans="1:4" x14ac:dyDescent="0.2">
      <c r="A1998" s="41" t="s">
        <v>6850</v>
      </c>
      <c r="B1998" s="2" t="s">
        <v>602</v>
      </c>
      <c r="C1998" s="2" t="s">
        <v>5043</v>
      </c>
      <c r="D1998" s="2" t="s">
        <v>8424</v>
      </c>
    </row>
    <row r="1999" spans="1:4" x14ac:dyDescent="0.2">
      <c r="A1999" s="41" t="s">
        <v>6851</v>
      </c>
      <c r="B1999" s="2" t="s">
        <v>602</v>
      </c>
      <c r="C1999" s="2" t="s">
        <v>5043</v>
      </c>
      <c r="D1999" s="2" t="s">
        <v>8424</v>
      </c>
    </row>
    <row r="2000" spans="1:4" x14ac:dyDescent="0.2">
      <c r="A2000" s="41" t="s">
        <v>6852</v>
      </c>
      <c r="B2000" s="2" t="s">
        <v>603</v>
      </c>
      <c r="C2000" s="2" t="s">
        <v>5043</v>
      </c>
      <c r="D2000" s="2" t="s">
        <v>8404</v>
      </c>
    </row>
    <row r="2001" spans="1:4" x14ac:dyDescent="0.2">
      <c r="A2001" s="41" t="s">
        <v>6853</v>
      </c>
      <c r="B2001" s="2" t="s">
        <v>603</v>
      </c>
      <c r="C2001" s="2" t="s">
        <v>5043</v>
      </c>
      <c r="D2001" s="2" t="s">
        <v>8404</v>
      </c>
    </row>
    <row r="2002" spans="1:4" x14ac:dyDescent="0.2">
      <c r="A2002" s="41" t="s">
        <v>6854</v>
      </c>
      <c r="B2002" s="2" t="s">
        <v>603</v>
      </c>
      <c r="C2002" s="2" t="s">
        <v>5043</v>
      </c>
      <c r="D2002" s="2" t="s">
        <v>8404</v>
      </c>
    </row>
    <row r="2003" spans="1:4" x14ac:dyDescent="0.2">
      <c r="A2003" s="41" t="s">
        <v>6855</v>
      </c>
      <c r="B2003" s="2" t="s">
        <v>603</v>
      </c>
      <c r="C2003" s="2" t="s">
        <v>5043</v>
      </c>
      <c r="D2003" s="2" t="s">
        <v>8404</v>
      </c>
    </row>
    <row r="2004" spans="1:4" x14ac:dyDescent="0.2">
      <c r="A2004" s="41" t="s">
        <v>6856</v>
      </c>
      <c r="B2004" s="2" t="s">
        <v>603</v>
      </c>
      <c r="C2004" s="2" t="s">
        <v>5043</v>
      </c>
      <c r="D2004" s="2" t="s">
        <v>8404</v>
      </c>
    </row>
    <row r="2005" spans="1:4" x14ac:dyDescent="0.2">
      <c r="A2005" s="41" t="s">
        <v>6857</v>
      </c>
      <c r="B2005" s="2" t="s">
        <v>603</v>
      </c>
      <c r="C2005" s="2" t="s">
        <v>5043</v>
      </c>
      <c r="D2005" s="2" t="s">
        <v>8404</v>
      </c>
    </row>
    <row r="2006" spans="1:4" x14ac:dyDescent="0.2">
      <c r="A2006" s="41" t="s">
        <v>6858</v>
      </c>
      <c r="B2006" s="2" t="s">
        <v>603</v>
      </c>
      <c r="C2006" s="2" t="s">
        <v>5043</v>
      </c>
      <c r="D2006" s="2" t="s">
        <v>8404</v>
      </c>
    </row>
    <row r="2007" spans="1:4" x14ac:dyDescent="0.2">
      <c r="A2007" s="41" t="s">
        <v>6859</v>
      </c>
      <c r="B2007" s="2" t="s">
        <v>558</v>
      </c>
      <c r="C2007" s="2" t="s">
        <v>5043</v>
      </c>
      <c r="D2007" s="2" t="s">
        <v>8404</v>
      </c>
    </row>
    <row r="2008" spans="1:4" x14ac:dyDescent="0.2">
      <c r="A2008" s="41" t="s">
        <v>6860</v>
      </c>
      <c r="B2008" s="2" t="s">
        <v>255</v>
      </c>
      <c r="C2008" s="2" t="s">
        <v>5043</v>
      </c>
      <c r="D2008" s="2" t="s">
        <v>8404</v>
      </c>
    </row>
    <row r="2009" spans="1:4" x14ac:dyDescent="0.2">
      <c r="A2009" s="41" t="s">
        <v>6861</v>
      </c>
      <c r="B2009" s="2" t="s">
        <v>255</v>
      </c>
      <c r="C2009" s="2" t="s">
        <v>5043</v>
      </c>
      <c r="D2009" s="2" t="s">
        <v>8404</v>
      </c>
    </row>
    <row r="2010" spans="1:4" x14ac:dyDescent="0.2">
      <c r="A2010" s="41" t="s">
        <v>6862</v>
      </c>
      <c r="B2010" s="2" t="s">
        <v>255</v>
      </c>
      <c r="C2010" s="2" t="s">
        <v>5043</v>
      </c>
      <c r="D2010" s="2" t="s">
        <v>8424</v>
      </c>
    </row>
    <row r="2011" spans="1:4" x14ac:dyDescent="0.2">
      <c r="A2011" s="41" t="s">
        <v>5209</v>
      </c>
      <c r="B2011" s="2" t="s">
        <v>608</v>
      </c>
      <c r="C2011" s="2" t="s">
        <v>5043</v>
      </c>
      <c r="D2011" s="2" t="s">
        <v>8404</v>
      </c>
    </row>
    <row r="2012" spans="1:4" x14ac:dyDescent="0.2">
      <c r="A2012" s="41" t="s">
        <v>3465</v>
      </c>
      <c r="B2012" s="2" t="s">
        <v>1042</v>
      </c>
      <c r="C2012" s="2" t="s">
        <v>5043</v>
      </c>
      <c r="D2012" s="2" t="s">
        <v>8423</v>
      </c>
    </row>
    <row r="2013" spans="1:4" x14ac:dyDescent="0.2">
      <c r="A2013" s="41" t="s">
        <v>3466</v>
      </c>
      <c r="B2013" s="2" t="s">
        <v>1043</v>
      </c>
      <c r="C2013" s="2" t="s">
        <v>5043</v>
      </c>
      <c r="D2013" s="2" t="s">
        <v>8423</v>
      </c>
    </row>
    <row r="2014" spans="1:4" x14ac:dyDescent="0.2">
      <c r="A2014" s="41" t="s">
        <v>6863</v>
      </c>
      <c r="B2014" s="2" t="s">
        <v>1044</v>
      </c>
      <c r="C2014" s="2" t="s">
        <v>5043</v>
      </c>
      <c r="D2014" s="2" t="s">
        <v>8423</v>
      </c>
    </row>
    <row r="2015" spans="1:4" x14ac:dyDescent="0.2">
      <c r="A2015" s="41" t="s">
        <v>6864</v>
      </c>
      <c r="B2015" s="2" t="s">
        <v>1045</v>
      </c>
      <c r="C2015" s="2" t="s">
        <v>5043</v>
      </c>
      <c r="D2015" s="2" t="s">
        <v>8423</v>
      </c>
    </row>
    <row r="2016" spans="1:4" x14ac:dyDescent="0.2">
      <c r="A2016" s="41" t="s">
        <v>3321</v>
      </c>
      <c r="B2016" s="2" t="s">
        <v>1046</v>
      </c>
      <c r="C2016" s="2" t="s">
        <v>5043</v>
      </c>
      <c r="D2016" s="2" t="s">
        <v>8423</v>
      </c>
    </row>
    <row r="2017" spans="1:4" x14ac:dyDescent="0.2">
      <c r="A2017" s="41" t="s">
        <v>6865</v>
      </c>
      <c r="B2017" s="2" t="s">
        <v>1046</v>
      </c>
      <c r="C2017" s="2" t="s">
        <v>5043</v>
      </c>
      <c r="D2017" s="2" t="s">
        <v>8423</v>
      </c>
    </row>
    <row r="2018" spans="1:4" x14ac:dyDescent="0.2">
      <c r="A2018" s="41" t="s">
        <v>6866</v>
      </c>
      <c r="B2018" s="2" t="s">
        <v>1046</v>
      </c>
      <c r="C2018" s="2" t="s">
        <v>5043</v>
      </c>
      <c r="D2018" s="2" t="s">
        <v>8423</v>
      </c>
    </row>
    <row r="2019" spans="1:4" x14ac:dyDescent="0.2">
      <c r="A2019" s="41" t="s">
        <v>6867</v>
      </c>
      <c r="B2019" s="2" t="s">
        <v>1046</v>
      </c>
      <c r="C2019" s="2" t="s">
        <v>5043</v>
      </c>
      <c r="D2019" s="2" t="s">
        <v>8423</v>
      </c>
    </row>
    <row r="2020" spans="1:4" x14ac:dyDescent="0.2">
      <c r="A2020" s="41" t="s">
        <v>6868</v>
      </c>
      <c r="B2020" s="2" t="s">
        <v>1046</v>
      </c>
      <c r="C2020" s="2" t="s">
        <v>5043</v>
      </c>
      <c r="D2020" s="2" t="s">
        <v>8423</v>
      </c>
    </row>
    <row r="2021" spans="1:4" x14ac:dyDescent="0.2">
      <c r="A2021" s="41" t="s">
        <v>3250</v>
      </c>
      <c r="B2021" s="2" t="s">
        <v>1046</v>
      </c>
      <c r="C2021" s="2" t="s">
        <v>5043</v>
      </c>
      <c r="D2021" s="2" t="s">
        <v>8423</v>
      </c>
    </row>
    <row r="2022" spans="1:4" x14ac:dyDescent="0.2">
      <c r="A2022" s="41" t="s">
        <v>6869</v>
      </c>
      <c r="B2022" s="2" t="s">
        <v>1046</v>
      </c>
      <c r="C2022" s="2" t="s">
        <v>5043</v>
      </c>
      <c r="D2022" s="2" t="s">
        <v>8423</v>
      </c>
    </row>
    <row r="2023" spans="1:4" x14ac:dyDescent="0.2">
      <c r="A2023" s="41" t="s">
        <v>6870</v>
      </c>
      <c r="B2023" s="2" t="s">
        <v>1046</v>
      </c>
      <c r="C2023" s="2" t="s">
        <v>5043</v>
      </c>
      <c r="D2023" s="2" t="s">
        <v>8423</v>
      </c>
    </row>
    <row r="2024" spans="1:4" x14ac:dyDescent="0.2">
      <c r="A2024" s="41" t="s">
        <v>3106</v>
      </c>
      <c r="B2024" s="2" t="s">
        <v>1046</v>
      </c>
      <c r="C2024" s="2" t="s">
        <v>5043</v>
      </c>
      <c r="D2024" s="2" t="s">
        <v>8423</v>
      </c>
    </row>
    <row r="2025" spans="1:4" x14ac:dyDescent="0.2">
      <c r="A2025" s="41" t="s">
        <v>3306</v>
      </c>
      <c r="B2025" s="2" t="s">
        <v>1046</v>
      </c>
      <c r="C2025" s="2" t="s">
        <v>5043</v>
      </c>
      <c r="D2025" s="2" t="s">
        <v>8423</v>
      </c>
    </row>
    <row r="2026" spans="1:4" x14ac:dyDescent="0.2">
      <c r="A2026" s="41" t="s">
        <v>6871</v>
      </c>
      <c r="B2026" s="2" t="s">
        <v>1046</v>
      </c>
      <c r="C2026" s="2" t="s">
        <v>5043</v>
      </c>
      <c r="D2026" s="2" t="s">
        <v>8423</v>
      </c>
    </row>
    <row r="2027" spans="1:4" x14ac:dyDescent="0.2">
      <c r="A2027" s="41" t="s">
        <v>6872</v>
      </c>
      <c r="B2027" s="2" t="s">
        <v>1046</v>
      </c>
      <c r="C2027" s="2" t="s">
        <v>5043</v>
      </c>
      <c r="D2027" s="2" t="s">
        <v>8423</v>
      </c>
    </row>
    <row r="2028" spans="1:4" x14ac:dyDescent="0.2">
      <c r="A2028" s="41" t="s">
        <v>6873</v>
      </c>
      <c r="B2028" s="2" t="s">
        <v>1046</v>
      </c>
      <c r="C2028" s="2" t="s">
        <v>5043</v>
      </c>
      <c r="D2028" s="2" t="s">
        <v>8423</v>
      </c>
    </row>
    <row r="2029" spans="1:4" x14ac:dyDescent="0.2">
      <c r="A2029" s="41" t="s">
        <v>6874</v>
      </c>
      <c r="B2029" s="2" t="s">
        <v>1046</v>
      </c>
      <c r="C2029" s="2" t="s">
        <v>5043</v>
      </c>
      <c r="D2029" s="2" t="s">
        <v>8423</v>
      </c>
    </row>
    <row r="2030" spans="1:4" x14ac:dyDescent="0.2">
      <c r="A2030" s="41" t="s">
        <v>3471</v>
      </c>
      <c r="B2030" s="2" t="s">
        <v>1047</v>
      </c>
      <c r="C2030" s="2" t="s">
        <v>5043</v>
      </c>
      <c r="D2030" s="2" t="s">
        <v>8404</v>
      </c>
    </row>
    <row r="2031" spans="1:4" x14ac:dyDescent="0.2">
      <c r="A2031" s="41" t="s">
        <v>3472</v>
      </c>
      <c r="B2031" s="2" t="s">
        <v>1048</v>
      </c>
      <c r="C2031" s="2" t="s">
        <v>5043</v>
      </c>
      <c r="D2031" s="2" t="s">
        <v>8404</v>
      </c>
    </row>
    <row r="2032" spans="1:4" x14ac:dyDescent="0.2">
      <c r="A2032" s="41" t="s">
        <v>3473</v>
      </c>
      <c r="B2032" s="2" t="s">
        <v>1048</v>
      </c>
      <c r="C2032" s="2" t="s">
        <v>5043</v>
      </c>
      <c r="D2032" s="2" t="s">
        <v>8404</v>
      </c>
    </row>
    <row r="2033" spans="1:4" x14ac:dyDescent="0.2">
      <c r="A2033" s="41" t="s">
        <v>3474</v>
      </c>
      <c r="B2033" s="2" t="s">
        <v>1048</v>
      </c>
      <c r="C2033" s="2" t="s">
        <v>5043</v>
      </c>
      <c r="D2033" s="2" t="s">
        <v>8404</v>
      </c>
    </row>
    <row r="2034" spans="1:4" x14ac:dyDescent="0.2">
      <c r="A2034" s="41" t="s">
        <v>3475</v>
      </c>
      <c r="B2034" s="2" t="s">
        <v>1048</v>
      </c>
      <c r="C2034" s="2" t="s">
        <v>5043</v>
      </c>
      <c r="D2034" s="2" t="s">
        <v>8404</v>
      </c>
    </row>
    <row r="2035" spans="1:4" x14ac:dyDescent="0.2">
      <c r="A2035" s="41" t="s">
        <v>3476</v>
      </c>
      <c r="B2035" s="2" t="s">
        <v>1048</v>
      </c>
      <c r="C2035" s="2" t="s">
        <v>5043</v>
      </c>
      <c r="D2035" s="2" t="s">
        <v>8404</v>
      </c>
    </row>
    <row r="2036" spans="1:4" x14ac:dyDescent="0.2">
      <c r="A2036" s="41" t="s">
        <v>3478</v>
      </c>
      <c r="B2036" s="2" t="s">
        <v>1048</v>
      </c>
      <c r="C2036" s="2" t="s">
        <v>5043</v>
      </c>
      <c r="D2036" s="2" t="s">
        <v>8404</v>
      </c>
    </row>
    <row r="2037" spans="1:4" x14ac:dyDescent="0.2">
      <c r="A2037" s="41" t="s">
        <v>3479</v>
      </c>
      <c r="B2037" s="2" t="s">
        <v>1048</v>
      </c>
      <c r="C2037" s="2" t="s">
        <v>5043</v>
      </c>
      <c r="D2037" s="2" t="s">
        <v>8404</v>
      </c>
    </row>
    <row r="2038" spans="1:4" x14ac:dyDescent="0.2">
      <c r="A2038" s="41" t="s">
        <v>3480</v>
      </c>
      <c r="B2038" s="2" t="s">
        <v>1048</v>
      </c>
      <c r="C2038" s="2" t="s">
        <v>5043</v>
      </c>
      <c r="D2038" s="2" t="s">
        <v>8404</v>
      </c>
    </row>
    <row r="2039" spans="1:4" x14ac:dyDescent="0.2">
      <c r="A2039" s="41" t="s">
        <v>3481</v>
      </c>
      <c r="B2039" s="2" t="s">
        <v>1048</v>
      </c>
      <c r="C2039" s="2" t="s">
        <v>5043</v>
      </c>
      <c r="D2039" s="2" t="s">
        <v>8404</v>
      </c>
    </row>
    <row r="2040" spans="1:4" x14ac:dyDescent="0.2">
      <c r="A2040" s="41" t="s">
        <v>3482</v>
      </c>
      <c r="B2040" s="2" t="s">
        <v>1048</v>
      </c>
      <c r="C2040" s="2" t="s">
        <v>5043</v>
      </c>
      <c r="D2040" s="2" t="s">
        <v>8404</v>
      </c>
    </row>
    <row r="2041" spans="1:4" x14ac:dyDescent="0.2">
      <c r="A2041" s="41" t="s">
        <v>3483</v>
      </c>
      <c r="B2041" s="2" t="s">
        <v>1048</v>
      </c>
      <c r="C2041" s="2" t="s">
        <v>5043</v>
      </c>
      <c r="D2041" s="2" t="s">
        <v>8404</v>
      </c>
    </row>
    <row r="2042" spans="1:4" x14ac:dyDescent="0.2">
      <c r="A2042" s="41" t="s">
        <v>3484</v>
      </c>
      <c r="B2042" s="2" t="s">
        <v>1048</v>
      </c>
      <c r="C2042" s="2" t="s">
        <v>5043</v>
      </c>
      <c r="D2042" s="2" t="s">
        <v>8404</v>
      </c>
    </row>
    <row r="2043" spans="1:4" x14ac:dyDescent="0.2">
      <c r="A2043" s="41" t="s">
        <v>3485</v>
      </c>
      <c r="B2043" s="2" t="s">
        <v>1048</v>
      </c>
      <c r="C2043" s="2" t="s">
        <v>5043</v>
      </c>
      <c r="D2043" s="2" t="s">
        <v>8404</v>
      </c>
    </row>
    <row r="2044" spans="1:4" x14ac:dyDescent="0.2">
      <c r="A2044" s="41" t="s">
        <v>6875</v>
      </c>
      <c r="B2044" s="2" t="s">
        <v>559</v>
      </c>
      <c r="C2044" s="2" t="s">
        <v>5043</v>
      </c>
      <c r="D2044" s="2" t="s">
        <v>8404</v>
      </c>
    </row>
    <row r="2045" spans="1:4" x14ac:dyDescent="0.2">
      <c r="A2045" s="41" t="s">
        <v>3486</v>
      </c>
      <c r="B2045" s="2" t="s">
        <v>1049</v>
      </c>
      <c r="C2045" s="2" t="s">
        <v>5043</v>
      </c>
      <c r="D2045" s="2" t="s">
        <v>8404</v>
      </c>
    </row>
    <row r="2046" spans="1:4" x14ac:dyDescent="0.2">
      <c r="A2046" s="41" t="s">
        <v>3487</v>
      </c>
      <c r="B2046" s="2" t="s">
        <v>1049</v>
      </c>
      <c r="C2046" s="2" t="s">
        <v>5043</v>
      </c>
      <c r="D2046" s="2" t="s">
        <v>8404</v>
      </c>
    </row>
    <row r="2047" spans="1:4" x14ac:dyDescent="0.2">
      <c r="A2047" s="41" t="s">
        <v>8340</v>
      </c>
      <c r="B2047" s="2" t="s">
        <v>8341</v>
      </c>
      <c r="C2047" s="2" t="s">
        <v>5043</v>
      </c>
      <c r="D2047" s="2" t="s">
        <v>8401</v>
      </c>
    </row>
    <row r="2048" spans="1:4" x14ac:dyDescent="0.2">
      <c r="A2048" s="41" t="s">
        <v>8342</v>
      </c>
      <c r="B2048" s="2" t="s">
        <v>8341</v>
      </c>
      <c r="C2048" s="2" t="s">
        <v>5043</v>
      </c>
      <c r="D2048" s="2" t="s">
        <v>8401</v>
      </c>
    </row>
    <row r="2049" spans="1:4" x14ac:dyDescent="0.2">
      <c r="A2049" s="41" t="s">
        <v>2652</v>
      </c>
      <c r="B2049" s="2" t="s">
        <v>2653</v>
      </c>
      <c r="C2049" s="2" t="s">
        <v>5083</v>
      </c>
      <c r="D2049" s="2" t="s">
        <v>8423</v>
      </c>
    </row>
    <row r="2050" spans="1:4" x14ac:dyDescent="0.2">
      <c r="A2050" s="41" t="s">
        <v>6876</v>
      </c>
      <c r="B2050" s="2" t="s">
        <v>1050</v>
      </c>
      <c r="C2050" s="2" t="s">
        <v>5043</v>
      </c>
      <c r="D2050" s="2" t="s">
        <v>8424</v>
      </c>
    </row>
    <row r="2051" spans="1:4" x14ac:dyDescent="0.2">
      <c r="A2051" s="41" t="s">
        <v>6877</v>
      </c>
      <c r="B2051" s="2" t="s">
        <v>256</v>
      </c>
      <c r="C2051" s="2" t="s">
        <v>5043</v>
      </c>
      <c r="D2051" s="2" t="s">
        <v>8404</v>
      </c>
    </row>
    <row r="2052" spans="1:4" x14ac:dyDescent="0.2">
      <c r="A2052" s="41" t="s">
        <v>6878</v>
      </c>
      <c r="B2052" s="2" t="s">
        <v>256</v>
      </c>
      <c r="C2052" s="2" t="s">
        <v>5043</v>
      </c>
      <c r="D2052" s="2" t="s">
        <v>8404</v>
      </c>
    </row>
    <row r="2053" spans="1:4" x14ac:dyDescent="0.2">
      <c r="A2053" s="41" t="s">
        <v>6879</v>
      </c>
      <c r="B2053" s="2" t="s">
        <v>256</v>
      </c>
      <c r="C2053" s="2" t="s">
        <v>5043</v>
      </c>
      <c r="D2053" s="2" t="s">
        <v>8424</v>
      </c>
    </row>
    <row r="2054" spans="1:4" x14ac:dyDescent="0.2">
      <c r="A2054" s="41" t="s">
        <v>6880</v>
      </c>
      <c r="B2054" s="2" t="s">
        <v>560</v>
      </c>
      <c r="C2054" s="2" t="s">
        <v>5043</v>
      </c>
      <c r="D2054" s="2" t="s">
        <v>8425</v>
      </c>
    </row>
    <row r="2055" spans="1:4" x14ac:dyDescent="0.2">
      <c r="A2055" s="41" t="s">
        <v>6881</v>
      </c>
      <c r="B2055" s="2" t="s">
        <v>257</v>
      </c>
      <c r="C2055" s="2" t="s">
        <v>5043</v>
      </c>
      <c r="D2055" s="2" t="s">
        <v>8404</v>
      </c>
    </row>
    <row r="2056" spans="1:4" x14ac:dyDescent="0.2">
      <c r="A2056" s="41" t="s">
        <v>6882</v>
      </c>
      <c r="B2056" s="2" t="s">
        <v>257</v>
      </c>
      <c r="C2056" s="2" t="s">
        <v>5043</v>
      </c>
      <c r="D2056" s="2" t="s">
        <v>8404</v>
      </c>
    </row>
    <row r="2057" spans="1:4" x14ac:dyDescent="0.2">
      <c r="A2057" s="41" t="s">
        <v>6883</v>
      </c>
      <c r="B2057" s="2" t="s">
        <v>257</v>
      </c>
      <c r="C2057" s="2" t="s">
        <v>5043</v>
      </c>
      <c r="D2057" s="2" t="s">
        <v>8424</v>
      </c>
    </row>
    <row r="2058" spans="1:4" x14ac:dyDescent="0.2">
      <c r="A2058" s="41" t="s">
        <v>2906</v>
      </c>
      <c r="B2058" s="2" t="s">
        <v>258</v>
      </c>
      <c r="C2058" s="2" t="s">
        <v>5043</v>
      </c>
      <c r="D2058" s="2" t="s">
        <v>8404</v>
      </c>
    </row>
    <row r="2059" spans="1:4" x14ac:dyDescent="0.2">
      <c r="A2059" s="41" t="s">
        <v>6884</v>
      </c>
      <c r="B2059" s="2" t="s">
        <v>1051</v>
      </c>
      <c r="C2059" s="2" t="s">
        <v>5043</v>
      </c>
      <c r="D2059" s="2" t="s">
        <v>8424</v>
      </c>
    </row>
    <row r="2060" spans="1:4" x14ac:dyDescent="0.2">
      <c r="A2060" s="41" t="s">
        <v>6885</v>
      </c>
      <c r="B2060" s="2" t="s">
        <v>1051</v>
      </c>
      <c r="C2060" s="2" t="s">
        <v>5043</v>
      </c>
      <c r="D2060" s="2" t="s">
        <v>8424</v>
      </c>
    </row>
    <row r="2061" spans="1:4" x14ac:dyDescent="0.2">
      <c r="A2061" s="41" t="s">
        <v>6886</v>
      </c>
      <c r="B2061" s="2" t="s">
        <v>1052</v>
      </c>
      <c r="C2061" s="2" t="s">
        <v>5043</v>
      </c>
      <c r="D2061" s="2" t="s">
        <v>8424</v>
      </c>
    </row>
    <row r="2062" spans="1:4" x14ac:dyDescent="0.2">
      <c r="A2062" s="41" t="s">
        <v>6887</v>
      </c>
      <c r="B2062" s="2" t="s">
        <v>1052</v>
      </c>
      <c r="C2062" s="2" t="s">
        <v>5043</v>
      </c>
      <c r="D2062" s="2" t="s">
        <v>8424</v>
      </c>
    </row>
    <row r="2063" spans="1:4" x14ac:dyDescent="0.2">
      <c r="A2063" s="41" t="s">
        <v>6888</v>
      </c>
      <c r="B2063" s="2" t="s">
        <v>1052</v>
      </c>
      <c r="C2063" s="2" t="s">
        <v>5043</v>
      </c>
      <c r="D2063" s="2" t="s">
        <v>8424</v>
      </c>
    </row>
    <row r="2064" spans="1:4" x14ac:dyDescent="0.2">
      <c r="A2064" s="41" t="s">
        <v>6889</v>
      </c>
      <c r="B2064" s="2" t="s">
        <v>1052</v>
      </c>
      <c r="C2064" s="2" t="s">
        <v>5043</v>
      </c>
      <c r="D2064" s="2" t="s">
        <v>8424</v>
      </c>
    </row>
    <row r="2065" spans="1:4" x14ac:dyDescent="0.2">
      <c r="A2065" s="41" t="s">
        <v>6890</v>
      </c>
      <c r="B2065" s="2" t="s">
        <v>1052</v>
      </c>
      <c r="C2065" s="2" t="s">
        <v>5043</v>
      </c>
      <c r="D2065" s="2" t="s">
        <v>8424</v>
      </c>
    </row>
    <row r="2066" spans="1:4" x14ac:dyDescent="0.2">
      <c r="A2066" s="41" t="s">
        <v>6891</v>
      </c>
      <c r="B2066" s="2" t="s">
        <v>1053</v>
      </c>
      <c r="C2066" s="2" t="s">
        <v>5043</v>
      </c>
      <c r="D2066" s="2" t="s">
        <v>8424</v>
      </c>
    </row>
    <row r="2067" spans="1:4" x14ac:dyDescent="0.2">
      <c r="A2067" s="41" t="s">
        <v>6892</v>
      </c>
      <c r="B2067" s="2" t="s">
        <v>1053</v>
      </c>
      <c r="C2067" s="2" t="s">
        <v>5043</v>
      </c>
      <c r="D2067" s="2" t="s">
        <v>8424</v>
      </c>
    </row>
    <row r="2068" spans="1:4" x14ac:dyDescent="0.2">
      <c r="A2068" s="41" t="s">
        <v>3345</v>
      </c>
      <c r="B2068" s="2" t="s">
        <v>1054</v>
      </c>
      <c r="C2068" s="2" t="s">
        <v>5043</v>
      </c>
      <c r="D2068" s="2" t="s">
        <v>8424</v>
      </c>
    </row>
    <row r="2069" spans="1:4" x14ac:dyDescent="0.2">
      <c r="A2069" s="41" t="s">
        <v>3346</v>
      </c>
      <c r="B2069" s="2" t="s">
        <v>1054</v>
      </c>
      <c r="C2069" s="2" t="s">
        <v>5043</v>
      </c>
      <c r="D2069" s="2" t="s">
        <v>8424</v>
      </c>
    </row>
    <row r="2070" spans="1:4" x14ac:dyDescent="0.2">
      <c r="A2070" s="41" t="s">
        <v>3347</v>
      </c>
      <c r="B2070" s="2" t="s">
        <v>1054</v>
      </c>
      <c r="C2070" s="2" t="s">
        <v>5043</v>
      </c>
      <c r="D2070" s="2" t="s">
        <v>8424</v>
      </c>
    </row>
    <row r="2071" spans="1:4" x14ac:dyDescent="0.2">
      <c r="A2071" s="41" t="s">
        <v>3348</v>
      </c>
      <c r="B2071" s="2" t="s">
        <v>1054</v>
      </c>
      <c r="C2071" s="2" t="s">
        <v>5043</v>
      </c>
      <c r="D2071" s="2" t="s">
        <v>8424</v>
      </c>
    </row>
    <row r="2072" spans="1:4" x14ac:dyDescent="0.2">
      <c r="A2072" s="41" t="s">
        <v>3349</v>
      </c>
      <c r="B2072" s="2" t="s">
        <v>1054</v>
      </c>
      <c r="C2072" s="2" t="s">
        <v>5043</v>
      </c>
      <c r="D2072" s="2" t="s">
        <v>8424</v>
      </c>
    </row>
    <row r="2073" spans="1:4" x14ac:dyDescent="0.2">
      <c r="A2073" s="41" t="s">
        <v>3350</v>
      </c>
      <c r="B2073" s="2" t="s">
        <v>1054</v>
      </c>
      <c r="C2073" s="2" t="s">
        <v>5043</v>
      </c>
      <c r="D2073" s="2" t="s">
        <v>8424</v>
      </c>
    </row>
    <row r="2074" spans="1:4" x14ac:dyDescent="0.2">
      <c r="A2074" s="41" t="s">
        <v>3784</v>
      </c>
      <c r="B2074" s="2" t="s">
        <v>259</v>
      </c>
      <c r="C2074" s="2" t="s">
        <v>5043</v>
      </c>
      <c r="D2074" s="2" t="s">
        <v>8404</v>
      </c>
    </row>
    <row r="2075" spans="1:4" x14ac:dyDescent="0.2">
      <c r="A2075" s="41" t="s">
        <v>3760</v>
      </c>
      <c r="B2075" s="2" t="s">
        <v>259</v>
      </c>
      <c r="C2075" s="2" t="s">
        <v>5043</v>
      </c>
      <c r="D2075" s="2" t="s">
        <v>8424</v>
      </c>
    </row>
    <row r="2076" spans="1:4" x14ac:dyDescent="0.2">
      <c r="A2076" s="41" t="s">
        <v>3761</v>
      </c>
      <c r="B2076" s="2" t="s">
        <v>259</v>
      </c>
      <c r="C2076" s="2" t="s">
        <v>5043</v>
      </c>
      <c r="D2076" s="2" t="s">
        <v>8424</v>
      </c>
    </row>
    <row r="2077" spans="1:4" x14ac:dyDescent="0.2">
      <c r="A2077" s="41" t="s">
        <v>3762</v>
      </c>
      <c r="B2077" s="2" t="s">
        <v>259</v>
      </c>
      <c r="C2077" s="2" t="s">
        <v>5043</v>
      </c>
      <c r="D2077" s="2" t="s">
        <v>8424</v>
      </c>
    </row>
    <row r="2078" spans="1:4" x14ac:dyDescent="0.2">
      <c r="A2078" s="41" t="s">
        <v>3763</v>
      </c>
      <c r="B2078" s="2" t="s">
        <v>259</v>
      </c>
      <c r="C2078" s="2" t="s">
        <v>5043</v>
      </c>
      <c r="D2078" s="2" t="s">
        <v>8424</v>
      </c>
    </row>
    <row r="2079" spans="1:4" x14ac:dyDescent="0.2">
      <c r="A2079" s="41" t="s">
        <v>3764</v>
      </c>
      <c r="B2079" s="2" t="s">
        <v>259</v>
      </c>
      <c r="C2079" s="2" t="s">
        <v>5043</v>
      </c>
      <c r="D2079" s="2" t="s">
        <v>8424</v>
      </c>
    </row>
    <row r="2080" spans="1:4" x14ac:dyDescent="0.2">
      <c r="A2080" s="41" t="s">
        <v>4113</v>
      </c>
      <c r="B2080" s="2" t="s">
        <v>260</v>
      </c>
      <c r="C2080" s="2" t="s">
        <v>5043</v>
      </c>
      <c r="D2080" s="2" t="s">
        <v>8404</v>
      </c>
    </row>
    <row r="2081" spans="1:4" x14ac:dyDescent="0.2">
      <c r="A2081" s="41" t="s">
        <v>4001</v>
      </c>
      <c r="B2081" s="2" t="s">
        <v>260</v>
      </c>
      <c r="C2081" s="2" t="s">
        <v>5043</v>
      </c>
      <c r="D2081" s="2" t="s">
        <v>8424</v>
      </c>
    </row>
    <row r="2082" spans="1:4" x14ac:dyDescent="0.2">
      <c r="A2082" s="41" t="s">
        <v>3060</v>
      </c>
      <c r="B2082" s="2" t="s">
        <v>1055</v>
      </c>
      <c r="C2082" s="2" t="s">
        <v>5043</v>
      </c>
      <c r="D2082" s="2" t="s">
        <v>8424</v>
      </c>
    </row>
    <row r="2083" spans="1:4" x14ac:dyDescent="0.2">
      <c r="A2083" s="41" t="s">
        <v>3061</v>
      </c>
      <c r="B2083" s="2" t="s">
        <v>1055</v>
      </c>
      <c r="C2083" s="2" t="s">
        <v>5043</v>
      </c>
      <c r="D2083" s="2" t="s">
        <v>8424</v>
      </c>
    </row>
    <row r="2084" spans="1:4" x14ac:dyDescent="0.2">
      <c r="A2084" s="41" t="s">
        <v>6893</v>
      </c>
      <c r="B2084" s="2" t="s">
        <v>561</v>
      </c>
      <c r="C2084" s="2" t="s">
        <v>5043</v>
      </c>
      <c r="D2084" s="2" t="s">
        <v>8404</v>
      </c>
    </row>
    <row r="2085" spans="1:4" x14ac:dyDescent="0.2">
      <c r="A2085" s="41" t="s">
        <v>4114</v>
      </c>
      <c r="B2085" s="2" t="s">
        <v>261</v>
      </c>
      <c r="C2085" s="2" t="s">
        <v>5043</v>
      </c>
      <c r="D2085" s="2" t="s">
        <v>8404</v>
      </c>
    </row>
    <row r="2086" spans="1:4" x14ac:dyDescent="0.2">
      <c r="A2086" s="41" t="s">
        <v>6894</v>
      </c>
      <c r="B2086" s="2" t="s">
        <v>261</v>
      </c>
      <c r="C2086" s="2" t="s">
        <v>5043</v>
      </c>
      <c r="D2086" s="2" t="s">
        <v>8404</v>
      </c>
    </row>
    <row r="2087" spans="1:4" x14ac:dyDescent="0.2">
      <c r="A2087" s="41" t="s">
        <v>6895</v>
      </c>
      <c r="B2087" s="2" t="s">
        <v>261</v>
      </c>
      <c r="C2087" s="2" t="s">
        <v>5043</v>
      </c>
      <c r="D2087" s="2" t="s">
        <v>8424</v>
      </c>
    </row>
    <row r="2088" spans="1:4" x14ac:dyDescent="0.2">
      <c r="A2088" s="41" t="s">
        <v>6896</v>
      </c>
      <c r="B2088" s="2" t="s">
        <v>262</v>
      </c>
      <c r="C2088" s="2" t="s">
        <v>5043</v>
      </c>
      <c r="D2088" s="2" t="s">
        <v>8404</v>
      </c>
    </row>
    <row r="2089" spans="1:4" x14ac:dyDescent="0.2">
      <c r="A2089" s="41" t="s">
        <v>6897</v>
      </c>
      <c r="B2089" s="2" t="s">
        <v>262</v>
      </c>
      <c r="C2089" s="2" t="s">
        <v>5043</v>
      </c>
      <c r="D2089" s="2" t="s">
        <v>8404</v>
      </c>
    </row>
    <row r="2090" spans="1:4" x14ac:dyDescent="0.2">
      <c r="A2090" s="41" t="s">
        <v>6898</v>
      </c>
      <c r="B2090" s="2" t="s">
        <v>262</v>
      </c>
      <c r="C2090" s="2" t="s">
        <v>5043</v>
      </c>
      <c r="D2090" s="2" t="s">
        <v>8404</v>
      </c>
    </row>
    <row r="2091" spans="1:4" x14ac:dyDescent="0.2">
      <c r="A2091" s="41" t="s">
        <v>6899</v>
      </c>
      <c r="B2091" s="2" t="s">
        <v>262</v>
      </c>
      <c r="C2091" s="2" t="s">
        <v>5043</v>
      </c>
      <c r="D2091" s="2" t="s">
        <v>8404</v>
      </c>
    </row>
    <row r="2092" spans="1:4" x14ac:dyDescent="0.2">
      <c r="A2092" s="41" t="s">
        <v>4004</v>
      </c>
      <c r="B2092" s="2" t="s">
        <v>262</v>
      </c>
      <c r="C2092" s="2" t="s">
        <v>5043</v>
      </c>
      <c r="D2092" s="2" t="s">
        <v>8424</v>
      </c>
    </row>
    <row r="2093" spans="1:4" x14ac:dyDescent="0.2">
      <c r="A2093" s="41" t="s">
        <v>6900</v>
      </c>
      <c r="B2093" s="2" t="s">
        <v>262</v>
      </c>
      <c r="C2093" s="2" t="s">
        <v>5043</v>
      </c>
      <c r="D2093" s="2" t="s">
        <v>8424</v>
      </c>
    </row>
    <row r="2094" spans="1:4" x14ac:dyDescent="0.2">
      <c r="A2094" s="41" t="s">
        <v>6901</v>
      </c>
      <c r="B2094" s="2" t="s">
        <v>1056</v>
      </c>
      <c r="C2094" s="2" t="s">
        <v>5043</v>
      </c>
      <c r="D2094" s="2" t="s">
        <v>8424</v>
      </c>
    </row>
    <row r="2095" spans="1:4" x14ac:dyDescent="0.2">
      <c r="A2095" s="41" t="s">
        <v>6902</v>
      </c>
      <c r="B2095" s="2" t="s">
        <v>1057</v>
      </c>
      <c r="C2095" s="2" t="s">
        <v>5043</v>
      </c>
      <c r="D2095" s="2" t="s">
        <v>8424</v>
      </c>
    </row>
    <row r="2096" spans="1:4" x14ac:dyDescent="0.2">
      <c r="A2096" s="41" t="s">
        <v>6903</v>
      </c>
      <c r="B2096" s="2" t="s">
        <v>562</v>
      </c>
      <c r="C2096" s="2" t="s">
        <v>5043</v>
      </c>
      <c r="D2096" s="2" t="s">
        <v>8424</v>
      </c>
    </row>
    <row r="2097" spans="1:4" x14ac:dyDescent="0.2">
      <c r="A2097" s="41" t="s">
        <v>6904</v>
      </c>
      <c r="B2097" s="2" t="s">
        <v>563</v>
      </c>
      <c r="C2097" s="2" t="s">
        <v>5043</v>
      </c>
      <c r="D2097" s="2" t="s">
        <v>8424</v>
      </c>
    </row>
    <row r="2098" spans="1:4" x14ac:dyDescent="0.2">
      <c r="A2098" s="41" t="s">
        <v>2816</v>
      </c>
      <c r="B2098" s="2" t="s">
        <v>563</v>
      </c>
      <c r="C2098" s="2" t="s">
        <v>5043</v>
      </c>
      <c r="D2098" s="2" t="s">
        <v>8424</v>
      </c>
    </row>
    <row r="2099" spans="1:4" x14ac:dyDescent="0.2">
      <c r="A2099" s="41" t="s">
        <v>2817</v>
      </c>
      <c r="B2099" s="2" t="s">
        <v>563</v>
      </c>
      <c r="C2099" s="2" t="s">
        <v>5043</v>
      </c>
      <c r="D2099" s="2" t="s">
        <v>8424</v>
      </c>
    </row>
    <row r="2100" spans="1:4" x14ac:dyDescent="0.2">
      <c r="A2100" s="41" t="s">
        <v>4287</v>
      </c>
      <c r="B2100" s="2" t="s">
        <v>563</v>
      </c>
      <c r="C2100" s="2" t="s">
        <v>5043</v>
      </c>
      <c r="D2100" s="2" t="s">
        <v>8424</v>
      </c>
    </row>
    <row r="2101" spans="1:4" x14ac:dyDescent="0.2">
      <c r="A2101" s="41" t="s">
        <v>6905</v>
      </c>
      <c r="B2101" s="2" t="s">
        <v>563</v>
      </c>
      <c r="C2101" s="2" t="s">
        <v>5043</v>
      </c>
      <c r="D2101" s="2" t="s">
        <v>8424</v>
      </c>
    </row>
    <row r="2102" spans="1:4" x14ac:dyDescent="0.2">
      <c r="A2102" s="41" t="s">
        <v>6906</v>
      </c>
      <c r="B2102" s="2" t="s">
        <v>563</v>
      </c>
      <c r="C2102" s="2" t="s">
        <v>5043</v>
      </c>
      <c r="D2102" s="2" t="s">
        <v>8424</v>
      </c>
    </row>
    <row r="2103" spans="1:4" x14ac:dyDescent="0.2">
      <c r="A2103" s="41" t="s">
        <v>6907</v>
      </c>
      <c r="B2103" s="2" t="s">
        <v>563</v>
      </c>
      <c r="C2103" s="2" t="s">
        <v>5043</v>
      </c>
      <c r="D2103" s="2" t="s">
        <v>8424</v>
      </c>
    </row>
    <row r="2104" spans="1:4" x14ac:dyDescent="0.2">
      <c r="A2104" s="41" t="s">
        <v>6908</v>
      </c>
      <c r="B2104" s="2" t="s">
        <v>563</v>
      </c>
      <c r="C2104" s="2" t="s">
        <v>5043</v>
      </c>
      <c r="D2104" s="2" t="s">
        <v>8424</v>
      </c>
    </row>
    <row r="2105" spans="1:4" x14ac:dyDescent="0.2">
      <c r="A2105" s="41" t="s">
        <v>6909</v>
      </c>
      <c r="B2105" s="2" t="s">
        <v>263</v>
      </c>
      <c r="C2105" s="2" t="s">
        <v>5043</v>
      </c>
      <c r="D2105" s="2" t="s">
        <v>8404</v>
      </c>
    </row>
    <row r="2106" spans="1:4" x14ac:dyDescent="0.2">
      <c r="A2106" s="41" t="s">
        <v>6910</v>
      </c>
      <c r="B2106" s="2" t="s">
        <v>1058</v>
      </c>
      <c r="C2106" s="2" t="s">
        <v>5043</v>
      </c>
      <c r="D2106" s="2" t="s">
        <v>8424</v>
      </c>
    </row>
    <row r="2107" spans="1:4" x14ac:dyDescent="0.2">
      <c r="A2107" s="41" t="s">
        <v>6911</v>
      </c>
      <c r="B2107" s="2" t="s">
        <v>1059</v>
      </c>
      <c r="C2107" s="2" t="s">
        <v>5043</v>
      </c>
      <c r="D2107" s="2" t="s">
        <v>8424</v>
      </c>
    </row>
    <row r="2108" spans="1:4" x14ac:dyDescent="0.2">
      <c r="A2108" s="41" t="s">
        <v>3686</v>
      </c>
      <c r="B2108" s="2" t="s">
        <v>1059</v>
      </c>
      <c r="C2108" s="2" t="s">
        <v>5043</v>
      </c>
      <c r="D2108" s="2" t="s">
        <v>8424</v>
      </c>
    </row>
    <row r="2109" spans="1:4" x14ac:dyDescent="0.2">
      <c r="A2109" s="41" t="s">
        <v>3687</v>
      </c>
      <c r="B2109" s="2" t="s">
        <v>1059</v>
      </c>
      <c r="C2109" s="2" t="s">
        <v>5043</v>
      </c>
      <c r="D2109" s="2" t="s">
        <v>8424</v>
      </c>
    </row>
    <row r="2110" spans="1:4" x14ac:dyDescent="0.2">
      <c r="A2110" s="41" t="s">
        <v>6912</v>
      </c>
      <c r="B2110" s="2" t="s">
        <v>339</v>
      </c>
      <c r="C2110" s="2" t="s">
        <v>5043</v>
      </c>
      <c r="D2110" s="2" t="s">
        <v>8404</v>
      </c>
    </row>
    <row r="2111" spans="1:4" x14ac:dyDescent="0.2">
      <c r="A2111" s="41" t="s">
        <v>6913</v>
      </c>
      <c r="B2111" s="2" t="s">
        <v>357</v>
      </c>
      <c r="C2111" s="2" t="s">
        <v>5043</v>
      </c>
      <c r="D2111" s="2" t="s">
        <v>8404</v>
      </c>
    </row>
    <row r="2112" spans="1:4" x14ac:dyDescent="0.2">
      <c r="A2112" s="41" t="s">
        <v>6914</v>
      </c>
      <c r="B2112" s="2" t="s">
        <v>357</v>
      </c>
      <c r="C2112" s="2" t="s">
        <v>5043</v>
      </c>
      <c r="D2112" s="2" t="s">
        <v>8404</v>
      </c>
    </row>
    <row r="2113" spans="1:4" x14ac:dyDescent="0.2">
      <c r="A2113" s="41" t="s">
        <v>3688</v>
      </c>
      <c r="B2113" s="2" t="s">
        <v>1060</v>
      </c>
      <c r="C2113" s="2" t="s">
        <v>5043</v>
      </c>
      <c r="D2113" s="2" t="s">
        <v>8424</v>
      </c>
    </row>
    <row r="2114" spans="1:4" x14ac:dyDescent="0.2">
      <c r="A2114" s="41" t="s">
        <v>6915</v>
      </c>
      <c r="B2114" s="2" t="s">
        <v>405</v>
      </c>
      <c r="C2114" s="2" t="s">
        <v>5043</v>
      </c>
      <c r="D2114" s="2" t="s">
        <v>8404</v>
      </c>
    </row>
    <row r="2115" spans="1:4" x14ac:dyDescent="0.2">
      <c r="A2115" s="41" t="s">
        <v>6916</v>
      </c>
      <c r="B2115" s="2" t="s">
        <v>405</v>
      </c>
      <c r="C2115" s="2" t="s">
        <v>5043</v>
      </c>
      <c r="D2115" s="2" t="s">
        <v>8404</v>
      </c>
    </row>
    <row r="2116" spans="1:4" x14ac:dyDescent="0.2">
      <c r="A2116" s="41" t="s">
        <v>6917</v>
      </c>
      <c r="B2116" s="2" t="s">
        <v>564</v>
      </c>
      <c r="C2116" s="2" t="s">
        <v>5043</v>
      </c>
      <c r="D2116" s="2" t="s">
        <v>8404</v>
      </c>
    </row>
    <row r="2117" spans="1:4" x14ac:dyDescent="0.2">
      <c r="A2117" s="41" t="s">
        <v>6918</v>
      </c>
      <c r="B2117" s="2" t="s">
        <v>565</v>
      </c>
      <c r="C2117" s="2" t="s">
        <v>5043</v>
      </c>
      <c r="D2117" s="2" t="s">
        <v>8404</v>
      </c>
    </row>
    <row r="2118" spans="1:4" x14ac:dyDescent="0.2">
      <c r="A2118" s="41" t="s">
        <v>6919</v>
      </c>
      <c r="B2118" s="2" t="s">
        <v>264</v>
      </c>
      <c r="C2118" s="2" t="s">
        <v>5043</v>
      </c>
      <c r="D2118" s="2" t="s">
        <v>8404</v>
      </c>
    </row>
    <row r="2119" spans="1:4" x14ac:dyDescent="0.2">
      <c r="A2119" s="41" t="s">
        <v>2826</v>
      </c>
      <c r="B2119" s="2" t="s">
        <v>264</v>
      </c>
      <c r="C2119" s="2" t="s">
        <v>5043</v>
      </c>
      <c r="D2119" s="2" t="s">
        <v>8424</v>
      </c>
    </row>
    <row r="2120" spans="1:4" x14ac:dyDescent="0.2">
      <c r="A2120" s="41" t="s">
        <v>2834</v>
      </c>
      <c r="B2120" s="2" t="s">
        <v>264</v>
      </c>
      <c r="C2120" s="2" t="s">
        <v>5043</v>
      </c>
      <c r="D2120" s="2" t="s">
        <v>8424</v>
      </c>
    </row>
    <row r="2121" spans="1:4" x14ac:dyDescent="0.2">
      <c r="A2121" s="41" t="s">
        <v>2835</v>
      </c>
      <c r="B2121" s="2" t="s">
        <v>264</v>
      </c>
      <c r="C2121" s="2" t="s">
        <v>5043</v>
      </c>
      <c r="D2121" s="2" t="s">
        <v>8424</v>
      </c>
    </row>
    <row r="2122" spans="1:4" x14ac:dyDescent="0.2">
      <c r="A2122" s="41" t="s">
        <v>2836</v>
      </c>
      <c r="B2122" s="2" t="s">
        <v>264</v>
      </c>
      <c r="C2122" s="2" t="s">
        <v>5043</v>
      </c>
      <c r="D2122" s="2" t="s">
        <v>8424</v>
      </c>
    </row>
    <row r="2123" spans="1:4" x14ac:dyDescent="0.2">
      <c r="A2123" s="41" t="s">
        <v>2839</v>
      </c>
      <c r="B2123" s="2" t="s">
        <v>264</v>
      </c>
      <c r="C2123" s="2" t="s">
        <v>5043</v>
      </c>
      <c r="D2123" s="2" t="s">
        <v>8424</v>
      </c>
    </row>
    <row r="2124" spans="1:4" x14ac:dyDescent="0.2">
      <c r="A2124" s="41" t="s">
        <v>2840</v>
      </c>
      <c r="B2124" s="2" t="s">
        <v>264</v>
      </c>
      <c r="C2124" s="2" t="s">
        <v>5043</v>
      </c>
      <c r="D2124" s="2" t="s">
        <v>8424</v>
      </c>
    </row>
    <row r="2125" spans="1:4" x14ac:dyDescent="0.2">
      <c r="A2125" s="41" t="s">
        <v>2841</v>
      </c>
      <c r="B2125" s="2" t="s">
        <v>264</v>
      </c>
      <c r="C2125" s="2" t="s">
        <v>5043</v>
      </c>
      <c r="D2125" s="2" t="s">
        <v>8424</v>
      </c>
    </row>
    <row r="2126" spans="1:4" x14ac:dyDescent="0.2">
      <c r="A2126" s="41" t="s">
        <v>2852</v>
      </c>
      <c r="B2126" s="2" t="s">
        <v>264</v>
      </c>
      <c r="C2126" s="2" t="s">
        <v>5043</v>
      </c>
      <c r="D2126" s="2" t="s">
        <v>8424</v>
      </c>
    </row>
    <row r="2127" spans="1:4" x14ac:dyDescent="0.2">
      <c r="A2127" s="41" t="s">
        <v>2860</v>
      </c>
      <c r="B2127" s="2" t="s">
        <v>264</v>
      </c>
      <c r="C2127" s="2" t="s">
        <v>5043</v>
      </c>
      <c r="D2127" s="2" t="s">
        <v>8424</v>
      </c>
    </row>
    <row r="2128" spans="1:4" x14ac:dyDescent="0.2">
      <c r="A2128" s="41" t="s">
        <v>2861</v>
      </c>
      <c r="B2128" s="2" t="s">
        <v>264</v>
      </c>
      <c r="C2128" s="2" t="s">
        <v>5043</v>
      </c>
      <c r="D2128" s="2" t="s">
        <v>8424</v>
      </c>
    </row>
    <row r="2129" spans="1:4" x14ac:dyDescent="0.2">
      <c r="A2129" s="41" t="s">
        <v>2862</v>
      </c>
      <c r="B2129" s="2" t="s">
        <v>264</v>
      </c>
      <c r="C2129" s="2" t="s">
        <v>5043</v>
      </c>
      <c r="D2129" s="2" t="s">
        <v>8424</v>
      </c>
    </row>
    <row r="2130" spans="1:4" x14ac:dyDescent="0.2">
      <c r="A2130" s="41" t="s">
        <v>2863</v>
      </c>
      <c r="B2130" s="2" t="s">
        <v>264</v>
      </c>
      <c r="C2130" s="2" t="s">
        <v>5043</v>
      </c>
      <c r="D2130" s="2" t="s">
        <v>8424</v>
      </c>
    </row>
    <row r="2131" spans="1:4" x14ac:dyDescent="0.2">
      <c r="A2131" s="41" t="s">
        <v>3518</v>
      </c>
      <c r="B2131" s="2" t="s">
        <v>1061</v>
      </c>
      <c r="C2131" s="2" t="s">
        <v>5043</v>
      </c>
      <c r="D2131" s="2" t="s">
        <v>8424</v>
      </c>
    </row>
    <row r="2132" spans="1:4" x14ac:dyDescent="0.2">
      <c r="A2132" s="41" t="s">
        <v>3516</v>
      </c>
      <c r="B2132" s="2" t="s">
        <v>1061</v>
      </c>
      <c r="C2132" s="2" t="s">
        <v>5043</v>
      </c>
      <c r="D2132" s="2" t="s">
        <v>8424</v>
      </c>
    </row>
    <row r="2133" spans="1:4" x14ac:dyDescent="0.2">
      <c r="A2133" s="41" t="s">
        <v>3522</v>
      </c>
      <c r="B2133" s="2" t="s">
        <v>1061</v>
      </c>
      <c r="C2133" s="2" t="s">
        <v>5043</v>
      </c>
      <c r="D2133" s="2" t="s">
        <v>8424</v>
      </c>
    </row>
    <row r="2134" spans="1:4" x14ac:dyDescent="0.2">
      <c r="A2134" s="41" t="s">
        <v>3523</v>
      </c>
      <c r="B2134" s="2" t="s">
        <v>1061</v>
      </c>
      <c r="C2134" s="2" t="s">
        <v>5043</v>
      </c>
      <c r="D2134" s="2" t="s">
        <v>8424</v>
      </c>
    </row>
    <row r="2135" spans="1:4" x14ac:dyDescent="0.2">
      <c r="A2135" s="41" t="s">
        <v>3524</v>
      </c>
      <c r="B2135" s="2" t="s">
        <v>1061</v>
      </c>
      <c r="C2135" s="2" t="s">
        <v>5043</v>
      </c>
      <c r="D2135" s="2" t="s">
        <v>8424</v>
      </c>
    </row>
    <row r="2136" spans="1:4" x14ac:dyDescent="0.2">
      <c r="A2136" s="41" t="s">
        <v>3525</v>
      </c>
      <c r="B2136" s="2" t="s">
        <v>1061</v>
      </c>
      <c r="C2136" s="2" t="s">
        <v>5043</v>
      </c>
      <c r="D2136" s="2" t="s">
        <v>8424</v>
      </c>
    </row>
    <row r="2137" spans="1:4" x14ac:dyDescent="0.2">
      <c r="A2137" s="41" t="s">
        <v>3526</v>
      </c>
      <c r="B2137" s="2" t="s">
        <v>1061</v>
      </c>
      <c r="C2137" s="2" t="s">
        <v>5043</v>
      </c>
      <c r="D2137" s="2" t="s">
        <v>8424</v>
      </c>
    </row>
    <row r="2138" spans="1:4" x14ac:dyDescent="0.2">
      <c r="A2138" s="41" t="s">
        <v>3527</v>
      </c>
      <c r="B2138" s="2" t="s">
        <v>1061</v>
      </c>
      <c r="C2138" s="2" t="s">
        <v>5043</v>
      </c>
      <c r="D2138" s="2" t="s">
        <v>8424</v>
      </c>
    </row>
    <row r="2139" spans="1:4" x14ac:dyDescent="0.2">
      <c r="A2139" s="41" t="s">
        <v>3528</v>
      </c>
      <c r="B2139" s="2" t="s">
        <v>1061</v>
      </c>
      <c r="C2139" s="2" t="s">
        <v>5043</v>
      </c>
      <c r="D2139" s="2" t="s">
        <v>8424</v>
      </c>
    </row>
    <row r="2140" spans="1:4" x14ac:dyDescent="0.2">
      <c r="A2140" s="41" t="s">
        <v>3529</v>
      </c>
      <c r="B2140" s="2" t="s">
        <v>1061</v>
      </c>
      <c r="C2140" s="2" t="s">
        <v>5043</v>
      </c>
      <c r="D2140" s="2" t="s">
        <v>8424</v>
      </c>
    </row>
    <row r="2141" spans="1:4" x14ac:dyDescent="0.2">
      <c r="A2141" s="41" t="s">
        <v>3530</v>
      </c>
      <c r="B2141" s="2" t="s">
        <v>1061</v>
      </c>
      <c r="C2141" s="2" t="s">
        <v>5043</v>
      </c>
      <c r="D2141" s="2" t="s">
        <v>8424</v>
      </c>
    </row>
    <row r="2142" spans="1:4" x14ac:dyDescent="0.2">
      <c r="A2142" s="41" t="s">
        <v>3531</v>
      </c>
      <c r="B2142" s="2" t="s">
        <v>1061</v>
      </c>
      <c r="C2142" s="2" t="s">
        <v>5043</v>
      </c>
      <c r="D2142" s="2" t="s">
        <v>8424</v>
      </c>
    </row>
    <row r="2143" spans="1:4" x14ac:dyDescent="0.2">
      <c r="A2143" s="41" t="s">
        <v>3532</v>
      </c>
      <c r="B2143" s="2" t="s">
        <v>1061</v>
      </c>
      <c r="C2143" s="2" t="s">
        <v>5043</v>
      </c>
      <c r="D2143" s="2" t="s">
        <v>8424</v>
      </c>
    </row>
    <row r="2144" spans="1:4" x14ac:dyDescent="0.2">
      <c r="A2144" s="41" t="s">
        <v>3533</v>
      </c>
      <c r="B2144" s="2" t="s">
        <v>1061</v>
      </c>
      <c r="C2144" s="2" t="s">
        <v>5043</v>
      </c>
      <c r="D2144" s="2" t="s">
        <v>8424</v>
      </c>
    </row>
    <row r="2145" spans="1:4" x14ac:dyDescent="0.2">
      <c r="A2145" s="41" t="s">
        <v>3535</v>
      </c>
      <c r="B2145" s="2" t="s">
        <v>1061</v>
      </c>
      <c r="C2145" s="2" t="s">
        <v>5043</v>
      </c>
      <c r="D2145" s="2" t="s">
        <v>8424</v>
      </c>
    </row>
    <row r="2146" spans="1:4" x14ac:dyDescent="0.2">
      <c r="A2146" s="41" t="s">
        <v>3536</v>
      </c>
      <c r="B2146" s="2" t="s">
        <v>1061</v>
      </c>
      <c r="C2146" s="2" t="s">
        <v>5043</v>
      </c>
      <c r="D2146" s="2" t="s">
        <v>8424</v>
      </c>
    </row>
    <row r="2147" spans="1:4" x14ac:dyDescent="0.2">
      <c r="A2147" s="41" t="s">
        <v>6920</v>
      </c>
      <c r="B2147" s="2" t="s">
        <v>566</v>
      </c>
      <c r="C2147" s="2" t="s">
        <v>5043</v>
      </c>
      <c r="D2147" s="2" t="s">
        <v>8404</v>
      </c>
    </row>
    <row r="2148" spans="1:4" x14ac:dyDescent="0.2">
      <c r="A2148" s="41" t="s">
        <v>6921</v>
      </c>
      <c r="B2148" s="2" t="s">
        <v>566</v>
      </c>
      <c r="C2148" s="2" t="s">
        <v>5043</v>
      </c>
      <c r="D2148" s="2" t="s">
        <v>8404</v>
      </c>
    </row>
    <row r="2149" spans="1:4" x14ac:dyDescent="0.2">
      <c r="A2149" s="41" t="s">
        <v>6922</v>
      </c>
      <c r="B2149" s="2" t="s">
        <v>567</v>
      </c>
      <c r="C2149" s="2" t="s">
        <v>5043</v>
      </c>
      <c r="D2149" s="2" t="s">
        <v>8404</v>
      </c>
    </row>
    <row r="2150" spans="1:4" x14ac:dyDescent="0.2">
      <c r="A2150" s="41" t="s">
        <v>6923</v>
      </c>
      <c r="B2150" s="2" t="s">
        <v>567</v>
      </c>
      <c r="C2150" s="2" t="s">
        <v>5043</v>
      </c>
      <c r="D2150" s="2" t="s">
        <v>8404</v>
      </c>
    </row>
    <row r="2151" spans="1:4" x14ac:dyDescent="0.2">
      <c r="A2151" s="41" t="s">
        <v>6924</v>
      </c>
      <c r="B2151" s="2" t="s">
        <v>567</v>
      </c>
      <c r="C2151" s="2" t="s">
        <v>5043</v>
      </c>
      <c r="D2151" s="2" t="s">
        <v>8404</v>
      </c>
    </row>
    <row r="2152" spans="1:4" x14ac:dyDescent="0.2">
      <c r="A2152" s="41" t="s">
        <v>6925</v>
      </c>
      <c r="B2152" s="2" t="s">
        <v>567</v>
      </c>
      <c r="C2152" s="2" t="s">
        <v>5043</v>
      </c>
      <c r="D2152" s="2" t="s">
        <v>8404</v>
      </c>
    </row>
    <row r="2153" spans="1:4" x14ac:dyDescent="0.2">
      <c r="A2153" s="41" t="s">
        <v>6926</v>
      </c>
      <c r="B2153" s="2" t="s">
        <v>265</v>
      </c>
      <c r="C2153" s="2" t="s">
        <v>5043</v>
      </c>
      <c r="D2153" s="2" t="s">
        <v>8404</v>
      </c>
    </row>
    <row r="2154" spans="1:4" x14ac:dyDescent="0.2">
      <c r="A2154" s="41" t="s">
        <v>6927</v>
      </c>
      <c r="B2154" s="2" t="s">
        <v>265</v>
      </c>
      <c r="C2154" s="2" t="s">
        <v>5043</v>
      </c>
      <c r="D2154" s="2" t="s">
        <v>8404</v>
      </c>
    </row>
    <row r="2155" spans="1:4" x14ac:dyDescent="0.2">
      <c r="A2155" s="41" t="s">
        <v>3249</v>
      </c>
      <c r="B2155" s="2" t="s">
        <v>265</v>
      </c>
      <c r="C2155" s="2" t="s">
        <v>5043</v>
      </c>
      <c r="D2155" s="2" t="s">
        <v>8424</v>
      </c>
    </row>
    <row r="2156" spans="1:4" x14ac:dyDescent="0.2">
      <c r="A2156" s="41" t="s">
        <v>6928</v>
      </c>
      <c r="B2156" s="2" t="s">
        <v>265</v>
      </c>
      <c r="C2156" s="2" t="s">
        <v>5043</v>
      </c>
      <c r="D2156" s="2" t="s">
        <v>8424</v>
      </c>
    </row>
    <row r="2157" spans="1:4" x14ac:dyDescent="0.2">
      <c r="A2157" s="41" t="s">
        <v>6929</v>
      </c>
      <c r="B2157" s="2" t="s">
        <v>1062</v>
      </c>
      <c r="C2157" s="2" t="s">
        <v>5043</v>
      </c>
      <c r="D2157" s="2" t="s">
        <v>8424</v>
      </c>
    </row>
    <row r="2158" spans="1:4" x14ac:dyDescent="0.2">
      <c r="A2158" s="41" t="s">
        <v>3802</v>
      </c>
      <c r="B2158" s="2" t="s">
        <v>358</v>
      </c>
      <c r="C2158" s="2" t="s">
        <v>5043</v>
      </c>
      <c r="D2158" s="2" t="s">
        <v>8404</v>
      </c>
    </row>
    <row r="2159" spans="1:4" x14ac:dyDescent="0.2">
      <c r="A2159" s="41" t="s">
        <v>5413</v>
      </c>
      <c r="B2159" s="2" t="s">
        <v>266</v>
      </c>
      <c r="C2159" s="2" t="s">
        <v>5043</v>
      </c>
      <c r="D2159" s="2" t="s">
        <v>8404</v>
      </c>
    </row>
    <row r="2160" spans="1:4" x14ac:dyDescent="0.2">
      <c r="A2160" s="41" t="s">
        <v>5414</v>
      </c>
      <c r="B2160" s="2" t="s">
        <v>266</v>
      </c>
      <c r="C2160" s="2" t="s">
        <v>5043</v>
      </c>
      <c r="D2160" s="2" t="s">
        <v>8404</v>
      </c>
    </row>
    <row r="2161" spans="1:4" x14ac:dyDescent="0.2">
      <c r="A2161" s="41" t="s">
        <v>3234</v>
      </c>
      <c r="B2161" s="2" t="s">
        <v>266</v>
      </c>
      <c r="C2161" s="2" t="s">
        <v>5043</v>
      </c>
      <c r="D2161" s="2" t="s">
        <v>8404</v>
      </c>
    </row>
    <row r="2162" spans="1:4" x14ac:dyDescent="0.2">
      <c r="A2162" s="41" t="s">
        <v>6930</v>
      </c>
      <c r="B2162" s="2" t="s">
        <v>1063</v>
      </c>
      <c r="C2162" s="2" t="s">
        <v>5043</v>
      </c>
      <c r="D2162" s="2" t="s">
        <v>8424</v>
      </c>
    </row>
    <row r="2163" spans="1:4" x14ac:dyDescent="0.2">
      <c r="A2163" s="41" t="s">
        <v>6931</v>
      </c>
      <c r="B2163" s="2" t="s">
        <v>1063</v>
      </c>
      <c r="C2163" s="2" t="s">
        <v>5043</v>
      </c>
      <c r="D2163" s="2" t="s">
        <v>8424</v>
      </c>
    </row>
    <row r="2164" spans="1:4" x14ac:dyDescent="0.2">
      <c r="A2164" s="41" t="s">
        <v>6932</v>
      </c>
      <c r="B2164" s="2" t="s">
        <v>1063</v>
      </c>
      <c r="C2164" s="2" t="s">
        <v>5043</v>
      </c>
      <c r="D2164" s="2" t="s">
        <v>8424</v>
      </c>
    </row>
    <row r="2165" spans="1:4" x14ac:dyDescent="0.2">
      <c r="A2165" s="41" t="s">
        <v>6933</v>
      </c>
      <c r="B2165" s="2" t="s">
        <v>1063</v>
      </c>
      <c r="C2165" s="2" t="s">
        <v>5043</v>
      </c>
      <c r="D2165" s="2" t="s">
        <v>8424</v>
      </c>
    </row>
    <row r="2166" spans="1:4" x14ac:dyDescent="0.2">
      <c r="A2166" s="41" t="s">
        <v>6934</v>
      </c>
      <c r="B2166" s="2" t="s">
        <v>1063</v>
      </c>
      <c r="C2166" s="2" t="s">
        <v>5043</v>
      </c>
      <c r="D2166" s="2" t="s">
        <v>8424</v>
      </c>
    </row>
    <row r="2167" spans="1:4" x14ac:dyDescent="0.2">
      <c r="A2167" s="41" t="s">
        <v>6935</v>
      </c>
      <c r="B2167" s="2" t="s">
        <v>1063</v>
      </c>
      <c r="C2167" s="2" t="s">
        <v>5043</v>
      </c>
      <c r="D2167" s="2" t="s">
        <v>8424</v>
      </c>
    </row>
    <row r="2168" spans="1:4" x14ac:dyDescent="0.2">
      <c r="A2168" s="41" t="s">
        <v>6936</v>
      </c>
      <c r="B2168" s="2" t="s">
        <v>1063</v>
      </c>
      <c r="C2168" s="2" t="s">
        <v>5043</v>
      </c>
      <c r="D2168" s="2" t="s">
        <v>8424</v>
      </c>
    </row>
    <row r="2169" spans="1:4" x14ac:dyDescent="0.2">
      <c r="A2169" s="41" t="s">
        <v>6937</v>
      </c>
      <c r="B2169" s="2" t="s">
        <v>1063</v>
      </c>
      <c r="C2169" s="2" t="s">
        <v>5043</v>
      </c>
      <c r="D2169" s="2" t="s">
        <v>8424</v>
      </c>
    </row>
    <row r="2170" spans="1:4" x14ac:dyDescent="0.2">
      <c r="A2170" s="41" t="s">
        <v>6938</v>
      </c>
      <c r="B2170" s="2" t="s">
        <v>1063</v>
      </c>
      <c r="C2170" s="2" t="s">
        <v>5043</v>
      </c>
      <c r="D2170" s="2" t="s">
        <v>8424</v>
      </c>
    </row>
    <row r="2171" spans="1:4" x14ac:dyDescent="0.2">
      <c r="A2171" s="41" t="s">
        <v>6939</v>
      </c>
      <c r="B2171" s="2" t="s">
        <v>1063</v>
      </c>
      <c r="C2171" s="2" t="s">
        <v>5043</v>
      </c>
      <c r="D2171" s="2" t="s">
        <v>8424</v>
      </c>
    </row>
    <row r="2172" spans="1:4" x14ac:dyDescent="0.2">
      <c r="A2172" s="41" t="s">
        <v>6940</v>
      </c>
      <c r="B2172" s="2" t="s">
        <v>1063</v>
      </c>
      <c r="C2172" s="2" t="s">
        <v>5043</v>
      </c>
      <c r="D2172" s="2" t="s">
        <v>8424</v>
      </c>
    </row>
    <row r="2173" spans="1:4" x14ac:dyDescent="0.2">
      <c r="A2173" s="41" t="s">
        <v>6941</v>
      </c>
      <c r="B2173" s="2" t="s">
        <v>1064</v>
      </c>
      <c r="C2173" s="2" t="s">
        <v>5043</v>
      </c>
      <c r="D2173" s="2" t="s">
        <v>8424</v>
      </c>
    </row>
    <row r="2174" spans="1:4" x14ac:dyDescent="0.2">
      <c r="A2174" s="41" t="s">
        <v>2738</v>
      </c>
      <c r="B2174" s="2" t="s">
        <v>1065</v>
      </c>
      <c r="C2174" s="2" t="s">
        <v>5043</v>
      </c>
      <c r="D2174" s="2" t="s">
        <v>8424</v>
      </c>
    </row>
    <row r="2175" spans="1:4" x14ac:dyDescent="0.2">
      <c r="A2175" s="41" t="s">
        <v>6942</v>
      </c>
      <c r="B2175" s="2" t="s">
        <v>267</v>
      </c>
      <c r="C2175" s="2" t="s">
        <v>5043</v>
      </c>
      <c r="D2175" s="2" t="s">
        <v>8404</v>
      </c>
    </row>
    <row r="2176" spans="1:4" x14ac:dyDescent="0.2">
      <c r="A2176" s="41" t="s">
        <v>6943</v>
      </c>
      <c r="B2176" s="2" t="s">
        <v>268</v>
      </c>
      <c r="C2176" s="2" t="s">
        <v>5043</v>
      </c>
      <c r="D2176" s="2" t="s">
        <v>8404</v>
      </c>
    </row>
    <row r="2177" spans="1:4" x14ac:dyDescent="0.2">
      <c r="A2177" s="41" t="s">
        <v>6944</v>
      </c>
      <c r="B2177" s="2" t="s">
        <v>268</v>
      </c>
      <c r="C2177" s="2" t="s">
        <v>5043</v>
      </c>
      <c r="D2177" s="2" t="s">
        <v>8404</v>
      </c>
    </row>
    <row r="2178" spans="1:4" x14ac:dyDescent="0.2">
      <c r="A2178" s="41" t="s">
        <v>6945</v>
      </c>
      <c r="B2178" s="2" t="s">
        <v>568</v>
      </c>
      <c r="C2178" s="2" t="s">
        <v>5043</v>
      </c>
      <c r="D2178" s="2" t="s">
        <v>8404</v>
      </c>
    </row>
    <row r="2179" spans="1:4" x14ac:dyDescent="0.2">
      <c r="A2179" s="41" t="s">
        <v>6946</v>
      </c>
      <c r="B2179" s="2" t="s">
        <v>568</v>
      </c>
      <c r="C2179" s="2" t="s">
        <v>5043</v>
      </c>
      <c r="D2179" s="2" t="s">
        <v>8404</v>
      </c>
    </row>
    <row r="2180" spans="1:4" x14ac:dyDescent="0.2">
      <c r="A2180" s="41" t="s">
        <v>6947</v>
      </c>
      <c r="B2180" s="2" t="s">
        <v>568</v>
      </c>
      <c r="C2180" s="2" t="s">
        <v>5043</v>
      </c>
      <c r="D2180" s="2" t="s">
        <v>8424</v>
      </c>
    </row>
    <row r="2181" spans="1:4" x14ac:dyDescent="0.2">
      <c r="A2181" s="41" t="s">
        <v>6948</v>
      </c>
      <c r="B2181" s="2" t="s">
        <v>269</v>
      </c>
      <c r="C2181" s="2" t="s">
        <v>5043</v>
      </c>
      <c r="D2181" s="2" t="s">
        <v>8404</v>
      </c>
    </row>
    <row r="2182" spans="1:4" x14ac:dyDescent="0.2">
      <c r="A2182" s="41" t="s">
        <v>6949</v>
      </c>
      <c r="B2182" s="2" t="s">
        <v>269</v>
      </c>
      <c r="C2182" s="2" t="s">
        <v>5043</v>
      </c>
      <c r="D2182" s="2" t="s">
        <v>8404</v>
      </c>
    </row>
    <row r="2183" spans="1:4" x14ac:dyDescent="0.2">
      <c r="A2183" s="41" t="s">
        <v>6950</v>
      </c>
      <c r="B2183" s="2" t="s">
        <v>269</v>
      </c>
      <c r="C2183" s="2" t="s">
        <v>5043</v>
      </c>
      <c r="D2183" s="2" t="s">
        <v>8424</v>
      </c>
    </row>
    <row r="2184" spans="1:4" x14ac:dyDescent="0.2">
      <c r="A2184" s="41" t="s">
        <v>6951</v>
      </c>
      <c r="B2184" s="2" t="s">
        <v>270</v>
      </c>
      <c r="C2184" s="2" t="s">
        <v>5043</v>
      </c>
      <c r="D2184" s="2" t="s">
        <v>8404</v>
      </c>
    </row>
    <row r="2185" spans="1:4" x14ac:dyDescent="0.2">
      <c r="A2185" s="41" t="s">
        <v>6952</v>
      </c>
      <c r="B2185" s="2" t="s">
        <v>270</v>
      </c>
      <c r="C2185" s="2" t="s">
        <v>5043</v>
      </c>
      <c r="D2185" s="2" t="s">
        <v>8404</v>
      </c>
    </row>
    <row r="2186" spans="1:4" x14ac:dyDescent="0.2">
      <c r="A2186" s="41" t="s">
        <v>4179</v>
      </c>
      <c r="B2186" s="2" t="s">
        <v>271</v>
      </c>
      <c r="C2186" s="2" t="s">
        <v>5043</v>
      </c>
      <c r="D2186" s="2" t="s">
        <v>8404</v>
      </c>
    </row>
    <row r="2187" spans="1:4" x14ac:dyDescent="0.2">
      <c r="A2187" s="41" t="s">
        <v>6953</v>
      </c>
      <c r="B2187" s="2" t="s">
        <v>1066</v>
      </c>
      <c r="C2187" s="2" t="s">
        <v>5043</v>
      </c>
      <c r="D2187" s="2" t="s">
        <v>8424</v>
      </c>
    </row>
    <row r="2188" spans="1:4" x14ac:dyDescent="0.2">
      <c r="A2188" s="41" t="s">
        <v>6954</v>
      </c>
      <c r="B2188" s="2" t="s">
        <v>1066</v>
      </c>
      <c r="C2188" s="2" t="s">
        <v>5043</v>
      </c>
      <c r="D2188" s="2" t="s">
        <v>8424</v>
      </c>
    </row>
    <row r="2189" spans="1:4" x14ac:dyDescent="0.2">
      <c r="A2189" s="41" t="s">
        <v>6955</v>
      </c>
      <c r="B2189" s="2" t="s">
        <v>1066</v>
      </c>
      <c r="C2189" s="2" t="s">
        <v>5043</v>
      </c>
      <c r="D2189" s="2" t="s">
        <v>8424</v>
      </c>
    </row>
    <row r="2190" spans="1:4" x14ac:dyDescent="0.2">
      <c r="A2190" s="41" t="s">
        <v>6956</v>
      </c>
      <c r="B2190" s="2" t="s">
        <v>1066</v>
      </c>
      <c r="C2190" s="2" t="s">
        <v>5043</v>
      </c>
      <c r="D2190" s="2" t="s">
        <v>8424</v>
      </c>
    </row>
    <row r="2191" spans="1:4" x14ac:dyDescent="0.2">
      <c r="A2191" s="41" t="s">
        <v>6957</v>
      </c>
      <c r="B2191" s="2" t="s">
        <v>1066</v>
      </c>
      <c r="C2191" s="2" t="s">
        <v>5043</v>
      </c>
      <c r="D2191" s="2" t="s">
        <v>8424</v>
      </c>
    </row>
    <row r="2192" spans="1:4" x14ac:dyDescent="0.2">
      <c r="A2192" s="41" t="s">
        <v>6958</v>
      </c>
      <c r="B2192" s="2" t="s">
        <v>1067</v>
      </c>
      <c r="C2192" s="2" t="s">
        <v>5043</v>
      </c>
      <c r="D2192" s="2" t="s">
        <v>8424</v>
      </c>
    </row>
    <row r="2193" spans="1:4" x14ac:dyDescent="0.2">
      <c r="A2193" s="41" t="s">
        <v>6959</v>
      </c>
      <c r="B2193" s="2" t="s">
        <v>1067</v>
      </c>
      <c r="C2193" s="2" t="s">
        <v>5043</v>
      </c>
      <c r="D2193" s="2" t="s">
        <v>8424</v>
      </c>
    </row>
    <row r="2194" spans="1:4" x14ac:dyDescent="0.2">
      <c r="A2194" s="41" t="s">
        <v>6960</v>
      </c>
      <c r="B2194" s="2" t="s">
        <v>1067</v>
      </c>
      <c r="C2194" s="2" t="s">
        <v>5043</v>
      </c>
      <c r="D2194" s="2" t="s">
        <v>8424</v>
      </c>
    </row>
    <row r="2195" spans="1:4" x14ac:dyDescent="0.2">
      <c r="A2195" s="41" t="s">
        <v>6961</v>
      </c>
      <c r="B2195" s="2" t="s">
        <v>1067</v>
      </c>
      <c r="C2195" s="2" t="s">
        <v>5043</v>
      </c>
      <c r="D2195" s="2" t="s">
        <v>8424</v>
      </c>
    </row>
    <row r="2196" spans="1:4" x14ac:dyDescent="0.2">
      <c r="A2196" s="41" t="s">
        <v>6962</v>
      </c>
      <c r="B2196" s="2" t="s">
        <v>1067</v>
      </c>
      <c r="C2196" s="2" t="s">
        <v>5043</v>
      </c>
      <c r="D2196" s="2" t="s">
        <v>8424</v>
      </c>
    </row>
    <row r="2197" spans="1:4" x14ac:dyDescent="0.2">
      <c r="A2197" s="41" t="s">
        <v>6963</v>
      </c>
      <c r="B2197" s="2" t="s">
        <v>1067</v>
      </c>
      <c r="C2197" s="2" t="s">
        <v>5043</v>
      </c>
      <c r="D2197" s="2" t="s">
        <v>8424</v>
      </c>
    </row>
    <row r="2198" spans="1:4" x14ac:dyDescent="0.2">
      <c r="A2198" s="41" t="s">
        <v>6964</v>
      </c>
      <c r="B2198" s="2" t="s">
        <v>1067</v>
      </c>
      <c r="C2198" s="2" t="s">
        <v>5043</v>
      </c>
      <c r="D2198" s="2" t="s">
        <v>8424</v>
      </c>
    </row>
    <row r="2199" spans="1:4" x14ac:dyDescent="0.2">
      <c r="A2199" s="41" t="s">
        <v>6965</v>
      </c>
      <c r="B2199" s="2" t="s">
        <v>1067</v>
      </c>
      <c r="C2199" s="2" t="s">
        <v>5043</v>
      </c>
      <c r="D2199" s="2" t="s">
        <v>8424</v>
      </c>
    </row>
    <row r="2200" spans="1:4" x14ac:dyDescent="0.2">
      <c r="A2200" s="41" t="s">
        <v>6966</v>
      </c>
      <c r="B2200" s="2" t="s">
        <v>1067</v>
      </c>
      <c r="C2200" s="2" t="s">
        <v>5043</v>
      </c>
      <c r="D2200" s="2" t="s">
        <v>8424</v>
      </c>
    </row>
    <row r="2201" spans="1:4" x14ac:dyDescent="0.2">
      <c r="A2201" s="41" t="s">
        <v>6967</v>
      </c>
      <c r="B2201" s="2" t="s">
        <v>1067</v>
      </c>
      <c r="C2201" s="2" t="s">
        <v>5043</v>
      </c>
      <c r="D2201" s="2" t="s">
        <v>8424</v>
      </c>
    </row>
    <row r="2202" spans="1:4" x14ac:dyDescent="0.2">
      <c r="A2202" s="41" t="s">
        <v>6968</v>
      </c>
      <c r="B2202" s="2" t="s">
        <v>1067</v>
      </c>
      <c r="C2202" s="2" t="s">
        <v>5043</v>
      </c>
      <c r="D2202" s="2" t="s">
        <v>8424</v>
      </c>
    </row>
    <row r="2203" spans="1:4" x14ac:dyDescent="0.2">
      <c r="A2203" s="41" t="s">
        <v>6969</v>
      </c>
      <c r="B2203" s="2" t="s">
        <v>1067</v>
      </c>
      <c r="C2203" s="2" t="s">
        <v>5043</v>
      </c>
      <c r="D2203" s="2" t="s">
        <v>8424</v>
      </c>
    </row>
    <row r="2204" spans="1:4" x14ac:dyDescent="0.2">
      <c r="A2204" s="41" t="s">
        <v>6970</v>
      </c>
      <c r="B2204" s="2" t="s">
        <v>359</v>
      </c>
      <c r="C2204" s="2" t="s">
        <v>5043</v>
      </c>
      <c r="D2204" s="2" t="s">
        <v>8404</v>
      </c>
    </row>
    <row r="2205" spans="1:4" x14ac:dyDescent="0.2">
      <c r="A2205" s="41" t="s">
        <v>6971</v>
      </c>
      <c r="B2205" s="2" t="s">
        <v>359</v>
      </c>
      <c r="C2205" s="2" t="s">
        <v>5043</v>
      </c>
      <c r="D2205" s="2" t="s">
        <v>8404</v>
      </c>
    </row>
    <row r="2206" spans="1:4" x14ac:dyDescent="0.2">
      <c r="A2206" s="41" t="s">
        <v>6972</v>
      </c>
      <c r="B2206" s="2" t="s">
        <v>359</v>
      </c>
      <c r="C2206" s="2" t="s">
        <v>5043</v>
      </c>
      <c r="D2206" s="2" t="s">
        <v>8424</v>
      </c>
    </row>
    <row r="2207" spans="1:4" x14ac:dyDescent="0.2">
      <c r="A2207" s="41" t="s">
        <v>6973</v>
      </c>
      <c r="B2207" s="2" t="s">
        <v>1068</v>
      </c>
      <c r="C2207" s="2" t="s">
        <v>5043</v>
      </c>
      <c r="D2207" s="2" t="s">
        <v>8424</v>
      </c>
    </row>
    <row r="2208" spans="1:4" x14ac:dyDescent="0.2">
      <c r="A2208" s="41" t="s">
        <v>6974</v>
      </c>
      <c r="B2208" s="2" t="s">
        <v>1068</v>
      </c>
      <c r="C2208" s="2" t="s">
        <v>5043</v>
      </c>
      <c r="D2208" s="2" t="s">
        <v>8424</v>
      </c>
    </row>
    <row r="2209" spans="1:4" x14ac:dyDescent="0.2">
      <c r="A2209" s="41" t="s">
        <v>6975</v>
      </c>
      <c r="B2209" s="2" t="s">
        <v>1068</v>
      </c>
      <c r="C2209" s="2" t="s">
        <v>5043</v>
      </c>
      <c r="D2209" s="2" t="s">
        <v>8424</v>
      </c>
    </row>
    <row r="2210" spans="1:4" x14ac:dyDescent="0.2">
      <c r="A2210" s="41" t="s">
        <v>6976</v>
      </c>
      <c r="B2210" s="2" t="s">
        <v>1069</v>
      </c>
      <c r="C2210" s="2" t="s">
        <v>5043</v>
      </c>
      <c r="D2210" s="2" t="s">
        <v>8424</v>
      </c>
    </row>
    <row r="2211" spans="1:4" x14ac:dyDescent="0.2">
      <c r="A2211" s="41" t="s">
        <v>6977</v>
      </c>
      <c r="B2211" s="2" t="s">
        <v>1069</v>
      </c>
      <c r="C2211" s="2" t="s">
        <v>5043</v>
      </c>
      <c r="D2211" s="2" t="s">
        <v>8424</v>
      </c>
    </row>
    <row r="2212" spans="1:4" x14ac:dyDescent="0.2">
      <c r="A2212" s="41" t="s">
        <v>6978</v>
      </c>
      <c r="B2212" s="2" t="s">
        <v>1070</v>
      </c>
      <c r="C2212" s="2" t="s">
        <v>5043</v>
      </c>
      <c r="D2212" s="2" t="s">
        <v>8424</v>
      </c>
    </row>
    <row r="2213" spans="1:4" x14ac:dyDescent="0.2">
      <c r="A2213" s="41" t="s">
        <v>6979</v>
      </c>
      <c r="B2213" s="2" t="s">
        <v>1070</v>
      </c>
      <c r="C2213" s="2" t="s">
        <v>5043</v>
      </c>
      <c r="D2213" s="2" t="s">
        <v>8424</v>
      </c>
    </row>
    <row r="2214" spans="1:4" x14ac:dyDescent="0.2">
      <c r="A2214" s="41" t="s">
        <v>4535</v>
      </c>
      <c r="B2214" s="2" t="s">
        <v>1071</v>
      </c>
      <c r="C2214" s="2" t="s">
        <v>5043</v>
      </c>
      <c r="D2214" s="2" t="s">
        <v>8424</v>
      </c>
    </row>
    <row r="2215" spans="1:4" x14ac:dyDescent="0.2">
      <c r="A2215" s="41" t="s">
        <v>6980</v>
      </c>
      <c r="B2215" s="2" t="s">
        <v>1072</v>
      </c>
      <c r="C2215" s="2" t="s">
        <v>5043</v>
      </c>
      <c r="D2215" s="2" t="s">
        <v>8424</v>
      </c>
    </row>
    <row r="2216" spans="1:4" x14ac:dyDescent="0.2">
      <c r="A2216" s="41" t="s">
        <v>4547</v>
      </c>
      <c r="B2216" s="2" t="s">
        <v>1072</v>
      </c>
      <c r="C2216" s="2" t="s">
        <v>5043</v>
      </c>
      <c r="D2216" s="2" t="s">
        <v>8424</v>
      </c>
    </row>
    <row r="2217" spans="1:4" x14ac:dyDescent="0.2">
      <c r="A2217" s="41" t="s">
        <v>3653</v>
      </c>
      <c r="B2217" s="2" t="s">
        <v>1072</v>
      </c>
      <c r="C2217" s="2" t="s">
        <v>5043</v>
      </c>
      <c r="D2217" s="2" t="s">
        <v>8424</v>
      </c>
    </row>
    <row r="2218" spans="1:4" x14ac:dyDescent="0.2">
      <c r="A2218" s="41" t="s">
        <v>6981</v>
      </c>
      <c r="B2218" s="2" t="s">
        <v>609</v>
      </c>
      <c r="C2218" s="2" t="s">
        <v>5043</v>
      </c>
      <c r="D2218" s="2" t="s">
        <v>8404</v>
      </c>
    </row>
    <row r="2219" spans="1:4" x14ac:dyDescent="0.2">
      <c r="A2219" s="41" t="s">
        <v>3654</v>
      </c>
      <c r="B2219" s="2" t="s">
        <v>609</v>
      </c>
      <c r="C2219" s="2" t="s">
        <v>5043</v>
      </c>
      <c r="D2219" s="2" t="s">
        <v>8424</v>
      </c>
    </row>
    <row r="2220" spans="1:4" x14ac:dyDescent="0.2">
      <c r="A2220" s="41" t="s">
        <v>6982</v>
      </c>
      <c r="B2220" s="2" t="s">
        <v>609</v>
      </c>
      <c r="C2220" s="2" t="s">
        <v>5043</v>
      </c>
      <c r="D2220" s="2" t="s">
        <v>8424</v>
      </c>
    </row>
    <row r="2221" spans="1:4" x14ac:dyDescent="0.2">
      <c r="A2221" s="41" t="s">
        <v>6983</v>
      </c>
      <c r="B2221" s="2" t="s">
        <v>609</v>
      </c>
      <c r="C2221" s="2" t="s">
        <v>5043</v>
      </c>
      <c r="D2221" s="2" t="s">
        <v>8424</v>
      </c>
    </row>
    <row r="2222" spans="1:4" x14ac:dyDescent="0.2">
      <c r="A2222" s="41" t="s">
        <v>6984</v>
      </c>
      <c r="B2222" s="2" t="s">
        <v>609</v>
      </c>
      <c r="C2222" s="2" t="s">
        <v>5043</v>
      </c>
      <c r="D2222" s="2" t="s">
        <v>8424</v>
      </c>
    </row>
    <row r="2223" spans="1:4" x14ac:dyDescent="0.2">
      <c r="A2223" s="41" t="s">
        <v>6985</v>
      </c>
      <c r="B2223" s="2" t="s">
        <v>1073</v>
      </c>
      <c r="C2223" s="2" t="s">
        <v>5043</v>
      </c>
      <c r="D2223" s="2" t="s">
        <v>8424</v>
      </c>
    </row>
    <row r="2224" spans="1:4" x14ac:dyDescent="0.2">
      <c r="A2224" s="41" t="s">
        <v>6986</v>
      </c>
      <c r="B2224" s="2" t="s">
        <v>1074</v>
      </c>
      <c r="C2224" s="2" t="s">
        <v>5043</v>
      </c>
      <c r="D2224" s="2" t="s">
        <v>8424</v>
      </c>
    </row>
    <row r="2225" spans="1:4" x14ac:dyDescent="0.2">
      <c r="A2225" s="41" t="s">
        <v>6987</v>
      </c>
      <c r="B2225" s="2" t="s">
        <v>1074</v>
      </c>
      <c r="C2225" s="2" t="s">
        <v>5043</v>
      </c>
      <c r="D2225" s="2" t="s">
        <v>8424</v>
      </c>
    </row>
    <row r="2226" spans="1:4" x14ac:dyDescent="0.2">
      <c r="A2226" s="41" t="s">
        <v>6988</v>
      </c>
      <c r="B2226" s="2" t="s">
        <v>1074</v>
      </c>
      <c r="C2226" s="2" t="s">
        <v>5043</v>
      </c>
      <c r="D2226" s="2" t="s">
        <v>8424</v>
      </c>
    </row>
    <row r="2227" spans="1:4" x14ac:dyDescent="0.2">
      <c r="A2227" s="41" t="s">
        <v>6989</v>
      </c>
      <c r="B2227" s="2" t="s">
        <v>272</v>
      </c>
      <c r="C2227" s="2" t="s">
        <v>5043</v>
      </c>
      <c r="D2227" s="2" t="s">
        <v>8404</v>
      </c>
    </row>
    <row r="2228" spans="1:4" x14ac:dyDescent="0.2">
      <c r="A2228" s="41" t="s">
        <v>6990</v>
      </c>
      <c r="B2228" s="2" t="s">
        <v>272</v>
      </c>
      <c r="C2228" s="2" t="s">
        <v>5043</v>
      </c>
      <c r="D2228" s="2" t="s">
        <v>8404</v>
      </c>
    </row>
    <row r="2229" spans="1:4" x14ac:dyDescent="0.2">
      <c r="A2229" s="41" t="s">
        <v>6991</v>
      </c>
      <c r="B2229" s="2" t="s">
        <v>1075</v>
      </c>
      <c r="C2229" s="2" t="s">
        <v>5043</v>
      </c>
      <c r="D2229" s="2" t="s">
        <v>8424</v>
      </c>
    </row>
    <row r="2230" spans="1:4" x14ac:dyDescent="0.2">
      <c r="A2230" s="41" t="s">
        <v>6992</v>
      </c>
      <c r="B2230" s="2" t="s">
        <v>1075</v>
      </c>
      <c r="C2230" s="2" t="s">
        <v>5043</v>
      </c>
      <c r="D2230" s="2" t="s">
        <v>8424</v>
      </c>
    </row>
    <row r="2231" spans="1:4" x14ac:dyDescent="0.2">
      <c r="A2231" s="41" t="s">
        <v>6993</v>
      </c>
      <c r="B2231" s="2" t="s">
        <v>569</v>
      </c>
      <c r="C2231" s="2" t="s">
        <v>5043</v>
      </c>
      <c r="D2231" s="2" t="s">
        <v>8404</v>
      </c>
    </row>
    <row r="2232" spans="1:4" x14ac:dyDescent="0.2">
      <c r="A2232" s="41" t="s">
        <v>6994</v>
      </c>
      <c r="B2232" s="2" t="s">
        <v>1076</v>
      </c>
      <c r="C2232" s="2" t="s">
        <v>5043</v>
      </c>
      <c r="D2232" s="2" t="s">
        <v>8424</v>
      </c>
    </row>
    <row r="2233" spans="1:4" x14ac:dyDescent="0.2">
      <c r="A2233" s="41" t="s">
        <v>6995</v>
      </c>
      <c r="B2233" s="2" t="s">
        <v>1077</v>
      </c>
      <c r="C2233" s="2" t="s">
        <v>5043</v>
      </c>
      <c r="D2233" s="2" t="s">
        <v>8424</v>
      </c>
    </row>
    <row r="2234" spans="1:4" x14ac:dyDescent="0.2">
      <c r="A2234" s="41" t="s">
        <v>6996</v>
      </c>
      <c r="B2234" s="2" t="s">
        <v>1077</v>
      </c>
      <c r="C2234" s="2" t="s">
        <v>5043</v>
      </c>
      <c r="D2234" s="2" t="s">
        <v>8424</v>
      </c>
    </row>
    <row r="2235" spans="1:4" x14ac:dyDescent="0.2">
      <c r="A2235" s="41" t="s">
        <v>6997</v>
      </c>
      <c r="B2235" s="2" t="s">
        <v>1077</v>
      </c>
      <c r="C2235" s="2" t="s">
        <v>5043</v>
      </c>
      <c r="D2235" s="2" t="s">
        <v>8424</v>
      </c>
    </row>
    <row r="2236" spans="1:4" x14ac:dyDescent="0.2">
      <c r="A2236" s="41" t="s">
        <v>6998</v>
      </c>
      <c r="B2236" s="2" t="s">
        <v>1077</v>
      </c>
      <c r="C2236" s="2" t="s">
        <v>5043</v>
      </c>
      <c r="D2236" s="2" t="s">
        <v>8424</v>
      </c>
    </row>
    <row r="2237" spans="1:4" x14ac:dyDescent="0.2">
      <c r="A2237" s="41" t="s">
        <v>6999</v>
      </c>
      <c r="B2237" s="2" t="s">
        <v>1077</v>
      </c>
      <c r="C2237" s="2" t="s">
        <v>5043</v>
      </c>
      <c r="D2237" s="2" t="s">
        <v>8424</v>
      </c>
    </row>
    <row r="2238" spans="1:4" x14ac:dyDescent="0.2">
      <c r="A2238" s="41" t="s">
        <v>7000</v>
      </c>
      <c r="B2238" s="2" t="s">
        <v>1077</v>
      </c>
      <c r="C2238" s="2" t="s">
        <v>5043</v>
      </c>
      <c r="D2238" s="2" t="s">
        <v>8424</v>
      </c>
    </row>
    <row r="2239" spans="1:4" x14ac:dyDescent="0.2">
      <c r="A2239" s="41" t="s">
        <v>7001</v>
      </c>
      <c r="B2239" s="2" t="s">
        <v>570</v>
      </c>
      <c r="C2239" s="2" t="s">
        <v>5043</v>
      </c>
      <c r="D2239" s="2" t="s">
        <v>8404</v>
      </c>
    </row>
    <row r="2240" spans="1:4" x14ac:dyDescent="0.2">
      <c r="A2240" s="41" t="s">
        <v>7002</v>
      </c>
      <c r="B2240" s="2" t="s">
        <v>570</v>
      </c>
      <c r="C2240" s="2" t="s">
        <v>5043</v>
      </c>
      <c r="D2240" s="2" t="s">
        <v>8424</v>
      </c>
    </row>
    <row r="2241" spans="1:4" x14ac:dyDescent="0.2">
      <c r="A2241" s="41" t="s">
        <v>7003</v>
      </c>
      <c r="B2241" s="2" t="s">
        <v>570</v>
      </c>
      <c r="C2241" s="2" t="s">
        <v>5043</v>
      </c>
      <c r="D2241" s="2" t="s">
        <v>8424</v>
      </c>
    </row>
    <row r="2242" spans="1:4" x14ac:dyDescent="0.2">
      <c r="A2242" s="41" t="s">
        <v>7004</v>
      </c>
      <c r="B2242" s="2" t="s">
        <v>1176</v>
      </c>
      <c r="C2242" s="2" t="s">
        <v>5043</v>
      </c>
      <c r="D2242" s="2" t="s">
        <v>8424</v>
      </c>
    </row>
    <row r="2243" spans="1:4" x14ac:dyDescent="0.2">
      <c r="A2243" s="41" t="s">
        <v>7005</v>
      </c>
      <c r="B2243" s="2" t="s">
        <v>1078</v>
      </c>
      <c r="C2243" s="2" t="s">
        <v>5043</v>
      </c>
      <c r="D2243" s="2" t="s">
        <v>8404</v>
      </c>
    </row>
    <row r="2244" spans="1:4" x14ac:dyDescent="0.2">
      <c r="A2244" s="41" t="s">
        <v>7006</v>
      </c>
      <c r="B2244" s="2" t="s">
        <v>273</v>
      </c>
      <c r="C2244" s="2" t="s">
        <v>5043</v>
      </c>
      <c r="D2244" s="2" t="s">
        <v>8404</v>
      </c>
    </row>
    <row r="2245" spans="1:4" x14ac:dyDescent="0.2">
      <c r="A2245" s="41" t="s">
        <v>7007</v>
      </c>
      <c r="B2245" s="2" t="s">
        <v>340</v>
      </c>
      <c r="C2245" s="2" t="s">
        <v>5043</v>
      </c>
      <c r="D2245" s="2" t="s">
        <v>8404</v>
      </c>
    </row>
    <row r="2246" spans="1:4" x14ac:dyDescent="0.2">
      <c r="A2246" s="41" t="s">
        <v>3734</v>
      </c>
      <c r="B2246" s="2" t="s">
        <v>1079</v>
      </c>
      <c r="C2246" s="2" t="s">
        <v>5043</v>
      </c>
      <c r="D2246" s="2" t="s">
        <v>8424</v>
      </c>
    </row>
    <row r="2247" spans="1:4" x14ac:dyDescent="0.2">
      <c r="A2247" s="41" t="s">
        <v>3735</v>
      </c>
      <c r="B2247" s="2" t="s">
        <v>1079</v>
      </c>
      <c r="C2247" s="2" t="s">
        <v>5043</v>
      </c>
      <c r="D2247" s="2" t="s">
        <v>8424</v>
      </c>
    </row>
    <row r="2248" spans="1:4" x14ac:dyDescent="0.2">
      <c r="A2248" s="41" t="s">
        <v>3737</v>
      </c>
      <c r="B2248" s="2" t="s">
        <v>1079</v>
      </c>
      <c r="C2248" s="2" t="s">
        <v>5043</v>
      </c>
      <c r="D2248" s="2" t="s">
        <v>8424</v>
      </c>
    </row>
    <row r="2249" spans="1:4" x14ac:dyDescent="0.2">
      <c r="A2249" s="41" t="s">
        <v>3738</v>
      </c>
      <c r="B2249" s="2" t="s">
        <v>1079</v>
      </c>
      <c r="C2249" s="2" t="s">
        <v>5043</v>
      </c>
      <c r="D2249" s="2" t="s">
        <v>8424</v>
      </c>
    </row>
    <row r="2250" spans="1:4" x14ac:dyDescent="0.2">
      <c r="A2250" s="41" t="s">
        <v>3740</v>
      </c>
      <c r="B2250" s="2" t="s">
        <v>1079</v>
      </c>
      <c r="C2250" s="2" t="s">
        <v>5043</v>
      </c>
      <c r="D2250" s="2" t="s">
        <v>8424</v>
      </c>
    </row>
    <row r="2251" spans="1:4" x14ac:dyDescent="0.2">
      <c r="A2251" s="41" t="s">
        <v>3741</v>
      </c>
      <c r="B2251" s="2" t="s">
        <v>1079</v>
      </c>
      <c r="C2251" s="2" t="s">
        <v>5043</v>
      </c>
      <c r="D2251" s="2" t="s">
        <v>8424</v>
      </c>
    </row>
    <row r="2252" spans="1:4" x14ac:dyDescent="0.2">
      <c r="A2252" s="41" t="s">
        <v>3742</v>
      </c>
      <c r="B2252" s="2" t="s">
        <v>1080</v>
      </c>
      <c r="C2252" s="2" t="s">
        <v>5043</v>
      </c>
      <c r="D2252" s="2" t="s">
        <v>8424</v>
      </c>
    </row>
    <row r="2253" spans="1:4" x14ac:dyDescent="0.2">
      <c r="A2253" s="41" t="s">
        <v>7008</v>
      </c>
      <c r="B2253" s="2" t="s">
        <v>571</v>
      </c>
      <c r="C2253" s="2" t="s">
        <v>5043</v>
      </c>
      <c r="D2253" s="2" t="s">
        <v>8404</v>
      </c>
    </row>
    <row r="2254" spans="1:4" x14ac:dyDescent="0.2">
      <c r="A2254" s="41" t="s">
        <v>7009</v>
      </c>
      <c r="B2254" s="2" t="s">
        <v>277</v>
      </c>
      <c r="C2254" s="2" t="s">
        <v>5043</v>
      </c>
      <c r="D2254" s="2" t="s">
        <v>8423</v>
      </c>
    </row>
    <row r="2255" spans="1:4" x14ac:dyDescent="0.2">
      <c r="A2255" s="41" t="s">
        <v>3400</v>
      </c>
      <c r="B2255" s="2" t="s">
        <v>1081</v>
      </c>
      <c r="C2255" s="2" t="s">
        <v>5043</v>
      </c>
      <c r="D2255" s="2" t="s">
        <v>8423</v>
      </c>
    </row>
    <row r="2256" spans="1:4" x14ac:dyDescent="0.2">
      <c r="A2256" s="41" t="s">
        <v>7010</v>
      </c>
      <c r="B2256" s="2" t="s">
        <v>1082</v>
      </c>
      <c r="C2256" s="2" t="s">
        <v>5043</v>
      </c>
      <c r="D2256" s="2" t="s">
        <v>8423</v>
      </c>
    </row>
    <row r="2257" spans="1:4" x14ac:dyDescent="0.2">
      <c r="A2257" s="41" t="s">
        <v>7011</v>
      </c>
      <c r="B2257" s="2" t="s">
        <v>1082</v>
      </c>
      <c r="C2257" s="2" t="s">
        <v>5043</v>
      </c>
      <c r="D2257" s="2" t="s">
        <v>8423</v>
      </c>
    </row>
    <row r="2258" spans="1:4" x14ac:dyDescent="0.2">
      <c r="A2258" s="41" t="s">
        <v>8343</v>
      </c>
      <c r="B2258" s="2" t="s">
        <v>8344</v>
      </c>
      <c r="C2258" s="2" t="s">
        <v>5043</v>
      </c>
      <c r="D2258" s="2" t="s">
        <v>8423</v>
      </c>
    </row>
    <row r="2259" spans="1:4" x14ac:dyDescent="0.2">
      <c r="A2259" s="41" t="s">
        <v>8345</v>
      </c>
      <c r="B2259" s="2" t="s">
        <v>8344</v>
      </c>
      <c r="C2259" s="2" t="s">
        <v>5043</v>
      </c>
      <c r="D2259" s="2" t="s">
        <v>8423</v>
      </c>
    </row>
    <row r="2260" spans="1:4" x14ac:dyDescent="0.2">
      <c r="A2260" s="41" t="s">
        <v>7012</v>
      </c>
      <c r="B2260" s="2" t="s">
        <v>278</v>
      </c>
      <c r="C2260" s="2" t="s">
        <v>5043</v>
      </c>
      <c r="D2260" s="2" t="s">
        <v>8423</v>
      </c>
    </row>
    <row r="2261" spans="1:4" x14ac:dyDescent="0.2">
      <c r="A2261" s="41" t="s">
        <v>7013</v>
      </c>
      <c r="B2261" s="2" t="s">
        <v>1083</v>
      </c>
      <c r="C2261" s="2" t="s">
        <v>5043</v>
      </c>
      <c r="D2261" s="2" t="s">
        <v>8423</v>
      </c>
    </row>
    <row r="2262" spans="1:4" x14ac:dyDescent="0.2">
      <c r="A2262" s="41" t="s">
        <v>7014</v>
      </c>
      <c r="B2262" s="2" t="s">
        <v>1083</v>
      </c>
      <c r="C2262" s="2" t="s">
        <v>5043</v>
      </c>
      <c r="D2262" s="2" t="s">
        <v>8423</v>
      </c>
    </row>
    <row r="2263" spans="1:4" x14ac:dyDescent="0.2">
      <c r="A2263" s="41" t="s">
        <v>7015</v>
      </c>
      <c r="B2263" s="2" t="s">
        <v>1083</v>
      </c>
      <c r="C2263" s="2" t="s">
        <v>5043</v>
      </c>
      <c r="D2263" s="2" t="s">
        <v>8423</v>
      </c>
    </row>
    <row r="2264" spans="1:4" x14ac:dyDescent="0.2">
      <c r="A2264" s="41" t="s">
        <v>7016</v>
      </c>
      <c r="B2264" s="2" t="s">
        <v>1083</v>
      </c>
      <c r="C2264" s="2" t="s">
        <v>5043</v>
      </c>
      <c r="D2264" s="2" t="s">
        <v>8423</v>
      </c>
    </row>
    <row r="2265" spans="1:4" x14ac:dyDescent="0.2">
      <c r="A2265" s="41" t="s">
        <v>7017</v>
      </c>
      <c r="B2265" s="2" t="s">
        <v>1083</v>
      </c>
      <c r="C2265" s="2" t="s">
        <v>5043</v>
      </c>
      <c r="D2265" s="2" t="s">
        <v>8423</v>
      </c>
    </row>
    <row r="2266" spans="1:4" x14ac:dyDescent="0.2">
      <c r="A2266" s="41" t="s">
        <v>7018</v>
      </c>
      <c r="B2266" s="2" t="s">
        <v>1083</v>
      </c>
      <c r="C2266" s="2" t="s">
        <v>5043</v>
      </c>
      <c r="D2266" s="2" t="s">
        <v>8423</v>
      </c>
    </row>
    <row r="2267" spans="1:4" x14ac:dyDescent="0.2">
      <c r="A2267" s="41" t="s">
        <v>7019</v>
      </c>
      <c r="B2267" s="2" t="s">
        <v>1083</v>
      </c>
      <c r="C2267" s="2" t="s">
        <v>5043</v>
      </c>
      <c r="D2267" s="2" t="s">
        <v>8423</v>
      </c>
    </row>
    <row r="2268" spans="1:4" x14ac:dyDescent="0.2">
      <c r="A2268" s="41" t="s">
        <v>7020</v>
      </c>
      <c r="B2268" s="2" t="s">
        <v>1083</v>
      </c>
      <c r="C2268" s="2" t="s">
        <v>5043</v>
      </c>
      <c r="D2268" s="2" t="s">
        <v>8423</v>
      </c>
    </row>
    <row r="2269" spans="1:4" x14ac:dyDescent="0.2">
      <c r="A2269" s="41" t="s">
        <v>7021</v>
      </c>
      <c r="B2269" s="2" t="s">
        <v>1083</v>
      </c>
      <c r="C2269" s="2" t="s">
        <v>5043</v>
      </c>
      <c r="D2269" s="2" t="s">
        <v>8423</v>
      </c>
    </row>
    <row r="2270" spans="1:4" x14ac:dyDescent="0.2">
      <c r="A2270" s="41" t="s">
        <v>7022</v>
      </c>
      <c r="B2270" s="2" t="s">
        <v>1083</v>
      </c>
      <c r="C2270" s="2" t="s">
        <v>5043</v>
      </c>
      <c r="D2270" s="2" t="s">
        <v>8423</v>
      </c>
    </row>
    <row r="2271" spans="1:4" x14ac:dyDescent="0.2">
      <c r="A2271" s="41" t="s">
        <v>7023</v>
      </c>
      <c r="B2271" s="2" t="s">
        <v>1083</v>
      </c>
      <c r="C2271" s="2" t="s">
        <v>5043</v>
      </c>
      <c r="D2271" s="2" t="s">
        <v>8423</v>
      </c>
    </row>
    <row r="2272" spans="1:4" x14ac:dyDescent="0.2">
      <c r="A2272" s="41" t="s">
        <v>7024</v>
      </c>
      <c r="B2272" s="2" t="s">
        <v>1083</v>
      </c>
      <c r="C2272" s="2" t="s">
        <v>5043</v>
      </c>
      <c r="D2272" s="2" t="s">
        <v>8423</v>
      </c>
    </row>
    <row r="2273" spans="1:4" x14ac:dyDescent="0.2">
      <c r="A2273" s="41" t="s">
        <v>7025</v>
      </c>
      <c r="B2273" s="2" t="s">
        <v>1083</v>
      </c>
      <c r="C2273" s="2" t="s">
        <v>5043</v>
      </c>
      <c r="D2273" s="2" t="s">
        <v>8423</v>
      </c>
    </row>
    <row r="2274" spans="1:4" x14ac:dyDescent="0.2">
      <c r="A2274" s="41" t="s">
        <v>7026</v>
      </c>
      <c r="B2274" s="2" t="s">
        <v>1083</v>
      </c>
      <c r="C2274" s="2" t="s">
        <v>5043</v>
      </c>
      <c r="D2274" s="2" t="s">
        <v>8423</v>
      </c>
    </row>
    <row r="2275" spans="1:4" x14ac:dyDescent="0.2">
      <c r="A2275" s="41" t="s">
        <v>7027</v>
      </c>
      <c r="B2275" s="2" t="s">
        <v>1083</v>
      </c>
      <c r="C2275" s="2" t="s">
        <v>5043</v>
      </c>
      <c r="D2275" s="2" t="s">
        <v>8423</v>
      </c>
    </row>
    <row r="2276" spans="1:4" x14ac:dyDescent="0.2">
      <c r="A2276" s="41" t="s">
        <v>7028</v>
      </c>
      <c r="B2276" s="2" t="s">
        <v>1083</v>
      </c>
      <c r="C2276" s="2" t="s">
        <v>5043</v>
      </c>
      <c r="D2276" s="2" t="s">
        <v>8423</v>
      </c>
    </row>
    <row r="2277" spans="1:4" x14ac:dyDescent="0.2">
      <c r="A2277" s="41" t="s">
        <v>7029</v>
      </c>
      <c r="B2277" s="2" t="s">
        <v>1083</v>
      </c>
      <c r="C2277" s="2" t="s">
        <v>5043</v>
      </c>
      <c r="D2277" s="2" t="s">
        <v>8423</v>
      </c>
    </row>
    <row r="2278" spans="1:4" x14ac:dyDescent="0.2">
      <c r="A2278" s="41" t="s">
        <v>7030</v>
      </c>
      <c r="B2278" s="2" t="s">
        <v>1083</v>
      </c>
      <c r="C2278" s="2" t="s">
        <v>5043</v>
      </c>
      <c r="D2278" s="2" t="s">
        <v>8423</v>
      </c>
    </row>
    <row r="2279" spans="1:4" x14ac:dyDescent="0.2">
      <c r="A2279" s="41" t="s">
        <v>5589</v>
      </c>
      <c r="B2279" s="2" t="s">
        <v>279</v>
      </c>
      <c r="C2279" s="2" t="s">
        <v>5043</v>
      </c>
      <c r="D2279" s="2" t="s">
        <v>8423</v>
      </c>
    </row>
    <row r="2280" spans="1:4" x14ac:dyDescent="0.2">
      <c r="A2280" s="41" t="s">
        <v>7031</v>
      </c>
      <c r="B2280" s="2" t="s">
        <v>279</v>
      </c>
      <c r="C2280" s="2" t="s">
        <v>5043</v>
      </c>
      <c r="D2280" s="2" t="s">
        <v>8423</v>
      </c>
    </row>
    <row r="2281" spans="1:4" x14ac:dyDescent="0.2">
      <c r="A2281" s="41" t="s">
        <v>7032</v>
      </c>
      <c r="B2281" s="2" t="s">
        <v>1084</v>
      </c>
      <c r="C2281" s="2" t="s">
        <v>5043</v>
      </c>
      <c r="D2281" s="2" t="s">
        <v>8423</v>
      </c>
    </row>
    <row r="2282" spans="1:4" x14ac:dyDescent="0.2">
      <c r="A2282" s="41" t="s">
        <v>7033</v>
      </c>
      <c r="B2282" s="2" t="s">
        <v>1084</v>
      </c>
      <c r="C2282" s="2" t="s">
        <v>5043</v>
      </c>
      <c r="D2282" s="2" t="s">
        <v>8423</v>
      </c>
    </row>
    <row r="2283" spans="1:4" x14ac:dyDescent="0.2">
      <c r="A2283" s="41" t="s">
        <v>7034</v>
      </c>
      <c r="B2283" s="2" t="s">
        <v>1084</v>
      </c>
      <c r="C2283" s="2" t="s">
        <v>5043</v>
      </c>
      <c r="D2283" s="2" t="s">
        <v>8423</v>
      </c>
    </row>
    <row r="2284" spans="1:4" x14ac:dyDescent="0.2">
      <c r="A2284" s="41" t="s">
        <v>7035</v>
      </c>
      <c r="B2284" s="2" t="s">
        <v>1084</v>
      </c>
      <c r="C2284" s="2" t="s">
        <v>5043</v>
      </c>
      <c r="D2284" s="2" t="s">
        <v>8423</v>
      </c>
    </row>
    <row r="2285" spans="1:4" x14ac:dyDescent="0.2">
      <c r="A2285" s="41" t="s">
        <v>7036</v>
      </c>
      <c r="B2285" s="2" t="s">
        <v>1084</v>
      </c>
      <c r="C2285" s="2" t="s">
        <v>5043</v>
      </c>
      <c r="D2285" s="2" t="s">
        <v>8423</v>
      </c>
    </row>
    <row r="2286" spans="1:4" x14ac:dyDescent="0.2">
      <c r="A2286" s="41" t="s">
        <v>7037</v>
      </c>
      <c r="B2286" s="2" t="s">
        <v>1084</v>
      </c>
      <c r="C2286" s="2" t="s">
        <v>5043</v>
      </c>
      <c r="D2286" s="2" t="s">
        <v>8423</v>
      </c>
    </row>
    <row r="2287" spans="1:4" x14ac:dyDescent="0.2">
      <c r="A2287" s="41" t="s">
        <v>7038</v>
      </c>
      <c r="B2287" s="2" t="s">
        <v>1084</v>
      </c>
      <c r="C2287" s="2" t="s">
        <v>5043</v>
      </c>
      <c r="D2287" s="2" t="s">
        <v>8423</v>
      </c>
    </row>
    <row r="2288" spans="1:4" x14ac:dyDescent="0.2">
      <c r="A2288" s="41" t="s">
        <v>7039</v>
      </c>
      <c r="B2288" s="2" t="s">
        <v>1084</v>
      </c>
      <c r="C2288" s="2" t="s">
        <v>5043</v>
      </c>
      <c r="D2288" s="2" t="s">
        <v>8423</v>
      </c>
    </row>
    <row r="2289" spans="1:4" x14ac:dyDescent="0.2">
      <c r="A2289" s="41" t="s">
        <v>7040</v>
      </c>
      <c r="B2289" s="2" t="s">
        <v>1084</v>
      </c>
      <c r="C2289" s="2" t="s">
        <v>5043</v>
      </c>
      <c r="D2289" s="2" t="s">
        <v>8423</v>
      </c>
    </row>
    <row r="2290" spans="1:4" x14ac:dyDescent="0.2">
      <c r="A2290" s="41" t="s">
        <v>7041</v>
      </c>
      <c r="B2290" s="2" t="s">
        <v>1084</v>
      </c>
      <c r="C2290" s="2" t="s">
        <v>5043</v>
      </c>
      <c r="D2290" s="2" t="s">
        <v>8423</v>
      </c>
    </row>
    <row r="2291" spans="1:4" x14ac:dyDescent="0.2">
      <c r="A2291" s="41" t="s">
        <v>7042</v>
      </c>
      <c r="B2291" s="2" t="s">
        <v>1084</v>
      </c>
      <c r="C2291" s="2" t="s">
        <v>5043</v>
      </c>
      <c r="D2291" s="2" t="s">
        <v>8423</v>
      </c>
    </row>
    <row r="2292" spans="1:4" x14ac:dyDescent="0.2">
      <c r="A2292" s="41" t="s">
        <v>7043</v>
      </c>
      <c r="B2292" s="2" t="s">
        <v>1084</v>
      </c>
      <c r="C2292" s="2" t="s">
        <v>5043</v>
      </c>
      <c r="D2292" s="2" t="s">
        <v>8423</v>
      </c>
    </row>
    <row r="2293" spans="1:4" x14ac:dyDescent="0.2">
      <c r="A2293" s="41" t="s">
        <v>7044</v>
      </c>
      <c r="B2293" s="2" t="s">
        <v>1084</v>
      </c>
      <c r="C2293" s="2" t="s">
        <v>5043</v>
      </c>
      <c r="D2293" s="2" t="s">
        <v>8423</v>
      </c>
    </row>
    <row r="2294" spans="1:4" x14ac:dyDescent="0.2">
      <c r="A2294" s="41" t="s">
        <v>7045</v>
      </c>
      <c r="B2294" s="2" t="s">
        <v>1084</v>
      </c>
      <c r="C2294" s="2" t="s">
        <v>5043</v>
      </c>
      <c r="D2294" s="2" t="s">
        <v>8423</v>
      </c>
    </row>
    <row r="2295" spans="1:4" x14ac:dyDescent="0.2">
      <c r="A2295" s="41" t="s">
        <v>7046</v>
      </c>
      <c r="B2295" s="2" t="s">
        <v>1084</v>
      </c>
      <c r="C2295" s="2" t="s">
        <v>5043</v>
      </c>
      <c r="D2295" s="2" t="s">
        <v>8423</v>
      </c>
    </row>
    <row r="2296" spans="1:4" x14ac:dyDescent="0.2">
      <c r="A2296" s="41" t="s">
        <v>3160</v>
      </c>
      <c r="B2296" s="2" t="s">
        <v>1084</v>
      </c>
      <c r="C2296" s="2" t="s">
        <v>5043</v>
      </c>
      <c r="D2296" s="2" t="s">
        <v>8423</v>
      </c>
    </row>
    <row r="2297" spans="1:4" x14ac:dyDescent="0.2">
      <c r="A2297" s="41" t="s">
        <v>3161</v>
      </c>
      <c r="B2297" s="2" t="s">
        <v>1084</v>
      </c>
      <c r="C2297" s="2" t="s">
        <v>5043</v>
      </c>
      <c r="D2297" s="2" t="s">
        <v>8423</v>
      </c>
    </row>
    <row r="2298" spans="1:4" x14ac:dyDescent="0.2">
      <c r="A2298" s="41" t="s">
        <v>3162</v>
      </c>
      <c r="B2298" s="2" t="s">
        <v>1084</v>
      </c>
      <c r="C2298" s="2" t="s">
        <v>5043</v>
      </c>
      <c r="D2298" s="2" t="s">
        <v>8423</v>
      </c>
    </row>
    <row r="2299" spans="1:4" x14ac:dyDescent="0.2">
      <c r="A2299" s="41" t="s">
        <v>4589</v>
      </c>
      <c r="B2299" s="2" t="s">
        <v>360</v>
      </c>
      <c r="C2299" s="2" t="s">
        <v>5043</v>
      </c>
      <c r="D2299" s="2" t="s">
        <v>8423</v>
      </c>
    </row>
    <row r="2300" spans="1:4" x14ac:dyDescent="0.2">
      <c r="A2300" s="41" t="s">
        <v>7047</v>
      </c>
      <c r="B2300" s="2" t="s">
        <v>1085</v>
      </c>
      <c r="C2300" s="2" t="s">
        <v>5043</v>
      </c>
      <c r="D2300" s="2" t="s">
        <v>8423</v>
      </c>
    </row>
    <row r="2301" spans="1:4" x14ac:dyDescent="0.2">
      <c r="A2301" s="41" t="s">
        <v>2669</v>
      </c>
      <c r="B2301" s="2" t="s">
        <v>2670</v>
      </c>
      <c r="C2301" s="2" t="s">
        <v>5043</v>
      </c>
      <c r="D2301" s="2" t="s">
        <v>8401</v>
      </c>
    </row>
    <row r="2302" spans="1:4" x14ac:dyDescent="0.2">
      <c r="A2302" s="41" t="s">
        <v>2671</v>
      </c>
      <c r="B2302" s="2" t="s">
        <v>2670</v>
      </c>
      <c r="C2302" s="2" t="s">
        <v>5043</v>
      </c>
      <c r="D2302" s="2" t="s">
        <v>8401</v>
      </c>
    </row>
    <row r="2303" spans="1:4" x14ac:dyDescent="0.2">
      <c r="A2303" s="41" t="s">
        <v>7048</v>
      </c>
      <c r="B2303" s="2" t="s">
        <v>1086</v>
      </c>
      <c r="C2303" s="2" t="s">
        <v>5043</v>
      </c>
      <c r="D2303" s="2" t="s">
        <v>8423</v>
      </c>
    </row>
    <row r="2304" spans="1:4" x14ac:dyDescent="0.2">
      <c r="A2304" s="41" t="s">
        <v>7049</v>
      </c>
      <c r="B2304" s="2" t="s">
        <v>406</v>
      </c>
      <c r="C2304" s="2" t="s">
        <v>5043</v>
      </c>
      <c r="D2304" s="2" t="s">
        <v>8423</v>
      </c>
    </row>
    <row r="2305" spans="1:4" x14ac:dyDescent="0.2">
      <c r="A2305" s="41" t="s">
        <v>7050</v>
      </c>
      <c r="B2305" s="2" t="s">
        <v>1087</v>
      </c>
      <c r="C2305" s="2" t="s">
        <v>5043</v>
      </c>
      <c r="D2305" s="2" t="s">
        <v>8423</v>
      </c>
    </row>
    <row r="2306" spans="1:4" x14ac:dyDescent="0.2">
      <c r="A2306" s="41" t="s">
        <v>7051</v>
      </c>
      <c r="B2306" s="2" t="s">
        <v>1088</v>
      </c>
      <c r="C2306" s="2" t="s">
        <v>5043</v>
      </c>
      <c r="D2306" s="2" t="s">
        <v>8423</v>
      </c>
    </row>
    <row r="2307" spans="1:4" x14ac:dyDescent="0.2">
      <c r="A2307" s="41" t="s">
        <v>7052</v>
      </c>
      <c r="B2307" s="2" t="s">
        <v>1088</v>
      </c>
      <c r="C2307" s="2" t="s">
        <v>5043</v>
      </c>
      <c r="D2307" s="2" t="s">
        <v>8423</v>
      </c>
    </row>
    <row r="2308" spans="1:4" x14ac:dyDescent="0.2">
      <c r="A2308" s="41" t="s">
        <v>7053</v>
      </c>
      <c r="B2308" s="2" t="s">
        <v>1088</v>
      </c>
      <c r="C2308" s="2" t="s">
        <v>5043</v>
      </c>
      <c r="D2308" s="2" t="s">
        <v>8423</v>
      </c>
    </row>
    <row r="2309" spans="1:4" x14ac:dyDescent="0.2">
      <c r="A2309" s="41" t="s">
        <v>7054</v>
      </c>
      <c r="B2309" s="2" t="s">
        <v>1088</v>
      </c>
      <c r="C2309" s="2" t="s">
        <v>5043</v>
      </c>
      <c r="D2309" s="2" t="s">
        <v>8423</v>
      </c>
    </row>
    <row r="2310" spans="1:4" x14ac:dyDescent="0.2">
      <c r="A2310" s="41" t="s">
        <v>7055</v>
      </c>
      <c r="B2310" s="2" t="s">
        <v>1088</v>
      </c>
      <c r="C2310" s="2" t="s">
        <v>5043</v>
      </c>
      <c r="D2310" s="2" t="s">
        <v>8423</v>
      </c>
    </row>
    <row r="2311" spans="1:4" x14ac:dyDescent="0.2">
      <c r="A2311" s="41" t="s">
        <v>7056</v>
      </c>
      <c r="B2311" s="2" t="s">
        <v>1088</v>
      </c>
      <c r="C2311" s="2" t="s">
        <v>5043</v>
      </c>
      <c r="D2311" s="2" t="s">
        <v>8423</v>
      </c>
    </row>
    <row r="2312" spans="1:4" x14ac:dyDescent="0.2">
      <c r="A2312" s="41" t="s">
        <v>7057</v>
      </c>
      <c r="B2312" s="2" t="s">
        <v>1088</v>
      </c>
      <c r="C2312" s="2" t="s">
        <v>5043</v>
      </c>
      <c r="D2312" s="2" t="s">
        <v>8423</v>
      </c>
    </row>
    <row r="2313" spans="1:4" x14ac:dyDescent="0.2">
      <c r="A2313" s="41" t="s">
        <v>7058</v>
      </c>
      <c r="B2313" s="2" t="s">
        <v>1088</v>
      </c>
      <c r="C2313" s="2" t="s">
        <v>5043</v>
      </c>
      <c r="D2313" s="2" t="s">
        <v>8423</v>
      </c>
    </row>
    <row r="2314" spans="1:4" x14ac:dyDescent="0.2">
      <c r="A2314" s="41" t="s">
        <v>7059</v>
      </c>
      <c r="B2314" s="2" t="s">
        <v>1088</v>
      </c>
      <c r="C2314" s="2" t="s">
        <v>5043</v>
      </c>
      <c r="D2314" s="2" t="s">
        <v>8423</v>
      </c>
    </row>
    <row r="2315" spans="1:4" x14ac:dyDescent="0.2">
      <c r="A2315" s="41" t="s">
        <v>7060</v>
      </c>
      <c r="B2315" s="2" t="s">
        <v>1088</v>
      </c>
      <c r="C2315" s="2" t="s">
        <v>5043</v>
      </c>
      <c r="D2315" s="2" t="s">
        <v>8423</v>
      </c>
    </row>
    <row r="2316" spans="1:4" x14ac:dyDescent="0.2">
      <c r="A2316" s="41" t="s">
        <v>7061</v>
      </c>
      <c r="B2316" s="2" t="s">
        <v>1088</v>
      </c>
      <c r="C2316" s="2" t="s">
        <v>5043</v>
      </c>
      <c r="D2316" s="2" t="s">
        <v>8423</v>
      </c>
    </row>
    <row r="2317" spans="1:4" x14ac:dyDescent="0.2">
      <c r="A2317" s="41" t="s">
        <v>7062</v>
      </c>
      <c r="B2317" s="2" t="s">
        <v>1088</v>
      </c>
      <c r="C2317" s="2" t="s">
        <v>5043</v>
      </c>
      <c r="D2317" s="2" t="s">
        <v>8423</v>
      </c>
    </row>
    <row r="2318" spans="1:4" x14ac:dyDescent="0.2">
      <c r="A2318" s="41" t="s">
        <v>7063</v>
      </c>
      <c r="B2318" s="2" t="s">
        <v>1088</v>
      </c>
      <c r="C2318" s="2" t="s">
        <v>5043</v>
      </c>
      <c r="D2318" s="2" t="s">
        <v>8423</v>
      </c>
    </row>
    <row r="2319" spans="1:4" x14ac:dyDescent="0.2">
      <c r="A2319" s="41" t="s">
        <v>7064</v>
      </c>
      <c r="B2319" s="2" t="s">
        <v>1088</v>
      </c>
      <c r="C2319" s="2" t="s">
        <v>5043</v>
      </c>
      <c r="D2319" s="2" t="s">
        <v>8423</v>
      </c>
    </row>
    <row r="2320" spans="1:4" x14ac:dyDescent="0.2">
      <c r="A2320" s="41" t="s">
        <v>7065</v>
      </c>
      <c r="B2320" s="2" t="s">
        <v>1088</v>
      </c>
      <c r="C2320" s="2" t="s">
        <v>5043</v>
      </c>
      <c r="D2320" s="2" t="s">
        <v>8423</v>
      </c>
    </row>
    <row r="2321" spans="1:4" x14ac:dyDescent="0.2">
      <c r="A2321" s="41" t="s">
        <v>7066</v>
      </c>
      <c r="B2321" s="2" t="s">
        <v>1088</v>
      </c>
      <c r="C2321" s="2" t="s">
        <v>5043</v>
      </c>
      <c r="D2321" s="2" t="s">
        <v>8423</v>
      </c>
    </row>
    <row r="2322" spans="1:4" x14ac:dyDescent="0.2">
      <c r="A2322" s="41" t="s">
        <v>7067</v>
      </c>
      <c r="B2322" s="2" t="s">
        <v>1088</v>
      </c>
      <c r="C2322" s="2" t="s">
        <v>5043</v>
      </c>
      <c r="D2322" s="2" t="s">
        <v>8423</v>
      </c>
    </row>
    <row r="2323" spans="1:4" x14ac:dyDescent="0.2">
      <c r="A2323" s="41" t="s">
        <v>7068</v>
      </c>
      <c r="B2323" s="2" t="s">
        <v>1088</v>
      </c>
      <c r="C2323" s="2" t="s">
        <v>5043</v>
      </c>
      <c r="D2323" s="2" t="s">
        <v>8423</v>
      </c>
    </row>
    <row r="2324" spans="1:4" x14ac:dyDescent="0.2">
      <c r="A2324" s="41" t="s">
        <v>3183</v>
      </c>
      <c r="B2324" s="2" t="s">
        <v>1088</v>
      </c>
      <c r="C2324" s="2" t="s">
        <v>5043</v>
      </c>
      <c r="D2324" s="2" t="s">
        <v>8423</v>
      </c>
    </row>
    <row r="2325" spans="1:4" x14ac:dyDescent="0.2">
      <c r="A2325" s="41" t="s">
        <v>3184</v>
      </c>
      <c r="B2325" s="2" t="s">
        <v>1089</v>
      </c>
      <c r="C2325" s="2" t="s">
        <v>5043</v>
      </c>
      <c r="D2325" s="2" t="s">
        <v>8423</v>
      </c>
    </row>
    <row r="2326" spans="1:4" x14ac:dyDescent="0.2">
      <c r="A2326" s="41" t="s">
        <v>3185</v>
      </c>
      <c r="B2326" s="2" t="s">
        <v>1089</v>
      </c>
      <c r="C2326" s="2" t="s">
        <v>5043</v>
      </c>
      <c r="D2326" s="2" t="s">
        <v>8423</v>
      </c>
    </row>
    <row r="2327" spans="1:4" x14ac:dyDescent="0.2">
      <c r="A2327" s="41" t="s">
        <v>3186</v>
      </c>
      <c r="B2327" s="2" t="s">
        <v>1089</v>
      </c>
      <c r="C2327" s="2" t="s">
        <v>5043</v>
      </c>
      <c r="D2327" s="2" t="s">
        <v>8423</v>
      </c>
    </row>
    <row r="2328" spans="1:4" x14ac:dyDescent="0.2">
      <c r="A2328" s="41" t="s">
        <v>3187</v>
      </c>
      <c r="B2328" s="2" t="s">
        <v>1089</v>
      </c>
      <c r="C2328" s="2" t="s">
        <v>5043</v>
      </c>
      <c r="D2328" s="2" t="s">
        <v>8423</v>
      </c>
    </row>
    <row r="2329" spans="1:4" x14ac:dyDescent="0.2">
      <c r="A2329" s="41" t="s">
        <v>3188</v>
      </c>
      <c r="B2329" s="2" t="s">
        <v>1089</v>
      </c>
      <c r="C2329" s="2" t="s">
        <v>5043</v>
      </c>
      <c r="D2329" s="2" t="s">
        <v>8423</v>
      </c>
    </row>
    <row r="2330" spans="1:4" x14ac:dyDescent="0.2">
      <c r="A2330" s="41" t="s">
        <v>3189</v>
      </c>
      <c r="B2330" s="2" t="s">
        <v>1089</v>
      </c>
      <c r="C2330" s="2" t="s">
        <v>5043</v>
      </c>
      <c r="D2330" s="2" t="s">
        <v>8423</v>
      </c>
    </row>
    <row r="2331" spans="1:4" x14ac:dyDescent="0.2">
      <c r="A2331" s="41" t="s">
        <v>2822</v>
      </c>
      <c r="B2331" s="2" t="s">
        <v>572</v>
      </c>
      <c r="C2331" s="2" t="s">
        <v>5043</v>
      </c>
      <c r="D2331" s="2" t="s">
        <v>8423</v>
      </c>
    </row>
    <row r="2332" spans="1:4" x14ac:dyDescent="0.2">
      <c r="A2332" s="41" t="s">
        <v>7069</v>
      </c>
      <c r="B2332" s="2" t="s">
        <v>1090</v>
      </c>
      <c r="C2332" s="2" t="s">
        <v>5043</v>
      </c>
      <c r="D2332" s="2" t="s">
        <v>8423</v>
      </c>
    </row>
    <row r="2333" spans="1:4" x14ac:dyDescent="0.2">
      <c r="A2333" s="41" t="s">
        <v>2825</v>
      </c>
      <c r="B2333" s="2" t="s">
        <v>1091</v>
      </c>
      <c r="C2333" s="2" t="s">
        <v>5043</v>
      </c>
      <c r="D2333" s="2" t="s">
        <v>8423</v>
      </c>
    </row>
    <row r="2334" spans="1:4" x14ac:dyDescent="0.2">
      <c r="A2334" s="41" t="s">
        <v>3063</v>
      </c>
      <c r="B2334" s="2" t="s">
        <v>1092</v>
      </c>
      <c r="C2334" s="2" t="s">
        <v>5043</v>
      </c>
      <c r="D2334" s="2" t="s">
        <v>8423</v>
      </c>
    </row>
    <row r="2335" spans="1:4" x14ac:dyDescent="0.2">
      <c r="A2335" s="41" t="s">
        <v>3067</v>
      </c>
      <c r="B2335" s="2" t="s">
        <v>1092</v>
      </c>
      <c r="C2335" s="2" t="s">
        <v>5043</v>
      </c>
      <c r="D2335" s="2" t="s">
        <v>8423</v>
      </c>
    </row>
    <row r="2336" spans="1:4" x14ac:dyDescent="0.2">
      <c r="A2336" s="41" t="s">
        <v>3070</v>
      </c>
      <c r="B2336" s="2" t="s">
        <v>1092</v>
      </c>
      <c r="C2336" s="2" t="s">
        <v>5043</v>
      </c>
      <c r="D2336" s="2" t="s">
        <v>8423</v>
      </c>
    </row>
    <row r="2337" spans="1:4" x14ac:dyDescent="0.2">
      <c r="A2337" s="41" t="s">
        <v>3071</v>
      </c>
      <c r="B2337" s="2" t="s">
        <v>1092</v>
      </c>
      <c r="C2337" s="2" t="s">
        <v>5043</v>
      </c>
      <c r="D2337" s="2" t="s">
        <v>8423</v>
      </c>
    </row>
    <row r="2338" spans="1:4" x14ac:dyDescent="0.2">
      <c r="A2338" s="41" t="s">
        <v>4273</v>
      </c>
      <c r="B2338" s="2" t="s">
        <v>1093</v>
      </c>
      <c r="C2338" s="2" t="s">
        <v>5043</v>
      </c>
      <c r="D2338" s="2" t="s">
        <v>8423</v>
      </c>
    </row>
    <row r="2339" spans="1:4" x14ac:dyDescent="0.2">
      <c r="A2339" s="41" t="s">
        <v>7070</v>
      </c>
      <c r="B2339" s="2" t="s">
        <v>1094</v>
      </c>
      <c r="C2339" s="2" t="s">
        <v>5043</v>
      </c>
      <c r="D2339" s="2" t="s">
        <v>8423</v>
      </c>
    </row>
    <row r="2340" spans="1:4" x14ac:dyDescent="0.2">
      <c r="A2340" s="41" t="s">
        <v>7071</v>
      </c>
      <c r="B2340" s="2" t="s">
        <v>1094</v>
      </c>
      <c r="C2340" s="2" t="s">
        <v>5043</v>
      </c>
      <c r="D2340" s="2" t="s">
        <v>8423</v>
      </c>
    </row>
    <row r="2341" spans="1:4" x14ac:dyDescent="0.2">
      <c r="A2341" s="41" t="s">
        <v>7072</v>
      </c>
      <c r="B2341" s="2" t="s">
        <v>280</v>
      </c>
      <c r="C2341" s="2" t="s">
        <v>5043</v>
      </c>
      <c r="D2341" s="2" t="s">
        <v>8423</v>
      </c>
    </row>
    <row r="2342" spans="1:4" x14ac:dyDescent="0.2">
      <c r="A2342" s="41" t="s">
        <v>7073</v>
      </c>
      <c r="B2342" s="2" t="s">
        <v>280</v>
      </c>
      <c r="C2342" s="2" t="s">
        <v>5043</v>
      </c>
      <c r="D2342" s="2" t="s">
        <v>8423</v>
      </c>
    </row>
    <row r="2343" spans="1:4" x14ac:dyDescent="0.2">
      <c r="A2343" s="41" t="s">
        <v>3058</v>
      </c>
      <c r="B2343" s="2" t="s">
        <v>1095</v>
      </c>
      <c r="C2343" s="2" t="s">
        <v>5043</v>
      </c>
      <c r="D2343" s="2" t="s">
        <v>8423</v>
      </c>
    </row>
    <row r="2344" spans="1:4" x14ac:dyDescent="0.2">
      <c r="A2344" s="41" t="s">
        <v>7074</v>
      </c>
      <c r="B2344" s="2" t="s">
        <v>1095</v>
      </c>
      <c r="C2344" s="2" t="s">
        <v>5043</v>
      </c>
      <c r="D2344" s="2" t="s">
        <v>8423</v>
      </c>
    </row>
    <row r="2345" spans="1:4" x14ac:dyDescent="0.2">
      <c r="A2345" s="41" t="s">
        <v>7075</v>
      </c>
      <c r="B2345" s="2" t="s">
        <v>573</v>
      </c>
      <c r="C2345" s="2" t="s">
        <v>5043</v>
      </c>
      <c r="D2345" s="2" t="s">
        <v>8423</v>
      </c>
    </row>
    <row r="2346" spans="1:4" x14ac:dyDescent="0.2">
      <c r="A2346" s="41" t="s">
        <v>2561</v>
      </c>
      <c r="B2346" s="2" t="s">
        <v>2538</v>
      </c>
      <c r="C2346" s="2" t="s">
        <v>5043</v>
      </c>
      <c r="D2346" s="2" t="s">
        <v>8401</v>
      </c>
    </row>
    <row r="2347" spans="1:4" x14ac:dyDescent="0.2">
      <c r="A2347" s="41" t="s">
        <v>2562</v>
      </c>
      <c r="B2347" s="2" t="s">
        <v>2538</v>
      </c>
      <c r="C2347" s="2" t="s">
        <v>5043</v>
      </c>
      <c r="D2347" s="2" t="s">
        <v>8401</v>
      </c>
    </row>
    <row r="2348" spans="1:4" x14ac:dyDescent="0.2">
      <c r="A2348" s="41" t="s">
        <v>7076</v>
      </c>
      <c r="B2348" s="2" t="s">
        <v>574</v>
      </c>
      <c r="C2348" s="2" t="s">
        <v>5043</v>
      </c>
      <c r="D2348" s="2" t="s">
        <v>8423</v>
      </c>
    </row>
    <row r="2349" spans="1:4" x14ac:dyDescent="0.2">
      <c r="A2349" s="41" t="s">
        <v>7077</v>
      </c>
      <c r="B2349" s="2" t="s">
        <v>574</v>
      </c>
      <c r="C2349" s="2" t="s">
        <v>5043</v>
      </c>
      <c r="D2349" s="2" t="s">
        <v>8423</v>
      </c>
    </row>
    <row r="2350" spans="1:4" x14ac:dyDescent="0.2">
      <c r="A2350" s="41" t="s">
        <v>7078</v>
      </c>
      <c r="B2350" s="2" t="s">
        <v>341</v>
      </c>
      <c r="C2350" s="2" t="s">
        <v>5043</v>
      </c>
      <c r="D2350" s="2" t="s">
        <v>8423</v>
      </c>
    </row>
    <row r="2351" spans="1:4" x14ac:dyDescent="0.2">
      <c r="A2351" s="41" t="s">
        <v>7079</v>
      </c>
      <c r="B2351" s="2" t="s">
        <v>1096</v>
      </c>
      <c r="C2351" s="2" t="s">
        <v>5043</v>
      </c>
      <c r="D2351" s="2" t="s">
        <v>8423</v>
      </c>
    </row>
    <row r="2352" spans="1:4" x14ac:dyDescent="0.2">
      <c r="A2352" s="41" t="s">
        <v>7080</v>
      </c>
      <c r="B2352" s="2" t="s">
        <v>1096</v>
      </c>
      <c r="C2352" s="2" t="s">
        <v>5043</v>
      </c>
      <c r="D2352" s="2" t="s">
        <v>8423</v>
      </c>
    </row>
    <row r="2353" spans="1:4" x14ac:dyDescent="0.2">
      <c r="A2353" s="41" t="s">
        <v>7081</v>
      </c>
      <c r="B2353" s="2" t="s">
        <v>1096</v>
      </c>
      <c r="C2353" s="2" t="s">
        <v>5043</v>
      </c>
      <c r="D2353" s="2" t="s">
        <v>8423</v>
      </c>
    </row>
    <row r="2354" spans="1:4" x14ac:dyDescent="0.2">
      <c r="A2354" s="41" t="s">
        <v>7082</v>
      </c>
      <c r="B2354" s="2" t="s">
        <v>1096</v>
      </c>
      <c r="C2354" s="2" t="s">
        <v>5043</v>
      </c>
      <c r="D2354" s="2" t="s">
        <v>8423</v>
      </c>
    </row>
    <row r="2355" spans="1:4" x14ac:dyDescent="0.2">
      <c r="A2355" s="41" t="s">
        <v>7083</v>
      </c>
      <c r="B2355" s="2" t="s">
        <v>1096</v>
      </c>
      <c r="C2355" s="2" t="s">
        <v>5043</v>
      </c>
      <c r="D2355" s="2" t="s">
        <v>8423</v>
      </c>
    </row>
    <row r="2356" spans="1:4" x14ac:dyDescent="0.2">
      <c r="A2356" s="41" t="s">
        <v>4590</v>
      </c>
      <c r="B2356" s="2" t="s">
        <v>1182</v>
      </c>
      <c r="C2356" s="2" t="s">
        <v>5043</v>
      </c>
      <c r="D2356" s="2" t="s">
        <v>8423</v>
      </c>
    </row>
    <row r="2357" spans="1:4" x14ac:dyDescent="0.2">
      <c r="A2357" s="41" t="s">
        <v>3163</v>
      </c>
      <c r="B2357" s="2" t="s">
        <v>1097</v>
      </c>
      <c r="C2357" s="2" t="s">
        <v>5043</v>
      </c>
      <c r="D2357" s="2" t="s">
        <v>8423</v>
      </c>
    </row>
    <row r="2358" spans="1:4" x14ac:dyDescent="0.2">
      <c r="A2358" s="41" t="s">
        <v>7084</v>
      </c>
      <c r="B2358" s="2" t="s">
        <v>1097</v>
      </c>
      <c r="C2358" s="2" t="s">
        <v>5043</v>
      </c>
      <c r="D2358" s="2" t="s">
        <v>8423</v>
      </c>
    </row>
    <row r="2359" spans="1:4" x14ac:dyDescent="0.2">
      <c r="A2359" s="41" t="s">
        <v>7085</v>
      </c>
      <c r="B2359" s="2" t="s">
        <v>1097</v>
      </c>
      <c r="C2359" s="2" t="s">
        <v>5043</v>
      </c>
      <c r="D2359" s="2" t="s">
        <v>8423</v>
      </c>
    </row>
    <row r="2360" spans="1:4" x14ac:dyDescent="0.2">
      <c r="A2360" s="41" t="s">
        <v>7086</v>
      </c>
      <c r="B2360" s="2" t="s">
        <v>1098</v>
      </c>
      <c r="C2360" s="2" t="s">
        <v>5043</v>
      </c>
      <c r="D2360" s="2" t="s">
        <v>8423</v>
      </c>
    </row>
    <row r="2361" spans="1:4" x14ac:dyDescent="0.2">
      <c r="A2361" s="41" t="s">
        <v>7087</v>
      </c>
      <c r="B2361" s="2" t="s">
        <v>1098</v>
      </c>
      <c r="C2361" s="2" t="s">
        <v>5043</v>
      </c>
      <c r="D2361" s="2" t="s">
        <v>8423</v>
      </c>
    </row>
    <row r="2362" spans="1:4" x14ac:dyDescent="0.2">
      <c r="A2362" s="41" t="s">
        <v>7088</v>
      </c>
      <c r="B2362" s="2" t="s">
        <v>1098</v>
      </c>
      <c r="C2362" s="2" t="s">
        <v>5043</v>
      </c>
      <c r="D2362" s="2" t="s">
        <v>8423</v>
      </c>
    </row>
    <row r="2363" spans="1:4" x14ac:dyDescent="0.2">
      <c r="A2363" s="41" t="s">
        <v>7089</v>
      </c>
      <c r="B2363" s="2" t="s">
        <v>1098</v>
      </c>
      <c r="C2363" s="2" t="s">
        <v>5043</v>
      </c>
      <c r="D2363" s="2" t="s">
        <v>8423</v>
      </c>
    </row>
    <row r="2364" spans="1:4" x14ac:dyDescent="0.2">
      <c r="A2364" s="41" t="s">
        <v>3164</v>
      </c>
      <c r="B2364" s="2" t="s">
        <v>1098</v>
      </c>
      <c r="C2364" s="2" t="s">
        <v>5043</v>
      </c>
      <c r="D2364" s="2" t="s">
        <v>8423</v>
      </c>
    </row>
    <row r="2365" spans="1:4" x14ac:dyDescent="0.2">
      <c r="A2365" s="41" t="s">
        <v>3165</v>
      </c>
      <c r="B2365" s="2" t="s">
        <v>1098</v>
      </c>
      <c r="C2365" s="2" t="s">
        <v>5043</v>
      </c>
      <c r="D2365" s="2" t="s">
        <v>8423</v>
      </c>
    </row>
    <row r="2366" spans="1:4" x14ac:dyDescent="0.2">
      <c r="A2366" s="41" t="s">
        <v>4591</v>
      </c>
      <c r="B2366" s="2" t="s">
        <v>1180</v>
      </c>
      <c r="C2366" s="2" t="s">
        <v>5043</v>
      </c>
      <c r="D2366" s="2" t="s">
        <v>8423</v>
      </c>
    </row>
    <row r="2367" spans="1:4" x14ac:dyDescent="0.2">
      <c r="A2367" s="41" t="s">
        <v>7090</v>
      </c>
      <c r="B2367" s="2" t="s">
        <v>1099</v>
      </c>
      <c r="C2367" s="2" t="s">
        <v>5043</v>
      </c>
      <c r="D2367" s="2" t="s">
        <v>8423</v>
      </c>
    </row>
    <row r="2368" spans="1:4" x14ac:dyDescent="0.2">
      <c r="A2368" s="41" t="s">
        <v>7091</v>
      </c>
      <c r="B2368" s="2" t="s">
        <v>1099</v>
      </c>
      <c r="C2368" s="2" t="s">
        <v>5043</v>
      </c>
      <c r="D2368" s="2" t="s">
        <v>8423</v>
      </c>
    </row>
    <row r="2369" spans="1:4" x14ac:dyDescent="0.2">
      <c r="A2369" s="41" t="s">
        <v>7092</v>
      </c>
      <c r="B2369" s="2" t="s">
        <v>1099</v>
      </c>
      <c r="C2369" s="2" t="s">
        <v>5043</v>
      </c>
      <c r="D2369" s="2" t="s">
        <v>8423</v>
      </c>
    </row>
    <row r="2370" spans="1:4" x14ac:dyDescent="0.2">
      <c r="A2370" s="41" t="s">
        <v>7093</v>
      </c>
      <c r="B2370" s="2" t="s">
        <v>1099</v>
      </c>
      <c r="C2370" s="2" t="s">
        <v>5043</v>
      </c>
      <c r="D2370" s="2" t="s">
        <v>8423</v>
      </c>
    </row>
    <row r="2371" spans="1:4" x14ac:dyDescent="0.2">
      <c r="A2371" s="41" t="s">
        <v>7094</v>
      </c>
      <c r="B2371" s="2" t="s">
        <v>1100</v>
      </c>
      <c r="C2371" s="2" t="s">
        <v>5043</v>
      </c>
      <c r="D2371" s="2" t="s">
        <v>8423</v>
      </c>
    </row>
    <row r="2372" spans="1:4" x14ac:dyDescent="0.2">
      <c r="A2372" s="41" t="s">
        <v>4592</v>
      </c>
      <c r="B2372" s="2" t="s">
        <v>1173</v>
      </c>
      <c r="C2372" s="2" t="s">
        <v>5043</v>
      </c>
      <c r="D2372" s="2" t="s">
        <v>8423</v>
      </c>
    </row>
    <row r="2373" spans="1:4" x14ac:dyDescent="0.2">
      <c r="A2373" s="41" t="s">
        <v>3190</v>
      </c>
      <c r="B2373" s="2" t="s">
        <v>1101</v>
      </c>
      <c r="C2373" s="2" t="s">
        <v>5043</v>
      </c>
      <c r="D2373" s="2" t="s">
        <v>8423</v>
      </c>
    </row>
    <row r="2374" spans="1:4" x14ac:dyDescent="0.2">
      <c r="A2374" s="41" t="s">
        <v>3191</v>
      </c>
      <c r="B2374" s="2" t="s">
        <v>1101</v>
      </c>
      <c r="C2374" s="2" t="s">
        <v>5043</v>
      </c>
      <c r="D2374" s="2" t="s">
        <v>8423</v>
      </c>
    </row>
    <row r="2375" spans="1:4" x14ac:dyDescent="0.2">
      <c r="A2375" s="41" t="s">
        <v>7095</v>
      </c>
      <c r="B2375" s="2" t="s">
        <v>1101</v>
      </c>
      <c r="C2375" s="2" t="s">
        <v>5043</v>
      </c>
      <c r="D2375" s="2" t="s">
        <v>8423</v>
      </c>
    </row>
    <row r="2376" spans="1:4" x14ac:dyDescent="0.2">
      <c r="A2376" s="41" t="s">
        <v>7096</v>
      </c>
      <c r="B2376" s="2" t="s">
        <v>1101</v>
      </c>
      <c r="C2376" s="2" t="s">
        <v>5043</v>
      </c>
      <c r="D2376" s="2" t="s">
        <v>8423</v>
      </c>
    </row>
    <row r="2377" spans="1:4" x14ac:dyDescent="0.2">
      <c r="A2377" s="41" t="s">
        <v>7097</v>
      </c>
      <c r="B2377" s="2" t="s">
        <v>1101</v>
      </c>
      <c r="C2377" s="2" t="s">
        <v>5043</v>
      </c>
      <c r="D2377" s="2" t="s">
        <v>8423</v>
      </c>
    </row>
    <row r="2378" spans="1:4" x14ac:dyDescent="0.2">
      <c r="A2378" s="41" t="s">
        <v>7098</v>
      </c>
      <c r="B2378" s="2" t="s">
        <v>1101</v>
      </c>
      <c r="C2378" s="2" t="s">
        <v>5043</v>
      </c>
      <c r="D2378" s="2" t="s">
        <v>8423</v>
      </c>
    </row>
    <row r="2379" spans="1:4" x14ac:dyDescent="0.2">
      <c r="A2379" s="41" t="s">
        <v>7099</v>
      </c>
      <c r="B2379" s="2" t="s">
        <v>1102</v>
      </c>
      <c r="C2379" s="2" t="s">
        <v>5043</v>
      </c>
      <c r="D2379" s="2" t="s">
        <v>8423</v>
      </c>
    </row>
    <row r="2380" spans="1:4" x14ac:dyDescent="0.2">
      <c r="A2380" s="41" t="s">
        <v>7100</v>
      </c>
      <c r="B2380" s="2" t="s">
        <v>1102</v>
      </c>
      <c r="C2380" s="2" t="s">
        <v>5043</v>
      </c>
      <c r="D2380" s="2" t="s">
        <v>8423</v>
      </c>
    </row>
    <row r="2381" spans="1:4" x14ac:dyDescent="0.2">
      <c r="A2381" s="41" t="s">
        <v>7101</v>
      </c>
      <c r="B2381" s="2" t="s">
        <v>1102</v>
      </c>
      <c r="C2381" s="2" t="s">
        <v>5043</v>
      </c>
      <c r="D2381" s="2" t="s">
        <v>8423</v>
      </c>
    </row>
    <row r="2382" spans="1:4" x14ac:dyDescent="0.2">
      <c r="A2382" s="41" t="s">
        <v>7102</v>
      </c>
      <c r="B2382" s="2" t="s">
        <v>1102</v>
      </c>
      <c r="C2382" s="2" t="s">
        <v>5043</v>
      </c>
      <c r="D2382" s="2" t="s">
        <v>8423</v>
      </c>
    </row>
    <row r="2383" spans="1:4" x14ac:dyDescent="0.2">
      <c r="A2383" s="41" t="s">
        <v>7103</v>
      </c>
      <c r="B2383" s="2" t="s">
        <v>1102</v>
      </c>
      <c r="C2383" s="2" t="s">
        <v>5043</v>
      </c>
      <c r="D2383" s="2" t="s">
        <v>8423</v>
      </c>
    </row>
    <row r="2384" spans="1:4" x14ac:dyDescent="0.2">
      <c r="A2384" s="41" t="s">
        <v>7104</v>
      </c>
      <c r="B2384" s="2" t="s">
        <v>1102</v>
      </c>
      <c r="C2384" s="2" t="s">
        <v>5043</v>
      </c>
      <c r="D2384" s="2" t="s">
        <v>8423</v>
      </c>
    </row>
    <row r="2385" spans="1:4" x14ac:dyDescent="0.2">
      <c r="A2385" s="41" t="s">
        <v>7105</v>
      </c>
      <c r="B2385" s="2" t="s">
        <v>274</v>
      </c>
      <c r="C2385" s="2" t="s">
        <v>5043</v>
      </c>
      <c r="D2385" s="2" t="s">
        <v>8404</v>
      </c>
    </row>
    <row r="2386" spans="1:4" x14ac:dyDescent="0.2">
      <c r="A2386" s="41" t="s">
        <v>7106</v>
      </c>
      <c r="B2386" s="2" t="s">
        <v>274</v>
      </c>
      <c r="C2386" s="2" t="s">
        <v>5043</v>
      </c>
      <c r="D2386" s="2" t="s">
        <v>8404</v>
      </c>
    </row>
    <row r="2387" spans="1:4" x14ac:dyDescent="0.2">
      <c r="A2387" s="41" t="s">
        <v>7107</v>
      </c>
      <c r="B2387" s="2" t="s">
        <v>274</v>
      </c>
      <c r="C2387" s="2" t="s">
        <v>5043</v>
      </c>
      <c r="D2387" s="2" t="s">
        <v>8404</v>
      </c>
    </row>
    <row r="2388" spans="1:4" x14ac:dyDescent="0.2">
      <c r="A2388" s="41" t="s">
        <v>7108</v>
      </c>
      <c r="B2388" s="2" t="s">
        <v>274</v>
      </c>
      <c r="C2388" s="2" t="s">
        <v>5043</v>
      </c>
      <c r="D2388" s="2" t="s">
        <v>8404</v>
      </c>
    </row>
    <row r="2389" spans="1:4" x14ac:dyDescent="0.2">
      <c r="A2389" s="41" t="s">
        <v>7109</v>
      </c>
      <c r="B2389" s="2" t="s">
        <v>274</v>
      </c>
      <c r="C2389" s="2" t="s">
        <v>5043</v>
      </c>
      <c r="D2389" s="2" t="s">
        <v>8404</v>
      </c>
    </row>
    <row r="2390" spans="1:4" x14ac:dyDescent="0.2">
      <c r="A2390" s="41" t="s">
        <v>4700</v>
      </c>
      <c r="B2390" s="2" t="s">
        <v>274</v>
      </c>
      <c r="C2390" s="2" t="s">
        <v>5043</v>
      </c>
      <c r="D2390" s="2" t="s">
        <v>8423</v>
      </c>
    </row>
    <row r="2391" spans="1:4" x14ac:dyDescent="0.2">
      <c r="A2391" s="41" t="s">
        <v>4701</v>
      </c>
      <c r="B2391" s="2" t="s">
        <v>274</v>
      </c>
      <c r="C2391" s="2" t="s">
        <v>5043</v>
      </c>
      <c r="D2391" s="2" t="s">
        <v>8423</v>
      </c>
    </row>
    <row r="2392" spans="1:4" x14ac:dyDescent="0.2">
      <c r="A2392" s="41" t="s">
        <v>4521</v>
      </c>
      <c r="B2392" s="2" t="s">
        <v>276</v>
      </c>
      <c r="C2392" s="2" t="s">
        <v>5043</v>
      </c>
      <c r="D2392" s="2" t="s">
        <v>8404</v>
      </c>
    </row>
    <row r="2393" spans="1:4" x14ac:dyDescent="0.2">
      <c r="A2393" s="41" t="s">
        <v>4522</v>
      </c>
      <c r="B2393" s="2" t="s">
        <v>276</v>
      </c>
      <c r="C2393" s="2" t="s">
        <v>5043</v>
      </c>
      <c r="D2393" s="2" t="s">
        <v>8404</v>
      </c>
    </row>
    <row r="2394" spans="1:4" x14ac:dyDescent="0.2">
      <c r="A2394" s="41" t="s">
        <v>4526</v>
      </c>
      <c r="B2394" s="2" t="s">
        <v>276</v>
      </c>
      <c r="C2394" s="2" t="s">
        <v>5043</v>
      </c>
      <c r="D2394" s="2" t="s">
        <v>8404</v>
      </c>
    </row>
    <row r="2395" spans="1:4" x14ac:dyDescent="0.2">
      <c r="A2395" s="41" t="s">
        <v>4527</v>
      </c>
      <c r="B2395" s="2" t="s">
        <v>276</v>
      </c>
      <c r="C2395" s="2" t="s">
        <v>5043</v>
      </c>
      <c r="D2395" s="2" t="s">
        <v>8404</v>
      </c>
    </row>
    <row r="2396" spans="1:4" x14ac:dyDescent="0.2">
      <c r="A2396" s="41" t="s">
        <v>7110</v>
      </c>
      <c r="B2396" s="2" t="s">
        <v>276</v>
      </c>
      <c r="C2396" s="2" t="s">
        <v>5043</v>
      </c>
      <c r="D2396" s="2" t="s">
        <v>8423</v>
      </c>
    </row>
    <row r="2397" spans="1:4" x14ac:dyDescent="0.2">
      <c r="A2397" s="41" t="s">
        <v>4494</v>
      </c>
      <c r="B2397" s="2" t="s">
        <v>275</v>
      </c>
      <c r="C2397" s="2" t="s">
        <v>5043</v>
      </c>
      <c r="D2397" s="2" t="s">
        <v>8404</v>
      </c>
    </row>
    <row r="2398" spans="1:4" x14ac:dyDescent="0.2">
      <c r="A2398" s="41" t="s">
        <v>4519</v>
      </c>
      <c r="B2398" s="2" t="s">
        <v>275</v>
      </c>
      <c r="C2398" s="2" t="s">
        <v>5043</v>
      </c>
      <c r="D2398" s="2" t="s">
        <v>8404</v>
      </c>
    </row>
    <row r="2399" spans="1:4" x14ac:dyDescent="0.2">
      <c r="A2399" s="41" t="s">
        <v>4520</v>
      </c>
      <c r="B2399" s="2" t="s">
        <v>275</v>
      </c>
      <c r="C2399" s="2" t="s">
        <v>5043</v>
      </c>
      <c r="D2399" s="2" t="s">
        <v>8404</v>
      </c>
    </row>
    <row r="2400" spans="1:4" x14ac:dyDescent="0.2">
      <c r="A2400" s="41" t="s">
        <v>7111</v>
      </c>
      <c r="B2400" s="2" t="s">
        <v>575</v>
      </c>
      <c r="C2400" s="2" t="s">
        <v>5043</v>
      </c>
      <c r="D2400" s="2" t="s">
        <v>8423</v>
      </c>
    </row>
    <row r="2401" spans="1:4" x14ac:dyDescent="0.2">
      <c r="A2401" s="41" t="s">
        <v>4593</v>
      </c>
      <c r="B2401" s="2" t="s">
        <v>361</v>
      </c>
      <c r="C2401" s="2" t="s">
        <v>5043</v>
      </c>
      <c r="D2401" s="2" t="s">
        <v>8423</v>
      </c>
    </row>
    <row r="2402" spans="1:4" x14ac:dyDescent="0.2">
      <c r="A2402" s="41" t="s">
        <v>7112</v>
      </c>
      <c r="B2402" s="2" t="s">
        <v>576</v>
      </c>
      <c r="C2402" s="2" t="s">
        <v>5043</v>
      </c>
      <c r="D2402" s="2" t="s">
        <v>8423</v>
      </c>
    </row>
    <row r="2403" spans="1:4" x14ac:dyDescent="0.2">
      <c r="A2403" s="41" t="s">
        <v>2878</v>
      </c>
      <c r="B2403" s="2" t="s">
        <v>1103</v>
      </c>
      <c r="C2403" s="2" t="s">
        <v>5043</v>
      </c>
      <c r="D2403" s="2" t="s">
        <v>8423</v>
      </c>
    </row>
    <row r="2404" spans="1:4" x14ac:dyDescent="0.2">
      <c r="A2404" s="41" t="s">
        <v>2805</v>
      </c>
      <c r="B2404" s="2" t="s">
        <v>1104</v>
      </c>
      <c r="C2404" s="2" t="s">
        <v>5043</v>
      </c>
      <c r="D2404" s="2" t="s">
        <v>8423</v>
      </c>
    </row>
    <row r="2405" spans="1:4" x14ac:dyDescent="0.2">
      <c r="A2405" s="41" t="s">
        <v>7113</v>
      </c>
      <c r="B2405" s="2" t="s">
        <v>1105</v>
      </c>
      <c r="C2405" s="2" t="s">
        <v>5043</v>
      </c>
      <c r="D2405" s="2" t="s">
        <v>8423</v>
      </c>
    </row>
    <row r="2406" spans="1:4" x14ac:dyDescent="0.2">
      <c r="A2406" s="41" t="s">
        <v>4594</v>
      </c>
      <c r="B2406" s="2" t="s">
        <v>362</v>
      </c>
      <c r="C2406" s="2" t="s">
        <v>5043</v>
      </c>
      <c r="D2406" s="2" t="s">
        <v>8423</v>
      </c>
    </row>
    <row r="2407" spans="1:4" x14ac:dyDescent="0.2">
      <c r="A2407" s="41" t="s">
        <v>7114</v>
      </c>
      <c r="B2407" s="2" t="s">
        <v>362</v>
      </c>
      <c r="C2407" s="2" t="s">
        <v>5043</v>
      </c>
      <c r="D2407" s="2" t="s">
        <v>8423</v>
      </c>
    </row>
    <row r="2408" spans="1:4" x14ac:dyDescent="0.2">
      <c r="A2408" s="41" t="s">
        <v>7115</v>
      </c>
      <c r="B2408" s="2" t="s">
        <v>577</v>
      </c>
      <c r="C2408" s="2" t="s">
        <v>5043</v>
      </c>
      <c r="D2408" s="2" t="s">
        <v>8423</v>
      </c>
    </row>
    <row r="2409" spans="1:4" x14ac:dyDescent="0.2">
      <c r="A2409" s="41" t="s">
        <v>4200</v>
      </c>
      <c r="B2409" s="2" t="s">
        <v>577</v>
      </c>
      <c r="C2409" s="2" t="s">
        <v>5043</v>
      </c>
      <c r="D2409" s="2" t="s">
        <v>8423</v>
      </c>
    </row>
    <row r="2410" spans="1:4" x14ac:dyDescent="0.2">
      <c r="A2410" s="41" t="s">
        <v>3057</v>
      </c>
      <c r="B2410" s="2" t="s">
        <v>1106</v>
      </c>
      <c r="C2410" s="2" t="s">
        <v>5043</v>
      </c>
      <c r="D2410" s="2" t="s">
        <v>8423</v>
      </c>
    </row>
    <row r="2411" spans="1:4" x14ac:dyDescent="0.2">
      <c r="A2411" s="41" t="s">
        <v>7116</v>
      </c>
      <c r="B2411" s="2" t="s">
        <v>1107</v>
      </c>
      <c r="C2411" s="2" t="s">
        <v>5043</v>
      </c>
      <c r="D2411" s="2" t="s">
        <v>8423</v>
      </c>
    </row>
    <row r="2412" spans="1:4" x14ac:dyDescent="0.2">
      <c r="A2412" s="41" t="s">
        <v>7117</v>
      </c>
      <c r="B2412" s="2" t="s">
        <v>1108</v>
      </c>
      <c r="C2412" s="2" t="s">
        <v>5043</v>
      </c>
      <c r="D2412" s="2" t="s">
        <v>8423</v>
      </c>
    </row>
    <row r="2413" spans="1:4" x14ac:dyDescent="0.2">
      <c r="A2413" s="41" t="s">
        <v>7118</v>
      </c>
      <c r="B2413" s="2" t="s">
        <v>363</v>
      </c>
      <c r="C2413" s="2" t="s">
        <v>5043</v>
      </c>
      <c r="D2413" s="2" t="s">
        <v>8404</v>
      </c>
    </row>
    <row r="2414" spans="1:4" x14ac:dyDescent="0.2">
      <c r="A2414" s="41" t="s">
        <v>7119</v>
      </c>
      <c r="B2414" s="2" t="s">
        <v>1109</v>
      </c>
      <c r="C2414" s="2" t="s">
        <v>5043</v>
      </c>
      <c r="D2414" s="2" t="s">
        <v>8404</v>
      </c>
    </row>
    <row r="2415" spans="1:4" x14ac:dyDescent="0.2">
      <c r="A2415" s="41" t="s">
        <v>7120</v>
      </c>
      <c r="B2415" s="2" t="s">
        <v>578</v>
      </c>
      <c r="C2415" s="2" t="s">
        <v>5043</v>
      </c>
      <c r="D2415" s="2" t="s">
        <v>8404</v>
      </c>
    </row>
    <row r="2416" spans="1:4" x14ac:dyDescent="0.2">
      <c r="A2416" s="41" t="s">
        <v>4702</v>
      </c>
      <c r="B2416" s="2" t="s">
        <v>578</v>
      </c>
      <c r="C2416" s="2" t="s">
        <v>5043</v>
      </c>
      <c r="D2416" s="2" t="s">
        <v>8404</v>
      </c>
    </row>
    <row r="2417" spans="1:4" x14ac:dyDescent="0.2">
      <c r="A2417" s="41" t="s">
        <v>3221</v>
      </c>
      <c r="B2417" s="2" t="s">
        <v>1110</v>
      </c>
      <c r="C2417" s="2" t="s">
        <v>5043</v>
      </c>
      <c r="D2417" s="2" t="s">
        <v>8404</v>
      </c>
    </row>
    <row r="2418" spans="1:4" x14ac:dyDescent="0.2">
      <c r="A2418" s="41" t="s">
        <v>3258</v>
      </c>
      <c r="B2418" s="2" t="s">
        <v>1110</v>
      </c>
      <c r="C2418" s="2" t="s">
        <v>5043</v>
      </c>
      <c r="D2418" s="2" t="s">
        <v>8404</v>
      </c>
    </row>
    <row r="2419" spans="1:4" x14ac:dyDescent="0.2">
      <c r="A2419" s="41" t="s">
        <v>3101</v>
      </c>
      <c r="B2419" s="2" t="s">
        <v>579</v>
      </c>
      <c r="C2419" s="2" t="s">
        <v>5043</v>
      </c>
      <c r="D2419" s="2" t="s">
        <v>8404</v>
      </c>
    </row>
    <row r="2420" spans="1:4" x14ac:dyDescent="0.2">
      <c r="A2420" s="41" t="s">
        <v>7121</v>
      </c>
      <c r="B2420" s="2" t="s">
        <v>580</v>
      </c>
      <c r="C2420" s="2" t="s">
        <v>5043</v>
      </c>
      <c r="D2420" s="2" t="s">
        <v>8404</v>
      </c>
    </row>
    <row r="2421" spans="1:4" x14ac:dyDescent="0.2">
      <c r="A2421" s="41" t="s">
        <v>3743</v>
      </c>
      <c r="B2421" s="2" t="s">
        <v>1111</v>
      </c>
      <c r="C2421" s="2" t="s">
        <v>5043</v>
      </c>
      <c r="D2421" s="2" t="s">
        <v>8404</v>
      </c>
    </row>
    <row r="2422" spans="1:4" x14ac:dyDescent="0.2">
      <c r="A2422" s="41" t="s">
        <v>3744</v>
      </c>
      <c r="B2422" s="2" t="s">
        <v>1112</v>
      </c>
      <c r="C2422" s="2" t="s">
        <v>5043</v>
      </c>
      <c r="D2422" s="2" t="s">
        <v>8404</v>
      </c>
    </row>
    <row r="2423" spans="1:4" x14ac:dyDescent="0.2">
      <c r="A2423" s="41" t="s">
        <v>3745</v>
      </c>
      <c r="B2423" s="2" t="s">
        <v>1112</v>
      </c>
      <c r="C2423" s="2" t="s">
        <v>5043</v>
      </c>
      <c r="D2423" s="2" t="s">
        <v>8404</v>
      </c>
    </row>
    <row r="2424" spans="1:4" x14ac:dyDescent="0.2">
      <c r="A2424" s="41" t="s">
        <v>7122</v>
      </c>
      <c r="B2424" s="2" t="s">
        <v>1171</v>
      </c>
      <c r="C2424" s="2" t="s">
        <v>5043</v>
      </c>
      <c r="D2424" s="2" t="s">
        <v>8401</v>
      </c>
    </row>
    <row r="2425" spans="1:4" x14ac:dyDescent="0.2">
      <c r="A2425" s="41" t="s">
        <v>7123</v>
      </c>
      <c r="B2425" s="2" t="s">
        <v>1171</v>
      </c>
      <c r="C2425" s="2" t="s">
        <v>5043</v>
      </c>
      <c r="D2425" s="2" t="s">
        <v>8401</v>
      </c>
    </row>
    <row r="2426" spans="1:4" x14ac:dyDescent="0.2">
      <c r="A2426" s="41" t="s">
        <v>7124</v>
      </c>
      <c r="B2426" s="2" t="s">
        <v>1178</v>
      </c>
      <c r="C2426" s="2" t="s">
        <v>5043</v>
      </c>
      <c r="D2426" s="2" t="s">
        <v>8401</v>
      </c>
    </row>
    <row r="2427" spans="1:4" x14ac:dyDescent="0.2">
      <c r="A2427" s="41" t="s">
        <v>7125</v>
      </c>
      <c r="B2427" s="2" t="s">
        <v>1178</v>
      </c>
      <c r="C2427" s="2" t="s">
        <v>5043</v>
      </c>
      <c r="D2427" s="2" t="s">
        <v>8401</v>
      </c>
    </row>
    <row r="2428" spans="1:4" x14ac:dyDescent="0.2">
      <c r="A2428" s="41" t="s">
        <v>7126</v>
      </c>
      <c r="B2428" s="2" t="s">
        <v>7127</v>
      </c>
      <c r="C2428" s="2" t="s">
        <v>5043</v>
      </c>
      <c r="D2428" s="2" t="s">
        <v>8404</v>
      </c>
    </row>
    <row r="2429" spans="1:4" x14ac:dyDescent="0.2">
      <c r="A2429" s="41" t="s">
        <v>7128</v>
      </c>
      <c r="B2429" s="2" t="s">
        <v>407</v>
      </c>
      <c r="C2429" s="2" t="s">
        <v>5043</v>
      </c>
      <c r="D2429" s="2" t="s">
        <v>8413</v>
      </c>
    </row>
    <row r="2430" spans="1:4" x14ac:dyDescent="0.2">
      <c r="A2430" s="41" t="s">
        <v>7129</v>
      </c>
      <c r="B2430" s="2" t="s">
        <v>407</v>
      </c>
      <c r="C2430" s="2" t="s">
        <v>5043</v>
      </c>
      <c r="D2430" s="2" t="s">
        <v>8413</v>
      </c>
    </row>
    <row r="2431" spans="1:4" x14ac:dyDescent="0.2">
      <c r="A2431" s="41" t="s">
        <v>7130</v>
      </c>
      <c r="B2431" s="2" t="s">
        <v>408</v>
      </c>
      <c r="C2431" s="2" t="s">
        <v>5043</v>
      </c>
      <c r="D2431" s="2" t="s">
        <v>8413</v>
      </c>
    </row>
    <row r="2432" spans="1:4" x14ac:dyDescent="0.2">
      <c r="A2432" s="41" t="s">
        <v>7131</v>
      </c>
      <c r="B2432" s="2" t="s">
        <v>408</v>
      </c>
      <c r="C2432" s="2" t="s">
        <v>5043</v>
      </c>
      <c r="D2432" s="2" t="s">
        <v>8413</v>
      </c>
    </row>
    <row r="2433" spans="1:4" x14ac:dyDescent="0.2">
      <c r="A2433" s="41" t="s">
        <v>7132</v>
      </c>
      <c r="B2433" s="2" t="s">
        <v>1113</v>
      </c>
      <c r="C2433" s="2" t="s">
        <v>5043</v>
      </c>
      <c r="D2433" s="2" t="s">
        <v>8404</v>
      </c>
    </row>
    <row r="2434" spans="1:4" x14ac:dyDescent="0.2">
      <c r="A2434" s="41" t="s">
        <v>7133</v>
      </c>
      <c r="B2434" s="2" t="s">
        <v>1114</v>
      </c>
      <c r="C2434" s="2" t="s">
        <v>5043</v>
      </c>
      <c r="D2434" s="2" t="s">
        <v>8404</v>
      </c>
    </row>
    <row r="2435" spans="1:4" x14ac:dyDescent="0.2">
      <c r="A2435" s="41" t="s">
        <v>7134</v>
      </c>
      <c r="B2435" s="2" t="s">
        <v>1114</v>
      </c>
      <c r="C2435" s="2" t="s">
        <v>5043</v>
      </c>
      <c r="D2435" s="2" t="s">
        <v>8404</v>
      </c>
    </row>
    <row r="2436" spans="1:4" x14ac:dyDescent="0.2">
      <c r="A2436" s="41" t="s">
        <v>7135</v>
      </c>
      <c r="B2436" s="2" t="s">
        <v>1115</v>
      </c>
      <c r="C2436" s="2" t="s">
        <v>5043</v>
      </c>
      <c r="D2436" s="2" t="s">
        <v>8404</v>
      </c>
    </row>
    <row r="2437" spans="1:4" x14ac:dyDescent="0.2">
      <c r="A2437" s="41" t="s">
        <v>7136</v>
      </c>
      <c r="B2437" s="2" t="s">
        <v>1115</v>
      </c>
      <c r="C2437" s="2" t="s">
        <v>5043</v>
      </c>
      <c r="D2437" s="2" t="s">
        <v>8404</v>
      </c>
    </row>
    <row r="2438" spans="1:4" x14ac:dyDescent="0.2">
      <c r="A2438" s="41" t="s">
        <v>7137</v>
      </c>
      <c r="B2438" s="2" t="s">
        <v>1115</v>
      </c>
      <c r="C2438" s="2" t="s">
        <v>5043</v>
      </c>
      <c r="D2438" s="2" t="s">
        <v>8404</v>
      </c>
    </row>
    <row r="2439" spans="1:4" x14ac:dyDescent="0.2">
      <c r="A2439" s="41" t="s">
        <v>7138</v>
      </c>
      <c r="B2439" s="2" t="s">
        <v>1115</v>
      </c>
      <c r="C2439" s="2" t="s">
        <v>5043</v>
      </c>
      <c r="D2439" s="2" t="s">
        <v>8404</v>
      </c>
    </row>
    <row r="2440" spans="1:4" x14ac:dyDescent="0.2">
      <c r="A2440" s="41" t="s">
        <v>7139</v>
      </c>
      <c r="B2440" s="2" t="s">
        <v>1115</v>
      </c>
      <c r="C2440" s="2" t="s">
        <v>5043</v>
      </c>
      <c r="D2440" s="2" t="s">
        <v>8404</v>
      </c>
    </row>
    <row r="2441" spans="1:4" x14ac:dyDescent="0.2">
      <c r="A2441" s="41" t="s">
        <v>7140</v>
      </c>
      <c r="B2441" s="2" t="s">
        <v>1115</v>
      </c>
      <c r="C2441" s="2" t="s">
        <v>5043</v>
      </c>
      <c r="D2441" s="2" t="s">
        <v>8404</v>
      </c>
    </row>
    <row r="2442" spans="1:4" x14ac:dyDescent="0.2">
      <c r="A2442" s="41" t="s">
        <v>7141</v>
      </c>
      <c r="B2442" s="2" t="s">
        <v>1115</v>
      </c>
      <c r="C2442" s="2" t="s">
        <v>5043</v>
      </c>
      <c r="D2442" s="2" t="s">
        <v>8404</v>
      </c>
    </row>
    <row r="2443" spans="1:4" x14ac:dyDescent="0.2">
      <c r="A2443" s="41" t="s">
        <v>7142</v>
      </c>
      <c r="B2443" s="2" t="s">
        <v>1115</v>
      </c>
      <c r="C2443" s="2" t="s">
        <v>5043</v>
      </c>
      <c r="D2443" s="2" t="s">
        <v>8404</v>
      </c>
    </row>
    <row r="2444" spans="1:4" x14ac:dyDescent="0.2">
      <c r="A2444" s="41" t="s">
        <v>7143</v>
      </c>
      <c r="B2444" s="2" t="s">
        <v>1115</v>
      </c>
      <c r="C2444" s="2" t="s">
        <v>5043</v>
      </c>
      <c r="D2444" s="2" t="s">
        <v>8404</v>
      </c>
    </row>
    <row r="2445" spans="1:4" x14ac:dyDescent="0.2">
      <c r="A2445" s="41" t="s">
        <v>7144</v>
      </c>
      <c r="B2445" s="2" t="s">
        <v>1115</v>
      </c>
      <c r="C2445" s="2" t="s">
        <v>5043</v>
      </c>
      <c r="D2445" s="2" t="s">
        <v>8404</v>
      </c>
    </row>
    <row r="2446" spans="1:4" x14ac:dyDescent="0.2">
      <c r="A2446" s="41" t="s">
        <v>7145</v>
      </c>
      <c r="B2446" s="2" t="s">
        <v>1115</v>
      </c>
      <c r="C2446" s="2" t="s">
        <v>5043</v>
      </c>
      <c r="D2446" s="2" t="s">
        <v>8404</v>
      </c>
    </row>
    <row r="2447" spans="1:4" x14ac:dyDescent="0.2">
      <c r="A2447" s="41" t="s">
        <v>7146</v>
      </c>
      <c r="B2447" s="2" t="s">
        <v>1115</v>
      </c>
      <c r="C2447" s="2" t="s">
        <v>5043</v>
      </c>
      <c r="D2447" s="2" t="s">
        <v>8404</v>
      </c>
    </row>
    <row r="2448" spans="1:4" x14ac:dyDescent="0.2">
      <c r="A2448" s="41" t="s">
        <v>7147</v>
      </c>
      <c r="B2448" s="2" t="s">
        <v>1115</v>
      </c>
      <c r="C2448" s="2" t="s">
        <v>5043</v>
      </c>
      <c r="D2448" s="2" t="s">
        <v>8404</v>
      </c>
    </row>
    <row r="2449" spans="1:4" x14ac:dyDescent="0.2">
      <c r="A2449" s="41" t="s">
        <v>7148</v>
      </c>
      <c r="B2449" s="2" t="s">
        <v>1115</v>
      </c>
      <c r="C2449" s="2" t="s">
        <v>5043</v>
      </c>
      <c r="D2449" s="2" t="s">
        <v>8404</v>
      </c>
    </row>
    <row r="2450" spans="1:4" x14ac:dyDescent="0.2">
      <c r="A2450" s="41" t="s">
        <v>7149</v>
      </c>
      <c r="B2450" s="2" t="s">
        <v>1115</v>
      </c>
      <c r="C2450" s="2" t="s">
        <v>5043</v>
      </c>
      <c r="D2450" s="2" t="s">
        <v>8404</v>
      </c>
    </row>
    <row r="2451" spans="1:4" x14ac:dyDescent="0.2">
      <c r="A2451" s="41" t="s">
        <v>7150</v>
      </c>
      <c r="B2451" s="2" t="s">
        <v>1115</v>
      </c>
      <c r="C2451" s="2" t="s">
        <v>5043</v>
      </c>
      <c r="D2451" s="2" t="s">
        <v>8404</v>
      </c>
    </row>
    <row r="2452" spans="1:4" x14ac:dyDescent="0.2">
      <c r="A2452" s="41" t="s">
        <v>7151</v>
      </c>
      <c r="B2452" s="2" t="s">
        <v>1115</v>
      </c>
      <c r="C2452" s="2" t="s">
        <v>5043</v>
      </c>
      <c r="D2452" s="2" t="s">
        <v>8404</v>
      </c>
    </row>
    <row r="2453" spans="1:4" x14ac:dyDescent="0.2">
      <c r="A2453" s="41" t="s">
        <v>7152</v>
      </c>
      <c r="B2453" s="2" t="s">
        <v>1115</v>
      </c>
      <c r="C2453" s="2" t="s">
        <v>5043</v>
      </c>
      <c r="D2453" s="2" t="s">
        <v>8404</v>
      </c>
    </row>
    <row r="2454" spans="1:4" x14ac:dyDescent="0.2">
      <c r="A2454" s="41" t="s">
        <v>7153</v>
      </c>
      <c r="B2454" s="2" t="s">
        <v>1116</v>
      </c>
      <c r="C2454" s="2" t="s">
        <v>5043</v>
      </c>
      <c r="D2454" s="2" t="s">
        <v>8404</v>
      </c>
    </row>
    <row r="2455" spans="1:4" x14ac:dyDescent="0.2">
      <c r="A2455" s="41" t="s">
        <v>7154</v>
      </c>
      <c r="B2455" s="2" t="s">
        <v>1116</v>
      </c>
      <c r="C2455" s="2" t="s">
        <v>5043</v>
      </c>
      <c r="D2455" s="2" t="s">
        <v>8404</v>
      </c>
    </row>
    <row r="2456" spans="1:4" x14ac:dyDescent="0.2">
      <c r="A2456" s="41" t="s">
        <v>3272</v>
      </c>
      <c r="B2456" s="2" t="s">
        <v>1117</v>
      </c>
      <c r="C2456" s="2" t="s">
        <v>5043</v>
      </c>
      <c r="D2456" s="2" t="s">
        <v>8404</v>
      </c>
    </row>
    <row r="2457" spans="1:4" x14ac:dyDescent="0.2">
      <c r="A2457" s="41" t="s">
        <v>7155</v>
      </c>
      <c r="B2457" s="2" t="s">
        <v>281</v>
      </c>
      <c r="C2457" s="2" t="s">
        <v>5043</v>
      </c>
      <c r="D2457" s="2" t="s">
        <v>8404</v>
      </c>
    </row>
    <row r="2458" spans="1:4" x14ac:dyDescent="0.2">
      <c r="A2458" s="41" t="s">
        <v>7156</v>
      </c>
      <c r="B2458" s="2" t="s">
        <v>281</v>
      </c>
      <c r="C2458" s="2" t="s">
        <v>5043</v>
      </c>
      <c r="D2458" s="2" t="s">
        <v>8404</v>
      </c>
    </row>
    <row r="2459" spans="1:4" x14ac:dyDescent="0.2">
      <c r="A2459" s="41" t="s">
        <v>7157</v>
      </c>
      <c r="B2459" s="2" t="s">
        <v>281</v>
      </c>
      <c r="C2459" s="2" t="s">
        <v>5043</v>
      </c>
      <c r="D2459" s="2" t="s">
        <v>8404</v>
      </c>
    </row>
    <row r="2460" spans="1:4" x14ac:dyDescent="0.2">
      <c r="A2460" s="41" t="s">
        <v>7158</v>
      </c>
      <c r="B2460" s="2" t="s">
        <v>281</v>
      </c>
      <c r="C2460" s="2" t="s">
        <v>5043</v>
      </c>
      <c r="D2460" s="2" t="s">
        <v>8404</v>
      </c>
    </row>
    <row r="2461" spans="1:4" x14ac:dyDescent="0.2">
      <c r="A2461" s="41" t="s">
        <v>4003</v>
      </c>
      <c r="B2461" s="2" t="s">
        <v>281</v>
      </c>
      <c r="C2461" s="2" t="s">
        <v>5043</v>
      </c>
      <c r="D2461" s="2" t="s">
        <v>8404</v>
      </c>
    </row>
    <row r="2462" spans="1:4" x14ac:dyDescent="0.2">
      <c r="A2462" s="41" t="s">
        <v>4469</v>
      </c>
      <c r="B2462" s="2" t="s">
        <v>282</v>
      </c>
      <c r="C2462" s="2" t="s">
        <v>5043</v>
      </c>
      <c r="D2462" s="2" t="s">
        <v>8404</v>
      </c>
    </row>
    <row r="2463" spans="1:4" x14ac:dyDescent="0.2">
      <c r="A2463" s="41" t="s">
        <v>4470</v>
      </c>
      <c r="B2463" s="2" t="s">
        <v>1118</v>
      </c>
      <c r="C2463" s="2" t="s">
        <v>5043</v>
      </c>
      <c r="D2463" s="2" t="s">
        <v>8404</v>
      </c>
    </row>
    <row r="2464" spans="1:4" x14ac:dyDescent="0.2">
      <c r="A2464" s="41" t="s">
        <v>7159</v>
      </c>
      <c r="B2464" s="2" t="s">
        <v>1119</v>
      </c>
      <c r="C2464" s="2" t="s">
        <v>5043</v>
      </c>
      <c r="D2464" s="2" t="s">
        <v>8404</v>
      </c>
    </row>
    <row r="2465" spans="1:4" x14ac:dyDescent="0.2">
      <c r="A2465" s="41" t="s">
        <v>7160</v>
      </c>
      <c r="B2465" s="2" t="s">
        <v>1119</v>
      </c>
      <c r="C2465" s="2" t="s">
        <v>5043</v>
      </c>
      <c r="D2465" s="2" t="s">
        <v>8404</v>
      </c>
    </row>
    <row r="2466" spans="1:4" x14ac:dyDescent="0.2">
      <c r="A2466" s="41" t="s">
        <v>4703</v>
      </c>
      <c r="B2466" s="2" t="s">
        <v>4704</v>
      </c>
      <c r="C2466" s="2" t="s">
        <v>5043</v>
      </c>
      <c r="D2466" s="2" t="s">
        <v>8424</v>
      </c>
    </row>
    <row r="2467" spans="1:4" x14ac:dyDescent="0.2">
      <c r="A2467" s="41" t="s">
        <v>4705</v>
      </c>
      <c r="B2467" s="2" t="s">
        <v>4704</v>
      </c>
      <c r="C2467" s="2" t="s">
        <v>5043</v>
      </c>
      <c r="D2467" s="2" t="s">
        <v>8424</v>
      </c>
    </row>
    <row r="2468" spans="1:4" x14ac:dyDescent="0.2">
      <c r="A2468" s="41" t="s">
        <v>4706</v>
      </c>
      <c r="B2468" s="2" t="s">
        <v>4704</v>
      </c>
      <c r="C2468" s="2" t="s">
        <v>5043</v>
      </c>
      <c r="D2468" s="2" t="s">
        <v>8424</v>
      </c>
    </row>
    <row r="2469" spans="1:4" x14ac:dyDescent="0.2">
      <c r="A2469" s="41" t="s">
        <v>4707</v>
      </c>
      <c r="B2469" s="2" t="s">
        <v>4704</v>
      </c>
      <c r="C2469" s="2" t="s">
        <v>5043</v>
      </c>
      <c r="D2469" s="2" t="s">
        <v>8424</v>
      </c>
    </row>
    <row r="2470" spans="1:4" x14ac:dyDescent="0.2">
      <c r="A2470" s="41" t="s">
        <v>4708</v>
      </c>
      <c r="B2470" s="2" t="s">
        <v>4704</v>
      </c>
      <c r="C2470" s="2" t="s">
        <v>5043</v>
      </c>
      <c r="D2470" s="2" t="s">
        <v>8424</v>
      </c>
    </row>
    <row r="2471" spans="1:4" x14ac:dyDescent="0.2">
      <c r="A2471" s="41" t="s">
        <v>4709</v>
      </c>
      <c r="B2471" s="2" t="s">
        <v>4704</v>
      </c>
      <c r="C2471" s="2" t="s">
        <v>5043</v>
      </c>
      <c r="D2471" s="2" t="s">
        <v>8424</v>
      </c>
    </row>
    <row r="2472" spans="1:4" x14ac:dyDescent="0.2">
      <c r="A2472" s="41" t="s">
        <v>4710</v>
      </c>
      <c r="B2472" s="2" t="s">
        <v>4704</v>
      </c>
      <c r="C2472" s="2" t="s">
        <v>5043</v>
      </c>
      <c r="D2472" s="2" t="s">
        <v>8424</v>
      </c>
    </row>
    <row r="2473" spans="1:4" x14ac:dyDescent="0.2">
      <c r="A2473" s="41" t="s">
        <v>4711</v>
      </c>
      <c r="B2473" s="2" t="s">
        <v>4704</v>
      </c>
      <c r="C2473" s="2" t="s">
        <v>5043</v>
      </c>
      <c r="D2473" s="2" t="s">
        <v>8424</v>
      </c>
    </row>
    <row r="2474" spans="1:4" x14ac:dyDescent="0.2">
      <c r="A2474" s="41" t="s">
        <v>4712</v>
      </c>
      <c r="B2474" s="2" t="s">
        <v>4704</v>
      </c>
      <c r="C2474" s="2" t="s">
        <v>5043</v>
      </c>
      <c r="D2474" s="2" t="s">
        <v>8424</v>
      </c>
    </row>
    <row r="2475" spans="1:4" x14ac:dyDescent="0.2">
      <c r="A2475" s="41" t="s">
        <v>4713</v>
      </c>
      <c r="B2475" s="2" t="s">
        <v>4704</v>
      </c>
      <c r="C2475" s="2" t="s">
        <v>5043</v>
      </c>
      <c r="D2475" s="2" t="s">
        <v>8424</v>
      </c>
    </row>
    <row r="2476" spans="1:4" x14ac:dyDescent="0.2">
      <c r="A2476" s="41" t="s">
        <v>4714</v>
      </c>
      <c r="B2476" s="2" t="s">
        <v>4704</v>
      </c>
      <c r="C2476" s="2" t="s">
        <v>5043</v>
      </c>
      <c r="D2476" s="2" t="s">
        <v>8424</v>
      </c>
    </row>
    <row r="2477" spans="1:4" x14ac:dyDescent="0.2">
      <c r="A2477" s="41" t="s">
        <v>4715</v>
      </c>
      <c r="B2477" s="2" t="s">
        <v>4704</v>
      </c>
      <c r="C2477" s="2" t="s">
        <v>5043</v>
      </c>
      <c r="D2477" s="2" t="s">
        <v>8424</v>
      </c>
    </row>
    <row r="2478" spans="1:4" x14ac:dyDescent="0.2">
      <c r="A2478" s="41" t="s">
        <v>5380</v>
      </c>
      <c r="B2478" s="2" t="s">
        <v>581</v>
      </c>
      <c r="C2478" s="2" t="s">
        <v>5043</v>
      </c>
      <c r="D2478" s="2" t="s">
        <v>8413</v>
      </c>
    </row>
    <row r="2479" spans="1:4" x14ac:dyDescent="0.2">
      <c r="A2479" s="41" t="s">
        <v>5381</v>
      </c>
      <c r="B2479" s="2" t="s">
        <v>581</v>
      </c>
      <c r="C2479" s="2" t="s">
        <v>5043</v>
      </c>
      <c r="D2479" s="2" t="s">
        <v>8413</v>
      </c>
    </row>
    <row r="2480" spans="1:4" x14ac:dyDescent="0.2">
      <c r="A2480" s="41" t="s">
        <v>5382</v>
      </c>
      <c r="B2480" s="2" t="s">
        <v>581</v>
      </c>
      <c r="C2480" s="2" t="s">
        <v>5043</v>
      </c>
      <c r="D2480" s="2" t="s">
        <v>8413</v>
      </c>
    </row>
    <row r="2481" spans="1:4" x14ac:dyDescent="0.2">
      <c r="A2481" s="41" t="s">
        <v>7161</v>
      </c>
      <c r="B2481" s="2" t="s">
        <v>581</v>
      </c>
      <c r="C2481" s="2" t="s">
        <v>5043</v>
      </c>
      <c r="D2481" s="2" t="s">
        <v>8424</v>
      </c>
    </row>
    <row r="2482" spans="1:4" x14ac:dyDescent="0.2">
      <c r="A2482" s="41" t="s">
        <v>7162</v>
      </c>
      <c r="B2482" s="2" t="s">
        <v>581</v>
      </c>
      <c r="C2482" s="2" t="s">
        <v>5043</v>
      </c>
      <c r="D2482" s="2" t="s">
        <v>8424</v>
      </c>
    </row>
    <row r="2483" spans="1:4" x14ac:dyDescent="0.2">
      <c r="A2483" s="41" t="s">
        <v>7163</v>
      </c>
      <c r="B2483" s="2" t="s">
        <v>1120</v>
      </c>
      <c r="C2483" s="2" t="s">
        <v>5043</v>
      </c>
      <c r="D2483" s="2" t="s">
        <v>8424</v>
      </c>
    </row>
    <row r="2484" spans="1:4" x14ac:dyDescent="0.2">
      <c r="A2484" s="41" t="s">
        <v>7164</v>
      </c>
      <c r="B2484" s="2" t="s">
        <v>1120</v>
      </c>
      <c r="C2484" s="2" t="s">
        <v>5043</v>
      </c>
      <c r="D2484" s="2" t="s">
        <v>8424</v>
      </c>
    </row>
    <row r="2485" spans="1:4" x14ac:dyDescent="0.2">
      <c r="A2485" s="41" t="s">
        <v>7165</v>
      </c>
      <c r="B2485" s="2" t="s">
        <v>1120</v>
      </c>
      <c r="C2485" s="2" t="s">
        <v>5043</v>
      </c>
      <c r="D2485" s="2" t="s">
        <v>8424</v>
      </c>
    </row>
    <row r="2486" spans="1:4" x14ac:dyDescent="0.2">
      <c r="A2486" s="41" t="s">
        <v>7166</v>
      </c>
      <c r="B2486" s="2" t="s">
        <v>1121</v>
      </c>
      <c r="C2486" s="2" t="s">
        <v>5043</v>
      </c>
      <c r="D2486" s="2" t="s">
        <v>8424</v>
      </c>
    </row>
    <row r="2487" spans="1:4" x14ac:dyDescent="0.2">
      <c r="A2487" s="41" t="s">
        <v>4076</v>
      </c>
      <c r="B2487" s="2" t="s">
        <v>1122</v>
      </c>
      <c r="C2487" s="2" t="s">
        <v>5043</v>
      </c>
      <c r="D2487" s="2" t="s">
        <v>8424</v>
      </c>
    </row>
    <row r="2488" spans="1:4" x14ac:dyDescent="0.2">
      <c r="A2488" s="41" t="s">
        <v>7167</v>
      </c>
      <c r="B2488" s="2" t="s">
        <v>1122</v>
      </c>
      <c r="C2488" s="2" t="s">
        <v>5043</v>
      </c>
      <c r="D2488" s="2" t="s">
        <v>8424</v>
      </c>
    </row>
    <row r="2489" spans="1:4" x14ac:dyDescent="0.2">
      <c r="A2489" s="41" t="s">
        <v>7168</v>
      </c>
      <c r="B2489" s="2" t="s">
        <v>1122</v>
      </c>
      <c r="C2489" s="2" t="s">
        <v>5043</v>
      </c>
      <c r="D2489" s="2" t="s">
        <v>8424</v>
      </c>
    </row>
    <row r="2490" spans="1:4" x14ac:dyDescent="0.2">
      <c r="A2490" s="41" t="s">
        <v>7169</v>
      </c>
      <c r="B2490" s="2" t="s">
        <v>510</v>
      </c>
      <c r="C2490" s="2" t="s">
        <v>5043</v>
      </c>
      <c r="D2490" s="2" t="s">
        <v>8404</v>
      </c>
    </row>
    <row r="2491" spans="1:4" x14ac:dyDescent="0.2">
      <c r="A2491" s="41" t="s">
        <v>7170</v>
      </c>
      <c r="B2491" s="2" t="s">
        <v>1123</v>
      </c>
      <c r="C2491" s="2" t="s">
        <v>5043</v>
      </c>
      <c r="D2491" s="2" t="s">
        <v>8424</v>
      </c>
    </row>
    <row r="2492" spans="1:4" x14ac:dyDescent="0.2">
      <c r="A2492" s="41" t="s">
        <v>7171</v>
      </c>
      <c r="B2492" s="2" t="s">
        <v>1123</v>
      </c>
      <c r="C2492" s="2" t="s">
        <v>5043</v>
      </c>
      <c r="D2492" s="2" t="s">
        <v>8424</v>
      </c>
    </row>
    <row r="2493" spans="1:4" x14ac:dyDescent="0.2">
      <c r="A2493" s="41" t="s">
        <v>4077</v>
      </c>
      <c r="B2493" s="2" t="s">
        <v>1123</v>
      </c>
      <c r="C2493" s="2" t="s">
        <v>5043</v>
      </c>
      <c r="D2493" s="2" t="s">
        <v>8424</v>
      </c>
    </row>
    <row r="2494" spans="1:4" x14ac:dyDescent="0.2">
      <c r="A2494" s="41" t="s">
        <v>3359</v>
      </c>
      <c r="B2494" s="2" t="s">
        <v>1123</v>
      </c>
      <c r="C2494" s="2" t="s">
        <v>5043</v>
      </c>
      <c r="D2494" s="2" t="s">
        <v>8424</v>
      </c>
    </row>
    <row r="2495" spans="1:4" x14ac:dyDescent="0.2">
      <c r="A2495" s="41" t="s">
        <v>3097</v>
      </c>
      <c r="B2495" s="2" t="s">
        <v>1124</v>
      </c>
      <c r="C2495" s="2" t="s">
        <v>5043</v>
      </c>
      <c r="D2495" s="2" t="s">
        <v>8404</v>
      </c>
    </row>
    <row r="2496" spans="1:4" x14ac:dyDescent="0.2">
      <c r="A2496" s="41" t="s">
        <v>3098</v>
      </c>
      <c r="B2496" s="2" t="s">
        <v>1124</v>
      </c>
      <c r="C2496" s="2" t="s">
        <v>5043</v>
      </c>
      <c r="D2496" s="2" t="s">
        <v>8404</v>
      </c>
    </row>
    <row r="2497" spans="1:4" x14ac:dyDescent="0.2">
      <c r="A2497" s="41" t="s">
        <v>7172</v>
      </c>
      <c r="B2497" s="2" t="s">
        <v>1125</v>
      </c>
      <c r="C2497" s="2" t="s">
        <v>5043</v>
      </c>
      <c r="D2497" s="2" t="s">
        <v>8404</v>
      </c>
    </row>
    <row r="2498" spans="1:4" x14ac:dyDescent="0.2">
      <c r="A2498" s="41" t="s">
        <v>7173</v>
      </c>
      <c r="B2498" s="2" t="s">
        <v>1125</v>
      </c>
      <c r="C2498" s="2" t="s">
        <v>5043</v>
      </c>
      <c r="D2498" s="2" t="s">
        <v>8404</v>
      </c>
    </row>
    <row r="2499" spans="1:4" x14ac:dyDescent="0.2">
      <c r="A2499" s="41" t="s">
        <v>3903</v>
      </c>
      <c r="B2499" s="2" t="s">
        <v>1126</v>
      </c>
      <c r="C2499" s="2" t="s">
        <v>5043</v>
      </c>
      <c r="D2499" s="2" t="s">
        <v>8404</v>
      </c>
    </row>
    <row r="2500" spans="1:4" x14ac:dyDescent="0.2">
      <c r="A2500" s="41" t="s">
        <v>3904</v>
      </c>
      <c r="B2500" s="2" t="s">
        <v>1126</v>
      </c>
      <c r="C2500" s="2" t="s">
        <v>5043</v>
      </c>
      <c r="D2500" s="2" t="s">
        <v>8404</v>
      </c>
    </row>
    <row r="2501" spans="1:4" x14ac:dyDescent="0.2">
      <c r="A2501" s="41" t="s">
        <v>3905</v>
      </c>
      <c r="B2501" s="2" t="s">
        <v>1126</v>
      </c>
      <c r="C2501" s="2" t="s">
        <v>5043</v>
      </c>
      <c r="D2501" s="2" t="s">
        <v>8404</v>
      </c>
    </row>
    <row r="2502" spans="1:4" x14ac:dyDescent="0.2">
      <c r="A2502" s="41" t="s">
        <v>3906</v>
      </c>
      <c r="B2502" s="2" t="s">
        <v>1126</v>
      </c>
      <c r="C2502" s="2" t="s">
        <v>5043</v>
      </c>
      <c r="D2502" s="2" t="s">
        <v>8404</v>
      </c>
    </row>
    <row r="2503" spans="1:4" x14ac:dyDescent="0.2">
      <c r="A2503" s="41" t="s">
        <v>3998</v>
      </c>
      <c r="B2503" s="2" t="s">
        <v>1126</v>
      </c>
      <c r="C2503" s="2" t="s">
        <v>5043</v>
      </c>
      <c r="D2503" s="2" t="s">
        <v>8404</v>
      </c>
    </row>
    <row r="2504" spans="1:4" x14ac:dyDescent="0.2">
      <c r="A2504" s="41" t="s">
        <v>7174</v>
      </c>
      <c r="B2504" s="2" t="s">
        <v>1127</v>
      </c>
      <c r="C2504" s="2" t="s">
        <v>5043</v>
      </c>
      <c r="D2504" s="2" t="s">
        <v>8404</v>
      </c>
    </row>
    <row r="2505" spans="1:4" x14ac:dyDescent="0.2">
      <c r="A2505" s="41" t="s">
        <v>7175</v>
      </c>
      <c r="B2505" s="2" t="s">
        <v>1127</v>
      </c>
      <c r="C2505" s="2" t="s">
        <v>5043</v>
      </c>
      <c r="D2505" s="2" t="s">
        <v>8404</v>
      </c>
    </row>
    <row r="2506" spans="1:4" x14ac:dyDescent="0.2">
      <c r="A2506" s="41" t="s">
        <v>7176</v>
      </c>
      <c r="B2506" s="2" t="s">
        <v>1127</v>
      </c>
      <c r="C2506" s="2" t="s">
        <v>5043</v>
      </c>
      <c r="D2506" s="2" t="s">
        <v>8404</v>
      </c>
    </row>
    <row r="2507" spans="1:4" x14ac:dyDescent="0.2">
      <c r="A2507" s="41" t="s">
        <v>7177</v>
      </c>
      <c r="B2507" s="2" t="s">
        <v>1127</v>
      </c>
      <c r="C2507" s="2" t="s">
        <v>5043</v>
      </c>
      <c r="D2507" s="2" t="s">
        <v>8404</v>
      </c>
    </row>
    <row r="2508" spans="1:4" x14ac:dyDescent="0.2">
      <c r="A2508" s="41" t="s">
        <v>7178</v>
      </c>
      <c r="B2508" s="2" t="s">
        <v>1128</v>
      </c>
      <c r="C2508" s="2" t="s">
        <v>5043</v>
      </c>
      <c r="D2508" s="2" t="s">
        <v>8404</v>
      </c>
    </row>
    <row r="2509" spans="1:4" x14ac:dyDescent="0.2">
      <c r="A2509" s="41" t="s">
        <v>7179</v>
      </c>
      <c r="B2509" s="2" t="s">
        <v>364</v>
      </c>
      <c r="C2509" s="2" t="s">
        <v>5043</v>
      </c>
      <c r="D2509" s="2" t="s">
        <v>8404</v>
      </c>
    </row>
    <row r="2510" spans="1:4" x14ac:dyDescent="0.2">
      <c r="A2510" s="41" t="s">
        <v>7180</v>
      </c>
      <c r="B2510" s="2" t="s">
        <v>594</v>
      </c>
      <c r="C2510" s="2" t="s">
        <v>5043</v>
      </c>
      <c r="D2510" s="2" t="s">
        <v>8404</v>
      </c>
    </row>
    <row r="2511" spans="1:4" x14ac:dyDescent="0.2">
      <c r="A2511" s="41" t="s">
        <v>7181</v>
      </c>
      <c r="B2511" s="2" t="s">
        <v>594</v>
      </c>
      <c r="C2511" s="2" t="s">
        <v>5043</v>
      </c>
      <c r="D2511" s="2" t="s">
        <v>8404</v>
      </c>
    </row>
    <row r="2512" spans="1:4" x14ac:dyDescent="0.2">
      <c r="A2512" s="41" t="s">
        <v>7182</v>
      </c>
      <c r="B2512" s="2" t="s">
        <v>1129</v>
      </c>
      <c r="C2512" s="2" t="s">
        <v>5043</v>
      </c>
      <c r="D2512" s="2" t="s">
        <v>8424</v>
      </c>
    </row>
    <row r="2513" spans="1:4" x14ac:dyDescent="0.2">
      <c r="A2513" s="41" t="s">
        <v>7183</v>
      </c>
      <c r="B2513" s="2" t="s">
        <v>1129</v>
      </c>
      <c r="C2513" s="2" t="s">
        <v>5043</v>
      </c>
      <c r="D2513" s="2" t="s">
        <v>8424</v>
      </c>
    </row>
    <row r="2514" spans="1:4" x14ac:dyDescent="0.2">
      <c r="A2514" s="41" t="s">
        <v>7184</v>
      </c>
      <c r="B2514" s="2" t="s">
        <v>1129</v>
      </c>
      <c r="C2514" s="2" t="s">
        <v>5043</v>
      </c>
      <c r="D2514" s="2" t="s">
        <v>8424</v>
      </c>
    </row>
    <row r="2515" spans="1:4" x14ac:dyDescent="0.2">
      <c r="A2515" s="41" t="s">
        <v>7185</v>
      </c>
      <c r="B2515" s="2" t="s">
        <v>1129</v>
      </c>
      <c r="C2515" s="2" t="s">
        <v>5043</v>
      </c>
      <c r="D2515" s="2" t="s">
        <v>8424</v>
      </c>
    </row>
    <row r="2516" spans="1:4" x14ac:dyDescent="0.2">
      <c r="A2516" s="41" t="s">
        <v>7186</v>
      </c>
      <c r="B2516" s="2" t="s">
        <v>1129</v>
      </c>
      <c r="C2516" s="2" t="s">
        <v>5043</v>
      </c>
      <c r="D2516" s="2" t="s">
        <v>8424</v>
      </c>
    </row>
    <row r="2517" spans="1:4" x14ac:dyDescent="0.2">
      <c r="A2517" s="41" t="s">
        <v>7187</v>
      </c>
      <c r="B2517" s="2" t="s">
        <v>1129</v>
      </c>
      <c r="C2517" s="2" t="s">
        <v>5043</v>
      </c>
      <c r="D2517" s="2" t="s">
        <v>8424</v>
      </c>
    </row>
    <row r="2518" spans="1:4" x14ac:dyDescent="0.2">
      <c r="A2518" s="41" t="s">
        <v>7188</v>
      </c>
      <c r="B2518" s="2" t="s">
        <v>1129</v>
      </c>
      <c r="C2518" s="2" t="s">
        <v>5043</v>
      </c>
      <c r="D2518" s="2" t="s">
        <v>8424</v>
      </c>
    </row>
    <row r="2519" spans="1:4" x14ac:dyDescent="0.2">
      <c r="A2519" s="41" t="s">
        <v>4145</v>
      </c>
      <c r="B2519" s="2" t="s">
        <v>1129</v>
      </c>
      <c r="C2519" s="2" t="s">
        <v>5043</v>
      </c>
      <c r="D2519" s="2" t="s">
        <v>8424</v>
      </c>
    </row>
    <row r="2520" spans="1:4" x14ac:dyDescent="0.2">
      <c r="A2520" s="41" t="s">
        <v>4146</v>
      </c>
      <c r="B2520" s="2" t="s">
        <v>1129</v>
      </c>
      <c r="C2520" s="2" t="s">
        <v>5043</v>
      </c>
      <c r="D2520" s="2" t="s">
        <v>8424</v>
      </c>
    </row>
    <row r="2521" spans="1:4" x14ac:dyDescent="0.2">
      <c r="A2521" s="41" t="s">
        <v>7189</v>
      </c>
      <c r="B2521" s="2" t="s">
        <v>610</v>
      </c>
      <c r="C2521" s="2" t="s">
        <v>5043</v>
      </c>
      <c r="D2521" s="2" t="s">
        <v>8404</v>
      </c>
    </row>
    <row r="2522" spans="1:4" x14ac:dyDescent="0.2">
      <c r="A2522" s="41" t="s">
        <v>7190</v>
      </c>
      <c r="B2522" s="2" t="s">
        <v>611</v>
      </c>
      <c r="C2522" s="2" t="s">
        <v>5043</v>
      </c>
      <c r="D2522" s="2" t="s">
        <v>8404</v>
      </c>
    </row>
    <row r="2523" spans="1:4" x14ac:dyDescent="0.2">
      <c r="A2523" s="41" t="s">
        <v>3573</v>
      </c>
      <c r="B2523" s="2" t="s">
        <v>1130</v>
      </c>
      <c r="C2523" s="2" t="s">
        <v>5043</v>
      </c>
      <c r="D2523" s="2" t="s">
        <v>8423</v>
      </c>
    </row>
    <row r="2524" spans="1:4" x14ac:dyDescent="0.2">
      <c r="A2524" s="41" t="s">
        <v>3574</v>
      </c>
      <c r="B2524" s="2" t="s">
        <v>1130</v>
      </c>
      <c r="C2524" s="2" t="s">
        <v>5043</v>
      </c>
      <c r="D2524" s="2" t="s">
        <v>8423</v>
      </c>
    </row>
    <row r="2525" spans="1:4" x14ac:dyDescent="0.2">
      <c r="A2525" s="41" t="s">
        <v>3576</v>
      </c>
      <c r="B2525" s="2" t="s">
        <v>1130</v>
      </c>
      <c r="C2525" s="2" t="s">
        <v>5043</v>
      </c>
      <c r="D2525" s="2" t="s">
        <v>8423</v>
      </c>
    </row>
    <row r="2526" spans="1:4" x14ac:dyDescent="0.2">
      <c r="A2526" s="41" t="s">
        <v>7191</v>
      </c>
      <c r="B2526" s="2" t="s">
        <v>342</v>
      </c>
      <c r="C2526" s="2" t="s">
        <v>5043</v>
      </c>
      <c r="D2526" s="2" t="s">
        <v>8404</v>
      </c>
    </row>
    <row r="2527" spans="1:4" x14ac:dyDescent="0.2">
      <c r="A2527" s="41" t="s">
        <v>7192</v>
      </c>
      <c r="B2527" s="2" t="s">
        <v>343</v>
      </c>
      <c r="C2527" s="2" t="s">
        <v>5043</v>
      </c>
      <c r="D2527" s="2" t="s">
        <v>8423</v>
      </c>
    </row>
    <row r="2528" spans="1:4" x14ac:dyDescent="0.2">
      <c r="A2528" s="41" t="s">
        <v>7193</v>
      </c>
      <c r="B2528" s="2" t="s">
        <v>343</v>
      </c>
      <c r="C2528" s="2" t="s">
        <v>5043</v>
      </c>
      <c r="D2528" s="2" t="s">
        <v>8423</v>
      </c>
    </row>
    <row r="2529" spans="1:4" x14ac:dyDescent="0.2">
      <c r="A2529" s="41" t="s">
        <v>4604</v>
      </c>
      <c r="B2529" s="2" t="s">
        <v>4605</v>
      </c>
      <c r="C2529" s="2" t="s">
        <v>5043</v>
      </c>
      <c r="D2529" s="2" t="s">
        <v>8401</v>
      </c>
    </row>
    <row r="2530" spans="1:4" x14ac:dyDescent="0.2">
      <c r="A2530" s="41" t="s">
        <v>7194</v>
      </c>
      <c r="B2530" s="2" t="s">
        <v>612</v>
      </c>
      <c r="C2530" s="2" t="s">
        <v>5043</v>
      </c>
      <c r="D2530" s="2" t="s">
        <v>8404</v>
      </c>
    </row>
    <row r="2531" spans="1:4" x14ac:dyDescent="0.2">
      <c r="A2531" s="41" t="s">
        <v>7195</v>
      </c>
      <c r="B2531" s="2" t="s">
        <v>283</v>
      </c>
      <c r="C2531" s="2" t="s">
        <v>5043</v>
      </c>
      <c r="D2531" s="2" t="s">
        <v>8404</v>
      </c>
    </row>
    <row r="2532" spans="1:4" x14ac:dyDescent="0.2">
      <c r="A2532" s="41" t="s">
        <v>7196</v>
      </c>
      <c r="B2532" s="2" t="s">
        <v>365</v>
      </c>
      <c r="C2532" s="2" t="s">
        <v>5043</v>
      </c>
      <c r="D2532" s="2" t="s">
        <v>8404</v>
      </c>
    </row>
    <row r="2533" spans="1:4" x14ac:dyDescent="0.2">
      <c r="A2533" s="41" t="s">
        <v>4595</v>
      </c>
      <c r="B2533" s="2" t="s">
        <v>365</v>
      </c>
      <c r="C2533" s="2" t="s">
        <v>5043</v>
      </c>
      <c r="D2533" s="2" t="s">
        <v>8404</v>
      </c>
    </row>
    <row r="2534" spans="1:4" x14ac:dyDescent="0.2">
      <c r="A2534" s="41" t="s">
        <v>7197</v>
      </c>
      <c r="B2534" s="2" t="s">
        <v>7198</v>
      </c>
      <c r="C2534" s="2" t="s">
        <v>5043</v>
      </c>
      <c r="D2534" s="2" t="s">
        <v>8423</v>
      </c>
    </row>
    <row r="2535" spans="1:4" x14ac:dyDescent="0.2">
      <c r="A2535" s="41" t="s">
        <v>4289</v>
      </c>
      <c r="B2535" s="2" t="s">
        <v>1131</v>
      </c>
      <c r="C2535" s="2" t="s">
        <v>5043</v>
      </c>
      <c r="D2535" s="2" t="s">
        <v>8423</v>
      </c>
    </row>
    <row r="2536" spans="1:4" x14ac:dyDescent="0.2">
      <c r="A2536" s="41" t="s">
        <v>3660</v>
      </c>
      <c r="B2536" s="2" t="s">
        <v>284</v>
      </c>
      <c r="C2536" s="2" t="s">
        <v>5043</v>
      </c>
      <c r="D2536" s="2" t="s">
        <v>8404</v>
      </c>
    </row>
    <row r="2537" spans="1:4" x14ac:dyDescent="0.2">
      <c r="A2537" s="41" t="s">
        <v>3661</v>
      </c>
      <c r="B2537" s="2" t="s">
        <v>284</v>
      </c>
      <c r="C2537" s="2" t="s">
        <v>5043</v>
      </c>
      <c r="D2537" s="2" t="s">
        <v>8404</v>
      </c>
    </row>
    <row r="2538" spans="1:4" x14ac:dyDescent="0.2">
      <c r="A2538" s="41" t="s">
        <v>5132</v>
      </c>
      <c r="B2538" s="2" t="s">
        <v>285</v>
      </c>
      <c r="C2538" s="2" t="s">
        <v>5043</v>
      </c>
      <c r="D2538" s="2" t="s">
        <v>8404</v>
      </c>
    </row>
    <row r="2539" spans="1:4" x14ac:dyDescent="0.2">
      <c r="A2539" s="41" t="s">
        <v>5461</v>
      </c>
      <c r="B2539" s="2" t="s">
        <v>582</v>
      </c>
      <c r="C2539" s="2" t="s">
        <v>5043</v>
      </c>
      <c r="D2539" s="2" t="s">
        <v>8404</v>
      </c>
    </row>
    <row r="2540" spans="1:4" x14ac:dyDescent="0.2">
      <c r="A2540" s="41" t="s">
        <v>7199</v>
      </c>
      <c r="B2540" s="2" t="s">
        <v>1132</v>
      </c>
      <c r="C2540" s="2" t="s">
        <v>5043</v>
      </c>
      <c r="D2540" s="2" t="s">
        <v>8404</v>
      </c>
    </row>
    <row r="2541" spans="1:4" x14ac:dyDescent="0.2">
      <c r="A2541" s="41" t="s">
        <v>7200</v>
      </c>
      <c r="B2541" s="2" t="s">
        <v>511</v>
      </c>
      <c r="C2541" s="2" t="s">
        <v>5043</v>
      </c>
      <c r="D2541" s="2" t="s">
        <v>8404</v>
      </c>
    </row>
    <row r="2542" spans="1:4" x14ac:dyDescent="0.2">
      <c r="A2542" s="41" t="s">
        <v>7201</v>
      </c>
      <c r="B2542" s="2" t="s">
        <v>511</v>
      </c>
      <c r="C2542" s="2" t="s">
        <v>5043</v>
      </c>
      <c r="D2542" s="2" t="s">
        <v>8404</v>
      </c>
    </row>
    <row r="2543" spans="1:4" x14ac:dyDescent="0.2">
      <c r="A2543" s="41" t="s">
        <v>7202</v>
      </c>
      <c r="B2543" s="2" t="s">
        <v>511</v>
      </c>
      <c r="C2543" s="2" t="s">
        <v>5043</v>
      </c>
      <c r="D2543" s="2" t="s">
        <v>8404</v>
      </c>
    </row>
    <row r="2544" spans="1:4" x14ac:dyDescent="0.2">
      <c r="A2544" s="41" t="s">
        <v>7203</v>
      </c>
      <c r="B2544" s="2" t="s">
        <v>511</v>
      </c>
      <c r="C2544" s="2" t="s">
        <v>5043</v>
      </c>
      <c r="D2544" s="2" t="s">
        <v>8404</v>
      </c>
    </row>
    <row r="2545" spans="1:4" x14ac:dyDescent="0.2">
      <c r="A2545" s="41" t="s">
        <v>7204</v>
      </c>
      <c r="B2545" s="2" t="s">
        <v>511</v>
      </c>
      <c r="C2545" s="2" t="s">
        <v>5043</v>
      </c>
      <c r="D2545" s="2" t="s">
        <v>8404</v>
      </c>
    </row>
    <row r="2546" spans="1:4" x14ac:dyDescent="0.2">
      <c r="A2546" s="41" t="s">
        <v>7205</v>
      </c>
      <c r="B2546" s="2" t="s">
        <v>511</v>
      </c>
      <c r="C2546" s="2" t="s">
        <v>5043</v>
      </c>
      <c r="D2546" s="2" t="s">
        <v>8404</v>
      </c>
    </row>
    <row r="2547" spans="1:4" x14ac:dyDescent="0.2">
      <c r="A2547" s="41" t="s">
        <v>7206</v>
      </c>
      <c r="B2547" s="2" t="s">
        <v>1133</v>
      </c>
      <c r="C2547" s="2" t="s">
        <v>5043</v>
      </c>
      <c r="D2547" s="2" t="s">
        <v>8404</v>
      </c>
    </row>
    <row r="2548" spans="1:4" x14ac:dyDescent="0.2">
      <c r="A2548" s="41" t="s">
        <v>7207</v>
      </c>
      <c r="B2548" s="2" t="s">
        <v>323</v>
      </c>
      <c r="C2548" s="2" t="s">
        <v>5043</v>
      </c>
      <c r="D2548" s="2" t="s">
        <v>8404</v>
      </c>
    </row>
    <row r="2549" spans="1:4" x14ac:dyDescent="0.2">
      <c r="A2549" s="41" t="s">
        <v>7208</v>
      </c>
      <c r="B2549" s="2" t="s">
        <v>323</v>
      </c>
      <c r="C2549" s="2" t="s">
        <v>5043</v>
      </c>
      <c r="D2549" s="2" t="s">
        <v>8404</v>
      </c>
    </row>
    <row r="2550" spans="1:4" x14ac:dyDescent="0.2">
      <c r="A2550" s="41" t="s">
        <v>7209</v>
      </c>
      <c r="B2550" s="2" t="s">
        <v>512</v>
      </c>
      <c r="C2550" s="2" t="s">
        <v>5043</v>
      </c>
      <c r="D2550" s="2" t="s">
        <v>8404</v>
      </c>
    </row>
    <row r="2551" spans="1:4" x14ac:dyDescent="0.2">
      <c r="A2551" s="41" t="s">
        <v>7210</v>
      </c>
      <c r="B2551" s="2" t="s">
        <v>512</v>
      </c>
      <c r="C2551" s="2" t="s">
        <v>5043</v>
      </c>
      <c r="D2551" s="2" t="s">
        <v>8404</v>
      </c>
    </row>
    <row r="2552" spans="1:4" x14ac:dyDescent="0.2">
      <c r="A2552" s="41" t="s">
        <v>7211</v>
      </c>
      <c r="B2552" s="2" t="s">
        <v>613</v>
      </c>
      <c r="C2552" s="2" t="s">
        <v>5043</v>
      </c>
      <c r="D2552" s="2" t="s">
        <v>8404</v>
      </c>
    </row>
    <row r="2553" spans="1:4" x14ac:dyDescent="0.2">
      <c r="A2553" s="41" t="s">
        <v>7212</v>
      </c>
      <c r="B2553" s="2" t="s">
        <v>613</v>
      </c>
      <c r="C2553" s="2" t="s">
        <v>5043</v>
      </c>
      <c r="D2553" s="2" t="s">
        <v>8404</v>
      </c>
    </row>
    <row r="2554" spans="1:4" x14ac:dyDescent="0.2">
      <c r="A2554" s="41" t="s">
        <v>7213</v>
      </c>
      <c r="B2554" s="2" t="s">
        <v>613</v>
      </c>
      <c r="C2554" s="2" t="s">
        <v>5043</v>
      </c>
      <c r="D2554" s="2" t="s">
        <v>8404</v>
      </c>
    </row>
    <row r="2555" spans="1:4" x14ac:dyDescent="0.2">
      <c r="A2555" s="41" t="s">
        <v>7214</v>
      </c>
      <c r="B2555" s="2" t="s">
        <v>613</v>
      </c>
      <c r="C2555" s="2" t="s">
        <v>5043</v>
      </c>
      <c r="D2555" s="2" t="s">
        <v>8404</v>
      </c>
    </row>
    <row r="2556" spans="1:4" x14ac:dyDescent="0.2">
      <c r="A2556" s="41" t="s">
        <v>7215</v>
      </c>
      <c r="B2556" s="2" t="s">
        <v>613</v>
      </c>
      <c r="C2556" s="2" t="s">
        <v>5043</v>
      </c>
      <c r="D2556" s="2" t="s">
        <v>8404</v>
      </c>
    </row>
    <row r="2557" spans="1:4" x14ac:dyDescent="0.2">
      <c r="A2557" s="41" t="s">
        <v>7216</v>
      </c>
      <c r="B2557" s="2" t="s">
        <v>613</v>
      </c>
      <c r="C2557" s="2" t="s">
        <v>5043</v>
      </c>
      <c r="D2557" s="2" t="s">
        <v>8404</v>
      </c>
    </row>
    <row r="2558" spans="1:4" x14ac:dyDescent="0.2">
      <c r="A2558" s="41" t="s">
        <v>7217</v>
      </c>
      <c r="B2558" s="2" t="s">
        <v>613</v>
      </c>
      <c r="C2558" s="2" t="s">
        <v>5043</v>
      </c>
      <c r="D2558" s="2" t="s">
        <v>8404</v>
      </c>
    </row>
    <row r="2559" spans="1:4" x14ac:dyDescent="0.2">
      <c r="A2559" s="41" t="s">
        <v>7218</v>
      </c>
      <c r="B2559" s="2" t="s">
        <v>613</v>
      </c>
      <c r="C2559" s="2" t="s">
        <v>5043</v>
      </c>
      <c r="D2559" s="2" t="s">
        <v>8404</v>
      </c>
    </row>
    <row r="2560" spans="1:4" x14ac:dyDescent="0.2">
      <c r="A2560" s="41" t="s">
        <v>7219</v>
      </c>
      <c r="B2560" s="2" t="s">
        <v>613</v>
      </c>
      <c r="C2560" s="2" t="s">
        <v>5043</v>
      </c>
      <c r="D2560" s="2" t="s">
        <v>8404</v>
      </c>
    </row>
    <row r="2561" spans="1:4" x14ac:dyDescent="0.2">
      <c r="A2561" s="41" t="s">
        <v>7220</v>
      </c>
      <c r="B2561" s="2" t="s">
        <v>613</v>
      </c>
      <c r="C2561" s="2" t="s">
        <v>5043</v>
      </c>
      <c r="D2561" s="2" t="s">
        <v>8404</v>
      </c>
    </row>
    <row r="2562" spans="1:4" x14ac:dyDescent="0.2">
      <c r="A2562" s="41" t="s">
        <v>7221</v>
      </c>
      <c r="B2562" s="2" t="s">
        <v>613</v>
      </c>
      <c r="C2562" s="2" t="s">
        <v>5043</v>
      </c>
      <c r="D2562" s="2" t="s">
        <v>8404</v>
      </c>
    </row>
    <row r="2563" spans="1:4" x14ac:dyDescent="0.2">
      <c r="A2563" s="41" t="s">
        <v>7222</v>
      </c>
      <c r="B2563" s="2" t="s">
        <v>613</v>
      </c>
      <c r="C2563" s="2" t="s">
        <v>5043</v>
      </c>
      <c r="D2563" s="2" t="s">
        <v>8404</v>
      </c>
    </row>
    <row r="2564" spans="1:4" x14ac:dyDescent="0.2">
      <c r="A2564" s="41" t="s">
        <v>7223</v>
      </c>
      <c r="B2564" s="2" t="s">
        <v>613</v>
      </c>
      <c r="C2564" s="2" t="s">
        <v>5043</v>
      </c>
      <c r="D2564" s="2" t="s">
        <v>8404</v>
      </c>
    </row>
    <row r="2565" spans="1:4" x14ac:dyDescent="0.2">
      <c r="A2565" s="41" t="s">
        <v>7224</v>
      </c>
      <c r="B2565" s="2" t="s">
        <v>613</v>
      </c>
      <c r="C2565" s="2" t="s">
        <v>5043</v>
      </c>
      <c r="D2565" s="2" t="s">
        <v>8404</v>
      </c>
    </row>
    <row r="2566" spans="1:4" x14ac:dyDescent="0.2">
      <c r="A2566" s="41" t="s">
        <v>7225</v>
      </c>
      <c r="B2566" s="2" t="s">
        <v>613</v>
      </c>
      <c r="C2566" s="2" t="s">
        <v>5043</v>
      </c>
      <c r="D2566" s="2" t="s">
        <v>8404</v>
      </c>
    </row>
    <row r="2567" spans="1:4" x14ac:dyDescent="0.2">
      <c r="A2567" s="41" t="s">
        <v>3655</v>
      </c>
      <c r="B2567" s="2" t="s">
        <v>613</v>
      </c>
      <c r="C2567" s="2" t="s">
        <v>5043</v>
      </c>
      <c r="D2567" s="2" t="s">
        <v>8404</v>
      </c>
    </row>
    <row r="2568" spans="1:4" x14ac:dyDescent="0.2">
      <c r="A2568" s="41" t="s">
        <v>7226</v>
      </c>
      <c r="B2568" s="2" t="s">
        <v>366</v>
      </c>
      <c r="C2568" s="2" t="s">
        <v>5043</v>
      </c>
      <c r="D2568" s="2" t="s">
        <v>8426</v>
      </c>
    </row>
    <row r="2569" spans="1:4" x14ac:dyDescent="0.2">
      <c r="A2569" s="41" t="s">
        <v>7227</v>
      </c>
      <c r="B2569" s="2" t="s">
        <v>366</v>
      </c>
      <c r="C2569" s="2" t="s">
        <v>5043</v>
      </c>
      <c r="D2569" s="2" t="s">
        <v>8426</v>
      </c>
    </row>
    <row r="2570" spans="1:4" x14ac:dyDescent="0.2">
      <c r="A2570" s="41" t="s">
        <v>4596</v>
      </c>
      <c r="B2570" s="2" t="s">
        <v>366</v>
      </c>
      <c r="C2570" s="2" t="s">
        <v>5043</v>
      </c>
      <c r="D2570" s="2" t="s">
        <v>8426</v>
      </c>
    </row>
    <row r="2571" spans="1:4" x14ac:dyDescent="0.2">
      <c r="A2571" s="41" t="s">
        <v>7228</v>
      </c>
      <c r="B2571" s="2" t="s">
        <v>366</v>
      </c>
      <c r="C2571" s="2" t="s">
        <v>5043</v>
      </c>
      <c r="D2571" s="2" t="s">
        <v>8426</v>
      </c>
    </row>
    <row r="2572" spans="1:4" x14ac:dyDescent="0.2">
      <c r="A2572" s="41" t="s">
        <v>4597</v>
      </c>
      <c r="B2572" s="2" t="s">
        <v>367</v>
      </c>
      <c r="C2572" s="2" t="s">
        <v>5043</v>
      </c>
      <c r="D2572" s="2" t="s">
        <v>8404</v>
      </c>
    </row>
    <row r="2573" spans="1:4" x14ac:dyDescent="0.2">
      <c r="A2573" s="41" t="s">
        <v>7229</v>
      </c>
      <c r="B2573" s="2" t="s">
        <v>367</v>
      </c>
      <c r="C2573" s="2" t="s">
        <v>5043</v>
      </c>
      <c r="D2573" s="2" t="s">
        <v>8404</v>
      </c>
    </row>
    <row r="2574" spans="1:4" x14ac:dyDescent="0.2">
      <c r="A2574" s="41" t="s">
        <v>7230</v>
      </c>
      <c r="B2574" s="2" t="s">
        <v>1134</v>
      </c>
      <c r="C2574" s="2" t="s">
        <v>5043</v>
      </c>
      <c r="D2574" s="2" t="s">
        <v>8404</v>
      </c>
    </row>
    <row r="2575" spans="1:4" x14ac:dyDescent="0.2">
      <c r="A2575" s="41" t="s">
        <v>7231</v>
      </c>
      <c r="B2575" s="2" t="s">
        <v>286</v>
      </c>
      <c r="C2575" s="2" t="s">
        <v>5043</v>
      </c>
      <c r="D2575" s="2" t="s">
        <v>8404</v>
      </c>
    </row>
    <row r="2576" spans="1:4" x14ac:dyDescent="0.2">
      <c r="A2576" s="41" t="s">
        <v>7232</v>
      </c>
      <c r="B2576" s="2" t="s">
        <v>286</v>
      </c>
      <c r="C2576" s="2" t="s">
        <v>5043</v>
      </c>
      <c r="D2576" s="2" t="s">
        <v>8404</v>
      </c>
    </row>
    <row r="2577" spans="1:4" x14ac:dyDescent="0.2">
      <c r="A2577" s="41" t="s">
        <v>7233</v>
      </c>
      <c r="B2577" s="2" t="s">
        <v>286</v>
      </c>
      <c r="C2577" s="2" t="s">
        <v>5043</v>
      </c>
      <c r="D2577" s="2" t="s">
        <v>8404</v>
      </c>
    </row>
    <row r="2578" spans="1:4" x14ac:dyDescent="0.2">
      <c r="A2578" s="41" t="s">
        <v>4194</v>
      </c>
      <c r="B2578" s="2" t="s">
        <v>286</v>
      </c>
      <c r="C2578" s="2" t="s">
        <v>5043</v>
      </c>
      <c r="D2578" s="2" t="s">
        <v>8404</v>
      </c>
    </row>
    <row r="2579" spans="1:4" x14ac:dyDescent="0.2">
      <c r="A2579" s="41" t="s">
        <v>4195</v>
      </c>
      <c r="B2579" s="2" t="s">
        <v>286</v>
      </c>
      <c r="C2579" s="2" t="s">
        <v>5043</v>
      </c>
      <c r="D2579" s="2" t="s">
        <v>8404</v>
      </c>
    </row>
    <row r="2580" spans="1:4" x14ac:dyDescent="0.2">
      <c r="A2580" s="41" t="s">
        <v>5412</v>
      </c>
      <c r="B2580" s="2" t="s">
        <v>583</v>
      </c>
      <c r="C2580" s="2" t="s">
        <v>5043</v>
      </c>
      <c r="D2580" s="2" t="s">
        <v>8404</v>
      </c>
    </row>
    <row r="2581" spans="1:4" x14ac:dyDescent="0.2">
      <c r="A2581" s="41" t="s">
        <v>2764</v>
      </c>
      <c r="B2581" s="2" t="s">
        <v>1135</v>
      </c>
      <c r="C2581" s="2" t="s">
        <v>5043</v>
      </c>
      <c r="D2581" s="2" t="s">
        <v>8404</v>
      </c>
    </row>
    <row r="2582" spans="1:4" x14ac:dyDescent="0.2">
      <c r="A2582" s="41" t="s">
        <v>4284</v>
      </c>
      <c r="B2582" s="2" t="s">
        <v>287</v>
      </c>
      <c r="C2582" s="2" t="s">
        <v>5043</v>
      </c>
      <c r="D2582" s="2" t="s">
        <v>8404</v>
      </c>
    </row>
    <row r="2583" spans="1:4" x14ac:dyDescent="0.2">
      <c r="A2583" s="41" t="s">
        <v>5117</v>
      </c>
      <c r="B2583" s="2" t="s">
        <v>287</v>
      </c>
      <c r="C2583" s="2" t="s">
        <v>5043</v>
      </c>
      <c r="D2583" s="2" t="s">
        <v>8404</v>
      </c>
    </row>
    <row r="2584" spans="1:4" x14ac:dyDescent="0.2">
      <c r="A2584" s="41" t="s">
        <v>7234</v>
      </c>
      <c r="B2584" s="2" t="s">
        <v>287</v>
      </c>
      <c r="C2584" s="2" t="s">
        <v>5043</v>
      </c>
      <c r="D2584" s="2" t="s">
        <v>8404</v>
      </c>
    </row>
    <row r="2585" spans="1:4" x14ac:dyDescent="0.2">
      <c r="A2585" s="41" t="s">
        <v>7235</v>
      </c>
      <c r="B2585" s="2" t="s">
        <v>287</v>
      </c>
      <c r="C2585" s="2" t="s">
        <v>5043</v>
      </c>
      <c r="D2585" s="2" t="s">
        <v>8404</v>
      </c>
    </row>
    <row r="2586" spans="1:4" x14ac:dyDescent="0.2">
      <c r="A2586" s="41" t="s">
        <v>7236</v>
      </c>
      <c r="B2586" s="2" t="s">
        <v>288</v>
      </c>
      <c r="C2586" s="2" t="s">
        <v>5043</v>
      </c>
      <c r="D2586" s="2" t="s">
        <v>8404</v>
      </c>
    </row>
    <row r="2587" spans="1:4" x14ac:dyDescent="0.2">
      <c r="A2587" s="41" t="s">
        <v>7237</v>
      </c>
      <c r="B2587" s="2" t="s">
        <v>288</v>
      </c>
      <c r="C2587" s="2" t="s">
        <v>5043</v>
      </c>
      <c r="D2587" s="2" t="s">
        <v>8404</v>
      </c>
    </row>
    <row r="2588" spans="1:4" x14ac:dyDescent="0.2">
      <c r="A2588" s="41" t="s">
        <v>4088</v>
      </c>
      <c r="B2588" s="2" t="s">
        <v>584</v>
      </c>
      <c r="C2588" s="2" t="s">
        <v>5043</v>
      </c>
      <c r="D2588" s="2" t="s">
        <v>8404</v>
      </c>
    </row>
    <row r="2589" spans="1:4" x14ac:dyDescent="0.2">
      <c r="A2589" s="41" t="s">
        <v>7238</v>
      </c>
      <c r="B2589" s="2" t="s">
        <v>585</v>
      </c>
      <c r="C2589" s="2" t="s">
        <v>5043</v>
      </c>
      <c r="D2589" s="2" t="s">
        <v>8404</v>
      </c>
    </row>
    <row r="2590" spans="1:4" x14ac:dyDescent="0.2">
      <c r="A2590" s="41" t="s">
        <v>5351</v>
      </c>
      <c r="B2590" s="2" t="s">
        <v>289</v>
      </c>
      <c r="C2590" s="2" t="s">
        <v>5043</v>
      </c>
      <c r="D2590" s="2" t="s">
        <v>8404</v>
      </c>
    </row>
    <row r="2591" spans="1:4" x14ac:dyDescent="0.2">
      <c r="A2591" s="41" t="s">
        <v>5352</v>
      </c>
      <c r="B2591" s="2" t="s">
        <v>289</v>
      </c>
      <c r="C2591" s="2" t="s">
        <v>5043</v>
      </c>
      <c r="D2591" s="2" t="s">
        <v>8404</v>
      </c>
    </row>
    <row r="2592" spans="1:4" x14ac:dyDescent="0.2">
      <c r="A2592" s="41" t="s">
        <v>5059</v>
      </c>
      <c r="B2592" s="2" t="s">
        <v>290</v>
      </c>
      <c r="C2592" s="2" t="s">
        <v>5043</v>
      </c>
      <c r="D2592" s="2" t="s">
        <v>8404</v>
      </c>
    </row>
    <row r="2593" spans="1:4" x14ac:dyDescent="0.2">
      <c r="A2593" s="41" t="s">
        <v>5224</v>
      </c>
      <c r="B2593" s="2" t="s">
        <v>290</v>
      </c>
      <c r="C2593" s="2" t="s">
        <v>5043</v>
      </c>
      <c r="D2593" s="2" t="s">
        <v>8404</v>
      </c>
    </row>
    <row r="2594" spans="1:4" x14ac:dyDescent="0.2">
      <c r="A2594" s="41" t="s">
        <v>7239</v>
      </c>
      <c r="B2594" s="2" t="s">
        <v>290</v>
      </c>
      <c r="C2594" s="2" t="s">
        <v>5043</v>
      </c>
      <c r="D2594" s="2" t="s">
        <v>8404</v>
      </c>
    </row>
    <row r="2595" spans="1:4" x14ac:dyDescent="0.2">
      <c r="A2595" s="41" t="s">
        <v>4089</v>
      </c>
      <c r="B2595" s="2" t="s">
        <v>368</v>
      </c>
      <c r="C2595" s="2" t="s">
        <v>5043</v>
      </c>
      <c r="D2595" s="2" t="s">
        <v>8404</v>
      </c>
    </row>
    <row r="2596" spans="1:4" x14ac:dyDescent="0.2">
      <c r="A2596" s="41" t="s">
        <v>7240</v>
      </c>
      <c r="B2596" s="2" t="s">
        <v>291</v>
      </c>
      <c r="C2596" s="2" t="s">
        <v>5043</v>
      </c>
      <c r="D2596" s="2" t="s">
        <v>8404</v>
      </c>
    </row>
    <row r="2597" spans="1:4" x14ac:dyDescent="0.2">
      <c r="A2597" s="41" t="s">
        <v>7241</v>
      </c>
      <c r="B2597" s="2" t="s">
        <v>1136</v>
      </c>
      <c r="C2597" s="2" t="s">
        <v>5043</v>
      </c>
      <c r="D2597" s="2" t="s">
        <v>8423</v>
      </c>
    </row>
    <row r="2598" spans="1:4" x14ac:dyDescent="0.2">
      <c r="A2598" s="41" t="s">
        <v>4272</v>
      </c>
      <c r="B2598" s="2" t="s">
        <v>1137</v>
      </c>
      <c r="C2598" s="2" t="s">
        <v>5043</v>
      </c>
      <c r="D2598" s="2" t="s">
        <v>8423</v>
      </c>
    </row>
    <row r="2599" spans="1:4" x14ac:dyDescent="0.2">
      <c r="A2599" s="41" t="s">
        <v>7242</v>
      </c>
      <c r="B2599" s="2" t="s">
        <v>513</v>
      </c>
      <c r="C2599" s="2" t="s">
        <v>5043</v>
      </c>
      <c r="D2599" s="2" t="s">
        <v>8423</v>
      </c>
    </row>
    <row r="2600" spans="1:4" x14ac:dyDescent="0.2">
      <c r="A2600" s="41" t="s">
        <v>7243</v>
      </c>
      <c r="B2600" s="2" t="s">
        <v>369</v>
      </c>
      <c r="C2600" s="2" t="s">
        <v>5043</v>
      </c>
      <c r="D2600" s="2" t="s">
        <v>8423</v>
      </c>
    </row>
    <row r="2601" spans="1:4" x14ac:dyDescent="0.2">
      <c r="A2601" s="41" t="s">
        <v>7244</v>
      </c>
      <c r="B2601" s="2" t="s">
        <v>369</v>
      </c>
      <c r="C2601" s="2" t="s">
        <v>5043</v>
      </c>
      <c r="D2601" s="2" t="s">
        <v>8423</v>
      </c>
    </row>
    <row r="2602" spans="1:4" x14ac:dyDescent="0.2">
      <c r="A2602" s="41" t="s">
        <v>4598</v>
      </c>
      <c r="B2602" s="2" t="s">
        <v>369</v>
      </c>
      <c r="C2602" s="2" t="s">
        <v>5043</v>
      </c>
      <c r="D2602" s="2" t="s">
        <v>8423</v>
      </c>
    </row>
    <row r="2603" spans="1:4" x14ac:dyDescent="0.2">
      <c r="A2603" s="41" t="s">
        <v>7245</v>
      </c>
      <c r="B2603" s="2" t="s">
        <v>369</v>
      </c>
      <c r="C2603" s="2" t="s">
        <v>5043</v>
      </c>
      <c r="D2603" s="2" t="s">
        <v>8423</v>
      </c>
    </row>
    <row r="2604" spans="1:4" x14ac:dyDescent="0.2">
      <c r="A2604" s="41" t="s">
        <v>7246</v>
      </c>
      <c r="B2604" s="2" t="s">
        <v>514</v>
      </c>
      <c r="C2604" s="2" t="s">
        <v>5043</v>
      </c>
      <c r="D2604" s="2" t="s">
        <v>8423</v>
      </c>
    </row>
    <row r="2605" spans="1:4" x14ac:dyDescent="0.2">
      <c r="A2605" s="41" t="s">
        <v>7247</v>
      </c>
      <c r="B2605" s="2" t="s">
        <v>514</v>
      </c>
      <c r="C2605" s="2" t="s">
        <v>5043</v>
      </c>
      <c r="D2605" s="2" t="s">
        <v>8423</v>
      </c>
    </row>
    <row r="2606" spans="1:4" x14ac:dyDescent="0.2">
      <c r="A2606" s="41" t="s">
        <v>7248</v>
      </c>
      <c r="B2606" s="2" t="s">
        <v>514</v>
      </c>
      <c r="C2606" s="2" t="s">
        <v>5043</v>
      </c>
      <c r="D2606" s="2" t="s">
        <v>8423</v>
      </c>
    </row>
    <row r="2607" spans="1:4" x14ac:dyDescent="0.2">
      <c r="A2607" s="41" t="s">
        <v>5511</v>
      </c>
      <c r="B2607" s="2" t="s">
        <v>514</v>
      </c>
      <c r="C2607" s="2" t="s">
        <v>5043</v>
      </c>
      <c r="D2607" s="2" t="s">
        <v>8423</v>
      </c>
    </row>
    <row r="2608" spans="1:4" x14ac:dyDescent="0.2">
      <c r="A2608" s="41" t="s">
        <v>7249</v>
      </c>
      <c r="B2608" s="2" t="s">
        <v>514</v>
      </c>
      <c r="C2608" s="2" t="s">
        <v>5043</v>
      </c>
      <c r="D2608" s="2" t="s">
        <v>8423</v>
      </c>
    </row>
    <row r="2609" spans="1:4" x14ac:dyDescent="0.2">
      <c r="A2609" s="41" t="s">
        <v>5522</v>
      </c>
      <c r="B2609" s="2" t="s">
        <v>515</v>
      </c>
      <c r="C2609" s="2" t="s">
        <v>5043</v>
      </c>
      <c r="D2609" s="2" t="s">
        <v>8423</v>
      </c>
    </row>
    <row r="2610" spans="1:4" x14ac:dyDescent="0.2">
      <c r="A2610" s="41" t="s">
        <v>5558</v>
      </c>
      <c r="B2610" s="2" t="s">
        <v>614</v>
      </c>
      <c r="C2610" s="2" t="s">
        <v>5043</v>
      </c>
      <c r="D2610" s="2" t="s">
        <v>8423</v>
      </c>
    </row>
    <row r="2611" spans="1:4" x14ac:dyDescent="0.2">
      <c r="A2611" s="41" t="s">
        <v>3388</v>
      </c>
      <c r="B2611" s="2" t="s">
        <v>595</v>
      </c>
      <c r="C2611" s="2" t="s">
        <v>5043</v>
      </c>
      <c r="D2611" s="2" t="s">
        <v>8423</v>
      </c>
    </row>
    <row r="2612" spans="1:4" x14ac:dyDescent="0.2">
      <c r="A2612" s="41" t="s">
        <v>3389</v>
      </c>
      <c r="B2612" s="2" t="s">
        <v>596</v>
      </c>
      <c r="C2612" s="2" t="s">
        <v>5043</v>
      </c>
      <c r="D2612" s="2" t="s">
        <v>8423</v>
      </c>
    </row>
    <row r="2613" spans="1:4" x14ac:dyDescent="0.2">
      <c r="A2613" s="41" t="s">
        <v>3390</v>
      </c>
      <c r="B2613" s="2" t="s">
        <v>378</v>
      </c>
      <c r="C2613" s="2" t="s">
        <v>5043</v>
      </c>
      <c r="D2613" s="2" t="s">
        <v>8423</v>
      </c>
    </row>
    <row r="2614" spans="1:4" x14ac:dyDescent="0.2">
      <c r="A2614" s="41" t="s">
        <v>3391</v>
      </c>
      <c r="B2614" s="2" t="s">
        <v>597</v>
      </c>
      <c r="C2614" s="2" t="s">
        <v>5043</v>
      </c>
      <c r="D2614" s="2" t="s">
        <v>8423</v>
      </c>
    </row>
    <row r="2615" spans="1:4" x14ac:dyDescent="0.2">
      <c r="A2615" s="41" t="s">
        <v>5322</v>
      </c>
      <c r="B2615" s="2" t="s">
        <v>597</v>
      </c>
      <c r="C2615" s="2" t="s">
        <v>5043</v>
      </c>
      <c r="D2615" s="2" t="s">
        <v>8423</v>
      </c>
    </row>
    <row r="2616" spans="1:4" x14ac:dyDescent="0.2">
      <c r="A2616" s="41" t="s">
        <v>7250</v>
      </c>
      <c r="B2616" s="2" t="s">
        <v>292</v>
      </c>
      <c r="C2616" s="2" t="s">
        <v>5043</v>
      </c>
      <c r="D2616" s="2" t="s">
        <v>8423</v>
      </c>
    </row>
    <row r="2617" spans="1:4" x14ac:dyDescent="0.2">
      <c r="A2617" s="41" t="s">
        <v>3752</v>
      </c>
      <c r="B2617" s="2" t="s">
        <v>297</v>
      </c>
      <c r="C2617" s="2" t="s">
        <v>5043</v>
      </c>
      <c r="D2617" s="2" t="s">
        <v>8423</v>
      </c>
    </row>
    <row r="2618" spans="1:4" x14ac:dyDescent="0.2">
      <c r="A2618" s="41" t="s">
        <v>3753</v>
      </c>
      <c r="B2618" s="2" t="s">
        <v>297</v>
      </c>
      <c r="C2618" s="2" t="s">
        <v>5043</v>
      </c>
      <c r="D2618" s="2" t="s">
        <v>8423</v>
      </c>
    </row>
    <row r="2619" spans="1:4" x14ac:dyDescent="0.2">
      <c r="A2619" s="41" t="s">
        <v>7251</v>
      </c>
      <c r="B2619" s="2" t="s">
        <v>297</v>
      </c>
      <c r="C2619" s="2" t="s">
        <v>5043</v>
      </c>
      <c r="D2619" s="2" t="s">
        <v>8423</v>
      </c>
    </row>
    <row r="2620" spans="1:4" x14ac:dyDescent="0.2">
      <c r="A2620" s="41" t="s">
        <v>7252</v>
      </c>
      <c r="B2620" s="2" t="s">
        <v>518</v>
      </c>
      <c r="C2620" s="2" t="s">
        <v>5043</v>
      </c>
      <c r="D2620" s="2" t="s">
        <v>8423</v>
      </c>
    </row>
    <row r="2621" spans="1:4" x14ac:dyDescent="0.2">
      <c r="A2621" s="41" t="s">
        <v>3788</v>
      </c>
      <c r="B2621" s="2" t="s">
        <v>174</v>
      </c>
      <c r="C2621" s="2" t="s">
        <v>5043</v>
      </c>
      <c r="D2621" s="2" t="s">
        <v>8423</v>
      </c>
    </row>
    <row r="2622" spans="1:4" x14ac:dyDescent="0.2">
      <c r="A2622" s="41" t="s">
        <v>3896</v>
      </c>
      <c r="B2622" s="2" t="s">
        <v>1139</v>
      </c>
      <c r="C2622" s="2" t="s">
        <v>5043</v>
      </c>
      <c r="D2622" s="2" t="s">
        <v>8423</v>
      </c>
    </row>
    <row r="2623" spans="1:4" x14ac:dyDescent="0.2">
      <c r="A2623" s="41" t="s">
        <v>5247</v>
      </c>
      <c r="B2623" s="2" t="s">
        <v>298</v>
      </c>
      <c r="C2623" s="2" t="s">
        <v>5043</v>
      </c>
      <c r="D2623" s="2" t="s">
        <v>8423</v>
      </c>
    </row>
    <row r="2624" spans="1:4" x14ac:dyDescent="0.2">
      <c r="A2624" s="41" t="s">
        <v>7253</v>
      </c>
      <c r="B2624" s="2" t="s">
        <v>298</v>
      </c>
      <c r="C2624" s="2" t="s">
        <v>5043</v>
      </c>
      <c r="D2624" s="2" t="s">
        <v>8423</v>
      </c>
    </row>
    <row r="2625" spans="1:4" x14ac:dyDescent="0.2">
      <c r="A2625" s="41" t="s">
        <v>5248</v>
      </c>
      <c r="B2625" s="2" t="s">
        <v>325</v>
      </c>
      <c r="C2625" s="2" t="s">
        <v>5043</v>
      </c>
      <c r="D2625" s="2" t="s">
        <v>8423</v>
      </c>
    </row>
    <row r="2626" spans="1:4" x14ac:dyDescent="0.2">
      <c r="A2626" s="41" t="s">
        <v>7254</v>
      </c>
      <c r="B2626" s="2" t="s">
        <v>599</v>
      </c>
      <c r="C2626" s="2" t="s">
        <v>5043</v>
      </c>
      <c r="D2626" s="2" t="s">
        <v>8423</v>
      </c>
    </row>
    <row r="2627" spans="1:4" x14ac:dyDescent="0.2">
      <c r="A2627" s="41" t="s">
        <v>7255</v>
      </c>
      <c r="B2627" s="2" t="s">
        <v>295</v>
      </c>
      <c r="C2627" s="2" t="s">
        <v>5043</v>
      </c>
      <c r="D2627" s="2" t="s">
        <v>8423</v>
      </c>
    </row>
    <row r="2628" spans="1:4" x14ac:dyDescent="0.2">
      <c r="A2628" s="41" t="s">
        <v>7256</v>
      </c>
      <c r="B2628" s="2" t="s">
        <v>598</v>
      </c>
      <c r="C2628" s="2" t="s">
        <v>5043</v>
      </c>
      <c r="D2628" s="2" t="s">
        <v>8423</v>
      </c>
    </row>
    <row r="2629" spans="1:4" x14ac:dyDescent="0.2">
      <c r="A2629" s="41" t="s">
        <v>5493</v>
      </c>
      <c r="B2629" s="2" t="s">
        <v>296</v>
      </c>
      <c r="C2629" s="2" t="s">
        <v>5043</v>
      </c>
      <c r="D2629" s="2" t="s">
        <v>8423</v>
      </c>
    </row>
    <row r="2630" spans="1:4" x14ac:dyDescent="0.2">
      <c r="A2630" s="41" t="s">
        <v>5347</v>
      </c>
      <c r="B2630" s="2" t="s">
        <v>324</v>
      </c>
      <c r="C2630" s="2" t="s">
        <v>5043</v>
      </c>
      <c r="D2630" s="2" t="s">
        <v>8423</v>
      </c>
    </row>
    <row r="2631" spans="1:4" x14ac:dyDescent="0.2">
      <c r="A2631" s="41" t="s">
        <v>5047</v>
      </c>
      <c r="B2631" s="2" t="s">
        <v>324</v>
      </c>
      <c r="C2631" s="2" t="s">
        <v>5043</v>
      </c>
      <c r="D2631" s="2" t="s">
        <v>8423</v>
      </c>
    </row>
    <row r="2632" spans="1:4" x14ac:dyDescent="0.2">
      <c r="A2632" s="41" t="s">
        <v>7257</v>
      </c>
      <c r="B2632" s="2" t="s">
        <v>324</v>
      </c>
      <c r="C2632" s="2" t="s">
        <v>5043</v>
      </c>
      <c r="D2632" s="2" t="s">
        <v>8423</v>
      </c>
    </row>
    <row r="2633" spans="1:4" x14ac:dyDescent="0.2">
      <c r="A2633" s="41" t="s">
        <v>2563</v>
      </c>
      <c r="B2633" s="2" t="s">
        <v>324</v>
      </c>
      <c r="C2633" s="2" t="s">
        <v>5043</v>
      </c>
      <c r="D2633" s="2" t="s">
        <v>8404</v>
      </c>
    </row>
    <row r="2634" spans="1:4" x14ac:dyDescent="0.2">
      <c r="A2634" s="41" t="s">
        <v>7258</v>
      </c>
      <c r="B2634" s="2" t="s">
        <v>1138</v>
      </c>
      <c r="C2634" s="2" t="s">
        <v>5043</v>
      </c>
      <c r="D2634" s="2" t="s">
        <v>8423</v>
      </c>
    </row>
    <row r="2635" spans="1:4" x14ac:dyDescent="0.2">
      <c r="A2635" s="41" t="s">
        <v>5504</v>
      </c>
      <c r="B2635" s="2" t="s">
        <v>517</v>
      </c>
      <c r="C2635" s="2" t="s">
        <v>5043</v>
      </c>
      <c r="D2635" s="2" t="s">
        <v>8423</v>
      </c>
    </row>
    <row r="2636" spans="1:4" x14ac:dyDescent="0.2">
      <c r="A2636" s="41" t="s">
        <v>7259</v>
      </c>
      <c r="B2636" s="2" t="s">
        <v>379</v>
      </c>
      <c r="C2636" s="2" t="s">
        <v>5043</v>
      </c>
      <c r="D2636" s="2" t="s">
        <v>8423</v>
      </c>
    </row>
    <row r="2637" spans="1:4" x14ac:dyDescent="0.2">
      <c r="A2637" s="41" t="s">
        <v>7260</v>
      </c>
      <c r="B2637" s="2" t="s">
        <v>299</v>
      </c>
      <c r="C2637" s="2" t="s">
        <v>5043</v>
      </c>
      <c r="D2637" s="2" t="s">
        <v>8423</v>
      </c>
    </row>
    <row r="2638" spans="1:4" x14ac:dyDescent="0.2">
      <c r="A2638" s="41" t="s">
        <v>7261</v>
      </c>
      <c r="B2638" s="2" t="s">
        <v>538</v>
      </c>
      <c r="C2638" s="2" t="s">
        <v>5043</v>
      </c>
      <c r="D2638" s="2" t="s">
        <v>8423</v>
      </c>
    </row>
    <row r="2639" spans="1:4" x14ac:dyDescent="0.2">
      <c r="A2639" s="41" t="s">
        <v>7262</v>
      </c>
      <c r="B2639" s="2" t="s">
        <v>538</v>
      </c>
      <c r="C2639" s="2" t="s">
        <v>5043</v>
      </c>
      <c r="D2639" s="2" t="s">
        <v>8423</v>
      </c>
    </row>
    <row r="2640" spans="1:4" x14ac:dyDescent="0.2">
      <c r="A2640" s="41" t="s">
        <v>7263</v>
      </c>
      <c r="B2640" s="2" t="s">
        <v>538</v>
      </c>
      <c r="C2640" s="2" t="s">
        <v>5043</v>
      </c>
      <c r="D2640" s="2" t="s">
        <v>8423</v>
      </c>
    </row>
    <row r="2641" spans="1:4" x14ac:dyDescent="0.2">
      <c r="A2641" s="41" t="s">
        <v>3801</v>
      </c>
      <c r="B2641" s="2" t="s">
        <v>516</v>
      </c>
      <c r="C2641" s="2" t="s">
        <v>5043</v>
      </c>
      <c r="D2641" s="2" t="s">
        <v>8423</v>
      </c>
    </row>
    <row r="2642" spans="1:4" x14ac:dyDescent="0.2">
      <c r="A2642" s="41" t="s">
        <v>3534</v>
      </c>
      <c r="B2642" s="2" t="s">
        <v>293</v>
      </c>
      <c r="C2642" s="2" t="s">
        <v>5043</v>
      </c>
      <c r="D2642" s="2" t="s">
        <v>8423</v>
      </c>
    </row>
    <row r="2643" spans="1:4" x14ac:dyDescent="0.2">
      <c r="A2643" s="41" t="s">
        <v>7264</v>
      </c>
      <c r="B2643" s="2" t="s">
        <v>293</v>
      </c>
      <c r="C2643" s="2" t="s">
        <v>5043</v>
      </c>
      <c r="D2643" s="2" t="s">
        <v>8423</v>
      </c>
    </row>
    <row r="2644" spans="1:4" x14ac:dyDescent="0.2">
      <c r="A2644" s="41" t="s">
        <v>2739</v>
      </c>
      <c r="B2644" s="2" t="s">
        <v>294</v>
      </c>
      <c r="C2644" s="2" t="s">
        <v>5043</v>
      </c>
      <c r="D2644" s="2" t="s">
        <v>8423</v>
      </c>
    </row>
    <row r="2645" spans="1:4" x14ac:dyDescent="0.2">
      <c r="A2645" s="41" t="s">
        <v>2740</v>
      </c>
      <c r="B2645" s="2" t="s">
        <v>294</v>
      </c>
      <c r="C2645" s="2" t="s">
        <v>5043</v>
      </c>
      <c r="D2645" s="2" t="s">
        <v>8423</v>
      </c>
    </row>
    <row r="2646" spans="1:4" x14ac:dyDescent="0.2">
      <c r="A2646" s="41" t="s">
        <v>7265</v>
      </c>
      <c r="B2646" s="2" t="s">
        <v>294</v>
      </c>
      <c r="C2646" s="2" t="s">
        <v>5043</v>
      </c>
      <c r="D2646" s="2" t="s">
        <v>8423</v>
      </c>
    </row>
    <row r="2647" spans="1:4" x14ac:dyDescent="0.2">
      <c r="A2647" s="41" t="s">
        <v>7266</v>
      </c>
      <c r="B2647" s="2" t="s">
        <v>1140</v>
      </c>
      <c r="C2647" s="2" t="s">
        <v>5043</v>
      </c>
      <c r="D2647" s="2" t="s">
        <v>8423</v>
      </c>
    </row>
    <row r="2648" spans="1:4" x14ac:dyDescent="0.2">
      <c r="A2648" s="41" t="s">
        <v>2606</v>
      </c>
      <c r="B2648" s="2" t="s">
        <v>1141</v>
      </c>
      <c r="C2648" s="2" t="s">
        <v>5043</v>
      </c>
      <c r="D2648" s="2" t="s">
        <v>8404</v>
      </c>
    </row>
    <row r="2649" spans="1:4" x14ac:dyDescent="0.2">
      <c r="A2649" s="41" t="s">
        <v>7267</v>
      </c>
      <c r="B2649" s="2" t="s">
        <v>1142</v>
      </c>
      <c r="C2649" s="2" t="s">
        <v>5043</v>
      </c>
      <c r="D2649" s="2" t="s">
        <v>8423</v>
      </c>
    </row>
    <row r="2650" spans="1:4" x14ac:dyDescent="0.2">
      <c r="A2650" s="41" t="s">
        <v>7268</v>
      </c>
      <c r="B2650" s="2" t="s">
        <v>1142</v>
      </c>
      <c r="C2650" s="2" t="s">
        <v>5043</v>
      </c>
      <c r="D2650" s="2" t="s">
        <v>8423</v>
      </c>
    </row>
    <row r="2651" spans="1:4" x14ac:dyDescent="0.2">
      <c r="A2651" s="41" t="s">
        <v>7269</v>
      </c>
      <c r="B2651" s="2" t="s">
        <v>1143</v>
      </c>
      <c r="C2651" s="2" t="s">
        <v>5043</v>
      </c>
      <c r="D2651" s="2" t="s">
        <v>8423</v>
      </c>
    </row>
    <row r="2652" spans="1:4" x14ac:dyDescent="0.2">
      <c r="A2652" s="41" t="s">
        <v>4716</v>
      </c>
      <c r="B2652" s="2" t="s">
        <v>4717</v>
      </c>
      <c r="C2652" s="2" t="s">
        <v>5043</v>
      </c>
      <c r="D2652" s="2" t="s">
        <v>8404</v>
      </c>
    </row>
    <row r="2653" spans="1:4" x14ac:dyDescent="0.2">
      <c r="A2653" s="41" t="s">
        <v>3421</v>
      </c>
      <c r="B2653" s="2" t="s">
        <v>1144</v>
      </c>
      <c r="C2653" s="2" t="s">
        <v>5043</v>
      </c>
      <c r="D2653" s="2" t="s">
        <v>8423</v>
      </c>
    </row>
    <row r="2654" spans="1:4" x14ac:dyDescent="0.2">
      <c r="A2654" s="41" t="s">
        <v>7270</v>
      </c>
      <c r="B2654" s="2" t="s">
        <v>1145</v>
      </c>
      <c r="C2654" s="2" t="s">
        <v>5043</v>
      </c>
      <c r="D2654" s="2" t="s">
        <v>8423</v>
      </c>
    </row>
    <row r="2655" spans="1:4" x14ac:dyDescent="0.2">
      <c r="A2655" s="41" t="s">
        <v>3430</v>
      </c>
      <c r="B2655" s="2" t="s">
        <v>1146</v>
      </c>
      <c r="C2655" s="2" t="s">
        <v>5043</v>
      </c>
      <c r="D2655" s="2" t="s">
        <v>8423</v>
      </c>
    </row>
    <row r="2656" spans="1:4" x14ac:dyDescent="0.2">
      <c r="A2656" s="41" t="s">
        <v>3431</v>
      </c>
      <c r="B2656" s="2" t="s">
        <v>1146</v>
      </c>
      <c r="C2656" s="2" t="s">
        <v>5043</v>
      </c>
      <c r="D2656" s="2" t="s">
        <v>8423</v>
      </c>
    </row>
    <row r="2657" spans="1:4" x14ac:dyDescent="0.2">
      <c r="A2657" s="41" t="s">
        <v>3432</v>
      </c>
      <c r="B2657" s="2" t="s">
        <v>1146</v>
      </c>
      <c r="C2657" s="2" t="s">
        <v>5043</v>
      </c>
      <c r="D2657" s="2" t="s">
        <v>8423</v>
      </c>
    </row>
    <row r="2658" spans="1:4" x14ac:dyDescent="0.2">
      <c r="A2658" s="41" t="s">
        <v>3433</v>
      </c>
      <c r="B2658" s="2" t="s">
        <v>1146</v>
      </c>
      <c r="C2658" s="2" t="s">
        <v>5043</v>
      </c>
      <c r="D2658" s="2" t="s">
        <v>8423</v>
      </c>
    </row>
    <row r="2659" spans="1:4" x14ac:dyDescent="0.2">
      <c r="A2659" s="41" t="s">
        <v>4616</v>
      </c>
      <c r="B2659" s="2" t="s">
        <v>1146</v>
      </c>
      <c r="C2659" s="2" t="s">
        <v>5043</v>
      </c>
      <c r="D2659" s="2" t="s">
        <v>8423</v>
      </c>
    </row>
    <row r="2660" spans="1:4" x14ac:dyDescent="0.2">
      <c r="A2660" s="41" t="s">
        <v>3489</v>
      </c>
      <c r="B2660" s="2" t="s">
        <v>1147</v>
      </c>
      <c r="C2660" s="2" t="s">
        <v>5043</v>
      </c>
      <c r="D2660" s="2" t="s">
        <v>8423</v>
      </c>
    </row>
    <row r="2661" spans="1:4" x14ac:dyDescent="0.2">
      <c r="A2661" s="41" t="s">
        <v>7271</v>
      </c>
      <c r="B2661" s="2" t="s">
        <v>7272</v>
      </c>
      <c r="C2661" s="2" t="s">
        <v>5043</v>
      </c>
      <c r="D2661" s="2" t="s">
        <v>8404</v>
      </c>
    </row>
    <row r="2662" spans="1:4" x14ac:dyDescent="0.2">
      <c r="A2662" s="41" t="s">
        <v>2564</v>
      </c>
      <c r="B2662" s="2" t="s">
        <v>172</v>
      </c>
      <c r="C2662" s="2" t="s">
        <v>5043</v>
      </c>
      <c r="D2662" s="2" t="s">
        <v>8404</v>
      </c>
    </row>
    <row r="2663" spans="1:4" x14ac:dyDescent="0.2">
      <c r="A2663" s="41" t="s">
        <v>7273</v>
      </c>
      <c r="B2663" s="2" t="s">
        <v>1148</v>
      </c>
      <c r="C2663" s="2" t="s">
        <v>5043</v>
      </c>
      <c r="D2663" s="2" t="s">
        <v>8423</v>
      </c>
    </row>
    <row r="2664" spans="1:4" x14ac:dyDescent="0.2">
      <c r="A2664" s="41" t="s">
        <v>4617</v>
      </c>
      <c r="B2664" s="2" t="s">
        <v>7274</v>
      </c>
      <c r="C2664" s="2" t="s">
        <v>5043</v>
      </c>
      <c r="D2664" s="2" t="s">
        <v>8423</v>
      </c>
    </row>
    <row r="2665" spans="1:4" x14ac:dyDescent="0.2">
      <c r="A2665" s="41" t="s">
        <v>7275</v>
      </c>
      <c r="B2665" s="2" t="s">
        <v>1149</v>
      </c>
      <c r="C2665" s="2" t="s">
        <v>5043</v>
      </c>
      <c r="D2665" s="2" t="s">
        <v>8423</v>
      </c>
    </row>
    <row r="2666" spans="1:4" x14ac:dyDescent="0.2">
      <c r="A2666" s="41" t="s">
        <v>7276</v>
      </c>
      <c r="B2666" s="2" t="s">
        <v>1149</v>
      </c>
      <c r="C2666" s="2" t="s">
        <v>5043</v>
      </c>
      <c r="D2666" s="2" t="s">
        <v>8423</v>
      </c>
    </row>
    <row r="2667" spans="1:4" x14ac:dyDescent="0.2">
      <c r="A2667" s="41" t="s">
        <v>4718</v>
      </c>
      <c r="B2667" s="2" t="s">
        <v>4719</v>
      </c>
      <c r="C2667" s="2" t="s">
        <v>5043</v>
      </c>
      <c r="D2667" s="2" t="s">
        <v>8423</v>
      </c>
    </row>
    <row r="2668" spans="1:4" x14ac:dyDescent="0.2">
      <c r="A2668" s="41" t="s">
        <v>4622</v>
      </c>
      <c r="B2668" s="2" t="s">
        <v>4623</v>
      </c>
      <c r="C2668" s="2" t="s">
        <v>5043</v>
      </c>
      <c r="D2668" s="2" t="s">
        <v>8423</v>
      </c>
    </row>
    <row r="2669" spans="1:4" x14ac:dyDescent="0.2">
      <c r="A2669" s="41" t="s">
        <v>4720</v>
      </c>
      <c r="B2669" s="2" t="s">
        <v>4721</v>
      </c>
      <c r="C2669" s="2" t="s">
        <v>5043</v>
      </c>
      <c r="D2669" s="2" t="s">
        <v>8423</v>
      </c>
    </row>
    <row r="2670" spans="1:4" x14ac:dyDescent="0.2">
      <c r="A2670" s="41" t="s">
        <v>4722</v>
      </c>
      <c r="B2670" s="2" t="s">
        <v>4721</v>
      </c>
      <c r="C2670" s="2" t="s">
        <v>5043</v>
      </c>
      <c r="D2670" s="2" t="s">
        <v>8423</v>
      </c>
    </row>
    <row r="2671" spans="1:4" x14ac:dyDescent="0.2">
      <c r="A2671" s="41" t="s">
        <v>4723</v>
      </c>
      <c r="B2671" s="2" t="s">
        <v>4721</v>
      </c>
      <c r="C2671" s="2" t="s">
        <v>5043</v>
      </c>
      <c r="D2671" s="2" t="s">
        <v>8423</v>
      </c>
    </row>
    <row r="2672" spans="1:4" x14ac:dyDescent="0.2">
      <c r="A2672" s="41" t="s">
        <v>4724</v>
      </c>
      <c r="B2672" s="2" t="s">
        <v>4721</v>
      </c>
      <c r="C2672" s="2" t="s">
        <v>5043</v>
      </c>
      <c r="D2672" s="2" t="s">
        <v>8423</v>
      </c>
    </row>
    <row r="2673" spans="1:4" x14ac:dyDescent="0.2">
      <c r="A2673" s="41" t="s">
        <v>4725</v>
      </c>
      <c r="B2673" s="2" t="s">
        <v>4721</v>
      </c>
      <c r="C2673" s="2" t="s">
        <v>5043</v>
      </c>
      <c r="D2673" s="2" t="s">
        <v>8423</v>
      </c>
    </row>
    <row r="2674" spans="1:4" x14ac:dyDescent="0.2">
      <c r="A2674" s="41" t="s">
        <v>4726</v>
      </c>
      <c r="B2674" s="2" t="s">
        <v>4721</v>
      </c>
      <c r="C2674" s="2" t="s">
        <v>5043</v>
      </c>
      <c r="D2674" s="2" t="s">
        <v>8423</v>
      </c>
    </row>
    <row r="2675" spans="1:4" x14ac:dyDescent="0.2">
      <c r="A2675" s="41" t="s">
        <v>4727</v>
      </c>
      <c r="B2675" s="2" t="s">
        <v>4728</v>
      </c>
      <c r="C2675" s="2" t="s">
        <v>5043</v>
      </c>
      <c r="D2675" s="2" t="s">
        <v>8423</v>
      </c>
    </row>
    <row r="2676" spans="1:4" x14ac:dyDescent="0.2">
      <c r="A2676" s="41" t="s">
        <v>4729</v>
      </c>
      <c r="B2676" s="2" t="s">
        <v>4728</v>
      </c>
      <c r="C2676" s="2" t="s">
        <v>5043</v>
      </c>
      <c r="D2676" s="2" t="s">
        <v>8423</v>
      </c>
    </row>
    <row r="2677" spans="1:4" x14ac:dyDescent="0.2">
      <c r="A2677" s="41" t="s">
        <v>4730</v>
      </c>
      <c r="B2677" s="2" t="s">
        <v>4731</v>
      </c>
      <c r="C2677" s="2" t="s">
        <v>5043</v>
      </c>
      <c r="D2677" s="2" t="s">
        <v>8423</v>
      </c>
    </row>
    <row r="2678" spans="1:4" x14ac:dyDescent="0.2">
      <c r="A2678" s="41" t="s">
        <v>4732</v>
      </c>
      <c r="B2678" s="2" t="s">
        <v>4733</v>
      </c>
      <c r="C2678" s="2" t="s">
        <v>5043</v>
      </c>
      <c r="D2678" s="2" t="s">
        <v>8404</v>
      </c>
    </row>
    <row r="2679" spans="1:4" x14ac:dyDescent="0.2">
      <c r="A2679" s="41" t="s">
        <v>4734</v>
      </c>
      <c r="B2679" s="2" t="s">
        <v>4735</v>
      </c>
      <c r="C2679" s="2" t="s">
        <v>5043</v>
      </c>
      <c r="D2679" s="2" t="s">
        <v>8404</v>
      </c>
    </row>
    <row r="2680" spans="1:4" x14ac:dyDescent="0.2">
      <c r="A2680" s="41" t="s">
        <v>4736</v>
      </c>
      <c r="B2680" s="2" t="s">
        <v>4735</v>
      </c>
      <c r="C2680" s="2" t="s">
        <v>5043</v>
      </c>
      <c r="D2680" s="2" t="s">
        <v>8404</v>
      </c>
    </row>
    <row r="2681" spans="1:4" x14ac:dyDescent="0.2">
      <c r="A2681" s="41" t="s">
        <v>4737</v>
      </c>
      <c r="B2681" s="2" t="s">
        <v>4735</v>
      </c>
      <c r="C2681" s="2" t="s">
        <v>5043</v>
      </c>
      <c r="D2681" s="2" t="s">
        <v>8404</v>
      </c>
    </row>
    <row r="2682" spans="1:4" x14ac:dyDescent="0.2">
      <c r="A2682" s="41" t="s">
        <v>4738</v>
      </c>
      <c r="B2682" s="2" t="s">
        <v>4739</v>
      </c>
      <c r="C2682" s="2" t="s">
        <v>5043</v>
      </c>
      <c r="D2682" s="2" t="s">
        <v>8404</v>
      </c>
    </row>
    <row r="2683" spans="1:4" x14ac:dyDescent="0.2">
      <c r="A2683" s="41" t="s">
        <v>4740</v>
      </c>
      <c r="B2683" s="2" t="s">
        <v>4739</v>
      </c>
      <c r="C2683" s="2" t="s">
        <v>5043</v>
      </c>
      <c r="D2683" s="2" t="s">
        <v>8404</v>
      </c>
    </row>
    <row r="2684" spans="1:4" x14ac:dyDescent="0.2">
      <c r="A2684" s="41" t="s">
        <v>4741</v>
      </c>
      <c r="B2684" s="2" t="s">
        <v>4742</v>
      </c>
      <c r="C2684" s="2" t="s">
        <v>5043</v>
      </c>
      <c r="D2684" s="2" t="s">
        <v>8404</v>
      </c>
    </row>
    <row r="2685" spans="1:4" x14ac:dyDescent="0.2">
      <c r="A2685" s="41" t="s">
        <v>4743</v>
      </c>
      <c r="B2685" s="2" t="s">
        <v>4742</v>
      </c>
      <c r="C2685" s="2" t="s">
        <v>5043</v>
      </c>
      <c r="D2685" s="2" t="s">
        <v>8404</v>
      </c>
    </row>
    <row r="2686" spans="1:4" x14ac:dyDescent="0.2">
      <c r="A2686" s="41" t="s">
        <v>4744</v>
      </c>
      <c r="B2686" s="2" t="s">
        <v>4745</v>
      </c>
      <c r="C2686" s="2" t="s">
        <v>5043</v>
      </c>
      <c r="D2686" s="2" t="s">
        <v>8404</v>
      </c>
    </row>
    <row r="2687" spans="1:4" x14ac:dyDescent="0.2">
      <c r="A2687" s="41" t="s">
        <v>4746</v>
      </c>
      <c r="B2687" s="2" t="s">
        <v>4747</v>
      </c>
      <c r="C2687" s="2" t="s">
        <v>5043</v>
      </c>
      <c r="D2687" s="2" t="s">
        <v>8404</v>
      </c>
    </row>
    <row r="2688" spans="1:4" x14ac:dyDescent="0.2">
      <c r="A2688" s="41" t="s">
        <v>4748</v>
      </c>
      <c r="B2688" s="2" t="s">
        <v>4749</v>
      </c>
      <c r="C2688" s="2" t="s">
        <v>5043</v>
      </c>
      <c r="D2688" s="2" t="s">
        <v>8404</v>
      </c>
    </row>
    <row r="2689" spans="1:4" x14ac:dyDescent="0.2">
      <c r="A2689" s="41" t="s">
        <v>4750</v>
      </c>
      <c r="B2689" s="2" t="s">
        <v>4751</v>
      </c>
      <c r="C2689" s="2" t="s">
        <v>5043</v>
      </c>
      <c r="D2689" s="2" t="s">
        <v>8404</v>
      </c>
    </row>
    <row r="2690" spans="1:4" x14ac:dyDescent="0.2">
      <c r="A2690" s="41" t="s">
        <v>4752</v>
      </c>
      <c r="B2690" s="2" t="s">
        <v>4753</v>
      </c>
      <c r="C2690" s="2" t="s">
        <v>5043</v>
      </c>
      <c r="D2690" s="2" t="s">
        <v>8404</v>
      </c>
    </row>
    <row r="2691" spans="1:4" x14ac:dyDescent="0.2">
      <c r="A2691" s="41" t="s">
        <v>4754</v>
      </c>
      <c r="B2691" s="2" t="s">
        <v>4753</v>
      </c>
      <c r="C2691" s="2" t="s">
        <v>5043</v>
      </c>
      <c r="D2691" s="2" t="s">
        <v>8404</v>
      </c>
    </row>
    <row r="2692" spans="1:4" x14ac:dyDescent="0.2">
      <c r="A2692" s="41" t="s">
        <v>4755</v>
      </c>
      <c r="B2692" s="2" t="s">
        <v>4756</v>
      </c>
      <c r="C2692" s="2" t="s">
        <v>5043</v>
      </c>
      <c r="D2692" s="2" t="s">
        <v>8404</v>
      </c>
    </row>
    <row r="2693" spans="1:4" x14ac:dyDescent="0.2">
      <c r="A2693" s="41" t="s">
        <v>4757</v>
      </c>
      <c r="B2693" s="2" t="s">
        <v>4756</v>
      </c>
      <c r="C2693" s="2" t="s">
        <v>5043</v>
      </c>
      <c r="D2693" s="2" t="s">
        <v>8404</v>
      </c>
    </row>
    <row r="2694" spans="1:4" x14ac:dyDescent="0.2">
      <c r="A2694" s="41" t="s">
        <v>4758</v>
      </c>
      <c r="B2694" s="2" t="s">
        <v>4756</v>
      </c>
      <c r="C2694" s="2" t="s">
        <v>5043</v>
      </c>
      <c r="D2694" s="2" t="s">
        <v>8404</v>
      </c>
    </row>
    <row r="2695" spans="1:4" x14ac:dyDescent="0.2">
      <c r="A2695" s="41" t="s">
        <v>4759</v>
      </c>
      <c r="B2695" s="2" t="s">
        <v>4760</v>
      </c>
      <c r="C2695" s="2" t="s">
        <v>5043</v>
      </c>
      <c r="D2695" s="2" t="s">
        <v>8404</v>
      </c>
    </row>
    <row r="2696" spans="1:4" x14ac:dyDescent="0.2">
      <c r="A2696" s="41" t="s">
        <v>4761</v>
      </c>
      <c r="B2696" s="2" t="s">
        <v>4760</v>
      </c>
      <c r="C2696" s="2" t="s">
        <v>5043</v>
      </c>
      <c r="D2696" s="2" t="s">
        <v>8404</v>
      </c>
    </row>
    <row r="2697" spans="1:4" x14ac:dyDescent="0.2">
      <c r="A2697" s="41" t="s">
        <v>4762</v>
      </c>
      <c r="B2697" s="2" t="s">
        <v>4763</v>
      </c>
      <c r="C2697" s="2" t="s">
        <v>5043</v>
      </c>
      <c r="D2697" s="2" t="s">
        <v>8404</v>
      </c>
    </row>
    <row r="2698" spans="1:4" x14ac:dyDescent="0.2">
      <c r="A2698" s="41" t="s">
        <v>4764</v>
      </c>
      <c r="B2698" s="2" t="s">
        <v>4763</v>
      </c>
      <c r="C2698" s="2" t="s">
        <v>5043</v>
      </c>
      <c r="D2698" s="2" t="s">
        <v>8404</v>
      </c>
    </row>
    <row r="2699" spans="1:4" x14ac:dyDescent="0.2">
      <c r="A2699" s="41" t="s">
        <v>4765</v>
      </c>
      <c r="B2699" s="2" t="s">
        <v>4763</v>
      </c>
      <c r="C2699" s="2" t="s">
        <v>5043</v>
      </c>
      <c r="D2699" s="2" t="s">
        <v>8404</v>
      </c>
    </row>
    <row r="2700" spans="1:4" x14ac:dyDescent="0.2">
      <c r="A2700" s="41" t="s">
        <v>4766</v>
      </c>
      <c r="B2700" s="2" t="s">
        <v>4763</v>
      </c>
      <c r="C2700" s="2" t="s">
        <v>5043</v>
      </c>
      <c r="D2700" s="2" t="s">
        <v>8404</v>
      </c>
    </row>
    <row r="2701" spans="1:4" x14ac:dyDescent="0.2">
      <c r="A2701" s="41" t="s">
        <v>4767</v>
      </c>
      <c r="B2701" s="2" t="s">
        <v>4763</v>
      </c>
      <c r="C2701" s="2" t="s">
        <v>5043</v>
      </c>
      <c r="D2701" s="2" t="s">
        <v>8404</v>
      </c>
    </row>
    <row r="2702" spans="1:4" x14ac:dyDescent="0.2">
      <c r="A2702" s="41" t="s">
        <v>4768</v>
      </c>
      <c r="B2702" s="2" t="s">
        <v>4769</v>
      </c>
      <c r="C2702" s="2" t="s">
        <v>5043</v>
      </c>
      <c r="D2702" s="2" t="s">
        <v>8404</v>
      </c>
    </row>
    <row r="2703" spans="1:4" x14ac:dyDescent="0.2">
      <c r="A2703" s="41" t="s">
        <v>4770</v>
      </c>
      <c r="B2703" s="2" t="s">
        <v>4771</v>
      </c>
      <c r="C2703" s="2" t="s">
        <v>5043</v>
      </c>
      <c r="D2703" s="2" t="s">
        <v>8404</v>
      </c>
    </row>
    <row r="2704" spans="1:4" x14ac:dyDescent="0.2">
      <c r="A2704" s="41" t="s">
        <v>4772</v>
      </c>
      <c r="B2704" s="2" t="s">
        <v>4773</v>
      </c>
      <c r="C2704" s="2" t="s">
        <v>5043</v>
      </c>
      <c r="D2704" s="2" t="s">
        <v>8404</v>
      </c>
    </row>
    <row r="2705" spans="1:4" x14ac:dyDescent="0.2">
      <c r="A2705" s="41" t="s">
        <v>4774</v>
      </c>
      <c r="B2705" s="2" t="s">
        <v>4775</v>
      </c>
      <c r="C2705" s="2" t="s">
        <v>5043</v>
      </c>
      <c r="D2705" s="2" t="s">
        <v>8404</v>
      </c>
    </row>
    <row r="2706" spans="1:4" x14ac:dyDescent="0.2">
      <c r="A2706" s="41" t="s">
        <v>4776</v>
      </c>
      <c r="B2706" s="2" t="s">
        <v>4777</v>
      </c>
      <c r="C2706" s="2" t="s">
        <v>5043</v>
      </c>
      <c r="D2706" s="2" t="s">
        <v>8404</v>
      </c>
    </row>
    <row r="2707" spans="1:4" x14ac:dyDescent="0.2">
      <c r="A2707" s="41" t="s">
        <v>4778</v>
      </c>
      <c r="B2707" s="2" t="s">
        <v>4777</v>
      </c>
      <c r="C2707" s="2" t="s">
        <v>5043</v>
      </c>
      <c r="D2707" s="2" t="s">
        <v>8404</v>
      </c>
    </row>
    <row r="2708" spans="1:4" x14ac:dyDescent="0.2">
      <c r="A2708" s="41" t="s">
        <v>4779</v>
      </c>
      <c r="B2708" s="2" t="s">
        <v>4780</v>
      </c>
      <c r="C2708" s="2" t="s">
        <v>5043</v>
      </c>
      <c r="D2708" s="2" t="s">
        <v>8404</v>
      </c>
    </row>
    <row r="2709" spans="1:4" x14ac:dyDescent="0.2">
      <c r="A2709" s="41" t="s">
        <v>4781</v>
      </c>
      <c r="B2709" s="2" t="s">
        <v>4625</v>
      </c>
      <c r="C2709" s="2" t="s">
        <v>5043</v>
      </c>
      <c r="D2709" s="2" t="s">
        <v>8404</v>
      </c>
    </row>
    <row r="2710" spans="1:4" x14ac:dyDescent="0.2">
      <c r="A2710" s="41" t="s">
        <v>4782</v>
      </c>
      <c r="B2710" s="2" t="s">
        <v>4625</v>
      </c>
      <c r="C2710" s="2" t="s">
        <v>5043</v>
      </c>
      <c r="D2710" s="2" t="s">
        <v>8404</v>
      </c>
    </row>
    <row r="2711" spans="1:4" x14ac:dyDescent="0.2">
      <c r="A2711" s="41" t="s">
        <v>4624</v>
      </c>
      <c r="B2711" s="2" t="s">
        <v>4625</v>
      </c>
      <c r="C2711" s="2" t="s">
        <v>5043</v>
      </c>
      <c r="D2711" s="2" t="s">
        <v>8404</v>
      </c>
    </row>
    <row r="2712" spans="1:4" x14ac:dyDescent="0.2">
      <c r="A2712" s="41" t="s">
        <v>4783</v>
      </c>
      <c r="B2712" s="2" t="s">
        <v>4784</v>
      </c>
      <c r="C2712" s="2" t="s">
        <v>5043</v>
      </c>
      <c r="D2712" s="2" t="s">
        <v>8404</v>
      </c>
    </row>
    <row r="2713" spans="1:4" x14ac:dyDescent="0.2">
      <c r="A2713" s="41" t="s">
        <v>4785</v>
      </c>
      <c r="B2713" s="2" t="s">
        <v>4784</v>
      </c>
      <c r="C2713" s="2" t="s">
        <v>5043</v>
      </c>
      <c r="D2713" s="2" t="s">
        <v>8404</v>
      </c>
    </row>
    <row r="2714" spans="1:4" x14ac:dyDescent="0.2">
      <c r="A2714" s="41" t="s">
        <v>4786</v>
      </c>
      <c r="B2714" s="2" t="s">
        <v>4784</v>
      </c>
      <c r="C2714" s="2" t="s">
        <v>5043</v>
      </c>
      <c r="D2714" s="2" t="s">
        <v>8404</v>
      </c>
    </row>
    <row r="2715" spans="1:4" x14ac:dyDescent="0.2">
      <c r="A2715" s="41" t="s">
        <v>4787</v>
      </c>
      <c r="B2715" s="2" t="s">
        <v>4788</v>
      </c>
      <c r="C2715" s="2" t="s">
        <v>5043</v>
      </c>
      <c r="D2715" s="2" t="s">
        <v>8404</v>
      </c>
    </row>
    <row r="2716" spans="1:4" x14ac:dyDescent="0.2">
      <c r="A2716" s="41" t="s">
        <v>4789</v>
      </c>
      <c r="B2716" s="2" t="s">
        <v>4788</v>
      </c>
      <c r="C2716" s="2" t="s">
        <v>5043</v>
      </c>
      <c r="D2716" s="2" t="s">
        <v>8404</v>
      </c>
    </row>
    <row r="2717" spans="1:4" x14ac:dyDescent="0.2">
      <c r="A2717" s="41" t="s">
        <v>4790</v>
      </c>
      <c r="B2717" s="2" t="s">
        <v>4788</v>
      </c>
      <c r="C2717" s="2" t="s">
        <v>5043</v>
      </c>
      <c r="D2717" s="2" t="s">
        <v>8404</v>
      </c>
    </row>
    <row r="2718" spans="1:4" x14ac:dyDescent="0.2">
      <c r="A2718" s="41" t="s">
        <v>4791</v>
      </c>
      <c r="B2718" s="2" t="s">
        <v>4788</v>
      </c>
      <c r="C2718" s="2" t="s">
        <v>5043</v>
      </c>
      <c r="D2718" s="2" t="s">
        <v>8404</v>
      </c>
    </row>
    <row r="2719" spans="1:4" x14ac:dyDescent="0.2">
      <c r="A2719" s="41" t="s">
        <v>4792</v>
      </c>
      <c r="B2719" s="2" t="s">
        <v>4793</v>
      </c>
      <c r="C2719" s="2" t="s">
        <v>5043</v>
      </c>
      <c r="D2719" s="2" t="s">
        <v>8404</v>
      </c>
    </row>
    <row r="2720" spans="1:4" x14ac:dyDescent="0.2">
      <c r="A2720" s="41" t="s">
        <v>4794</v>
      </c>
      <c r="B2720" s="2" t="s">
        <v>4793</v>
      </c>
      <c r="C2720" s="2" t="s">
        <v>5043</v>
      </c>
      <c r="D2720" s="2" t="s">
        <v>8404</v>
      </c>
    </row>
    <row r="2721" spans="1:4" x14ac:dyDescent="0.2">
      <c r="A2721" s="41" t="s">
        <v>4795</v>
      </c>
      <c r="B2721" s="2" t="s">
        <v>4793</v>
      </c>
      <c r="C2721" s="2" t="s">
        <v>5043</v>
      </c>
      <c r="D2721" s="2" t="s">
        <v>8404</v>
      </c>
    </row>
    <row r="2722" spans="1:4" x14ac:dyDescent="0.2">
      <c r="A2722" s="41" t="s">
        <v>4796</v>
      </c>
      <c r="B2722" s="2" t="s">
        <v>4793</v>
      </c>
      <c r="C2722" s="2" t="s">
        <v>5043</v>
      </c>
      <c r="D2722" s="2" t="s">
        <v>8404</v>
      </c>
    </row>
    <row r="2723" spans="1:4" x14ac:dyDescent="0.2">
      <c r="A2723" s="41" t="s">
        <v>4797</v>
      </c>
      <c r="B2723" s="2" t="s">
        <v>4793</v>
      </c>
      <c r="C2723" s="2" t="s">
        <v>5043</v>
      </c>
      <c r="D2723" s="2" t="s">
        <v>8404</v>
      </c>
    </row>
    <row r="2724" spans="1:4" x14ac:dyDescent="0.2">
      <c r="A2724" s="41" t="s">
        <v>4798</v>
      </c>
      <c r="B2724" s="2" t="s">
        <v>4799</v>
      </c>
      <c r="C2724" s="2" t="s">
        <v>5043</v>
      </c>
      <c r="D2724" s="2" t="s">
        <v>8404</v>
      </c>
    </row>
    <row r="2725" spans="1:4" x14ac:dyDescent="0.2">
      <c r="A2725" s="41" t="s">
        <v>4800</v>
      </c>
      <c r="B2725" s="2" t="s">
        <v>4801</v>
      </c>
      <c r="C2725" s="2" t="s">
        <v>5043</v>
      </c>
      <c r="D2725" s="2" t="s">
        <v>8404</v>
      </c>
    </row>
    <row r="2726" spans="1:4" x14ac:dyDescent="0.2">
      <c r="A2726" s="41" t="s">
        <v>4802</v>
      </c>
      <c r="B2726" s="2" t="s">
        <v>4801</v>
      </c>
      <c r="C2726" s="2" t="s">
        <v>5043</v>
      </c>
      <c r="D2726" s="2" t="s">
        <v>8404</v>
      </c>
    </row>
    <row r="2727" spans="1:4" x14ac:dyDescent="0.2">
      <c r="A2727" s="41" t="s">
        <v>4803</v>
      </c>
      <c r="B2727" s="2" t="s">
        <v>4801</v>
      </c>
      <c r="C2727" s="2" t="s">
        <v>5043</v>
      </c>
      <c r="D2727" s="2" t="s">
        <v>8404</v>
      </c>
    </row>
    <row r="2728" spans="1:4" x14ac:dyDescent="0.2">
      <c r="A2728" s="41" t="s">
        <v>4804</v>
      </c>
      <c r="B2728" s="2" t="s">
        <v>4805</v>
      </c>
      <c r="C2728" s="2" t="s">
        <v>5043</v>
      </c>
      <c r="D2728" s="2" t="s">
        <v>8404</v>
      </c>
    </row>
    <row r="2729" spans="1:4" x14ac:dyDescent="0.2">
      <c r="A2729" s="41" t="s">
        <v>4806</v>
      </c>
      <c r="B2729" s="2" t="s">
        <v>4807</v>
      </c>
      <c r="C2729" s="2" t="s">
        <v>5043</v>
      </c>
      <c r="D2729" s="2" t="s">
        <v>8404</v>
      </c>
    </row>
    <row r="2730" spans="1:4" x14ac:dyDescent="0.2">
      <c r="A2730" s="41" t="s">
        <v>4808</v>
      </c>
      <c r="B2730" s="2" t="s">
        <v>4807</v>
      </c>
      <c r="C2730" s="2" t="s">
        <v>5043</v>
      </c>
      <c r="D2730" s="2" t="s">
        <v>8404</v>
      </c>
    </row>
    <row r="2731" spans="1:4" x14ac:dyDescent="0.2">
      <c r="A2731" s="41" t="s">
        <v>4809</v>
      </c>
      <c r="B2731" s="2" t="s">
        <v>4807</v>
      </c>
      <c r="C2731" s="2" t="s">
        <v>5043</v>
      </c>
      <c r="D2731" s="2" t="s">
        <v>8404</v>
      </c>
    </row>
    <row r="2732" spans="1:4" x14ac:dyDescent="0.2">
      <c r="A2732" s="41" t="s">
        <v>4810</v>
      </c>
      <c r="B2732" s="2" t="s">
        <v>4807</v>
      </c>
      <c r="C2732" s="2" t="s">
        <v>5043</v>
      </c>
      <c r="D2732" s="2" t="s">
        <v>8404</v>
      </c>
    </row>
    <row r="2733" spans="1:4" x14ac:dyDescent="0.2">
      <c r="A2733" s="41" t="s">
        <v>4811</v>
      </c>
      <c r="B2733" s="2" t="s">
        <v>4807</v>
      </c>
      <c r="C2733" s="2" t="s">
        <v>5043</v>
      </c>
      <c r="D2733" s="2" t="s">
        <v>8404</v>
      </c>
    </row>
    <row r="2734" spans="1:4" x14ac:dyDescent="0.2">
      <c r="A2734" s="41" t="s">
        <v>4812</v>
      </c>
      <c r="B2734" s="2" t="s">
        <v>4807</v>
      </c>
      <c r="C2734" s="2" t="s">
        <v>5043</v>
      </c>
      <c r="D2734" s="2" t="s">
        <v>8404</v>
      </c>
    </row>
    <row r="2735" spans="1:4" x14ac:dyDescent="0.2">
      <c r="A2735" s="41" t="s">
        <v>4813</v>
      </c>
      <c r="B2735" s="2" t="s">
        <v>4814</v>
      </c>
      <c r="C2735" s="2" t="s">
        <v>5043</v>
      </c>
      <c r="D2735" s="2" t="s">
        <v>8404</v>
      </c>
    </row>
    <row r="2736" spans="1:4" x14ac:dyDescent="0.2">
      <c r="A2736" s="41" t="s">
        <v>4815</v>
      </c>
      <c r="B2736" s="2" t="s">
        <v>4814</v>
      </c>
      <c r="C2736" s="2" t="s">
        <v>5043</v>
      </c>
      <c r="D2736" s="2" t="s">
        <v>8404</v>
      </c>
    </row>
    <row r="2737" spans="1:4" x14ac:dyDescent="0.2">
      <c r="A2737" s="41" t="s">
        <v>4816</v>
      </c>
      <c r="B2737" s="2" t="s">
        <v>4817</v>
      </c>
      <c r="C2737" s="2" t="s">
        <v>5043</v>
      </c>
      <c r="D2737" s="2" t="s">
        <v>8404</v>
      </c>
    </row>
    <row r="2738" spans="1:4" x14ac:dyDescent="0.2">
      <c r="A2738" s="41" t="s">
        <v>4818</v>
      </c>
      <c r="B2738" s="2" t="s">
        <v>4817</v>
      </c>
      <c r="C2738" s="2" t="s">
        <v>5043</v>
      </c>
      <c r="D2738" s="2" t="s">
        <v>8404</v>
      </c>
    </row>
    <row r="2739" spans="1:4" x14ac:dyDescent="0.2">
      <c r="A2739" s="41" t="s">
        <v>4819</v>
      </c>
      <c r="B2739" s="2" t="s">
        <v>4817</v>
      </c>
      <c r="C2739" s="2" t="s">
        <v>5043</v>
      </c>
      <c r="D2739" s="2" t="s">
        <v>8404</v>
      </c>
    </row>
    <row r="2740" spans="1:4" x14ac:dyDescent="0.2">
      <c r="A2740" s="41" t="s">
        <v>4820</v>
      </c>
      <c r="B2740" s="2" t="s">
        <v>4817</v>
      </c>
      <c r="C2740" s="2" t="s">
        <v>5043</v>
      </c>
      <c r="D2740" s="2" t="s">
        <v>8404</v>
      </c>
    </row>
    <row r="2741" spans="1:4" x14ac:dyDescent="0.2">
      <c r="A2741" s="41" t="s">
        <v>4821</v>
      </c>
      <c r="B2741" s="2" t="s">
        <v>4822</v>
      </c>
      <c r="C2741" s="2" t="s">
        <v>5043</v>
      </c>
      <c r="D2741" s="2" t="s">
        <v>8404</v>
      </c>
    </row>
    <row r="2742" spans="1:4" x14ac:dyDescent="0.2">
      <c r="A2742" s="41" t="s">
        <v>4823</v>
      </c>
      <c r="B2742" s="2" t="s">
        <v>4822</v>
      </c>
      <c r="C2742" s="2" t="s">
        <v>5043</v>
      </c>
      <c r="D2742" s="2" t="s">
        <v>8404</v>
      </c>
    </row>
    <row r="2743" spans="1:4" x14ac:dyDescent="0.2">
      <c r="A2743" s="41" t="s">
        <v>4824</v>
      </c>
      <c r="B2743" s="2" t="s">
        <v>4825</v>
      </c>
      <c r="C2743" s="2" t="s">
        <v>5043</v>
      </c>
      <c r="D2743" s="2" t="s">
        <v>8404</v>
      </c>
    </row>
    <row r="2744" spans="1:4" x14ac:dyDescent="0.2">
      <c r="A2744" s="41" t="s">
        <v>4826</v>
      </c>
      <c r="B2744" s="2" t="s">
        <v>4825</v>
      </c>
      <c r="C2744" s="2" t="s">
        <v>5043</v>
      </c>
      <c r="D2744" s="2" t="s">
        <v>8404</v>
      </c>
    </row>
    <row r="2745" spans="1:4" x14ac:dyDescent="0.2">
      <c r="A2745" s="41" t="s">
        <v>4827</v>
      </c>
      <c r="B2745" s="2" t="s">
        <v>4825</v>
      </c>
      <c r="C2745" s="2" t="s">
        <v>5043</v>
      </c>
      <c r="D2745" s="2" t="s">
        <v>8404</v>
      </c>
    </row>
    <row r="2746" spans="1:4" x14ac:dyDescent="0.2">
      <c r="A2746" s="41" t="s">
        <v>4828</v>
      </c>
      <c r="B2746" s="2" t="s">
        <v>4829</v>
      </c>
      <c r="C2746" s="2" t="s">
        <v>5043</v>
      </c>
      <c r="D2746" s="2" t="s">
        <v>8404</v>
      </c>
    </row>
    <row r="2747" spans="1:4" x14ac:dyDescent="0.2">
      <c r="A2747" s="41" t="s">
        <v>4830</v>
      </c>
      <c r="B2747" s="2" t="s">
        <v>4829</v>
      </c>
      <c r="C2747" s="2" t="s">
        <v>5043</v>
      </c>
      <c r="D2747" s="2" t="s">
        <v>8404</v>
      </c>
    </row>
    <row r="2748" spans="1:4" x14ac:dyDescent="0.2">
      <c r="A2748" s="41" t="s">
        <v>4831</v>
      </c>
      <c r="B2748" s="2" t="s">
        <v>4829</v>
      </c>
      <c r="C2748" s="2" t="s">
        <v>5043</v>
      </c>
      <c r="D2748" s="2" t="s">
        <v>8404</v>
      </c>
    </row>
    <row r="2749" spans="1:4" x14ac:dyDescent="0.2">
      <c r="A2749" s="41" t="s">
        <v>4832</v>
      </c>
      <c r="B2749" s="2" t="s">
        <v>4833</v>
      </c>
      <c r="C2749" s="2" t="s">
        <v>5043</v>
      </c>
      <c r="D2749" s="2" t="s">
        <v>8404</v>
      </c>
    </row>
    <row r="2750" spans="1:4" x14ac:dyDescent="0.2">
      <c r="A2750" s="41" t="s">
        <v>4834</v>
      </c>
      <c r="B2750" s="2" t="s">
        <v>4833</v>
      </c>
      <c r="C2750" s="2" t="s">
        <v>5043</v>
      </c>
      <c r="D2750" s="2" t="s">
        <v>8404</v>
      </c>
    </row>
    <row r="2751" spans="1:4" x14ac:dyDescent="0.2">
      <c r="A2751" s="41" t="s">
        <v>4835</v>
      </c>
      <c r="B2751" s="2" t="s">
        <v>4833</v>
      </c>
      <c r="C2751" s="2" t="s">
        <v>5043</v>
      </c>
      <c r="D2751" s="2" t="s">
        <v>8404</v>
      </c>
    </row>
    <row r="2752" spans="1:4" x14ac:dyDescent="0.2">
      <c r="A2752" s="41" t="s">
        <v>4836</v>
      </c>
      <c r="B2752" s="2" t="s">
        <v>4837</v>
      </c>
      <c r="C2752" s="2" t="s">
        <v>5043</v>
      </c>
      <c r="D2752" s="2" t="s">
        <v>8404</v>
      </c>
    </row>
    <row r="2753" spans="1:4" x14ac:dyDescent="0.2">
      <c r="A2753" s="41" t="s">
        <v>4838</v>
      </c>
      <c r="B2753" s="2" t="s">
        <v>4839</v>
      </c>
      <c r="C2753" s="2" t="s">
        <v>5043</v>
      </c>
      <c r="D2753" s="2" t="s">
        <v>8404</v>
      </c>
    </row>
    <row r="2754" spans="1:4" x14ac:dyDescent="0.2">
      <c r="A2754" s="41" t="s">
        <v>4840</v>
      </c>
      <c r="B2754" s="2" t="s">
        <v>4841</v>
      </c>
      <c r="C2754" s="2" t="s">
        <v>5043</v>
      </c>
      <c r="D2754" s="2" t="s">
        <v>8404</v>
      </c>
    </row>
    <row r="2755" spans="1:4" x14ac:dyDescent="0.2">
      <c r="A2755" s="41" t="s">
        <v>4842</v>
      </c>
      <c r="B2755" s="2" t="s">
        <v>4843</v>
      </c>
      <c r="C2755" s="2" t="s">
        <v>5043</v>
      </c>
      <c r="D2755" s="2" t="s">
        <v>8404</v>
      </c>
    </row>
    <row r="2756" spans="1:4" x14ac:dyDescent="0.2">
      <c r="A2756" s="41" t="s">
        <v>4844</v>
      </c>
      <c r="B2756" s="2" t="s">
        <v>4845</v>
      </c>
      <c r="C2756" s="2" t="s">
        <v>5043</v>
      </c>
      <c r="D2756" s="2" t="s">
        <v>8404</v>
      </c>
    </row>
    <row r="2757" spans="1:4" x14ac:dyDescent="0.2">
      <c r="A2757" s="41" t="s">
        <v>4846</v>
      </c>
      <c r="B2757" s="2" t="s">
        <v>4845</v>
      </c>
      <c r="C2757" s="2" t="s">
        <v>5043</v>
      </c>
      <c r="D2757" s="2" t="s">
        <v>8404</v>
      </c>
    </row>
    <row r="2758" spans="1:4" x14ac:dyDescent="0.2">
      <c r="A2758" s="41" t="s">
        <v>4847</v>
      </c>
      <c r="B2758" s="2" t="s">
        <v>4848</v>
      </c>
      <c r="C2758" s="2" t="s">
        <v>5043</v>
      </c>
      <c r="D2758" s="2" t="s">
        <v>8404</v>
      </c>
    </row>
    <row r="2759" spans="1:4" x14ac:dyDescent="0.2">
      <c r="A2759" s="41" t="s">
        <v>4849</v>
      </c>
      <c r="B2759" s="2" t="s">
        <v>4850</v>
      </c>
      <c r="C2759" s="2" t="s">
        <v>5043</v>
      </c>
      <c r="D2759" s="2" t="s">
        <v>8404</v>
      </c>
    </row>
    <row r="2760" spans="1:4" x14ac:dyDescent="0.2">
      <c r="A2760" s="41" t="s">
        <v>4851</v>
      </c>
      <c r="B2760" s="2" t="s">
        <v>4850</v>
      </c>
      <c r="C2760" s="2" t="s">
        <v>5043</v>
      </c>
      <c r="D2760" s="2" t="s">
        <v>8404</v>
      </c>
    </row>
    <row r="2761" spans="1:4" x14ac:dyDescent="0.2">
      <c r="A2761" s="41" t="s">
        <v>4852</v>
      </c>
      <c r="B2761" s="2" t="s">
        <v>4850</v>
      </c>
      <c r="C2761" s="2" t="s">
        <v>5043</v>
      </c>
      <c r="D2761" s="2" t="s">
        <v>8404</v>
      </c>
    </row>
    <row r="2762" spans="1:4" x14ac:dyDescent="0.2">
      <c r="A2762" s="41" t="s">
        <v>4626</v>
      </c>
      <c r="B2762" s="2" t="s">
        <v>4627</v>
      </c>
      <c r="C2762" s="2" t="s">
        <v>5043</v>
      </c>
      <c r="D2762" s="2" t="s">
        <v>8404</v>
      </c>
    </row>
    <row r="2763" spans="1:4" x14ac:dyDescent="0.2">
      <c r="A2763" s="41" t="s">
        <v>4853</v>
      </c>
      <c r="B2763" s="2" t="s">
        <v>4854</v>
      </c>
      <c r="C2763" s="2" t="s">
        <v>5043</v>
      </c>
      <c r="D2763" s="2" t="s">
        <v>8404</v>
      </c>
    </row>
    <row r="2764" spans="1:4" x14ac:dyDescent="0.2">
      <c r="A2764" s="41" t="s">
        <v>4855</v>
      </c>
      <c r="B2764" s="2" t="s">
        <v>4856</v>
      </c>
      <c r="C2764" s="2" t="s">
        <v>5043</v>
      </c>
      <c r="D2764" s="2" t="s">
        <v>8404</v>
      </c>
    </row>
    <row r="2765" spans="1:4" x14ac:dyDescent="0.2">
      <c r="A2765" s="41" t="s">
        <v>4857</v>
      </c>
      <c r="B2765" s="2" t="s">
        <v>4858</v>
      </c>
      <c r="C2765" s="2" t="s">
        <v>5043</v>
      </c>
      <c r="D2765" s="2" t="s">
        <v>8404</v>
      </c>
    </row>
    <row r="2766" spans="1:4" x14ac:dyDescent="0.2">
      <c r="A2766" s="41" t="s">
        <v>4859</v>
      </c>
      <c r="B2766" s="2" t="s">
        <v>4860</v>
      </c>
      <c r="C2766" s="2" t="s">
        <v>5043</v>
      </c>
      <c r="D2766" s="2" t="s">
        <v>8404</v>
      </c>
    </row>
    <row r="2767" spans="1:4" x14ac:dyDescent="0.2">
      <c r="A2767" s="41" t="s">
        <v>4861</v>
      </c>
      <c r="B2767" s="2" t="s">
        <v>4862</v>
      </c>
      <c r="C2767" s="2" t="s">
        <v>5043</v>
      </c>
      <c r="D2767" s="2" t="s">
        <v>8404</v>
      </c>
    </row>
    <row r="2768" spans="1:4" x14ac:dyDescent="0.2">
      <c r="A2768" s="41" t="s">
        <v>4628</v>
      </c>
      <c r="B2768" s="2" t="s">
        <v>4629</v>
      </c>
      <c r="C2768" s="2" t="s">
        <v>5043</v>
      </c>
      <c r="D2768" s="2" t="s">
        <v>8404</v>
      </c>
    </row>
    <row r="2769" spans="1:4" x14ac:dyDescent="0.2">
      <c r="A2769" s="41" t="s">
        <v>4863</v>
      </c>
      <c r="B2769" s="2" t="s">
        <v>4864</v>
      </c>
      <c r="C2769" s="2" t="s">
        <v>5043</v>
      </c>
      <c r="D2769" s="2" t="s">
        <v>8404</v>
      </c>
    </row>
    <row r="2770" spans="1:4" x14ac:dyDescent="0.2">
      <c r="A2770" s="41" t="s">
        <v>4865</v>
      </c>
      <c r="B2770" s="2" t="s">
        <v>4864</v>
      </c>
      <c r="C2770" s="2" t="s">
        <v>5043</v>
      </c>
      <c r="D2770" s="2" t="s">
        <v>8404</v>
      </c>
    </row>
    <row r="2771" spans="1:4" x14ac:dyDescent="0.2">
      <c r="A2771" s="41" t="s">
        <v>4630</v>
      </c>
      <c r="B2771" s="2" t="s">
        <v>4631</v>
      </c>
      <c r="C2771" s="2" t="s">
        <v>5043</v>
      </c>
      <c r="D2771" s="2" t="s">
        <v>8404</v>
      </c>
    </row>
    <row r="2772" spans="1:4" x14ac:dyDescent="0.2">
      <c r="A2772" s="41" t="s">
        <v>4866</v>
      </c>
      <c r="B2772" s="2" t="s">
        <v>4867</v>
      </c>
      <c r="C2772" s="2" t="s">
        <v>5043</v>
      </c>
      <c r="D2772" s="2" t="s">
        <v>8404</v>
      </c>
    </row>
    <row r="2773" spans="1:4" x14ac:dyDescent="0.2">
      <c r="A2773" s="41" t="s">
        <v>4868</v>
      </c>
      <c r="B2773" s="2" t="s">
        <v>4867</v>
      </c>
      <c r="C2773" s="2" t="s">
        <v>5043</v>
      </c>
      <c r="D2773" s="2" t="s">
        <v>8404</v>
      </c>
    </row>
    <row r="2774" spans="1:4" x14ac:dyDescent="0.2">
      <c r="A2774" s="41" t="s">
        <v>4869</v>
      </c>
      <c r="B2774" s="2" t="s">
        <v>4867</v>
      </c>
      <c r="C2774" s="2" t="s">
        <v>5043</v>
      </c>
      <c r="D2774" s="2" t="s">
        <v>8404</v>
      </c>
    </row>
    <row r="2775" spans="1:4" x14ac:dyDescent="0.2">
      <c r="A2775" s="41" t="s">
        <v>4632</v>
      </c>
      <c r="B2775" s="2" t="s">
        <v>4633</v>
      </c>
      <c r="C2775" s="2" t="s">
        <v>5043</v>
      </c>
      <c r="D2775" s="2" t="s">
        <v>8404</v>
      </c>
    </row>
    <row r="2776" spans="1:4" x14ac:dyDescent="0.2">
      <c r="A2776" s="41" t="s">
        <v>4870</v>
      </c>
      <c r="B2776" s="2" t="s">
        <v>4633</v>
      </c>
      <c r="C2776" s="2" t="s">
        <v>5043</v>
      </c>
      <c r="D2776" s="2" t="s">
        <v>8404</v>
      </c>
    </row>
    <row r="2777" spans="1:4" x14ac:dyDescent="0.2">
      <c r="A2777" s="41" t="s">
        <v>4871</v>
      </c>
      <c r="B2777" s="2" t="s">
        <v>4633</v>
      </c>
      <c r="C2777" s="2" t="s">
        <v>5043</v>
      </c>
      <c r="D2777" s="2" t="s">
        <v>8404</v>
      </c>
    </row>
    <row r="2778" spans="1:4" x14ac:dyDescent="0.2">
      <c r="A2778" s="41" t="s">
        <v>4872</v>
      </c>
      <c r="B2778" s="2" t="s">
        <v>4635</v>
      </c>
      <c r="C2778" s="2" t="s">
        <v>5043</v>
      </c>
      <c r="D2778" s="2" t="s">
        <v>8404</v>
      </c>
    </row>
    <row r="2779" spans="1:4" x14ac:dyDescent="0.2">
      <c r="A2779" s="41" t="s">
        <v>4873</v>
      </c>
      <c r="B2779" s="2" t="s">
        <v>4635</v>
      </c>
      <c r="C2779" s="2" t="s">
        <v>5043</v>
      </c>
      <c r="D2779" s="2" t="s">
        <v>8404</v>
      </c>
    </row>
    <row r="2780" spans="1:4" x14ac:dyDescent="0.2">
      <c r="A2780" s="41" t="s">
        <v>4874</v>
      </c>
      <c r="B2780" s="2" t="s">
        <v>4635</v>
      </c>
      <c r="C2780" s="2" t="s">
        <v>5043</v>
      </c>
      <c r="D2780" s="2" t="s">
        <v>8404</v>
      </c>
    </row>
    <row r="2781" spans="1:4" x14ac:dyDescent="0.2">
      <c r="A2781" s="41" t="s">
        <v>4634</v>
      </c>
      <c r="B2781" s="2" t="s">
        <v>4635</v>
      </c>
      <c r="C2781" s="2" t="s">
        <v>5043</v>
      </c>
      <c r="D2781" s="2" t="s">
        <v>8404</v>
      </c>
    </row>
    <row r="2782" spans="1:4" x14ac:dyDescent="0.2">
      <c r="A2782" s="41" t="s">
        <v>4636</v>
      </c>
      <c r="B2782" s="2" t="s">
        <v>4635</v>
      </c>
      <c r="C2782" s="2" t="s">
        <v>5043</v>
      </c>
      <c r="D2782" s="2" t="s">
        <v>8404</v>
      </c>
    </row>
    <row r="2783" spans="1:4" x14ac:dyDescent="0.2">
      <c r="A2783" s="41" t="s">
        <v>4875</v>
      </c>
      <c r="B2783" s="2" t="s">
        <v>4635</v>
      </c>
      <c r="C2783" s="2" t="s">
        <v>5043</v>
      </c>
      <c r="D2783" s="2" t="s">
        <v>8404</v>
      </c>
    </row>
    <row r="2784" spans="1:4" x14ac:dyDescent="0.2">
      <c r="A2784" s="41" t="s">
        <v>4876</v>
      </c>
      <c r="B2784" s="2" t="s">
        <v>4635</v>
      </c>
      <c r="C2784" s="2" t="s">
        <v>5043</v>
      </c>
      <c r="D2784" s="2" t="s">
        <v>8404</v>
      </c>
    </row>
    <row r="2785" spans="1:4" x14ac:dyDescent="0.2">
      <c r="A2785" s="41" t="s">
        <v>4877</v>
      </c>
      <c r="B2785" s="2" t="s">
        <v>4635</v>
      </c>
      <c r="C2785" s="2" t="s">
        <v>5043</v>
      </c>
      <c r="D2785" s="2" t="s">
        <v>8404</v>
      </c>
    </row>
    <row r="2786" spans="1:4" x14ac:dyDescent="0.2">
      <c r="A2786" s="41" t="s">
        <v>4878</v>
      </c>
      <c r="B2786" s="2" t="s">
        <v>4879</v>
      </c>
      <c r="C2786" s="2" t="s">
        <v>5043</v>
      </c>
      <c r="D2786" s="2" t="s">
        <v>8404</v>
      </c>
    </row>
    <row r="2787" spans="1:4" x14ac:dyDescent="0.2">
      <c r="A2787" s="41" t="s">
        <v>4880</v>
      </c>
      <c r="B2787" s="2" t="s">
        <v>4879</v>
      </c>
      <c r="C2787" s="2" t="s">
        <v>5043</v>
      </c>
      <c r="D2787" s="2" t="s">
        <v>8404</v>
      </c>
    </row>
    <row r="2788" spans="1:4" x14ac:dyDescent="0.2">
      <c r="A2788" s="41" t="s">
        <v>4881</v>
      </c>
      <c r="B2788" s="2" t="s">
        <v>4879</v>
      </c>
      <c r="C2788" s="2" t="s">
        <v>5043</v>
      </c>
      <c r="D2788" s="2" t="s">
        <v>8404</v>
      </c>
    </row>
    <row r="2789" spans="1:4" x14ac:dyDescent="0.2">
      <c r="A2789" s="41" t="s">
        <v>4882</v>
      </c>
      <c r="B2789" s="2" t="s">
        <v>4638</v>
      </c>
      <c r="C2789" s="2" t="s">
        <v>5043</v>
      </c>
      <c r="D2789" s="2" t="s">
        <v>8404</v>
      </c>
    </row>
    <row r="2790" spans="1:4" x14ac:dyDescent="0.2">
      <c r="A2790" s="41" t="s">
        <v>4883</v>
      </c>
      <c r="B2790" s="2" t="s">
        <v>4638</v>
      </c>
      <c r="C2790" s="2" t="s">
        <v>5043</v>
      </c>
      <c r="D2790" s="2" t="s">
        <v>8404</v>
      </c>
    </row>
    <row r="2791" spans="1:4" x14ac:dyDescent="0.2">
      <c r="A2791" s="41" t="s">
        <v>4884</v>
      </c>
      <c r="B2791" s="2" t="s">
        <v>4638</v>
      </c>
      <c r="C2791" s="2" t="s">
        <v>5043</v>
      </c>
      <c r="D2791" s="2" t="s">
        <v>8404</v>
      </c>
    </row>
    <row r="2792" spans="1:4" x14ac:dyDescent="0.2">
      <c r="A2792" s="41" t="s">
        <v>4885</v>
      </c>
      <c r="B2792" s="2" t="s">
        <v>4638</v>
      </c>
      <c r="C2792" s="2" t="s">
        <v>5043</v>
      </c>
      <c r="D2792" s="2" t="s">
        <v>8404</v>
      </c>
    </row>
    <row r="2793" spans="1:4" x14ac:dyDescent="0.2">
      <c r="A2793" s="41" t="s">
        <v>4886</v>
      </c>
      <c r="B2793" s="2" t="s">
        <v>4638</v>
      </c>
      <c r="C2793" s="2" t="s">
        <v>5043</v>
      </c>
      <c r="D2793" s="2" t="s">
        <v>8404</v>
      </c>
    </row>
    <row r="2794" spans="1:4" x14ac:dyDescent="0.2">
      <c r="A2794" s="41" t="s">
        <v>4887</v>
      </c>
      <c r="B2794" s="2" t="s">
        <v>4638</v>
      </c>
      <c r="C2794" s="2" t="s">
        <v>5043</v>
      </c>
      <c r="D2794" s="2" t="s">
        <v>8404</v>
      </c>
    </row>
    <row r="2795" spans="1:4" x14ac:dyDescent="0.2">
      <c r="A2795" s="41" t="s">
        <v>4888</v>
      </c>
      <c r="B2795" s="2" t="s">
        <v>4638</v>
      </c>
      <c r="C2795" s="2" t="s">
        <v>5043</v>
      </c>
      <c r="D2795" s="2" t="s">
        <v>8404</v>
      </c>
    </row>
    <row r="2796" spans="1:4" x14ac:dyDescent="0.2">
      <c r="A2796" s="41" t="s">
        <v>4889</v>
      </c>
      <c r="B2796" s="2" t="s">
        <v>4638</v>
      </c>
      <c r="C2796" s="2" t="s">
        <v>5043</v>
      </c>
      <c r="D2796" s="2" t="s">
        <v>8404</v>
      </c>
    </row>
    <row r="2797" spans="1:4" x14ac:dyDescent="0.2">
      <c r="A2797" s="41" t="s">
        <v>4637</v>
      </c>
      <c r="B2797" s="2" t="s">
        <v>4638</v>
      </c>
      <c r="C2797" s="2" t="s">
        <v>5043</v>
      </c>
      <c r="D2797" s="2" t="s">
        <v>8404</v>
      </c>
    </row>
    <row r="2798" spans="1:4" x14ac:dyDescent="0.2">
      <c r="A2798" s="41" t="s">
        <v>4890</v>
      </c>
      <c r="B2798" s="2" t="s">
        <v>4891</v>
      </c>
      <c r="C2798" s="2" t="s">
        <v>5043</v>
      </c>
      <c r="D2798" s="2" t="s">
        <v>8404</v>
      </c>
    </row>
    <row r="2799" spans="1:4" x14ac:dyDescent="0.2">
      <c r="A2799" s="41" t="s">
        <v>4892</v>
      </c>
      <c r="B2799" s="2" t="s">
        <v>4893</v>
      </c>
      <c r="C2799" s="2" t="s">
        <v>5043</v>
      </c>
      <c r="D2799" s="2" t="s">
        <v>8404</v>
      </c>
    </row>
    <row r="2800" spans="1:4" x14ac:dyDescent="0.2">
      <c r="A2800" s="41" t="s">
        <v>4894</v>
      </c>
      <c r="B2800" s="2" t="s">
        <v>4895</v>
      </c>
      <c r="C2800" s="2" t="s">
        <v>5043</v>
      </c>
      <c r="D2800" s="2" t="s">
        <v>8404</v>
      </c>
    </row>
    <row r="2801" spans="1:4" x14ac:dyDescent="0.2">
      <c r="A2801" s="41" t="s">
        <v>4896</v>
      </c>
      <c r="B2801" s="2" t="s">
        <v>4897</v>
      </c>
      <c r="C2801" s="2" t="s">
        <v>5043</v>
      </c>
      <c r="D2801" s="2" t="s">
        <v>8404</v>
      </c>
    </row>
    <row r="2802" spans="1:4" x14ac:dyDescent="0.2">
      <c r="A2802" s="41" t="s">
        <v>4898</v>
      </c>
      <c r="B2802" s="2" t="s">
        <v>4897</v>
      </c>
      <c r="C2802" s="2" t="s">
        <v>5043</v>
      </c>
      <c r="D2802" s="2" t="s">
        <v>8404</v>
      </c>
    </row>
    <row r="2803" spans="1:4" x14ac:dyDescent="0.2">
      <c r="A2803" s="41" t="s">
        <v>4899</v>
      </c>
      <c r="B2803" s="2" t="s">
        <v>4900</v>
      </c>
      <c r="C2803" s="2" t="s">
        <v>5043</v>
      </c>
      <c r="D2803" s="2" t="s">
        <v>8404</v>
      </c>
    </row>
    <row r="2804" spans="1:4" x14ac:dyDescent="0.2">
      <c r="A2804" s="41" t="s">
        <v>4901</v>
      </c>
      <c r="B2804" s="2" t="s">
        <v>4902</v>
      </c>
      <c r="C2804" s="2" t="s">
        <v>5043</v>
      </c>
      <c r="D2804" s="2" t="s">
        <v>8404</v>
      </c>
    </row>
    <row r="2805" spans="1:4" x14ac:dyDescent="0.2">
      <c r="A2805" s="41" t="s">
        <v>4903</v>
      </c>
      <c r="B2805" s="2" t="s">
        <v>4904</v>
      </c>
      <c r="C2805" s="2" t="s">
        <v>5043</v>
      </c>
      <c r="D2805" s="2" t="s">
        <v>8404</v>
      </c>
    </row>
    <row r="2806" spans="1:4" x14ac:dyDescent="0.2">
      <c r="A2806" s="41" t="s">
        <v>4905</v>
      </c>
      <c r="B2806" s="2" t="s">
        <v>4906</v>
      </c>
      <c r="C2806" s="2" t="s">
        <v>5043</v>
      </c>
      <c r="D2806" s="2" t="s">
        <v>8404</v>
      </c>
    </row>
    <row r="2807" spans="1:4" x14ac:dyDescent="0.2">
      <c r="A2807" s="41" t="s">
        <v>4907</v>
      </c>
      <c r="B2807" s="2" t="s">
        <v>4908</v>
      </c>
      <c r="C2807" s="2" t="s">
        <v>5043</v>
      </c>
      <c r="D2807" s="2" t="s">
        <v>8404</v>
      </c>
    </row>
    <row r="2808" spans="1:4" x14ac:dyDescent="0.2">
      <c r="A2808" s="41" t="s">
        <v>4909</v>
      </c>
      <c r="B2808" s="2" t="s">
        <v>4910</v>
      </c>
      <c r="C2808" s="2" t="s">
        <v>5043</v>
      </c>
      <c r="D2808" s="2" t="s">
        <v>8404</v>
      </c>
    </row>
    <row r="2809" spans="1:4" x14ac:dyDescent="0.2">
      <c r="A2809" s="41" t="s">
        <v>4911</v>
      </c>
      <c r="B2809" s="2" t="s">
        <v>4910</v>
      </c>
      <c r="C2809" s="2" t="s">
        <v>5043</v>
      </c>
      <c r="D2809" s="2" t="s">
        <v>8404</v>
      </c>
    </row>
    <row r="2810" spans="1:4" x14ac:dyDescent="0.2">
      <c r="A2810" s="41" t="s">
        <v>4912</v>
      </c>
      <c r="B2810" s="2" t="s">
        <v>4910</v>
      </c>
      <c r="C2810" s="2" t="s">
        <v>5043</v>
      </c>
      <c r="D2810" s="2" t="s">
        <v>8404</v>
      </c>
    </row>
    <row r="2811" spans="1:4" x14ac:dyDescent="0.2">
      <c r="A2811" s="41" t="s">
        <v>4913</v>
      </c>
      <c r="B2811" s="2" t="s">
        <v>4910</v>
      </c>
      <c r="C2811" s="2" t="s">
        <v>5043</v>
      </c>
      <c r="D2811" s="2" t="s">
        <v>8404</v>
      </c>
    </row>
    <row r="2812" spans="1:4" x14ac:dyDescent="0.2">
      <c r="A2812" s="41" t="s">
        <v>4914</v>
      </c>
      <c r="B2812" s="2" t="s">
        <v>4915</v>
      </c>
      <c r="C2812" s="2" t="s">
        <v>5043</v>
      </c>
      <c r="D2812" s="2" t="s">
        <v>8404</v>
      </c>
    </row>
    <row r="2813" spans="1:4" x14ac:dyDescent="0.2">
      <c r="A2813" s="41" t="s">
        <v>4916</v>
      </c>
      <c r="B2813" s="2" t="s">
        <v>4917</v>
      </c>
      <c r="C2813" s="2" t="s">
        <v>5043</v>
      </c>
      <c r="D2813" s="2" t="s">
        <v>8404</v>
      </c>
    </row>
    <row r="2814" spans="1:4" x14ac:dyDescent="0.2">
      <c r="A2814" s="41" t="s">
        <v>4918</v>
      </c>
      <c r="B2814" s="2" t="s">
        <v>4919</v>
      </c>
      <c r="C2814" s="2" t="s">
        <v>5043</v>
      </c>
      <c r="D2814" s="2" t="s">
        <v>8404</v>
      </c>
    </row>
    <row r="2815" spans="1:4" x14ac:dyDescent="0.2">
      <c r="A2815" s="41" t="s">
        <v>4920</v>
      </c>
      <c r="B2815" s="2" t="s">
        <v>4919</v>
      </c>
      <c r="C2815" s="2" t="s">
        <v>5043</v>
      </c>
      <c r="D2815" s="2" t="s">
        <v>8404</v>
      </c>
    </row>
    <row r="2816" spans="1:4" x14ac:dyDescent="0.2">
      <c r="A2816" s="41" t="s">
        <v>4921</v>
      </c>
      <c r="B2816" s="2" t="s">
        <v>4919</v>
      </c>
      <c r="C2816" s="2" t="s">
        <v>5043</v>
      </c>
      <c r="D2816" s="2" t="s">
        <v>8404</v>
      </c>
    </row>
    <row r="2817" spans="1:4" x14ac:dyDescent="0.2">
      <c r="A2817" s="41" t="s">
        <v>4922</v>
      </c>
      <c r="B2817" s="2" t="s">
        <v>4923</v>
      </c>
      <c r="C2817" s="2" t="s">
        <v>5043</v>
      </c>
      <c r="D2817" s="2" t="s">
        <v>8404</v>
      </c>
    </row>
    <row r="2818" spans="1:4" x14ac:dyDescent="0.2">
      <c r="A2818" s="41" t="s">
        <v>4924</v>
      </c>
      <c r="B2818" s="2" t="s">
        <v>4925</v>
      </c>
      <c r="C2818" s="2" t="s">
        <v>5043</v>
      </c>
      <c r="D2818" s="2" t="s">
        <v>8404</v>
      </c>
    </row>
    <row r="2819" spans="1:4" x14ac:dyDescent="0.2">
      <c r="A2819" s="41" t="s">
        <v>4926</v>
      </c>
      <c r="B2819" s="2" t="s">
        <v>4925</v>
      </c>
      <c r="C2819" s="2" t="s">
        <v>5043</v>
      </c>
      <c r="D2819" s="2" t="s">
        <v>8404</v>
      </c>
    </row>
    <row r="2820" spans="1:4" x14ac:dyDescent="0.2">
      <c r="A2820" s="41" t="s">
        <v>4927</v>
      </c>
      <c r="B2820" s="2" t="s">
        <v>4925</v>
      </c>
      <c r="C2820" s="2" t="s">
        <v>5043</v>
      </c>
      <c r="D2820" s="2" t="s">
        <v>8404</v>
      </c>
    </row>
    <row r="2821" spans="1:4" x14ac:dyDescent="0.2">
      <c r="A2821" s="41" t="s">
        <v>4928</v>
      </c>
      <c r="B2821" s="2" t="s">
        <v>4925</v>
      </c>
      <c r="C2821" s="2" t="s">
        <v>5043</v>
      </c>
      <c r="D2821" s="2" t="s">
        <v>8404</v>
      </c>
    </row>
    <row r="2822" spans="1:4" x14ac:dyDescent="0.2">
      <c r="A2822" s="41" t="s">
        <v>4929</v>
      </c>
      <c r="B2822" s="2" t="s">
        <v>4925</v>
      </c>
      <c r="C2822" s="2" t="s">
        <v>5043</v>
      </c>
      <c r="D2822" s="2" t="s">
        <v>8404</v>
      </c>
    </row>
    <row r="2823" spans="1:4" x14ac:dyDescent="0.2">
      <c r="A2823" s="41" t="s">
        <v>4930</v>
      </c>
      <c r="B2823" s="2" t="s">
        <v>4925</v>
      </c>
      <c r="C2823" s="2" t="s">
        <v>5043</v>
      </c>
      <c r="D2823" s="2" t="s">
        <v>8404</v>
      </c>
    </row>
    <row r="2824" spans="1:4" x14ac:dyDescent="0.2">
      <c r="A2824" s="41" t="s">
        <v>4931</v>
      </c>
      <c r="B2824" s="2" t="s">
        <v>4932</v>
      </c>
      <c r="C2824" s="2" t="s">
        <v>5043</v>
      </c>
      <c r="D2824" s="2" t="s">
        <v>8404</v>
      </c>
    </row>
    <row r="2825" spans="1:4" x14ac:dyDescent="0.2">
      <c r="A2825" s="41" t="s">
        <v>4933</v>
      </c>
      <c r="B2825" s="2" t="s">
        <v>4934</v>
      </c>
      <c r="C2825" s="2" t="s">
        <v>5043</v>
      </c>
      <c r="D2825" s="2" t="s">
        <v>8404</v>
      </c>
    </row>
    <row r="2826" spans="1:4" x14ac:dyDescent="0.2">
      <c r="A2826" s="41" t="s">
        <v>4935</v>
      </c>
      <c r="B2826" s="2" t="s">
        <v>4934</v>
      </c>
      <c r="C2826" s="2" t="s">
        <v>5043</v>
      </c>
      <c r="D2826" s="2" t="s">
        <v>8404</v>
      </c>
    </row>
    <row r="2827" spans="1:4" x14ac:dyDescent="0.2">
      <c r="A2827" s="41" t="s">
        <v>4936</v>
      </c>
      <c r="B2827" s="2" t="s">
        <v>4934</v>
      </c>
      <c r="C2827" s="2" t="s">
        <v>5043</v>
      </c>
      <c r="D2827" s="2" t="s">
        <v>8404</v>
      </c>
    </row>
    <row r="2828" spans="1:4" x14ac:dyDescent="0.2">
      <c r="A2828" s="41" t="s">
        <v>4937</v>
      </c>
      <c r="B2828" s="2" t="s">
        <v>4938</v>
      </c>
      <c r="C2828" s="2" t="s">
        <v>5043</v>
      </c>
      <c r="D2828" s="2" t="s">
        <v>8404</v>
      </c>
    </row>
    <row r="2829" spans="1:4" x14ac:dyDescent="0.2">
      <c r="A2829" s="41" t="s">
        <v>4939</v>
      </c>
      <c r="B2829" s="2" t="s">
        <v>4938</v>
      </c>
      <c r="C2829" s="2" t="s">
        <v>5043</v>
      </c>
      <c r="D2829" s="2" t="s">
        <v>8404</v>
      </c>
    </row>
    <row r="2830" spans="1:4" x14ac:dyDescent="0.2">
      <c r="A2830" s="41" t="s">
        <v>4940</v>
      </c>
      <c r="B2830" s="2" t="s">
        <v>4938</v>
      </c>
      <c r="C2830" s="2" t="s">
        <v>5043</v>
      </c>
      <c r="D2830" s="2" t="s">
        <v>8404</v>
      </c>
    </row>
    <row r="2831" spans="1:4" x14ac:dyDescent="0.2">
      <c r="A2831" s="41" t="s">
        <v>4941</v>
      </c>
      <c r="B2831" s="2" t="s">
        <v>4938</v>
      </c>
      <c r="C2831" s="2" t="s">
        <v>5043</v>
      </c>
      <c r="D2831" s="2" t="s">
        <v>8404</v>
      </c>
    </row>
    <row r="2832" spans="1:4" x14ac:dyDescent="0.2">
      <c r="A2832" s="41" t="s">
        <v>4942</v>
      </c>
      <c r="B2832" s="2" t="s">
        <v>4943</v>
      </c>
      <c r="C2832" s="2" t="s">
        <v>5043</v>
      </c>
      <c r="D2832" s="2" t="s">
        <v>8404</v>
      </c>
    </row>
    <row r="2833" spans="1:4" x14ac:dyDescent="0.2">
      <c r="A2833" s="41" t="s">
        <v>4944</v>
      </c>
      <c r="B2833" s="2" t="s">
        <v>4943</v>
      </c>
      <c r="C2833" s="2" t="s">
        <v>5043</v>
      </c>
      <c r="D2833" s="2" t="s">
        <v>8404</v>
      </c>
    </row>
    <row r="2834" spans="1:4" x14ac:dyDescent="0.2">
      <c r="A2834" s="41" t="s">
        <v>4945</v>
      </c>
      <c r="B2834" s="2" t="s">
        <v>4943</v>
      </c>
      <c r="C2834" s="2" t="s">
        <v>5043</v>
      </c>
      <c r="D2834" s="2" t="s">
        <v>8404</v>
      </c>
    </row>
    <row r="2835" spans="1:4" x14ac:dyDescent="0.2">
      <c r="A2835" s="41" t="s">
        <v>4946</v>
      </c>
      <c r="B2835" s="2" t="s">
        <v>4943</v>
      </c>
      <c r="C2835" s="2" t="s">
        <v>5043</v>
      </c>
      <c r="D2835" s="2" t="s">
        <v>8404</v>
      </c>
    </row>
    <row r="2836" spans="1:4" x14ac:dyDescent="0.2">
      <c r="A2836" s="41" t="s">
        <v>4947</v>
      </c>
      <c r="B2836" s="2" t="s">
        <v>4943</v>
      </c>
      <c r="C2836" s="2" t="s">
        <v>5043</v>
      </c>
      <c r="D2836" s="2" t="s">
        <v>8404</v>
      </c>
    </row>
    <row r="2837" spans="1:4" x14ac:dyDescent="0.2">
      <c r="A2837" s="41" t="s">
        <v>4948</v>
      </c>
      <c r="B2837" s="2" t="s">
        <v>4943</v>
      </c>
      <c r="C2837" s="2" t="s">
        <v>5043</v>
      </c>
      <c r="D2837" s="2" t="s">
        <v>8404</v>
      </c>
    </row>
    <row r="2838" spans="1:4" x14ac:dyDescent="0.2">
      <c r="A2838" s="41" t="s">
        <v>4949</v>
      </c>
      <c r="B2838" s="2" t="s">
        <v>4943</v>
      </c>
      <c r="C2838" s="2" t="s">
        <v>5043</v>
      </c>
      <c r="D2838" s="2" t="s">
        <v>8404</v>
      </c>
    </row>
    <row r="2839" spans="1:4" x14ac:dyDescent="0.2">
      <c r="A2839" s="41" t="s">
        <v>4950</v>
      </c>
      <c r="B2839" s="2" t="s">
        <v>4943</v>
      </c>
      <c r="C2839" s="2" t="s">
        <v>5043</v>
      </c>
      <c r="D2839" s="2" t="s">
        <v>8404</v>
      </c>
    </row>
    <row r="2840" spans="1:4" x14ac:dyDescent="0.2">
      <c r="A2840" s="41" t="s">
        <v>4951</v>
      </c>
      <c r="B2840" s="2" t="s">
        <v>4952</v>
      </c>
      <c r="C2840" s="2" t="s">
        <v>5043</v>
      </c>
      <c r="D2840" s="2" t="s">
        <v>8404</v>
      </c>
    </row>
    <row r="2841" spans="1:4" x14ac:dyDescent="0.2">
      <c r="A2841" s="41" t="s">
        <v>4953</v>
      </c>
      <c r="B2841" s="2" t="s">
        <v>4952</v>
      </c>
      <c r="C2841" s="2" t="s">
        <v>5043</v>
      </c>
      <c r="D2841" s="2" t="s">
        <v>8404</v>
      </c>
    </row>
    <row r="2842" spans="1:4" x14ac:dyDescent="0.2">
      <c r="A2842" s="41" t="s">
        <v>4954</v>
      </c>
      <c r="B2842" s="2" t="s">
        <v>4952</v>
      </c>
      <c r="C2842" s="2" t="s">
        <v>5043</v>
      </c>
      <c r="D2842" s="2" t="s">
        <v>8404</v>
      </c>
    </row>
    <row r="2843" spans="1:4" x14ac:dyDescent="0.2">
      <c r="A2843" s="41" t="s">
        <v>4955</v>
      </c>
      <c r="B2843" s="2" t="s">
        <v>4956</v>
      </c>
      <c r="C2843" s="2" t="s">
        <v>5043</v>
      </c>
      <c r="D2843" s="2" t="s">
        <v>8404</v>
      </c>
    </row>
    <row r="2844" spans="1:4" x14ac:dyDescent="0.2">
      <c r="A2844" s="41" t="s">
        <v>4957</v>
      </c>
      <c r="B2844" s="2" t="s">
        <v>4956</v>
      </c>
      <c r="C2844" s="2" t="s">
        <v>5043</v>
      </c>
      <c r="D2844" s="2" t="s">
        <v>8404</v>
      </c>
    </row>
    <row r="2845" spans="1:4" x14ac:dyDescent="0.2">
      <c r="A2845" s="41" t="s">
        <v>4958</v>
      </c>
      <c r="B2845" s="2" t="s">
        <v>4956</v>
      </c>
      <c r="C2845" s="2" t="s">
        <v>5043</v>
      </c>
      <c r="D2845" s="2" t="s">
        <v>8404</v>
      </c>
    </row>
    <row r="2846" spans="1:4" x14ac:dyDescent="0.2">
      <c r="A2846" s="41" t="s">
        <v>4959</v>
      </c>
      <c r="B2846" s="2" t="s">
        <v>4956</v>
      </c>
      <c r="C2846" s="2" t="s">
        <v>5043</v>
      </c>
      <c r="D2846" s="2" t="s">
        <v>8404</v>
      </c>
    </row>
    <row r="2847" spans="1:4" x14ac:dyDescent="0.2">
      <c r="A2847" s="41" t="s">
        <v>4960</v>
      </c>
      <c r="B2847" s="2" t="s">
        <v>4961</v>
      </c>
      <c r="C2847" s="2" t="s">
        <v>5043</v>
      </c>
      <c r="D2847" s="2" t="s">
        <v>8404</v>
      </c>
    </row>
    <row r="2848" spans="1:4" x14ac:dyDescent="0.2">
      <c r="A2848" s="41" t="s">
        <v>4962</v>
      </c>
      <c r="B2848" s="2" t="s">
        <v>4961</v>
      </c>
      <c r="C2848" s="2" t="s">
        <v>5043</v>
      </c>
      <c r="D2848" s="2" t="s">
        <v>8404</v>
      </c>
    </row>
    <row r="2849" spans="1:4" x14ac:dyDescent="0.2">
      <c r="A2849" s="41" t="s">
        <v>4963</v>
      </c>
      <c r="B2849" s="2" t="s">
        <v>4961</v>
      </c>
      <c r="C2849" s="2" t="s">
        <v>5043</v>
      </c>
      <c r="D2849" s="2" t="s">
        <v>8404</v>
      </c>
    </row>
    <row r="2850" spans="1:4" x14ac:dyDescent="0.2">
      <c r="A2850" s="41" t="s">
        <v>4964</v>
      </c>
      <c r="B2850" s="2" t="s">
        <v>4965</v>
      </c>
      <c r="C2850" s="2" t="s">
        <v>5043</v>
      </c>
      <c r="D2850" s="2" t="s">
        <v>8404</v>
      </c>
    </row>
    <row r="2851" spans="1:4" x14ac:dyDescent="0.2">
      <c r="A2851" s="41" t="s">
        <v>4966</v>
      </c>
      <c r="B2851" s="2" t="s">
        <v>4965</v>
      </c>
      <c r="C2851" s="2" t="s">
        <v>5043</v>
      </c>
      <c r="D2851" s="2" t="s">
        <v>8404</v>
      </c>
    </row>
    <row r="2852" spans="1:4" x14ac:dyDescent="0.2">
      <c r="A2852" s="41" t="s">
        <v>4967</v>
      </c>
      <c r="B2852" s="2" t="s">
        <v>4968</v>
      </c>
      <c r="C2852" s="2" t="s">
        <v>5043</v>
      </c>
      <c r="D2852" s="2" t="s">
        <v>8404</v>
      </c>
    </row>
    <row r="2853" spans="1:4" x14ac:dyDescent="0.2">
      <c r="A2853" s="41" t="s">
        <v>4969</v>
      </c>
      <c r="B2853" s="2" t="s">
        <v>4970</v>
      </c>
      <c r="C2853" s="2" t="s">
        <v>5043</v>
      </c>
      <c r="D2853" s="2" t="s">
        <v>8404</v>
      </c>
    </row>
    <row r="2854" spans="1:4" x14ac:dyDescent="0.2">
      <c r="A2854" s="41" t="s">
        <v>4971</v>
      </c>
      <c r="B2854" s="2" t="s">
        <v>4972</v>
      </c>
      <c r="C2854" s="2" t="s">
        <v>5043</v>
      </c>
      <c r="D2854" s="2" t="s">
        <v>8404</v>
      </c>
    </row>
    <row r="2855" spans="1:4" x14ac:dyDescent="0.2">
      <c r="A2855" s="41" t="s">
        <v>4973</v>
      </c>
      <c r="B2855" s="2" t="s">
        <v>4974</v>
      </c>
      <c r="C2855" s="2" t="s">
        <v>5043</v>
      </c>
      <c r="D2855" s="2" t="s">
        <v>8404</v>
      </c>
    </row>
    <row r="2856" spans="1:4" x14ac:dyDescent="0.2">
      <c r="A2856" s="41" t="s">
        <v>4975</v>
      </c>
      <c r="B2856" s="2" t="s">
        <v>4976</v>
      </c>
      <c r="C2856" s="2" t="s">
        <v>5043</v>
      </c>
      <c r="D2856" s="2" t="s">
        <v>8404</v>
      </c>
    </row>
    <row r="2857" spans="1:4" x14ac:dyDescent="0.2">
      <c r="A2857" s="41" t="s">
        <v>4977</v>
      </c>
      <c r="B2857" s="2" t="s">
        <v>4978</v>
      </c>
      <c r="C2857" s="2" t="s">
        <v>5043</v>
      </c>
      <c r="D2857" s="2" t="s">
        <v>8404</v>
      </c>
    </row>
    <row r="2858" spans="1:4" x14ac:dyDescent="0.2">
      <c r="A2858" s="41" t="s">
        <v>4979</v>
      </c>
      <c r="B2858" s="2" t="s">
        <v>4980</v>
      </c>
      <c r="C2858" s="2" t="s">
        <v>5043</v>
      </c>
      <c r="D2858" s="2" t="s">
        <v>8404</v>
      </c>
    </row>
    <row r="2859" spans="1:4" x14ac:dyDescent="0.2">
      <c r="A2859" s="41" t="s">
        <v>4981</v>
      </c>
      <c r="B2859" s="2" t="s">
        <v>4980</v>
      </c>
      <c r="C2859" s="2" t="s">
        <v>5043</v>
      </c>
      <c r="D2859" s="2" t="s">
        <v>8404</v>
      </c>
    </row>
    <row r="2860" spans="1:4" x14ac:dyDescent="0.2">
      <c r="A2860" s="41" t="s">
        <v>4982</v>
      </c>
      <c r="B2860" s="2" t="s">
        <v>4983</v>
      </c>
      <c r="C2860" s="2" t="s">
        <v>5043</v>
      </c>
      <c r="D2860" s="2" t="s">
        <v>8404</v>
      </c>
    </row>
    <row r="2861" spans="1:4" x14ac:dyDescent="0.2">
      <c r="A2861" s="41" t="s">
        <v>4984</v>
      </c>
      <c r="B2861" s="2" t="s">
        <v>4985</v>
      </c>
      <c r="C2861" s="2" t="s">
        <v>5043</v>
      </c>
      <c r="D2861" s="2" t="s">
        <v>8404</v>
      </c>
    </row>
    <row r="2862" spans="1:4" x14ac:dyDescent="0.2">
      <c r="A2862" s="41" t="s">
        <v>4986</v>
      </c>
      <c r="B2862" s="2" t="s">
        <v>4987</v>
      </c>
      <c r="C2862" s="2" t="s">
        <v>5043</v>
      </c>
      <c r="D2862" s="2" t="s">
        <v>8404</v>
      </c>
    </row>
    <row r="2863" spans="1:4" x14ac:dyDescent="0.2">
      <c r="A2863" s="41" t="s">
        <v>4988</v>
      </c>
      <c r="B2863" s="2" t="s">
        <v>4987</v>
      </c>
      <c r="C2863" s="2" t="s">
        <v>5043</v>
      </c>
      <c r="D2863" s="2" t="s">
        <v>8404</v>
      </c>
    </row>
    <row r="2864" spans="1:4" x14ac:dyDescent="0.2">
      <c r="A2864" s="41" t="s">
        <v>4989</v>
      </c>
      <c r="B2864" s="2" t="s">
        <v>4990</v>
      </c>
      <c r="C2864" s="2" t="s">
        <v>5043</v>
      </c>
      <c r="D2864" s="2" t="s">
        <v>8404</v>
      </c>
    </row>
    <row r="2865" spans="1:4" x14ac:dyDescent="0.2">
      <c r="A2865" s="41" t="s">
        <v>4991</v>
      </c>
      <c r="B2865" s="2" t="s">
        <v>4992</v>
      </c>
      <c r="C2865" s="2" t="s">
        <v>5043</v>
      </c>
      <c r="D2865" s="2" t="s">
        <v>8404</v>
      </c>
    </row>
    <row r="2866" spans="1:4" x14ac:dyDescent="0.2">
      <c r="A2866" s="41" t="s">
        <v>4993</v>
      </c>
      <c r="B2866" s="2" t="s">
        <v>4992</v>
      </c>
      <c r="C2866" s="2" t="s">
        <v>5043</v>
      </c>
      <c r="D2866" s="2" t="s">
        <v>8404</v>
      </c>
    </row>
    <row r="2867" spans="1:4" x14ac:dyDescent="0.2">
      <c r="A2867" s="41" t="s">
        <v>4994</v>
      </c>
      <c r="B2867" s="2" t="s">
        <v>4995</v>
      </c>
      <c r="C2867" s="2" t="s">
        <v>5043</v>
      </c>
      <c r="D2867" s="2" t="s">
        <v>8404</v>
      </c>
    </row>
    <row r="2868" spans="1:4" x14ac:dyDescent="0.2">
      <c r="A2868" s="41" t="s">
        <v>4996</v>
      </c>
      <c r="B2868" s="2" t="s">
        <v>4995</v>
      </c>
      <c r="C2868" s="2" t="s">
        <v>5043</v>
      </c>
      <c r="D2868" s="2" t="s">
        <v>8404</v>
      </c>
    </row>
    <row r="2869" spans="1:4" x14ac:dyDescent="0.2">
      <c r="A2869" s="41" t="s">
        <v>4639</v>
      </c>
      <c r="B2869" s="2" t="s">
        <v>4640</v>
      </c>
      <c r="C2869" s="2" t="s">
        <v>5043</v>
      </c>
      <c r="D2869" s="2" t="s">
        <v>8404</v>
      </c>
    </row>
    <row r="2870" spans="1:4" x14ac:dyDescent="0.2">
      <c r="A2870" s="41" t="s">
        <v>4997</v>
      </c>
      <c r="B2870" s="2" t="s">
        <v>4998</v>
      </c>
      <c r="C2870" s="2" t="s">
        <v>5043</v>
      </c>
      <c r="D2870" s="2" t="s">
        <v>8404</v>
      </c>
    </row>
    <row r="2871" spans="1:4" x14ac:dyDescent="0.2">
      <c r="A2871" s="41" t="s">
        <v>4999</v>
      </c>
      <c r="B2871" s="2" t="s">
        <v>5000</v>
      </c>
      <c r="C2871" s="2" t="s">
        <v>5043</v>
      </c>
      <c r="D2871" s="2" t="s">
        <v>8404</v>
      </c>
    </row>
    <row r="2872" spans="1:4" x14ac:dyDescent="0.2">
      <c r="A2872" s="41" t="s">
        <v>5001</v>
      </c>
      <c r="B2872" s="2" t="s">
        <v>5000</v>
      </c>
      <c r="C2872" s="2" t="s">
        <v>5043</v>
      </c>
      <c r="D2872" s="2" t="s">
        <v>8404</v>
      </c>
    </row>
    <row r="2873" spans="1:4" x14ac:dyDescent="0.2">
      <c r="A2873" s="41" t="s">
        <v>5002</v>
      </c>
      <c r="B2873" s="2" t="s">
        <v>5000</v>
      </c>
      <c r="C2873" s="2" t="s">
        <v>5043</v>
      </c>
      <c r="D2873" s="2" t="s">
        <v>8404</v>
      </c>
    </row>
    <row r="2874" spans="1:4" x14ac:dyDescent="0.2">
      <c r="A2874" s="41" t="s">
        <v>5003</v>
      </c>
      <c r="B2874" s="2" t="s">
        <v>5004</v>
      </c>
      <c r="C2874" s="2" t="s">
        <v>5043</v>
      </c>
      <c r="D2874" s="2" t="s">
        <v>8404</v>
      </c>
    </row>
    <row r="2875" spans="1:4" x14ac:dyDescent="0.2">
      <c r="A2875" s="41" t="s">
        <v>5005</v>
      </c>
      <c r="B2875" s="2" t="s">
        <v>5006</v>
      </c>
      <c r="C2875" s="2" t="s">
        <v>5043</v>
      </c>
      <c r="D2875" s="2" t="s">
        <v>8404</v>
      </c>
    </row>
    <row r="2876" spans="1:4" x14ac:dyDescent="0.2">
      <c r="A2876" s="41" t="s">
        <v>5007</v>
      </c>
      <c r="B2876" s="2" t="s">
        <v>5008</v>
      </c>
      <c r="C2876" s="2" t="s">
        <v>5043</v>
      </c>
      <c r="D2876" s="2" t="s">
        <v>8404</v>
      </c>
    </row>
    <row r="2877" spans="1:4" x14ac:dyDescent="0.2">
      <c r="A2877" s="41" t="s">
        <v>4641</v>
      </c>
      <c r="B2877" s="2" t="s">
        <v>4642</v>
      </c>
      <c r="C2877" s="2" t="s">
        <v>5043</v>
      </c>
      <c r="D2877" s="2" t="s">
        <v>8404</v>
      </c>
    </row>
    <row r="2878" spans="1:4" x14ac:dyDescent="0.2">
      <c r="A2878" s="41" t="s">
        <v>5009</v>
      </c>
      <c r="B2878" s="2" t="s">
        <v>5010</v>
      </c>
      <c r="C2878" s="2" t="s">
        <v>5043</v>
      </c>
      <c r="D2878" s="2" t="s">
        <v>8404</v>
      </c>
    </row>
    <row r="2879" spans="1:4" x14ac:dyDescent="0.2">
      <c r="A2879" s="41" t="s">
        <v>5011</v>
      </c>
      <c r="B2879" s="2" t="s">
        <v>5010</v>
      </c>
      <c r="C2879" s="2" t="s">
        <v>5043</v>
      </c>
      <c r="D2879" s="2" t="s">
        <v>8404</v>
      </c>
    </row>
    <row r="2880" spans="1:4" x14ac:dyDescent="0.2">
      <c r="A2880" s="41" t="s">
        <v>5012</v>
      </c>
      <c r="B2880" s="2" t="s">
        <v>5013</v>
      </c>
      <c r="C2880" s="2" t="s">
        <v>5043</v>
      </c>
      <c r="D2880" s="2" t="s">
        <v>8404</v>
      </c>
    </row>
    <row r="2881" spans="1:4" x14ac:dyDescent="0.2">
      <c r="A2881" s="41" t="s">
        <v>5014</v>
      </c>
      <c r="B2881" s="2" t="s">
        <v>5015</v>
      </c>
      <c r="C2881" s="2" t="s">
        <v>5043</v>
      </c>
      <c r="D2881" s="2" t="s">
        <v>8404</v>
      </c>
    </row>
    <row r="2882" spans="1:4" x14ac:dyDescent="0.2">
      <c r="A2882" s="41" t="s">
        <v>5016</v>
      </c>
      <c r="B2882" s="2" t="s">
        <v>5015</v>
      </c>
      <c r="C2882" s="2" t="s">
        <v>5043</v>
      </c>
      <c r="D2882" s="2" t="s">
        <v>8404</v>
      </c>
    </row>
    <row r="2883" spans="1:4" x14ac:dyDescent="0.2">
      <c r="A2883" s="41" t="s">
        <v>5017</v>
      </c>
      <c r="B2883" s="2" t="s">
        <v>5015</v>
      </c>
      <c r="C2883" s="2" t="s">
        <v>5043</v>
      </c>
      <c r="D2883" s="2" t="s">
        <v>8404</v>
      </c>
    </row>
    <row r="2884" spans="1:4" x14ac:dyDescent="0.2">
      <c r="A2884" s="41" t="s">
        <v>5018</v>
      </c>
      <c r="B2884" s="2" t="s">
        <v>5015</v>
      </c>
      <c r="C2884" s="2" t="s">
        <v>5043</v>
      </c>
      <c r="D2884" s="2" t="s">
        <v>8404</v>
      </c>
    </row>
    <row r="2885" spans="1:4" x14ac:dyDescent="0.2">
      <c r="A2885" s="41" t="s">
        <v>5019</v>
      </c>
      <c r="B2885" s="2" t="s">
        <v>5020</v>
      </c>
      <c r="C2885" s="2" t="s">
        <v>5043</v>
      </c>
      <c r="D2885" s="2" t="s">
        <v>8404</v>
      </c>
    </row>
    <row r="2886" spans="1:4" x14ac:dyDescent="0.2">
      <c r="A2886" s="41" t="s">
        <v>5021</v>
      </c>
      <c r="B2886" s="2" t="s">
        <v>5022</v>
      </c>
      <c r="C2886" s="2" t="s">
        <v>5043</v>
      </c>
      <c r="D2886" s="2" t="s">
        <v>8404</v>
      </c>
    </row>
    <row r="2887" spans="1:4" x14ac:dyDescent="0.2">
      <c r="A2887" s="41" t="s">
        <v>5023</v>
      </c>
      <c r="B2887" s="2" t="s">
        <v>5024</v>
      </c>
      <c r="C2887" s="2" t="s">
        <v>5043</v>
      </c>
      <c r="D2887" s="2" t="s">
        <v>8404</v>
      </c>
    </row>
    <row r="2888" spans="1:4" x14ac:dyDescent="0.2">
      <c r="A2888" s="41" t="s">
        <v>5025</v>
      </c>
      <c r="B2888" s="2" t="s">
        <v>5024</v>
      </c>
      <c r="C2888" s="2" t="s">
        <v>5043</v>
      </c>
      <c r="D2888" s="2" t="s">
        <v>8404</v>
      </c>
    </row>
    <row r="2889" spans="1:4" x14ac:dyDescent="0.2">
      <c r="A2889" s="41" t="s">
        <v>5026</v>
      </c>
      <c r="B2889" s="2" t="s">
        <v>5027</v>
      </c>
      <c r="C2889" s="2" t="s">
        <v>5043</v>
      </c>
      <c r="D2889" s="2" t="s">
        <v>8404</v>
      </c>
    </row>
    <row r="2890" spans="1:4" x14ac:dyDescent="0.2">
      <c r="A2890" s="41" t="s">
        <v>5028</v>
      </c>
      <c r="B2890" s="2" t="s">
        <v>5029</v>
      </c>
      <c r="C2890" s="2" t="s">
        <v>5043</v>
      </c>
      <c r="D2890" s="2" t="s">
        <v>8404</v>
      </c>
    </row>
    <row r="2891" spans="1:4" x14ac:dyDescent="0.2">
      <c r="A2891" s="41" t="s">
        <v>5030</v>
      </c>
      <c r="B2891" s="2" t="s">
        <v>5029</v>
      </c>
      <c r="C2891" s="2" t="s">
        <v>5043</v>
      </c>
      <c r="D2891" s="2" t="s">
        <v>8404</v>
      </c>
    </row>
    <row r="2892" spans="1:4" x14ac:dyDescent="0.2">
      <c r="A2892" s="41" t="s">
        <v>5031</v>
      </c>
      <c r="B2892" s="2" t="s">
        <v>4644</v>
      </c>
      <c r="C2892" s="2" t="s">
        <v>5043</v>
      </c>
      <c r="D2892" s="2" t="s">
        <v>8404</v>
      </c>
    </row>
    <row r="2893" spans="1:4" x14ac:dyDescent="0.2">
      <c r="A2893" s="41" t="s">
        <v>4643</v>
      </c>
      <c r="B2893" s="2" t="s">
        <v>4644</v>
      </c>
      <c r="C2893" s="2" t="s">
        <v>5043</v>
      </c>
      <c r="D2893" s="2" t="s">
        <v>8404</v>
      </c>
    </row>
    <row r="2894" spans="1:4" x14ac:dyDescent="0.2">
      <c r="A2894" s="41" t="s">
        <v>4645</v>
      </c>
      <c r="B2894" s="2" t="s">
        <v>4644</v>
      </c>
      <c r="C2894" s="2" t="s">
        <v>5043</v>
      </c>
      <c r="D2894" s="2" t="s">
        <v>8404</v>
      </c>
    </row>
    <row r="2895" spans="1:4" x14ac:dyDescent="0.2">
      <c r="A2895" s="41" t="s">
        <v>5032</v>
      </c>
      <c r="B2895" s="2" t="s">
        <v>5033</v>
      </c>
      <c r="C2895" s="2" t="s">
        <v>5043</v>
      </c>
      <c r="D2895" s="2" t="s">
        <v>8404</v>
      </c>
    </row>
    <row r="2896" spans="1:4" x14ac:dyDescent="0.2">
      <c r="A2896" s="41" t="s">
        <v>5034</v>
      </c>
      <c r="B2896" s="2" t="s">
        <v>5035</v>
      </c>
      <c r="C2896" s="2" t="s">
        <v>5043</v>
      </c>
      <c r="D2896" s="2" t="s">
        <v>8404</v>
      </c>
    </row>
    <row r="2897" spans="1:4" x14ac:dyDescent="0.2">
      <c r="A2897" s="41" t="s">
        <v>4646</v>
      </c>
      <c r="B2897" s="2" t="s">
        <v>4647</v>
      </c>
      <c r="C2897" s="2" t="s">
        <v>5043</v>
      </c>
      <c r="D2897" s="2" t="s">
        <v>8404</v>
      </c>
    </row>
    <row r="2898" spans="1:4" x14ac:dyDescent="0.2">
      <c r="A2898" s="41" t="s">
        <v>4648</v>
      </c>
      <c r="B2898" s="2" t="s">
        <v>4649</v>
      </c>
      <c r="C2898" s="2" t="s">
        <v>5043</v>
      </c>
      <c r="D2898" s="2" t="s">
        <v>8404</v>
      </c>
    </row>
    <row r="2899" spans="1:4" x14ac:dyDescent="0.2">
      <c r="A2899" s="41" t="s">
        <v>5036</v>
      </c>
      <c r="B2899" s="2" t="s">
        <v>5037</v>
      </c>
      <c r="C2899" s="2" t="s">
        <v>5043</v>
      </c>
      <c r="D2899" s="2" t="s">
        <v>8404</v>
      </c>
    </row>
    <row r="2900" spans="1:4" x14ac:dyDescent="0.2">
      <c r="A2900" s="41" t="s">
        <v>5038</v>
      </c>
      <c r="B2900" s="2" t="s">
        <v>5037</v>
      </c>
      <c r="C2900" s="2" t="s">
        <v>5043</v>
      </c>
      <c r="D2900" s="2" t="s">
        <v>8404</v>
      </c>
    </row>
    <row r="2901" spans="1:4" x14ac:dyDescent="0.2">
      <c r="A2901" s="41" t="s">
        <v>5039</v>
      </c>
      <c r="B2901" s="2" t="s">
        <v>5040</v>
      </c>
      <c r="C2901" s="2" t="s">
        <v>5043</v>
      </c>
      <c r="D2901" s="2" t="s">
        <v>8404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D732"/>
  <sheetViews>
    <sheetView topLeftCell="B1" workbookViewId="0">
      <selection activeCell="B266" sqref="B266"/>
    </sheetView>
  </sheetViews>
  <sheetFormatPr defaultRowHeight="15" x14ac:dyDescent="0.25"/>
  <cols>
    <col min="1" max="1" width="5" bestFit="1" customWidth="1"/>
    <col min="2" max="2" width="81.140625" bestFit="1" customWidth="1"/>
    <col min="3" max="3" width="8" bestFit="1" customWidth="1"/>
    <col min="4" max="4" width="12.42578125" bestFit="1" customWidth="1"/>
  </cols>
  <sheetData>
    <row r="1" spans="1:4" x14ac:dyDescent="0.25">
      <c r="A1" s="63" t="s">
        <v>5042</v>
      </c>
      <c r="B1" t="s">
        <v>1157</v>
      </c>
      <c r="C1" t="s">
        <v>5043</v>
      </c>
      <c r="D1" t="s">
        <v>8401</v>
      </c>
    </row>
    <row r="2" spans="1:4" x14ac:dyDescent="0.25">
      <c r="A2" s="63" t="s">
        <v>5044</v>
      </c>
      <c r="B2" t="s">
        <v>1157</v>
      </c>
      <c r="C2" t="s">
        <v>5043</v>
      </c>
      <c r="D2" t="s">
        <v>8401</v>
      </c>
    </row>
    <row r="3" spans="1:4" x14ac:dyDescent="0.25">
      <c r="A3" s="63" t="s">
        <v>5045</v>
      </c>
      <c r="B3" t="s">
        <v>1157</v>
      </c>
      <c r="C3" t="s">
        <v>5043</v>
      </c>
      <c r="D3" t="s">
        <v>8401</v>
      </c>
    </row>
    <row r="4" spans="1:4" x14ac:dyDescent="0.25">
      <c r="A4" s="63" t="s">
        <v>5046</v>
      </c>
      <c r="B4" t="s">
        <v>696</v>
      </c>
      <c r="C4" t="s">
        <v>5043</v>
      </c>
      <c r="D4" t="s">
        <v>8401</v>
      </c>
    </row>
    <row r="5" spans="1:4" x14ac:dyDescent="0.25">
      <c r="A5" s="63" t="s">
        <v>5047</v>
      </c>
      <c r="B5" t="s">
        <v>1160</v>
      </c>
      <c r="C5" t="s">
        <v>5043</v>
      </c>
      <c r="D5" t="s">
        <v>8401</v>
      </c>
    </row>
    <row r="6" spans="1:4" x14ac:dyDescent="0.25">
      <c r="A6" s="63" t="s">
        <v>5048</v>
      </c>
      <c r="B6" t="s">
        <v>1160</v>
      </c>
      <c r="C6" t="s">
        <v>5043</v>
      </c>
      <c r="D6" t="s">
        <v>8401</v>
      </c>
    </row>
    <row r="7" spans="1:4" x14ac:dyDescent="0.25">
      <c r="A7" s="63" t="s">
        <v>5049</v>
      </c>
      <c r="B7" t="s">
        <v>1160</v>
      </c>
      <c r="C7" t="s">
        <v>5043</v>
      </c>
      <c r="D7" t="s">
        <v>8401</v>
      </c>
    </row>
    <row r="8" spans="1:4" x14ac:dyDescent="0.25">
      <c r="A8" s="63" t="s">
        <v>5050</v>
      </c>
      <c r="B8" t="s">
        <v>1160</v>
      </c>
      <c r="C8" t="s">
        <v>5043</v>
      </c>
      <c r="D8" t="s">
        <v>8401</v>
      </c>
    </row>
    <row r="9" spans="1:4" x14ac:dyDescent="0.25">
      <c r="A9" s="63" t="s">
        <v>5051</v>
      </c>
      <c r="B9" t="s">
        <v>1160</v>
      </c>
      <c r="C9" t="s">
        <v>5043</v>
      </c>
      <c r="D9" t="s">
        <v>8401</v>
      </c>
    </row>
    <row r="10" spans="1:4" x14ac:dyDescent="0.25">
      <c r="A10" s="63" t="s">
        <v>5052</v>
      </c>
      <c r="B10" t="s">
        <v>1160</v>
      </c>
      <c r="C10" t="s">
        <v>5043</v>
      </c>
      <c r="D10" t="s">
        <v>8401</v>
      </c>
    </row>
    <row r="11" spans="1:4" x14ac:dyDescent="0.25">
      <c r="A11" s="63" t="s">
        <v>5053</v>
      </c>
      <c r="B11" t="s">
        <v>1160</v>
      </c>
      <c r="C11" t="s">
        <v>5043</v>
      </c>
      <c r="D11" t="s">
        <v>8401</v>
      </c>
    </row>
    <row r="12" spans="1:4" x14ac:dyDescent="0.25">
      <c r="A12" s="63" t="s">
        <v>5054</v>
      </c>
      <c r="B12" t="s">
        <v>1168</v>
      </c>
      <c r="C12" t="s">
        <v>5043</v>
      </c>
      <c r="D12" t="s">
        <v>8401</v>
      </c>
    </row>
    <row r="13" spans="1:4" ht="14.45" x14ac:dyDescent="0.3">
      <c r="A13" s="63" t="s">
        <v>5055</v>
      </c>
      <c r="B13" t="s">
        <v>1169</v>
      </c>
      <c r="C13" t="s">
        <v>5043</v>
      </c>
      <c r="D13" t="s">
        <v>8401</v>
      </c>
    </row>
    <row r="14" spans="1:4" ht="14.45" x14ac:dyDescent="0.3">
      <c r="A14" s="63" t="s">
        <v>4348</v>
      </c>
      <c r="B14" t="s">
        <v>697</v>
      </c>
      <c r="C14" t="s">
        <v>5043</v>
      </c>
      <c r="D14" t="s">
        <v>8401</v>
      </c>
    </row>
    <row r="15" spans="1:4" ht="14.45" x14ac:dyDescent="0.3">
      <c r="A15" s="63" t="s">
        <v>3610</v>
      </c>
      <c r="B15" t="s">
        <v>1156</v>
      </c>
      <c r="C15" t="s">
        <v>5043</v>
      </c>
      <c r="D15" t="s">
        <v>8401</v>
      </c>
    </row>
    <row r="16" spans="1:4" ht="14.45" x14ac:dyDescent="0.3">
      <c r="A16" s="63" t="s">
        <v>5056</v>
      </c>
      <c r="B16" t="s">
        <v>1156</v>
      </c>
      <c r="C16" t="s">
        <v>5043</v>
      </c>
      <c r="D16" t="s">
        <v>8401</v>
      </c>
    </row>
    <row r="17" spans="1:4" ht="14.45" x14ac:dyDescent="0.3">
      <c r="A17" s="63" t="s">
        <v>5057</v>
      </c>
      <c r="B17" t="s">
        <v>1156</v>
      </c>
      <c r="C17" t="s">
        <v>5043</v>
      </c>
      <c r="D17" t="s">
        <v>8401</v>
      </c>
    </row>
    <row r="18" spans="1:4" ht="14.45" x14ac:dyDescent="0.3">
      <c r="A18" s="63" t="s">
        <v>5058</v>
      </c>
      <c r="B18" t="s">
        <v>1156</v>
      </c>
      <c r="C18" t="s">
        <v>5043</v>
      </c>
      <c r="D18" t="s">
        <v>8401</v>
      </c>
    </row>
    <row r="19" spans="1:4" ht="14.45" x14ac:dyDescent="0.3">
      <c r="A19" s="63" t="s">
        <v>5059</v>
      </c>
      <c r="B19" t="s">
        <v>1155</v>
      </c>
      <c r="C19" t="s">
        <v>5043</v>
      </c>
      <c r="D19" t="s">
        <v>8401</v>
      </c>
    </row>
    <row r="20" spans="1:4" ht="14.45" x14ac:dyDescent="0.3">
      <c r="A20" s="63" t="s">
        <v>5060</v>
      </c>
      <c r="B20" t="s">
        <v>698</v>
      </c>
      <c r="C20" t="s">
        <v>5043</v>
      </c>
      <c r="D20" t="s">
        <v>8401</v>
      </c>
    </row>
    <row r="21" spans="1:4" ht="14.45" x14ac:dyDescent="0.3">
      <c r="A21" s="63" t="s">
        <v>5061</v>
      </c>
      <c r="B21" t="s">
        <v>698</v>
      </c>
      <c r="C21" t="s">
        <v>5043</v>
      </c>
      <c r="D21" t="s">
        <v>8401</v>
      </c>
    </row>
    <row r="22" spans="1:4" ht="14.45" x14ac:dyDescent="0.3">
      <c r="A22" s="63" t="s">
        <v>5062</v>
      </c>
      <c r="B22" t="s">
        <v>699</v>
      </c>
      <c r="C22" t="s">
        <v>5043</v>
      </c>
      <c r="D22" t="s">
        <v>8401</v>
      </c>
    </row>
    <row r="23" spans="1:4" ht="14.45" x14ac:dyDescent="0.3">
      <c r="A23" s="63" t="s">
        <v>5063</v>
      </c>
      <c r="B23" t="s">
        <v>699</v>
      </c>
      <c r="C23" t="s">
        <v>5043</v>
      </c>
      <c r="D23" t="s">
        <v>8401</v>
      </c>
    </row>
    <row r="24" spans="1:4" ht="14.45" x14ac:dyDescent="0.3">
      <c r="A24" s="63" t="s">
        <v>5064</v>
      </c>
      <c r="B24" t="s">
        <v>700</v>
      </c>
      <c r="C24" t="s">
        <v>5043</v>
      </c>
      <c r="D24" t="s">
        <v>8401</v>
      </c>
    </row>
    <row r="25" spans="1:4" ht="14.45" x14ac:dyDescent="0.3">
      <c r="A25" s="63" t="s">
        <v>5065</v>
      </c>
      <c r="B25" t="s">
        <v>700</v>
      </c>
      <c r="C25" t="s">
        <v>5043</v>
      </c>
      <c r="D25" t="s">
        <v>8401</v>
      </c>
    </row>
    <row r="26" spans="1:4" ht="14.45" x14ac:dyDescent="0.3">
      <c r="A26" s="63" t="s">
        <v>5066</v>
      </c>
      <c r="B26" t="s">
        <v>700</v>
      </c>
      <c r="C26" t="s">
        <v>5043</v>
      </c>
      <c r="D26" t="s">
        <v>8401</v>
      </c>
    </row>
    <row r="27" spans="1:4" ht="14.45" x14ac:dyDescent="0.3">
      <c r="A27" s="63" t="s">
        <v>2565</v>
      </c>
      <c r="B27" t="s">
        <v>2566</v>
      </c>
      <c r="C27" t="s">
        <v>5043</v>
      </c>
      <c r="D27" t="s">
        <v>8401</v>
      </c>
    </row>
    <row r="28" spans="1:4" ht="14.45" x14ac:dyDescent="0.3">
      <c r="A28" s="63" t="s">
        <v>5067</v>
      </c>
      <c r="B28" t="s">
        <v>635</v>
      </c>
      <c r="C28" t="s">
        <v>5043</v>
      </c>
      <c r="D28" t="s">
        <v>8403</v>
      </c>
    </row>
    <row r="29" spans="1:4" ht="14.45" x14ac:dyDescent="0.3">
      <c r="A29" s="63" t="s">
        <v>5068</v>
      </c>
      <c r="B29" t="s">
        <v>635</v>
      </c>
      <c r="C29" t="s">
        <v>5043</v>
      </c>
      <c r="D29" t="s">
        <v>8403</v>
      </c>
    </row>
    <row r="30" spans="1:4" ht="14.45" x14ac:dyDescent="0.3">
      <c r="A30" s="63" t="s">
        <v>5069</v>
      </c>
      <c r="B30" t="s">
        <v>635</v>
      </c>
      <c r="C30" t="s">
        <v>5043</v>
      </c>
      <c r="D30" t="s">
        <v>8403</v>
      </c>
    </row>
    <row r="31" spans="1:4" ht="14.45" x14ac:dyDescent="0.3">
      <c r="A31" s="63" t="s">
        <v>5070</v>
      </c>
      <c r="B31" t="s">
        <v>635</v>
      </c>
      <c r="C31" t="s">
        <v>5043</v>
      </c>
      <c r="D31" t="s">
        <v>8403</v>
      </c>
    </row>
    <row r="32" spans="1:4" ht="14.45" x14ac:dyDescent="0.3">
      <c r="A32" s="63" t="s">
        <v>5071</v>
      </c>
      <c r="B32" t="s">
        <v>636</v>
      </c>
      <c r="C32" t="s">
        <v>5043</v>
      </c>
      <c r="D32" t="s">
        <v>8403</v>
      </c>
    </row>
    <row r="33" spans="1:4" ht="14.45" x14ac:dyDescent="0.3">
      <c r="A33" s="63" t="s">
        <v>5072</v>
      </c>
      <c r="B33" t="s">
        <v>701</v>
      </c>
      <c r="C33" t="s">
        <v>5043</v>
      </c>
      <c r="D33" t="s">
        <v>8401</v>
      </c>
    </row>
    <row r="34" spans="1:4" ht="14.45" x14ac:dyDescent="0.3">
      <c r="A34" s="63" t="s">
        <v>5073</v>
      </c>
      <c r="B34" t="s">
        <v>701</v>
      </c>
      <c r="C34" t="s">
        <v>5043</v>
      </c>
      <c r="D34" t="s">
        <v>8401</v>
      </c>
    </row>
    <row r="35" spans="1:4" ht="14.45" x14ac:dyDescent="0.3">
      <c r="A35" s="63" t="s">
        <v>5074</v>
      </c>
      <c r="B35" t="s">
        <v>701</v>
      </c>
      <c r="C35" t="s">
        <v>5043</v>
      </c>
      <c r="D35" t="s">
        <v>8401</v>
      </c>
    </row>
    <row r="36" spans="1:4" ht="14.45" x14ac:dyDescent="0.3">
      <c r="A36" s="63" t="s">
        <v>5075</v>
      </c>
      <c r="B36" t="s">
        <v>701</v>
      </c>
      <c r="C36" t="s">
        <v>5043</v>
      </c>
      <c r="D36" t="s">
        <v>8401</v>
      </c>
    </row>
    <row r="37" spans="1:4" ht="14.45" x14ac:dyDescent="0.3">
      <c r="A37" s="63" t="s">
        <v>5076</v>
      </c>
      <c r="B37" t="s">
        <v>702</v>
      </c>
      <c r="C37" t="s">
        <v>5043</v>
      </c>
      <c r="D37" t="s">
        <v>8401</v>
      </c>
    </row>
    <row r="38" spans="1:4" ht="14.45" x14ac:dyDescent="0.3">
      <c r="A38" s="63" t="s">
        <v>4051</v>
      </c>
      <c r="B38" t="s">
        <v>702</v>
      </c>
      <c r="C38" t="s">
        <v>5043</v>
      </c>
      <c r="D38" t="s">
        <v>8401</v>
      </c>
    </row>
    <row r="39" spans="1:4" ht="14.45" x14ac:dyDescent="0.3">
      <c r="A39" s="63" t="s">
        <v>5077</v>
      </c>
      <c r="B39" t="s">
        <v>703</v>
      </c>
      <c r="C39" t="s">
        <v>5043</v>
      </c>
      <c r="D39" t="s">
        <v>8401</v>
      </c>
    </row>
    <row r="40" spans="1:4" ht="14.45" x14ac:dyDescent="0.3">
      <c r="A40" s="63" t="s">
        <v>5078</v>
      </c>
      <c r="B40" t="s">
        <v>637</v>
      </c>
      <c r="C40" t="s">
        <v>5043</v>
      </c>
      <c r="D40" t="s">
        <v>8403</v>
      </c>
    </row>
    <row r="41" spans="1:4" ht="14.45" x14ac:dyDescent="0.3">
      <c r="A41" s="63" t="s">
        <v>5079</v>
      </c>
      <c r="B41" t="s">
        <v>704</v>
      </c>
      <c r="C41" t="s">
        <v>5043</v>
      </c>
      <c r="D41" t="s">
        <v>8401</v>
      </c>
    </row>
    <row r="42" spans="1:4" ht="14.45" x14ac:dyDescent="0.3">
      <c r="A42" s="63" t="s">
        <v>5080</v>
      </c>
      <c r="B42" t="s">
        <v>705</v>
      </c>
      <c r="C42" t="s">
        <v>5043</v>
      </c>
      <c r="D42" t="s">
        <v>8401</v>
      </c>
    </row>
    <row r="43" spans="1:4" ht="14.45" x14ac:dyDescent="0.3">
      <c r="A43" s="63" t="s">
        <v>5081</v>
      </c>
      <c r="B43" t="s">
        <v>706</v>
      </c>
      <c r="C43" t="s">
        <v>5043</v>
      </c>
      <c r="D43" t="s">
        <v>8401</v>
      </c>
    </row>
    <row r="44" spans="1:4" x14ac:dyDescent="0.25">
      <c r="A44" s="63" t="s">
        <v>5082</v>
      </c>
      <c r="B44" t="s">
        <v>706</v>
      </c>
      <c r="C44" t="s">
        <v>5083</v>
      </c>
      <c r="D44" t="s">
        <v>8401</v>
      </c>
    </row>
    <row r="45" spans="1:4" x14ac:dyDescent="0.25">
      <c r="A45" s="63" t="s">
        <v>5084</v>
      </c>
      <c r="B45" t="s">
        <v>706</v>
      </c>
      <c r="C45" t="s">
        <v>5083</v>
      </c>
      <c r="D45" t="s">
        <v>8401</v>
      </c>
    </row>
    <row r="46" spans="1:4" x14ac:dyDescent="0.25">
      <c r="A46" s="63" t="s">
        <v>5085</v>
      </c>
      <c r="B46" t="s">
        <v>707</v>
      </c>
      <c r="C46" t="s">
        <v>5043</v>
      </c>
      <c r="D46" t="s">
        <v>8401</v>
      </c>
    </row>
    <row r="47" spans="1:4" x14ac:dyDescent="0.25">
      <c r="A47" s="63" t="s">
        <v>5086</v>
      </c>
      <c r="B47" t="s">
        <v>708</v>
      </c>
      <c r="C47" t="s">
        <v>5083</v>
      </c>
      <c r="D47" t="s">
        <v>8401</v>
      </c>
    </row>
    <row r="48" spans="1:4" x14ac:dyDescent="0.25">
      <c r="A48" s="63" t="s">
        <v>5087</v>
      </c>
      <c r="B48" t="s">
        <v>708</v>
      </c>
      <c r="C48" t="s">
        <v>5083</v>
      </c>
      <c r="D48" t="s">
        <v>8401</v>
      </c>
    </row>
    <row r="49" spans="1:4" x14ac:dyDescent="0.25">
      <c r="A49" s="63" t="s">
        <v>5088</v>
      </c>
      <c r="B49" t="s">
        <v>708</v>
      </c>
      <c r="C49" t="s">
        <v>5083</v>
      </c>
      <c r="D49" t="s">
        <v>8401</v>
      </c>
    </row>
    <row r="50" spans="1:4" x14ac:dyDescent="0.25">
      <c r="A50" s="63" t="s">
        <v>5089</v>
      </c>
      <c r="B50" t="s">
        <v>708</v>
      </c>
      <c r="C50" t="s">
        <v>5083</v>
      </c>
      <c r="D50" t="s">
        <v>8401</v>
      </c>
    </row>
    <row r="51" spans="1:4" x14ac:dyDescent="0.25">
      <c r="A51" s="63" t="s">
        <v>5090</v>
      </c>
      <c r="B51" t="s">
        <v>630</v>
      </c>
      <c r="C51" t="s">
        <v>5083</v>
      </c>
      <c r="D51" t="s">
        <v>8403</v>
      </c>
    </row>
    <row r="52" spans="1:4" x14ac:dyDescent="0.25">
      <c r="A52" s="63" t="s">
        <v>5091</v>
      </c>
      <c r="B52" t="s">
        <v>631</v>
      </c>
      <c r="C52" t="s">
        <v>5043</v>
      </c>
      <c r="D52" t="s">
        <v>8404</v>
      </c>
    </row>
    <row r="53" spans="1:4" x14ac:dyDescent="0.25">
      <c r="A53" s="63" t="s">
        <v>4089</v>
      </c>
      <c r="B53" t="s">
        <v>709</v>
      </c>
      <c r="C53" t="s">
        <v>5043</v>
      </c>
      <c r="D53" t="s">
        <v>8401</v>
      </c>
    </row>
    <row r="54" spans="1:4" x14ac:dyDescent="0.25">
      <c r="A54" s="63" t="s">
        <v>5092</v>
      </c>
      <c r="B54" t="s">
        <v>710</v>
      </c>
      <c r="C54" t="s">
        <v>5043</v>
      </c>
      <c r="D54" t="s">
        <v>8401</v>
      </c>
    </row>
    <row r="55" spans="1:4" x14ac:dyDescent="0.25">
      <c r="A55" s="63" t="s">
        <v>5093</v>
      </c>
      <c r="B55" t="s">
        <v>1159</v>
      </c>
      <c r="C55" t="s">
        <v>5043</v>
      </c>
      <c r="D55" t="s">
        <v>8401</v>
      </c>
    </row>
    <row r="56" spans="1:4" x14ac:dyDescent="0.25">
      <c r="A56" s="63" t="s">
        <v>5094</v>
      </c>
      <c r="B56" t="s">
        <v>683</v>
      </c>
      <c r="C56" t="s">
        <v>5043</v>
      </c>
      <c r="D56" t="s">
        <v>8404</v>
      </c>
    </row>
    <row r="57" spans="1:4" x14ac:dyDescent="0.25">
      <c r="A57" s="63" t="s">
        <v>5095</v>
      </c>
      <c r="B57" t="s">
        <v>711</v>
      </c>
      <c r="C57" t="s">
        <v>5043</v>
      </c>
      <c r="D57" t="s">
        <v>8401</v>
      </c>
    </row>
    <row r="58" spans="1:4" x14ac:dyDescent="0.25">
      <c r="A58" s="63" t="s">
        <v>5096</v>
      </c>
      <c r="B58" t="s">
        <v>711</v>
      </c>
      <c r="C58" t="s">
        <v>5043</v>
      </c>
      <c r="D58" t="s">
        <v>8401</v>
      </c>
    </row>
    <row r="59" spans="1:4" x14ac:dyDescent="0.25">
      <c r="A59" s="63" t="s">
        <v>2788</v>
      </c>
      <c r="B59" t="s">
        <v>711</v>
      </c>
      <c r="C59" t="s">
        <v>5043</v>
      </c>
      <c r="D59" t="s">
        <v>8401</v>
      </c>
    </row>
    <row r="60" spans="1:4" x14ac:dyDescent="0.25">
      <c r="A60" s="63" t="s">
        <v>2789</v>
      </c>
      <c r="B60" t="s">
        <v>711</v>
      </c>
      <c r="C60" t="s">
        <v>5043</v>
      </c>
      <c r="D60" t="s">
        <v>8401</v>
      </c>
    </row>
    <row r="61" spans="1:4" x14ac:dyDescent="0.25">
      <c r="A61" s="63" t="s">
        <v>2790</v>
      </c>
      <c r="B61" t="s">
        <v>711</v>
      </c>
      <c r="C61" t="s">
        <v>5043</v>
      </c>
      <c r="D61" t="s">
        <v>8401</v>
      </c>
    </row>
    <row r="62" spans="1:4" x14ac:dyDescent="0.25">
      <c r="A62" s="63" t="s">
        <v>5097</v>
      </c>
      <c r="B62" t="s">
        <v>711</v>
      </c>
      <c r="C62" t="s">
        <v>5043</v>
      </c>
      <c r="D62" t="s">
        <v>8401</v>
      </c>
    </row>
    <row r="63" spans="1:4" x14ac:dyDescent="0.25">
      <c r="A63" s="63" t="s">
        <v>5098</v>
      </c>
      <c r="B63" t="s">
        <v>711</v>
      </c>
      <c r="C63" t="s">
        <v>5043</v>
      </c>
      <c r="D63" t="s">
        <v>8401</v>
      </c>
    </row>
    <row r="64" spans="1:4" x14ac:dyDescent="0.25">
      <c r="A64" s="63" t="s">
        <v>5099</v>
      </c>
      <c r="B64" t="s">
        <v>711</v>
      </c>
      <c r="C64" t="s">
        <v>5043</v>
      </c>
      <c r="D64" t="s">
        <v>8401</v>
      </c>
    </row>
    <row r="65" spans="1:4" x14ac:dyDescent="0.25">
      <c r="A65" s="63" t="s">
        <v>5100</v>
      </c>
      <c r="B65" t="s">
        <v>711</v>
      </c>
      <c r="C65" t="s">
        <v>5043</v>
      </c>
      <c r="D65" t="s">
        <v>8401</v>
      </c>
    </row>
    <row r="66" spans="1:4" x14ac:dyDescent="0.25">
      <c r="A66" s="63" t="s">
        <v>5101</v>
      </c>
      <c r="B66" t="s">
        <v>711</v>
      </c>
      <c r="C66" t="s">
        <v>5043</v>
      </c>
      <c r="D66" t="s">
        <v>8401</v>
      </c>
    </row>
    <row r="67" spans="1:4" x14ac:dyDescent="0.25">
      <c r="A67" s="63" t="s">
        <v>5102</v>
      </c>
      <c r="B67" t="s">
        <v>711</v>
      </c>
      <c r="C67" t="s">
        <v>5043</v>
      </c>
      <c r="D67" t="s">
        <v>8401</v>
      </c>
    </row>
    <row r="68" spans="1:4" x14ac:dyDescent="0.25">
      <c r="A68" s="63" t="s">
        <v>5103</v>
      </c>
      <c r="B68" t="s">
        <v>712</v>
      </c>
      <c r="C68" t="s">
        <v>5043</v>
      </c>
      <c r="D68" t="s">
        <v>8401</v>
      </c>
    </row>
    <row r="69" spans="1:4" x14ac:dyDescent="0.25">
      <c r="A69" s="63" t="s">
        <v>5104</v>
      </c>
      <c r="B69" t="s">
        <v>712</v>
      </c>
      <c r="C69" t="s">
        <v>5043</v>
      </c>
      <c r="D69" t="s">
        <v>8401</v>
      </c>
    </row>
    <row r="70" spans="1:4" x14ac:dyDescent="0.25">
      <c r="A70" s="63" t="s">
        <v>5105</v>
      </c>
      <c r="B70" t="s">
        <v>713</v>
      </c>
      <c r="C70" t="s">
        <v>5043</v>
      </c>
      <c r="D70" t="s">
        <v>8401</v>
      </c>
    </row>
    <row r="71" spans="1:4" x14ac:dyDescent="0.25">
      <c r="A71" s="63" t="s">
        <v>5106</v>
      </c>
      <c r="B71" t="s">
        <v>714</v>
      </c>
      <c r="C71" t="s">
        <v>5043</v>
      </c>
      <c r="D71" t="s">
        <v>8401</v>
      </c>
    </row>
    <row r="72" spans="1:4" x14ac:dyDescent="0.25">
      <c r="A72" s="63" t="s">
        <v>5107</v>
      </c>
      <c r="B72" t="s">
        <v>715</v>
      </c>
      <c r="C72" t="s">
        <v>5043</v>
      </c>
      <c r="D72" t="s">
        <v>8401</v>
      </c>
    </row>
    <row r="73" spans="1:4" x14ac:dyDescent="0.25">
      <c r="A73" s="63" t="s">
        <v>4594</v>
      </c>
      <c r="B73" t="s">
        <v>715</v>
      </c>
      <c r="C73" t="s">
        <v>5043</v>
      </c>
      <c r="D73" t="s">
        <v>8401</v>
      </c>
    </row>
    <row r="74" spans="1:4" x14ac:dyDescent="0.25">
      <c r="A74" s="63" t="s">
        <v>5108</v>
      </c>
      <c r="B74" t="s">
        <v>716</v>
      </c>
      <c r="C74" t="s">
        <v>5043</v>
      </c>
      <c r="D74" t="s">
        <v>8401</v>
      </c>
    </row>
    <row r="75" spans="1:4" x14ac:dyDescent="0.25">
      <c r="A75" s="63" t="s">
        <v>5109</v>
      </c>
      <c r="B75" t="s">
        <v>716</v>
      </c>
      <c r="C75" t="s">
        <v>5043</v>
      </c>
      <c r="D75" t="s">
        <v>8401</v>
      </c>
    </row>
    <row r="76" spans="1:4" x14ac:dyDescent="0.25">
      <c r="A76" s="63" t="s">
        <v>5110</v>
      </c>
      <c r="B76" t="s">
        <v>717</v>
      </c>
      <c r="C76" t="s">
        <v>5043</v>
      </c>
      <c r="D76" t="s">
        <v>8401</v>
      </c>
    </row>
    <row r="77" spans="1:4" x14ac:dyDescent="0.25">
      <c r="A77" s="63" t="s">
        <v>5111</v>
      </c>
      <c r="B77" t="s">
        <v>718</v>
      </c>
      <c r="C77" t="s">
        <v>5043</v>
      </c>
      <c r="D77" t="s">
        <v>8401</v>
      </c>
    </row>
    <row r="78" spans="1:4" x14ac:dyDescent="0.25">
      <c r="A78" s="63" t="s">
        <v>5112</v>
      </c>
      <c r="B78" t="s">
        <v>638</v>
      </c>
      <c r="C78" t="s">
        <v>5043</v>
      </c>
      <c r="D78" t="s">
        <v>8405</v>
      </c>
    </row>
    <row r="79" spans="1:4" x14ac:dyDescent="0.25">
      <c r="A79" s="63" t="s">
        <v>5113</v>
      </c>
      <c r="B79" t="s">
        <v>638</v>
      </c>
      <c r="C79" t="s">
        <v>5043</v>
      </c>
      <c r="D79" t="s">
        <v>8405</v>
      </c>
    </row>
    <row r="80" spans="1:4" x14ac:dyDescent="0.25">
      <c r="A80" s="63" t="s">
        <v>5114</v>
      </c>
      <c r="B80" t="s">
        <v>638</v>
      </c>
      <c r="C80" t="s">
        <v>5043</v>
      </c>
      <c r="D80" t="s">
        <v>8405</v>
      </c>
    </row>
    <row r="81" spans="1:4" x14ac:dyDescent="0.25">
      <c r="A81" s="63" t="s">
        <v>5115</v>
      </c>
      <c r="B81" t="s">
        <v>638</v>
      </c>
      <c r="C81" t="s">
        <v>5043</v>
      </c>
      <c r="D81" t="s">
        <v>8405</v>
      </c>
    </row>
    <row r="82" spans="1:4" x14ac:dyDescent="0.25">
      <c r="A82" s="63" t="s">
        <v>4151</v>
      </c>
      <c r="B82" t="s">
        <v>719</v>
      </c>
      <c r="C82" t="s">
        <v>5043</v>
      </c>
      <c r="D82" t="s">
        <v>8401</v>
      </c>
    </row>
    <row r="83" spans="1:4" x14ac:dyDescent="0.25">
      <c r="A83" s="63" t="s">
        <v>4152</v>
      </c>
      <c r="B83" t="s">
        <v>719</v>
      </c>
      <c r="C83" t="s">
        <v>5043</v>
      </c>
      <c r="D83" t="s">
        <v>8401</v>
      </c>
    </row>
    <row r="84" spans="1:4" x14ac:dyDescent="0.25">
      <c r="A84" s="63" t="s">
        <v>5116</v>
      </c>
      <c r="B84" t="s">
        <v>719</v>
      </c>
      <c r="C84" t="s">
        <v>5043</v>
      </c>
      <c r="D84" t="s">
        <v>8401</v>
      </c>
    </row>
    <row r="85" spans="1:4" x14ac:dyDescent="0.25">
      <c r="A85" s="63" t="s">
        <v>4153</v>
      </c>
      <c r="B85" t="s">
        <v>719</v>
      </c>
      <c r="C85" t="s">
        <v>5043</v>
      </c>
      <c r="D85" t="s">
        <v>8401</v>
      </c>
    </row>
    <row r="86" spans="1:4" x14ac:dyDescent="0.25">
      <c r="A86" s="63" t="s">
        <v>4147</v>
      </c>
      <c r="B86" t="s">
        <v>720</v>
      </c>
      <c r="C86" t="s">
        <v>5043</v>
      </c>
      <c r="D86" t="s">
        <v>8401</v>
      </c>
    </row>
    <row r="87" spans="1:4" x14ac:dyDescent="0.25">
      <c r="A87" s="63" t="s">
        <v>4148</v>
      </c>
      <c r="B87" t="s">
        <v>720</v>
      </c>
      <c r="C87" t="s">
        <v>5043</v>
      </c>
      <c r="D87" t="s">
        <v>8401</v>
      </c>
    </row>
    <row r="88" spans="1:4" x14ac:dyDescent="0.25">
      <c r="A88" s="63" t="s">
        <v>4149</v>
      </c>
      <c r="B88" t="s">
        <v>720</v>
      </c>
      <c r="C88" t="s">
        <v>5043</v>
      </c>
      <c r="D88" t="s">
        <v>8401</v>
      </c>
    </row>
    <row r="89" spans="1:4" x14ac:dyDescent="0.25">
      <c r="A89" s="63" t="s">
        <v>4150</v>
      </c>
      <c r="B89" t="s">
        <v>721</v>
      </c>
      <c r="C89" t="s">
        <v>5043</v>
      </c>
      <c r="D89" t="s">
        <v>8401</v>
      </c>
    </row>
    <row r="90" spans="1:4" x14ac:dyDescent="0.25">
      <c r="A90" s="63" t="s">
        <v>4284</v>
      </c>
      <c r="B90" t="s">
        <v>722</v>
      </c>
      <c r="C90" t="s">
        <v>5043</v>
      </c>
      <c r="D90" t="s">
        <v>8401</v>
      </c>
    </row>
    <row r="91" spans="1:4" x14ac:dyDescent="0.25">
      <c r="A91" s="63" t="s">
        <v>5117</v>
      </c>
      <c r="B91" t="s">
        <v>722</v>
      </c>
      <c r="C91" t="s">
        <v>5043</v>
      </c>
      <c r="D91" t="s">
        <v>8401</v>
      </c>
    </row>
    <row r="92" spans="1:4" x14ac:dyDescent="0.25">
      <c r="A92" s="63" t="s">
        <v>5118</v>
      </c>
      <c r="B92" t="s">
        <v>620</v>
      </c>
      <c r="C92" t="s">
        <v>5043</v>
      </c>
      <c r="D92" t="s">
        <v>8405</v>
      </c>
    </row>
    <row r="93" spans="1:4" x14ac:dyDescent="0.25">
      <c r="A93" s="63" t="s">
        <v>5119</v>
      </c>
      <c r="B93" t="s">
        <v>620</v>
      </c>
      <c r="C93" t="s">
        <v>5043</v>
      </c>
      <c r="D93" t="s">
        <v>8405</v>
      </c>
    </row>
    <row r="94" spans="1:4" x14ac:dyDescent="0.25">
      <c r="A94" s="63" t="s">
        <v>5120</v>
      </c>
      <c r="B94" t="s">
        <v>620</v>
      </c>
      <c r="C94" t="s">
        <v>5043</v>
      </c>
      <c r="D94" t="s">
        <v>8405</v>
      </c>
    </row>
    <row r="95" spans="1:4" x14ac:dyDescent="0.25">
      <c r="A95" s="63" t="s">
        <v>5121</v>
      </c>
      <c r="B95" t="s">
        <v>620</v>
      </c>
      <c r="C95" t="s">
        <v>5043</v>
      </c>
      <c r="D95" t="s">
        <v>8405</v>
      </c>
    </row>
    <row r="96" spans="1:4" x14ac:dyDescent="0.25">
      <c r="A96" s="63" t="s">
        <v>5122</v>
      </c>
      <c r="B96" t="s">
        <v>620</v>
      </c>
      <c r="C96" t="s">
        <v>5043</v>
      </c>
      <c r="D96" t="s">
        <v>8405</v>
      </c>
    </row>
    <row r="97" spans="1:4" x14ac:dyDescent="0.25">
      <c r="A97" s="63" t="s">
        <v>5123</v>
      </c>
      <c r="B97" t="s">
        <v>620</v>
      </c>
      <c r="C97" t="s">
        <v>5043</v>
      </c>
      <c r="D97" t="s">
        <v>8405</v>
      </c>
    </row>
    <row r="98" spans="1:4" x14ac:dyDescent="0.25">
      <c r="A98" s="63" t="s">
        <v>5124</v>
      </c>
      <c r="B98" t="s">
        <v>620</v>
      </c>
      <c r="C98" t="s">
        <v>5043</v>
      </c>
      <c r="D98" t="s">
        <v>8405</v>
      </c>
    </row>
    <row r="99" spans="1:4" x14ac:dyDescent="0.25">
      <c r="A99" s="63" t="s">
        <v>5125</v>
      </c>
      <c r="B99" t="s">
        <v>620</v>
      </c>
      <c r="C99" t="s">
        <v>5043</v>
      </c>
      <c r="D99" t="s">
        <v>8405</v>
      </c>
    </row>
    <row r="100" spans="1:4" x14ac:dyDescent="0.25">
      <c r="A100" s="63" t="s">
        <v>5126</v>
      </c>
      <c r="B100" t="s">
        <v>620</v>
      </c>
      <c r="C100" t="s">
        <v>5043</v>
      </c>
      <c r="D100" t="s">
        <v>8405</v>
      </c>
    </row>
    <row r="101" spans="1:4" x14ac:dyDescent="0.25">
      <c r="A101" s="63" t="s">
        <v>5127</v>
      </c>
      <c r="B101" t="s">
        <v>620</v>
      </c>
      <c r="C101" t="s">
        <v>5043</v>
      </c>
      <c r="D101" t="s">
        <v>8405</v>
      </c>
    </row>
    <row r="102" spans="1:4" x14ac:dyDescent="0.25">
      <c r="A102" s="63" t="s">
        <v>5128</v>
      </c>
      <c r="B102" t="s">
        <v>620</v>
      </c>
      <c r="C102" t="s">
        <v>5043</v>
      </c>
      <c r="D102" t="s">
        <v>8405</v>
      </c>
    </row>
    <row r="103" spans="1:4" x14ac:dyDescent="0.25">
      <c r="A103" s="63" t="s">
        <v>5129</v>
      </c>
      <c r="B103" t="s">
        <v>620</v>
      </c>
      <c r="C103" t="s">
        <v>5043</v>
      </c>
      <c r="D103" t="s">
        <v>8405</v>
      </c>
    </row>
    <row r="104" spans="1:4" x14ac:dyDescent="0.25">
      <c r="A104" s="63" t="s">
        <v>5130</v>
      </c>
      <c r="B104" t="s">
        <v>620</v>
      </c>
      <c r="C104" t="s">
        <v>5043</v>
      </c>
      <c r="D104" t="s">
        <v>8405</v>
      </c>
    </row>
    <row r="105" spans="1:4" x14ac:dyDescent="0.25">
      <c r="A105" s="63" t="s">
        <v>5131</v>
      </c>
      <c r="B105" t="s">
        <v>620</v>
      </c>
      <c r="C105" t="s">
        <v>5043</v>
      </c>
      <c r="D105" t="s">
        <v>8405</v>
      </c>
    </row>
    <row r="106" spans="1:4" x14ac:dyDescent="0.25">
      <c r="A106" s="63" t="s">
        <v>5132</v>
      </c>
      <c r="B106" t="s">
        <v>620</v>
      </c>
      <c r="C106" t="s">
        <v>5043</v>
      </c>
      <c r="D106" t="s">
        <v>8405</v>
      </c>
    </row>
    <row r="107" spans="1:4" x14ac:dyDescent="0.25">
      <c r="A107" s="63" t="s">
        <v>3663</v>
      </c>
      <c r="B107" t="s">
        <v>620</v>
      </c>
      <c r="C107" t="s">
        <v>5043</v>
      </c>
      <c r="D107" t="s">
        <v>8405</v>
      </c>
    </row>
    <row r="108" spans="1:4" x14ac:dyDescent="0.25">
      <c r="A108" s="63" t="s">
        <v>3664</v>
      </c>
      <c r="B108" t="s">
        <v>620</v>
      </c>
      <c r="C108" t="s">
        <v>5043</v>
      </c>
      <c r="D108" t="s">
        <v>8405</v>
      </c>
    </row>
    <row r="109" spans="1:4" x14ac:dyDescent="0.25">
      <c r="A109" s="63" t="s">
        <v>5133</v>
      </c>
      <c r="B109" t="s">
        <v>620</v>
      </c>
      <c r="C109" t="s">
        <v>5043</v>
      </c>
      <c r="D109" t="s">
        <v>8405</v>
      </c>
    </row>
    <row r="110" spans="1:4" x14ac:dyDescent="0.25">
      <c r="A110" s="63" t="s">
        <v>5134</v>
      </c>
      <c r="B110" t="s">
        <v>620</v>
      </c>
      <c r="C110" t="s">
        <v>5043</v>
      </c>
      <c r="D110" t="s">
        <v>8405</v>
      </c>
    </row>
    <row r="111" spans="1:4" x14ac:dyDescent="0.25">
      <c r="A111" s="63" t="s">
        <v>5135</v>
      </c>
      <c r="B111" t="s">
        <v>620</v>
      </c>
      <c r="C111" t="s">
        <v>5043</v>
      </c>
      <c r="D111" t="s">
        <v>8405</v>
      </c>
    </row>
    <row r="112" spans="1:4" x14ac:dyDescent="0.25">
      <c r="A112" s="63" t="s">
        <v>5136</v>
      </c>
      <c r="B112" t="s">
        <v>620</v>
      </c>
      <c r="C112" t="s">
        <v>5043</v>
      </c>
      <c r="D112" t="s">
        <v>8405</v>
      </c>
    </row>
    <row r="113" spans="1:4" x14ac:dyDescent="0.25">
      <c r="A113" s="63" t="s">
        <v>5137</v>
      </c>
      <c r="B113" t="s">
        <v>620</v>
      </c>
      <c r="C113" t="s">
        <v>5043</v>
      </c>
      <c r="D113" t="s">
        <v>8405</v>
      </c>
    </row>
    <row r="114" spans="1:4" x14ac:dyDescent="0.25">
      <c r="A114" s="63" t="s">
        <v>5138</v>
      </c>
      <c r="B114" t="s">
        <v>620</v>
      </c>
      <c r="C114" t="s">
        <v>5043</v>
      </c>
      <c r="D114" t="s">
        <v>8405</v>
      </c>
    </row>
    <row r="115" spans="1:4" x14ac:dyDescent="0.25">
      <c r="A115" s="63" t="s">
        <v>5139</v>
      </c>
      <c r="B115" t="s">
        <v>620</v>
      </c>
      <c r="C115" t="s">
        <v>5043</v>
      </c>
      <c r="D115" t="s">
        <v>8405</v>
      </c>
    </row>
    <row r="116" spans="1:4" x14ac:dyDescent="0.25">
      <c r="A116" s="63" t="s">
        <v>5140</v>
      </c>
      <c r="B116" t="s">
        <v>620</v>
      </c>
      <c r="C116" t="s">
        <v>5043</v>
      </c>
      <c r="D116" t="s">
        <v>8405</v>
      </c>
    </row>
    <row r="117" spans="1:4" x14ac:dyDescent="0.25">
      <c r="A117" s="63" t="s">
        <v>5141</v>
      </c>
      <c r="B117" t="s">
        <v>620</v>
      </c>
      <c r="C117" t="s">
        <v>5043</v>
      </c>
      <c r="D117" t="s">
        <v>8405</v>
      </c>
    </row>
    <row r="118" spans="1:4" x14ac:dyDescent="0.25">
      <c r="A118" s="63" t="s">
        <v>5142</v>
      </c>
      <c r="B118" t="s">
        <v>620</v>
      </c>
      <c r="C118" t="s">
        <v>5043</v>
      </c>
      <c r="D118" t="s">
        <v>8405</v>
      </c>
    </row>
    <row r="119" spans="1:4" x14ac:dyDescent="0.25">
      <c r="A119" s="63" t="s">
        <v>5143</v>
      </c>
      <c r="B119" t="s">
        <v>620</v>
      </c>
      <c r="C119" t="s">
        <v>5043</v>
      </c>
      <c r="D119" t="s">
        <v>8405</v>
      </c>
    </row>
    <row r="120" spans="1:4" x14ac:dyDescent="0.25">
      <c r="A120" s="63" t="s">
        <v>5144</v>
      </c>
      <c r="B120" t="s">
        <v>620</v>
      </c>
      <c r="C120" t="s">
        <v>5043</v>
      </c>
      <c r="D120" t="s">
        <v>8405</v>
      </c>
    </row>
    <row r="121" spans="1:4" x14ac:dyDescent="0.25">
      <c r="A121" s="63" t="s">
        <v>5145</v>
      </c>
      <c r="B121" t="s">
        <v>620</v>
      </c>
      <c r="C121" t="s">
        <v>5043</v>
      </c>
      <c r="D121" t="s">
        <v>8405</v>
      </c>
    </row>
    <row r="122" spans="1:4" x14ac:dyDescent="0.25">
      <c r="A122" s="63" t="s">
        <v>5146</v>
      </c>
      <c r="B122" t="s">
        <v>620</v>
      </c>
      <c r="C122" t="s">
        <v>5043</v>
      </c>
      <c r="D122" t="s">
        <v>8405</v>
      </c>
    </row>
    <row r="123" spans="1:4" x14ac:dyDescent="0.25">
      <c r="A123" s="63" t="s">
        <v>5147</v>
      </c>
      <c r="B123" t="s">
        <v>620</v>
      </c>
      <c r="C123" t="s">
        <v>5043</v>
      </c>
      <c r="D123" t="s">
        <v>8405</v>
      </c>
    </row>
    <row r="124" spans="1:4" x14ac:dyDescent="0.25">
      <c r="A124" s="63" t="s">
        <v>5148</v>
      </c>
      <c r="B124" t="s">
        <v>620</v>
      </c>
      <c r="C124" t="s">
        <v>5043</v>
      </c>
      <c r="D124" t="s">
        <v>8405</v>
      </c>
    </row>
    <row r="125" spans="1:4" x14ac:dyDescent="0.25">
      <c r="A125" s="63" t="s">
        <v>5149</v>
      </c>
      <c r="B125" t="s">
        <v>620</v>
      </c>
      <c r="C125" t="s">
        <v>5043</v>
      </c>
      <c r="D125" t="s">
        <v>8405</v>
      </c>
    </row>
    <row r="126" spans="1:4" x14ac:dyDescent="0.25">
      <c r="A126" s="63" t="s">
        <v>4007</v>
      </c>
      <c r="B126" t="s">
        <v>620</v>
      </c>
      <c r="C126" t="s">
        <v>5043</v>
      </c>
      <c r="D126" t="s">
        <v>8405</v>
      </c>
    </row>
    <row r="127" spans="1:4" x14ac:dyDescent="0.25">
      <c r="A127" s="63" t="s">
        <v>4008</v>
      </c>
      <c r="B127" t="s">
        <v>620</v>
      </c>
      <c r="C127" t="s">
        <v>5043</v>
      </c>
      <c r="D127" t="s">
        <v>8405</v>
      </c>
    </row>
    <row r="128" spans="1:4" x14ac:dyDescent="0.25">
      <c r="A128" s="63" t="s">
        <v>4009</v>
      </c>
      <c r="B128" t="s">
        <v>620</v>
      </c>
      <c r="C128" t="s">
        <v>5043</v>
      </c>
      <c r="D128" t="s">
        <v>8405</v>
      </c>
    </row>
    <row r="129" spans="1:4" x14ac:dyDescent="0.25">
      <c r="A129" s="63" t="s">
        <v>4010</v>
      </c>
      <c r="B129" t="s">
        <v>620</v>
      </c>
      <c r="C129" t="s">
        <v>5043</v>
      </c>
      <c r="D129" t="s">
        <v>8405</v>
      </c>
    </row>
    <row r="130" spans="1:4" x14ac:dyDescent="0.25">
      <c r="A130" s="63" t="s">
        <v>4011</v>
      </c>
      <c r="B130" t="s">
        <v>620</v>
      </c>
      <c r="C130" t="s">
        <v>5043</v>
      </c>
      <c r="D130" t="s">
        <v>8405</v>
      </c>
    </row>
    <row r="131" spans="1:4" x14ac:dyDescent="0.25">
      <c r="A131" s="63" t="s">
        <v>4012</v>
      </c>
      <c r="B131" t="s">
        <v>620</v>
      </c>
      <c r="C131" t="s">
        <v>5043</v>
      </c>
      <c r="D131" t="s">
        <v>8405</v>
      </c>
    </row>
    <row r="132" spans="1:4" x14ac:dyDescent="0.25">
      <c r="A132" s="63" t="s">
        <v>4013</v>
      </c>
      <c r="B132" t="s">
        <v>620</v>
      </c>
      <c r="C132" t="s">
        <v>5043</v>
      </c>
      <c r="D132" t="s">
        <v>8405</v>
      </c>
    </row>
    <row r="133" spans="1:4" x14ac:dyDescent="0.25">
      <c r="A133" s="63" t="s">
        <v>5150</v>
      </c>
      <c r="B133" t="s">
        <v>620</v>
      </c>
      <c r="C133" t="s">
        <v>5043</v>
      </c>
      <c r="D133" t="s">
        <v>8405</v>
      </c>
    </row>
    <row r="134" spans="1:4" x14ac:dyDescent="0.25">
      <c r="A134" s="63" t="s">
        <v>5151</v>
      </c>
      <c r="B134" t="s">
        <v>620</v>
      </c>
      <c r="C134" t="s">
        <v>5043</v>
      </c>
      <c r="D134" t="s">
        <v>8405</v>
      </c>
    </row>
    <row r="135" spans="1:4" x14ac:dyDescent="0.25">
      <c r="A135" s="63" t="s">
        <v>5152</v>
      </c>
      <c r="B135" t="s">
        <v>620</v>
      </c>
      <c r="C135" t="s">
        <v>5043</v>
      </c>
      <c r="D135" t="s">
        <v>8405</v>
      </c>
    </row>
    <row r="136" spans="1:4" x14ac:dyDescent="0.25">
      <c r="A136" s="63" t="s">
        <v>5153</v>
      </c>
      <c r="B136" t="s">
        <v>620</v>
      </c>
      <c r="C136" t="s">
        <v>5043</v>
      </c>
      <c r="D136" t="s">
        <v>8405</v>
      </c>
    </row>
    <row r="137" spans="1:4" x14ac:dyDescent="0.25">
      <c r="A137" s="63" t="s">
        <v>5154</v>
      </c>
      <c r="B137" t="s">
        <v>620</v>
      </c>
      <c r="C137" t="s">
        <v>5043</v>
      </c>
      <c r="D137" t="s">
        <v>8405</v>
      </c>
    </row>
    <row r="138" spans="1:4" x14ac:dyDescent="0.25">
      <c r="A138" s="63" t="s">
        <v>5155</v>
      </c>
      <c r="B138" t="s">
        <v>620</v>
      </c>
      <c r="C138" t="s">
        <v>5043</v>
      </c>
      <c r="D138" t="s">
        <v>8405</v>
      </c>
    </row>
    <row r="139" spans="1:4" x14ac:dyDescent="0.25">
      <c r="A139" s="63" t="s">
        <v>5156</v>
      </c>
      <c r="B139" t="s">
        <v>620</v>
      </c>
      <c r="C139" t="s">
        <v>5043</v>
      </c>
      <c r="D139" t="s">
        <v>8405</v>
      </c>
    </row>
    <row r="140" spans="1:4" x14ac:dyDescent="0.25">
      <c r="A140" s="63" t="s">
        <v>5157</v>
      </c>
      <c r="B140" t="s">
        <v>620</v>
      </c>
      <c r="C140" t="s">
        <v>5043</v>
      </c>
      <c r="D140" t="s">
        <v>8405</v>
      </c>
    </row>
    <row r="141" spans="1:4" x14ac:dyDescent="0.25">
      <c r="A141" s="63" t="s">
        <v>5158</v>
      </c>
      <c r="B141" t="s">
        <v>620</v>
      </c>
      <c r="C141" t="s">
        <v>5043</v>
      </c>
      <c r="D141" t="s">
        <v>8405</v>
      </c>
    </row>
    <row r="142" spans="1:4" x14ac:dyDescent="0.25">
      <c r="A142" s="63" t="s">
        <v>5159</v>
      </c>
      <c r="B142" t="s">
        <v>620</v>
      </c>
      <c r="C142" t="s">
        <v>5043</v>
      </c>
      <c r="D142" t="s">
        <v>8405</v>
      </c>
    </row>
    <row r="143" spans="1:4" x14ac:dyDescent="0.25">
      <c r="A143" s="63" t="s">
        <v>5160</v>
      </c>
      <c r="B143" t="s">
        <v>620</v>
      </c>
      <c r="C143" t="s">
        <v>5043</v>
      </c>
      <c r="D143" t="s">
        <v>8405</v>
      </c>
    </row>
    <row r="144" spans="1:4" x14ac:dyDescent="0.25">
      <c r="A144" s="63" t="s">
        <v>5161</v>
      </c>
      <c r="B144" t="s">
        <v>620</v>
      </c>
      <c r="C144" t="s">
        <v>5043</v>
      </c>
      <c r="D144" t="s">
        <v>8405</v>
      </c>
    </row>
    <row r="145" spans="1:4" x14ac:dyDescent="0.25">
      <c r="A145" s="63" t="s">
        <v>5162</v>
      </c>
      <c r="B145" t="s">
        <v>620</v>
      </c>
      <c r="C145" t="s">
        <v>5043</v>
      </c>
      <c r="D145" t="s">
        <v>8405</v>
      </c>
    </row>
    <row r="146" spans="1:4" x14ac:dyDescent="0.25">
      <c r="A146" s="63" t="s">
        <v>5163</v>
      </c>
      <c r="B146" t="s">
        <v>620</v>
      </c>
      <c r="C146" t="s">
        <v>5043</v>
      </c>
      <c r="D146" t="s">
        <v>8405</v>
      </c>
    </row>
    <row r="147" spans="1:4" x14ac:dyDescent="0.25">
      <c r="A147" s="63" t="s">
        <v>5164</v>
      </c>
      <c r="B147" t="s">
        <v>620</v>
      </c>
      <c r="C147" t="s">
        <v>5043</v>
      </c>
      <c r="D147" t="s">
        <v>8405</v>
      </c>
    </row>
    <row r="148" spans="1:4" x14ac:dyDescent="0.25">
      <c r="A148" s="63" t="s">
        <v>5165</v>
      </c>
      <c r="B148" t="s">
        <v>620</v>
      </c>
      <c r="C148" t="s">
        <v>5043</v>
      </c>
      <c r="D148" t="s">
        <v>8405</v>
      </c>
    </row>
    <row r="149" spans="1:4" x14ac:dyDescent="0.25">
      <c r="A149" s="63" t="s">
        <v>5166</v>
      </c>
      <c r="B149" t="s">
        <v>620</v>
      </c>
      <c r="C149" t="s">
        <v>5043</v>
      </c>
      <c r="D149" t="s">
        <v>8405</v>
      </c>
    </row>
    <row r="150" spans="1:4" x14ac:dyDescent="0.25">
      <c r="A150" s="63" t="s">
        <v>5167</v>
      </c>
      <c r="B150" t="s">
        <v>620</v>
      </c>
      <c r="C150" t="s">
        <v>5043</v>
      </c>
      <c r="D150" t="s">
        <v>8405</v>
      </c>
    </row>
    <row r="151" spans="1:4" x14ac:dyDescent="0.25">
      <c r="A151" s="63" t="s">
        <v>5168</v>
      </c>
      <c r="B151" t="s">
        <v>620</v>
      </c>
      <c r="C151" t="s">
        <v>5043</v>
      </c>
      <c r="D151" t="s">
        <v>8405</v>
      </c>
    </row>
    <row r="152" spans="1:4" x14ac:dyDescent="0.25">
      <c r="A152" s="63" t="s">
        <v>4290</v>
      </c>
      <c r="B152" t="s">
        <v>620</v>
      </c>
      <c r="C152" t="s">
        <v>5043</v>
      </c>
      <c r="D152" t="s">
        <v>8405</v>
      </c>
    </row>
    <row r="153" spans="1:4" x14ac:dyDescent="0.25">
      <c r="A153" s="63" t="s">
        <v>5169</v>
      </c>
      <c r="B153" t="s">
        <v>620</v>
      </c>
      <c r="C153" t="s">
        <v>5043</v>
      </c>
      <c r="D153" t="s">
        <v>8405</v>
      </c>
    </row>
    <row r="154" spans="1:4" x14ac:dyDescent="0.25">
      <c r="A154" s="63" t="s">
        <v>5170</v>
      </c>
      <c r="B154" t="s">
        <v>620</v>
      </c>
      <c r="C154" t="s">
        <v>5043</v>
      </c>
      <c r="D154" t="s">
        <v>8405</v>
      </c>
    </row>
    <row r="155" spans="1:4" x14ac:dyDescent="0.25">
      <c r="A155" s="63" t="s">
        <v>5171</v>
      </c>
      <c r="B155" t="s">
        <v>620</v>
      </c>
      <c r="C155" t="s">
        <v>5043</v>
      </c>
      <c r="D155" t="s">
        <v>8405</v>
      </c>
    </row>
    <row r="156" spans="1:4" x14ac:dyDescent="0.25">
      <c r="A156" s="63" t="s">
        <v>5172</v>
      </c>
      <c r="B156" t="s">
        <v>620</v>
      </c>
      <c r="C156" t="s">
        <v>5043</v>
      </c>
      <c r="D156" t="s">
        <v>8405</v>
      </c>
    </row>
    <row r="157" spans="1:4" x14ac:dyDescent="0.25">
      <c r="A157" s="63" t="s">
        <v>5173</v>
      </c>
      <c r="B157" t="s">
        <v>620</v>
      </c>
      <c r="C157" t="s">
        <v>5043</v>
      </c>
      <c r="D157" t="s">
        <v>8405</v>
      </c>
    </row>
    <row r="158" spans="1:4" x14ac:dyDescent="0.25">
      <c r="A158" s="63" t="s">
        <v>5174</v>
      </c>
      <c r="B158" t="s">
        <v>620</v>
      </c>
      <c r="C158" t="s">
        <v>5043</v>
      </c>
      <c r="D158" t="s">
        <v>8405</v>
      </c>
    </row>
    <row r="159" spans="1:4" x14ac:dyDescent="0.25">
      <c r="A159" s="63" t="s">
        <v>5175</v>
      </c>
      <c r="B159" t="s">
        <v>620</v>
      </c>
      <c r="C159" t="s">
        <v>5043</v>
      </c>
      <c r="D159" t="s">
        <v>8405</v>
      </c>
    </row>
    <row r="160" spans="1:4" x14ac:dyDescent="0.25">
      <c r="A160" s="63" t="s">
        <v>5176</v>
      </c>
      <c r="B160" t="s">
        <v>620</v>
      </c>
      <c r="C160" t="s">
        <v>5043</v>
      </c>
      <c r="D160" t="s">
        <v>8405</v>
      </c>
    </row>
    <row r="161" spans="1:4" x14ac:dyDescent="0.25">
      <c r="A161" s="63" t="s">
        <v>5177</v>
      </c>
      <c r="B161" t="s">
        <v>620</v>
      </c>
      <c r="C161" t="s">
        <v>5043</v>
      </c>
      <c r="D161" t="s">
        <v>8405</v>
      </c>
    </row>
    <row r="162" spans="1:4" x14ac:dyDescent="0.25">
      <c r="A162" s="63" t="s">
        <v>5178</v>
      </c>
      <c r="B162" t="s">
        <v>620</v>
      </c>
      <c r="C162" t="s">
        <v>5043</v>
      </c>
      <c r="D162" t="s">
        <v>8405</v>
      </c>
    </row>
    <row r="163" spans="1:4" x14ac:dyDescent="0.25">
      <c r="A163" s="63" t="s">
        <v>5179</v>
      </c>
      <c r="B163" t="s">
        <v>620</v>
      </c>
      <c r="C163" t="s">
        <v>5043</v>
      </c>
      <c r="D163" t="s">
        <v>8405</v>
      </c>
    </row>
    <row r="164" spans="1:4" x14ac:dyDescent="0.25">
      <c r="A164" s="63" t="s">
        <v>5180</v>
      </c>
      <c r="B164" t="s">
        <v>620</v>
      </c>
      <c r="C164" t="s">
        <v>5043</v>
      </c>
      <c r="D164" t="s">
        <v>8405</v>
      </c>
    </row>
    <row r="165" spans="1:4" x14ac:dyDescent="0.25">
      <c r="A165" s="63" t="s">
        <v>5181</v>
      </c>
      <c r="B165" t="s">
        <v>620</v>
      </c>
      <c r="C165" t="s">
        <v>5043</v>
      </c>
      <c r="D165" t="s">
        <v>8405</v>
      </c>
    </row>
    <row r="166" spans="1:4" x14ac:dyDescent="0.25">
      <c r="A166" s="63" t="s">
        <v>5182</v>
      </c>
      <c r="B166" t="s">
        <v>620</v>
      </c>
      <c r="C166" t="s">
        <v>5043</v>
      </c>
      <c r="D166" t="s">
        <v>8405</v>
      </c>
    </row>
    <row r="167" spans="1:4" x14ac:dyDescent="0.25">
      <c r="A167" s="63" t="s">
        <v>5183</v>
      </c>
      <c r="B167" t="s">
        <v>620</v>
      </c>
      <c r="C167" t="s">
        <v>5043</v>
      </c>
      <c r="D167" t="s">
        <v>8405</v>
      </c>
    </row>
    <row r="168" spans="1:4" x14ac:dyDescent="0.25">
      <c r="A168" s="63" t="s">
        <v>5184</v>
      </c>
      <c r="B168" t="s">
        <v>620</v>
      </c>
      <c r="C168" t="s">
        <v>5043</v>
      </c>
      <c r="D168" t="s">
        <v>8405</v>
      </c>
    </row>
    <row r="169" spans="1:4" x14ac:dyDescent="0.25">
      <c r="A169" s="63" t="s">
        <v>5185</v>
      </c>
      <c r="B169" t="s">
        <v>620</v>
      </c>
      <c r="C169" t="s">
        <v>5043</v>
      </c>
      <c r="D169" t="s">
        <v>8405</v>
      </c>
    </row>
    <row r="170" spans="1:4" x14ac:dyDescent="0.25">
      <c r="A170" s="63" t="s">
        <v>5186</v>
      </c>
      <c r="B170" t="s">
        <v>620</v>
      </c>
      <c r="C170" t="s">
        <v>5043</v>
      </c>
      <c r="D170" t="s">
        <v>8405</v>
      </c>
    </row>
    <row r="171" spans="1:4" x14ac:dyDescent="0.25">
      <c r="A171" s="63" t="s">
        <v>5187</v>
      </c>
      <c r="B171" t="s">
        <v>620</v>
      </c>
      <c r="C171" t="s">
        <v>5043</v>
      </c>
      <c r="D171" t="s">
        <v>8405</v>
      </c>
    </row>
    <row r="172" spans="1:4" x14ac:dyDescent="0.25">
      <c r="A172" s="63" t="s">
        <v>5188</v>
      </c>
      <c r="B172" t="s">
        <v>620</v>
      </c>
      <c r="C172" t="s">
        <v>5043</v>
      </c>
      <c r="D172" t="s">
        <v>8405</v>
      </c>
    </row>
    <row r="173" spans="1:4" x14ac:dyDescent="0.25">
      <c r="A173" s="63" t="s">
        <v>5189</v>
      </c>
      <c r="B173" t="s">
        <v>620</v>
      </c>
      <c r="C173" t="s">
        <v>5043</v>
      </c>
      <c r="D173" t="s">
        <v>8405</v>
      </c>
    </row>
    <row r="174" spans="1:4" x14ac:dyDescent="0.25">
      <c r="A174" s="63" t="s">
        <v>5190</v>
      </c>
      <c r="B174" t="s">
        <v>620</v>
      </c>
      <c r="C174" t="s">
        <v>5043</v>
      </c>
      <c r="D174" t="s">
        <v>8405</v>
      </c>
    </row>
    <row r="175" spans="1:4" x14ac:dyDescent="0.25">
      <c r="A175" s="63" t="s">
        <v>5191</v>
      </c>
      <c r="B175" t="s">
        <v>620</v>
      </c>
      <c r="C175" t="s">
        <v>5043</v>
      </c>
      <c r="D175" t="s">
        <v>8405</v>
      </c>
    </row>
    <row r="176" spans="1:4" x14ac:dyDescent="0.25">
      <c r="A176" s="63" t="s">
        <v>3251</v>
      </c>
      <c r="B176" t="s">
        <v>620</v>
      </c>
      <c r="C176" t="s">
        <v>5043</v>
      </c>
      <c r="D176" t="s">
        <v>8405</v>
      </c>
    </row>
    <row r="177" spans="1:4" x14ac:dyDescent="0.25">
      <c r="A177" s="63" t="s">
        <v>3252</v>
      </c>
      <c r="B177" t="s">
        <v>620</v>
      </c>
      <c r="C177" t="s">
        <v>5043</v>
      </c>
      <c r="D177" t="s">
        <v>8405</v>
      </c>
    </row>
    <row r="178" spans="1:4" x14ac:dyDescent="0.25">
      <c r="A178" s="63" t="s">
        <v>5192</v>
      </c>
      <c r="B178" t="s">
        <v>620</v>
      </c>
      <c r="C178" t="s">
        <v>5043</v>
      </c>
      <c r="D178" t="s">
        <v>8405</v>
      </c>
    </row>
    <row r="179" spans="1:4" x14ac:dyDescent="0.25">
      <c r="A179" s="63" t="s">
        <v>5193</v>
      </c>
      <c r="B179" t="s">
        <v>620</v>
      </c>
      <c r="C179" t="s">
        <v>5043</v>
      </c>
      <c r="D179" t="s">
        <v>8405</v>
      </c>
    </row>
    <row r="180" spans="1:4" x14ac:dyDescent="0.25">
      <c r="A180" s="63" t="s">
        <v>5194</v>
      </c>
      <c r="B180" t="s">
        <v>620</v>
      </c>
      <c r="C180" t="s">
        <v>5043</v>
      </c>
      <c r="D180" t="s">
        <v>8405</v>
      </c>
    </row>
    <row r="181" spans="1:4" x14ac:dyDescent="0.25">
      <c r="A181" s="63" t="s">
        <v>5195</v>
      </c>
      <c r="B181" t="s">
        <v>620</v>
      </c>
      <c r="C181" t="s">
        <v>5043</v>
      </c>
      <c r="D181" t="s">
        <v>8405</v>
      </c>
    </row>
    <row r="182" spans="1:4" x14ac:dyDescent="0.25">
      <c r="A182" s="63" t="s">
        <v>5196</v>
      </c>
      <c r="B182" t="s">
        <v>620</v>
      </c>
      <c r="C182" t="s">
        <v>5043</v>
      </c>
      <c r="D182" t="s">
        <v>8405</v>
      </c>
    </row>
    <row r="183" spans="1:4" x14ac:dyDescent="0.25">
      <c r="A183" s="63" t="s">
        <v>5197</v>
      </c>
      <c r="B183" t="s">
        <v>620</v>
      </c>
      <c r="C183" t="s">
        <v>5043</v>
      </c>
      <c r="D183" t="s">
        <v>8405</v>
      </c>
    </row>
    <row r="184" spans="1:4" x14ac:dyDescent="0.25">
      <c r="A184" s="63" t="s">
        <v>4584</v>
      </c>
      <c r="B184" t="s">
        <v>620</v>
      </c>
      <c r="C184" t="s">
        <v>5043</v>
      </c>
      <c r="D184" t="s">
        <v>8405</v>
      </c>
    </row>
    <row r="185" spans="1:4" x14ac:dyDescent="0.25">
      <c r="A185" s="63" t="s">
        <v>5198</v>
      </c>
      <c r="B185" t="s">
        <v>620</v>
      </c>
      <c r="C185" t="s">
        <v>5043</v>
      </c>
      <c r="D185" t="s">
        <v>8405</v>
      </c>
    </row>
    <row r="186" spans="1:4" x14ac:dyDescent="0.25">
      <c r="A186" s="63" t="s">
        <v>4585</v>
      </c>
      <c r="B186" t="s">
        <v>620</v>
      </c>
      <c r="C186" t="s">
        <v>5043</v>
      </c>
      <c r="D186" t="s">
        <v>8405</v>
      </c>
    </row>
    <row r="187" spans="1:4" x14ac:dyDescent="0.25">
      <c r="A187" s="63" t="s">
        <v>5199</v>
      </c>
      <c r="B187" t="s">
        <v>620</v>
      </c>
      <c r="C187" t="s">
        <v>5043</v>
      </c>
      <c r="D187" t="s">
        <v>8405</v>
      </c>
    </row>
    <row r="188" spans="1:4" x14ac:dyDescent="0.25">
      <c r="A188" s="63" t="s">
        <v>5200</v>
      </c>
      <c r="B188" t="s">
        <v>620</v>
      </c>
      <c r="C188" t="s">
        <v>5043</v>
      </c>
      <c r="D188" t="s">
        <v>8405</v>
      </c>
    </row>
    <row r="189" spans="1:4" x14ac:dyDescent="0.25">
      <c r="A189" s="63" t="s">
        <v>4586</v>
      </c>
      <c r="B189" t="s">
        <v>620</v>
      </c>
      <c r="C189" t="s">
        <v>5043</v>
      </c>
      <c r="D189" t="s">
        <v>8405</v>
      </c>
    </row>
    <row r="190" spans="1:4" x14ac:dyDescent="0.25">
      <c r="A190" s="63" t="s">
        <v>5201</v>
      </c>
      <c r="B190" t="s">
        <v>620</v>
      </c>
      <c r="C190" t="s">
        <v>5043</v>
      </c>
      <c r="D190" t="s">
        <v>8405</v>
      </c>
    </row>
    <row r="191" spans="1:4" x14ac:dyDescent="0.25">
      <c r="A191" s="63" t="s">
        <v>5202</v>
      </c>
      <c r="B191" t="s">
        <v>620</v>
      </c>
      <c r="C191" t="s">
        <v>5043</v>
      </c>
      <c r="D191" t="s">
        <v>8405</v>
      </c>
    </row>
    <row r="192" spans="1:4" x14ac:dyDescent="0.25">
      <c r="A192" s="63" t="s">
        <v>5203</v>
      </c>
      <c r="B192" t="s">
        <v>620</v>
      </c>
      <c r="C192" t="s">
        <v>5043</v>
      </c>
      <c r="D192" t="s">
        <v>8405</v>
      </c>
    </row>
    <row r="193" spans="1:4" x14ac:dyDescent="0.25">
      <c r="A193" s="63" t="s">
        <v>5204</v>
      </c>
      <c r="B193" t="s">
        <v>620</v>
      </c>
      <c r="C193" t="s">
        <v>5043</v>
      </c>
      <c r="D193" t="s">
        <v>8405</v>
      </c>
    </row>
    <row r="194" spans="1:4" x14ac:dyDescent="0.25">
      <c r="A194" s="63" t="s">
        <v>5205</v>
      </c>
      <c r="B194" t="s">
        <v>620</v>
      </c>
      <c r="C194" t="s">
        <v>5043</v>
      </c>
      <c r="D194" t="s">
        <v>8405</v>
      </c>
    </row>
    <row r="195" spans="1:4" x14ac:dyDescent="0.25">
      <c r="A195" s="63" t="s">
        <v>5206</v>
      </c>
      <c r="B195" t="s">
        <v>620</v>
      </c>
      <c r="C195" t="s">
        <v>5043</v>
      </c>
      <c r="D195" t="s">
        <v>8405</v>
      </c>
    </row>
    <row r="196" spans="1:4" x14ac:dyDescent="0.25">
      <c r="A196" s="63" t="s">
        <v>5207</v>
      </c>
      <c r="B196" t="s">
        <v>620</v>
      </c>
      <c r="C196" t="s">
        <v>5043</v>
      </c>
      <c r="D196" t="s">
        <v>8405</v>
      </c>
    </row>
    <row r="197" spans="1:4" x14ac:dyDescent="0.25">
      <c r="A197" s="63" t="s">
        <v>5208</v>
      </c>
      <c r="B197" t="s">
        <v>620</v>
      </c>
      <c r="C197" t="s">
        <v>5043</v>
      </c>
      <c r="D197" t="s">
        <v>8405</v>
      </c>
    </row>
    <row r="198" spans="1:4" x14ac:dyDescent="0.25">
      <c r="A198" s="63" t="s">
        <v>5209</v>
      </c>
      <c r="B198" t="s">
        <v>620</v>
      </c>
      <c r="C198" t="s">
        <v>5043</v>
      </c>
      <c r="D198" t="s">
        <v>8405</v>
      </c>
    </row>
    <row r="199" spans="1:4" x14ac:dyDescent="0.25">
      <c r="A199" s="63" t="s">
        <v>5210</v>
      </c>
      <c r="B199" t="s">
        <v>620</v>
      </c>
      <c r="C199" t="s">
        <v>5043</v>
      </c>
      <c r="D199" t="s">
        <v>8405</v>
      </c>
    </row>
    <row r="200" spans="1:4" x14ac:dyDescent="0.25">
      <c r="A200" s="63" t="s">
        <v>5211</v>
      </c>
      <c r="B200" t="s">
        <v>620</v>
      </c>
      <c r="C200" t="s">
        <v>5043</v>
      </c>
      <c r="D200" t="s">
        <v>8405</v>
      </c>
    </row>
    <row r="201" spans="1:4" x14ac:dyDescent="0.25">
      <c r="A201" s="63" t="s">
        <v>5212</v>
      </c>
      <c r="B201" t="s">
        <v>620</v>
      </c>
      <c r="C201" t="s">
        <v>5043</v>
      </c>
      <c r="D201" t="s">
        <v>8405</v>
      </c>
    </row>
    <row r="202" spans="1:4" x14ac:dyDescent="0.25">
      <c r="A202" s="63" t="s">
        <v>5213</v>
      </c>
      <c r="B202" t="s">
        <v>620</v>
      </c>
      <c r="C202" t="s">
        <v>5043</v>
      </c>
      <c r="D202" t="s">
        <v>8405</v>
      </c>
    </row>
    <row r="203" spans="1:4" x14ac:dyDescent="0.25">
      <c r="A203" s="63" t="s">
        <v>5214</v>
      </c>
      <c r="B203" t="s">
        <v>620</v>
      </c>
      <c r="C203" t="s">
        <v>5043</v>
      </c>
      <c r="D203" t="s">
        <v>8405</v>
      </c>
    </row>
    <row r="204" spans="1:4" x14ac:dyDescent="0.25">
      <c r="A204" s="63" t="s">
        <v>5215</v>
      </c>
      <c r="B204" t="s">
        <v>620</v>
      </c>
      <c r="C204" t="s">
        <v>5043</v>
      </c>
      <c r="D204" t="s">
        <v>8405</v>
      </c>
    </row>
    <row r="205" spans="1:4" x14ac:dyDescent="0.25">
      <c r="A205" s="63" t="s">
        <v>5216</v>
      </c>
      <c r="B205" t="s">
        <v>620</v>
      </c>
      <c r="C205" t="s">
        <v>5043</v>
      </c>
      <c r="D205" t="s">
        <v>8405</v>
      </c>
    </row>
    <row r="206" spans="1:4" x14ac:dyDescent="0.25">
      <c r="A206" s="63" t="s">
        <v>5217</v>
      </c>
      <c r="B206" t="s">
        <v>620</v>
      </c>
      <c r="C206" t="s">
        <v>5043</v>
      </c>
      <c r="D206" t="s">
        <v>8405</v>
      </c>
    </row>
    <row r="207" spans="1:4" x14ac:dyDescent="0.25">
      <c r="A207" s="63" t="s">
        <v>5218</v>
      </c>
      <c r="B207" t="s">
        <v>620</v>
      </c>
      <c r="C207" t="s">
        <v>5043</v>
      </c>
      <c r="D207" t="s">
        <v>8405</v>
      </c>
    </row>
    <row r="208" spans="1:4" x14ac:dyDescent="0.25">
      <c r="A208" s="63" t="s">
        <v>5219</v>
      </c>
      <c r="B208" t="s">
        <v>620</v>
      </c>
      <c r="C208" t="s">
        <v>5043</v>
      </c>
      <c r="D208" t="s">
        <v>8405</v>
      </c>
    </row>
    <row r="209" spans="1:4" x14ac:dyDescent="0.25">
      <c r="A209" s="63" t="s">
        <v>5220</v>
      </c>
      <c r="B209" t="s">
        <v>620</v>
      </c>
      <c r="C209" t="s">
        <v>5043</v>
      </c>
      <c r="D209" t="s">
        <v>8405</v>
      </c>
    </row>
    <row r="210" spans="1:4" x14ac:dyDescent="0.25">
      <c r="A210" s="63" t="s">
        <v>5221</v>
      </c>
      <c r="B210" t="s">
        <v>620</v>
      </c>
      <c r="C210" t="s">
        <v>5043</v>
      </c>
      <c r="D210" t="s">
        <v>8405</v>
      </c>
    </row>
    <row r="211" spans="1:4" x14ac:dyDescent="0.25">
      <c r="A211" s="63" t="s">
        <v>5222</v>
      </c>
      <c r="B211" t="s">
        <v>620</v>
      </c>
      <c r="C211" t="s">
        <v>5043</v>
      </c>
      <c r="D211" t="s">
        <v>8405</v>
      </c>
    </row>
    <row r="212" spans="1:4" x14ac:dyDescent="0.25">
      <c r="A212" s="63" t="s">
        <v>5223</v>
      </c>
      <c r="B212" t="s">
        <v>620</v>
      </c>
      <c r="C212" t="s">
        <v>5043</v>
      </c>
      <c r="D212" t="s">
        <v>8405</v>
      </c>
    </row>
    <row r="213" spans="1:4" x14ac:dyDescent="0.25">
      <c r="A213" s="63" t="s">
        <v>5224</v>
      </c>
      <c r="B213" t="s">
        <v>620</v>
      </c>
      <c r="C213" t="s">
        <v>5043</v>
      </c>
      <c r="D213" t="s">
        <v>8405</v>
      </c>
    </row>
    <row r="214" spans="1:4" x14ac:dyDescent="0.25">
      <c r="A214" s="63" t="s">
        <v>5225</v>
      </c>
      <c r="B214" t="s">
        <v>723</v>
      </c>
      <c r="C214" t="s">
        <v>5043</v>
      </c>
      <c r="D214" t="s">
        <v>8401</v>
      </c>
    </row>
    <row r="215" spans="1:4" x14ac:dyDescent="0.25">
      <c r="A215" s="63" t="s">
        <v>5226</v>
      </c>
      <c r="B215" t="s">
        <v>639</v>
      </c>
      <c r="C215" t="s">
        <v>5043</v>
      </c>
      <c r="D215" t="s">
        <v>8405</v>
      </c>
    </row>
    <row r="216" spans="1:4" x14ac:dyDescent="0.25">
      <c r="A216" s="63" t="s">
        <v>4154</v>
      </c>
      <c r="B216" t="s">
        <v>724</v>
      </c>
      <c r="C216" t="s">
        <v>5043</v>
      </c>
      <c r="D216" t="s">
        <v>8401</v>
      </c>
    </row>
    <row r="217" spans="1:4" x14ac:dyDescent="0.25">
      <c r="A217" s="63" t="s">
        <v>4155</v>
      </c>
      <c r="B217" t="s">
        <v>724</v>
      </c>
      <c r="C217" t="s">
        <v>5043</v>
      </c>
      <c r="D217" t="s">
        <v>8401</v>
      </c>
    </row>
    <row r="218" spans="1:4" x14ac:dyDescent="0.25">
      <c r="A218" s="63" t="s">
        <v>2793</v>
      </c>
      <c r="B218" t="s">
        <v>684</v>
      </c>
      <c r="C218" t="s">
        <v>5043</v>
      </c>
      <c r="D218" t="s">
        <v>8405</v>
      </c>
    </row>
    <row r="219" spans="1:4" x14ac:dyDescent="0.25">
      <c r="A219" s="63" t="s">
        <v>5229</v>
      </c>
      <c r="B219" t="s">
        <v>725</v>
      </c>
      <c r="C219" t="s">
        <v>5043</v>
      </c>
      <c r="D219" t="s">
        <v>8401</v>
      </c>
    </row>
    <row r="220" spans="1:4" x14ac:dyDescent="0.25">
      <c r="A220" s="63" t="s">
        <v>5230</v>
      </c>
      <c r="B220" t="s">
        <v>726</v>
      </c>
      <c r="C220" t="s">
        <v>5043</v>
      </c>
      <c r="D220" t="s">
        <v>8401</v>
      </c>
    </row>
    <row r="221" spans="1:4" x14ac:dyDescent="0.25">
      <c r="A221" s="63" t="s">
        <v>5231</v>
      </c>
      <c r="B221" t="s">
        <v>1161</v>
      </c>
      <c r="C221" t="s">
        <v>5043</v>
      </c>
      <c r="D221" t="s">
        <v>8401</v>
      </c>
    </row>
    <row r="222" spans="1:4" x14ac:dyDescent="0.25">
      <c r="A222" s="63" t="s">
        <v>5232</v>
      </c>
      <c r="B222" t="s">
        <v>640</v>
      </c>
      <c r="C222" t="s">
        <v>5043</v>
      </c>
      <c r="D222" t="s">
        <v>8406</v>
      </c>
    </row>
    <row r="223" spans="1:4" x14ac:dyDescent="0.25">
      <c r="A223" s="63" t="s">
        <v>8301</v>
      </c>
      <c r="B223" t="s">
        <v>727</v>
      </c>
      <c r="C223" t="s">
        <v>5043</v>
      </c>
      <c r="D223" t="s">
        <v>8401</v>
      </c>
    </row>
    <row r="224" spans="1:4" x14ac:dyDescent="0.25">
      <c r="A224" s="63" t="s">
        <v>4259</v>
      </c>
      <c r="B224" t="s">
        <v>728</v>
      </c>
      <c r="C224" t="s">
        <v>5043</v>
      </c>
      <c r="D224" t="s">
        <v>8401</v>
      </c>
    </row>
    <row r="225" spans="1:4" x14ac:dyDescent="0.25">
      <c r="A225" s="63" t="s">
        <v>5233</v>
      </c>
      <c r="B225" t="s">
        <v>729</v>
      </c>
      <c r="C225" t="s">
        <v>5043</v>
      </c>
      <c r="D225" t="s">
        <v>8401</v>
      </c>
    </row>
    <row r="226" spans="1:4" x14ac:dyDescent="0.25">
      <c r="A226" s="63" t="s">
        <v>5234</v>
      </c>
      <c r="B226" t="s">
        <v>730</v>
      </c>
      <c r="C226" t="s">
        <v>5043</v>
      </c>
      <c r="D226" t="s">
        <v>8401</v>
      </c>
    </row>
    <row r="227" spans="1:4" x14ac:dyDescent="0.25">
      <c r="A227" s="63" t="s">
        <v>5235</v>
      </c>
      <c r="B227" t="s">
        <v>731</v>
      </c>
      <c r="C227" t="s">
        <v>5043</v>
      </c>
      <c r="D227" t="s">
        <v>8401</v>
      </c>
    </row>
    <row r="228" spans="1:4" x14ac:dyDescent="0.25">
      <c r="A228" s="63" t="s">
        <v>5236</v>
      </c>
      <c r="B228" t="s">
        <v>732</v>
      </c>
      <c r="C228" t="s">
        <v>5043</v>
      </c>
      <c r="D228" t="s">
        <v>8401</v>
      </c>
    </row>
    <row r="229" spans="1:4" x14ac:dyDescent="0.25">
      <c r="A229" s="63" t="s">
        <v>4260</v>
      </c>
      <c r="B229" t="s">
        <v>733</v>
      </c>
      <c r="C229" t="s">
        <v>5043</v>
      </c>
      <c r="D229" t="s">
        <v>8401</v>
      </c>
    </row>
    <row r="230" spans="1:4" x14ac:dyDescent="0.25">
      <c r="A230" s="63" t="s">
        <v>4261</v>
      </c>
      <c r="B230" t="s">
        <v>734</v>
      </c>
      <c r="C230" t="s">
        <v>5043</v>
      </c>
      <c r="D230" t="s">
        <v>8401</v>
      </c>
    </row>
    <row r="231" spans="1:4" x14ac:dyDescent="0.25">
      <c r="A231" s="63" t="s">
        <v>4262</v>
      </c>
      <c r="B231" t="s">
        <v>735</v>
      </c>
      <c r="C231" t="s">
        <v>5043</v>
      </c>
      <c r="D231" t="s">
        <v>8401</v>
      </c>
    </row>
    <row r="232" spans="1:4" x14ac:dyDescent="0.25">
      <c r="A232" s="63" t="s">
        <v>4263</v>
      </c>
      <c r="B232" t="s">
        <v>736</v>
      </c>
      <c r="C232" t="s">
        <v>5043</v>
      </c>
      <c r="D232" t="s">
        <v>8401</v>
      </c>
    </row>
    <row r="233" spans="1:4" x14ac:dyDescent="0.25">
      <c r="A233" s="63" t="s">
        <v>4264</v>
      </c>
      <c r="B233" t="s">
        <v>737</v>
      </c>
      <c r="C233" t="s">
        <v>5043</v>
      </c>
      <c r="D233" t="s">
        <v>8401</v>
      </c>
    </row>
    <row r="234" spans="1:4" x14ac:dyDescent="0.25">
      <c r="A234" s="63" t="s">
        <v>2631</v>
      </c>
      <c r="B234" t="s">
        <v>2632</v>
      </c>
      <c r="C234" t="s">
        <v>5043</v>
      </c>
      <c r="D234" t="s">
        <v>8401</v>
      </c>
    </row>
    <row r="235" spans="1:4" x14ac:dyDescent="0.25">
      <c r="A235" s="63" t="s">
        <v>2633</v>
      </c>
      <c r="B235" t="s">
        <v>2632</v>
      </c>
      <c r="C235" t="s">
        <v>5043</v>
      </c>
      <c r="D235" t="s">
        <v>8401</v>
      </c>
    </row>
    <row r="236" spans="1:4" x14ac:dyDescent="0.25">
      <c r="A236" s="63" t="s">
        <v>2634</v>
      </c>
      <c r="B236" t="s">
        <v>2632</v>
      </c>
      <c r="C236" t="s">
        <v>5043</v>
      </c>
      <c r="D236" t="s">
        <v>8401</v>
      </c>
    </row>
    <row r="237" spans="1:4" x14ac:dyDescent="0.25">
      <c r="A237" s="63" t="s">
        <v>2635</v>
      </c>
      <c r="B237" t="s">
        <v>2632</v>
      </c>
      <c r="C237" t="s">
        <v>5043</v>
      </c>
      <c r="D237" t="s">
        <v>8401</v>
      </c>
    </row>
    <row r="238" spans="1:4" x14ac:dyDescent="0.25">
      <c r="A238" s="63" t="s">
        <v>2636</v>
      </c>
      <c r="B238" t="s">
        <v>2632</v>
      </c>
      <c r="C238" t="s">
        <v>5043</v>
      </c>
      <c r="D238" t="s">
        <v>8401</v>
      </c>
    </row>
    <row r="239" spans="1:4" x14ac:dyDescent="0.25">
      <c r="A239" s="63" t="s">
        <v>2637</v>
      </c>
      <c r="B239" t="s">
        <v>2632</v>
      </c>
      <c r="C239" t="s">
        <v>5043</v>
      </c>
      <c r="D239" t="s">
        <v>8401</v>
      </c>
    </row>
    <row r="240" spans="1:4" x14ac:dyDescent="0.25">
      <c r="A240" s="63" t="s">
        <v>2638</v>
      </c>
      <c r="B240" t="s">
        <v>2632</v>
      </c>
      <c r="C240" t="s">
        <v>5043</v>
      </c>
      <c r="D240" t="s">
        <v>8401</v>
      </c>
    </row>
    <row r="241" spans="1:4" x14ac:dyDescent="0.25">
      <c r="A241" s="63" t="s">
        <v>5237</v>
      </c>
      <c r="B241" t="s">
        <v>738</v>
      </c>
      <c r="C241" t="s">
        <v>5043</v>
      </c>
      <c r="D241" t="s">
        <v>8401</v>
      </c>
    </row>
    <row r="242" spans="1:4" x14ac:dyDescent="0.25">
      <c r="A242" s="63" t="s">
        <v>5238</v>
      </c>
      <c r="B242" t="s">
        <v>739</v>
      </c>
      <c r="C242" t="s">
        <v>5043</v>
      </c>
      <c r="D242" t="s">
        <v>8401</v>
      </c>
    </row>
    <row r="243" spans="1:4" x14ac:dyDescent="0.25">
      <c r="A243" s="63" t="s">
        <v>5239</v>
      </c>
      <c r="B243" t="s">
        <v>739</v>
      </c>
      <c r="C243" t="s">
        <v>5043</v>
      </c>
      <c r="D243" t="s">
        <v>8401</v>
      </c>
    </row>
    <row r="244" spans="1:4" x14ac:dyDescent="0.25">
      <c r="A244" s="63" t="s">
        <v>5240</v>
      </c>
      <c r="B244" t="s">
        <v>739</v>
      </c>
      <c r="C244" t="s">
        <v>5043</v>
      </c>
      <c r="D244" t="s">
        <v>8401</v>
      </c>
    </row>
    <row r="245" spans="1:4" x14ac:dyDescent="0.25">
      <c r="A245" s="63" t="s">
        <v>5241</v>
      </c>
      <c r="B245" t="s">
        <v>739</v>
      </c>
      <c r="C245" t="s">
        <v>5043</v>
      </c>
      <c r="D245" t="s">
        <v>8401</v>
      </c>
    </row>
    <row r="246" spans="1:4" x14ac:dyDescent="0.25">
      <c r="A246" s="63" t="s">
        <v>5242</v>
      </c>
      <c r="B246" t="s">
        <v>739</v>
      </c>
      <c r="C246" t="s">
        <v>5043</v>
      </c>
      <c r="D246" t="s">
        <v>8401</v>
      </c>
    </row>
    <row r="247" spans="1:4" x14ac:dyDescent="0.25">
      <c r="A247" s="63" t="s">
        <v>4285</v>
      </c>
      <c r="B247" t="s">
        <v>740</v>
      </c>
      <c r="C247" t="s">
        <v>5043</v>
      </c>
      <c r="D247" t="s">
        <v>8401</v>
      </c>
    </row>
    <row r="248" spans="1:4" x14ac:dyDescent="0.25">
      <c r="A248" s="63" t="s">
        <v>5243</v>
      </c>
      <c r="B248" t="s">
        <v>740</v>
      </c>
      <c r="C248" t="s">
        <v>5043</v>
      </c>
      <c r="D248" t="s">
        <v>8401</v>
      </c>
    </row>
    <row r="249" spans="1:4" x14ac:dyDescent="0.25">
      <c r="A249" s="63" t="s">
        <v>5244</v>
      </c>
      <c r="B249" t="s">
        <v>740</v>
      </c>
      <c r="C249" t="s">
        <v>5043</v>
      </c>
      <c r="D249" t="s">
        <v>8401</v>
      </c>
    </row>
    <row r="250" spans="1:4" x14ac:dyDescent="0.25">
      <c r="A250" s="63" t="s">
        <v>5245</v>
      </c>
      <c r="B250" t="s">
        <v>740</v>
      </c>
      <c r="C250" t="s">
        <v>5043</v>
      </c>
      <c r="D250" t="s">
        <v>8401</v>
      </c>
    </row>
    <row r="251" spans="1:4" x14ac:dyDescent="0.25">
      <c r="A251" s="63" t="s">
        <v>5246</v>
      </c>
      <c r="B251" t="s">
        <v>740</v>
      </c>
      <c r="C251" t="s">
        <v>5043</v>
      </c>
      <c r="D251" t="s">
        <v>8401</v>
      </c>
    </row>
    <row r="252" spans="1:4" x14ac:dyDescent="0.25">
      <c r="A252" s="63" t="s">
        <v>5247</v>
      </c>
      <c r="B252" t="s">
        <v>740</v>
      </c>
      <c r="C252" t="s">
        <v>5043</v>
      </c>
      <c r="D252" t="s">
        <v>8401</v>
      </c>
    </row>
    <row r="253" spans="1:4" x14ac:dyDescent="0.25">
      <c r="A253" s="63" t="s">
        <v>5248</v>
      </c>
      <c r="B253" t="s">
        <v>740</v>
      </c>
      <c r="C253" t="s">
        <v>5043</v>
      </c>
      <c r="D253" t="s">
        <v>8401</v>
      </c>
    </row>
    <row r="254" spans="1:4" x14ac:dyDescent="0.25">
      <c r="A254" s="63" t="s">
        <v>5249</v>
      </c>
      <c r="B254" t="s">
        <v>740</v>
      </c>
      <c r="C254" t="s">
        <v>5043</v>
      </c>
      <c r="D254" t="s">
        <v>8401</v>
      </c>
    </row>
    <row r="255" spans="1:4" x14ac:dyDescent="0.25">
      <c r="A255" s="63" t="s">
        <v>5250</v>
      </c>
      <c r="B255" t="s">
        <v>740</v>
      </c>
      <c r="C255" t="s">
        <v>5043</v>
      </c>
      <c r="D255" t="s">
        <v>8401</v>
      </c>
    </row>
    <row r="256" spans="1:4" x14ac:dyDescent="0.25">
      <c r="A256" s="63" t="s">
        <v>5251</v>
      </c>
      <c r="B256" t="s">
        <v>741</v>
      </c>
      <c r="C256" t="s">
        <v>5043</v>
      </c>
      <c r="D256" t="s">
        <v>8401</v>
      </c>
    </row>
    <row r="257" spans="1:4" x14ac:dyDescent="0.25">
      <c r="A257" s="63" t="s">
        <v>5252</v>
      </c>
      <c r="B257" t="s">
        <v>741</v>
      </c>
      <c r="C257" t="s">
        <v>5043</v>
      </c>
      <c r="D257" t="s">
        <v>8401</v>
      </c>
    </row>
    <row r="258" spans="1:4" x14ac:dyDescent="0.25">
      <c r="A258" s="63" t="s">
        <v>5253</v>
      </c>
      <c r="B258" t="s">
        <v>741</v>
      </c>
      <c r="C258" t="s">
        <v>5043</v>
      </c>
      <c r="D258" t="s">
        <v>8401</v>
      </c>
    </row>
    <row r="259" spans="1:4" x14ac:dyDescent="0.25">
      <c r="A259" s="63" t="s">
        <v>5254</v>
      </c>
      <c r="B259" t="s">
        <v>742</v>
      </c>
      <c r="C259" t="s">
        <v>5043</v>
      </c>
      <c r="D259" t="s">
        <v>8401</v>
      </c>
    </row>
    <row r="260" spans="1:4" x14ac:dyDescent="0.25">
      <c r="A260" s="63" t="s">
        <v>5255</v>
      </c>
      <c r="B260" t="s">
        <v>743</v>
      </c>
      <c r="C260" t="s">
        <v>5043</v>
      </c>
      <c r="D260" t="s">
        <v>8401</v>
      </c>
    </row>
    <row r="261" spans="1:4" x14ac:dyDescent="0.25">
      <c r="A261" s="63" t="s">
        <v>5256</v>
      </c>
      <c r="B261" t="s">
        <v>744</v>
      </c>
      <c r="C261" t="s">
        <v>5043</v>
      </c>
      <c r="D261" t="s">
        <v>8401</v>
      </c>
    </row>
    <row r="262" spans="1:4" x14ac:dyDescent="0.25">
      <c r="A262" s="63" t="s">
        <v>5257</v>
      </c>
      <c r="B262" t="s">
        <v>744</v>
      </c>
      <c r="C262" t="s">
        <v>5043</v>
      </c>
      <c r="D262" t="s">
        <v>8401</v>
      </c>
    </row>
    <row r="263" spans="1:4" x14ac:dyDescent="0.25">
      <c r="A263" s="63" t="s">
        <v>5258</v>
      </c>
      <c r="B263" t="s">
        <v>745</v>
      </c>
      <c r="C263" t="s">
        <v>5043</v>
      </c>
      <c r="D263" t="s">
        <v>8401</v>
      </c>
    </row>
    <row r="264" spans="1:4" x14ac:dyDescent="0.25">
      <c r="A264" s="63" t="s">
        <v>4320</v>
      </c>
      <c r="B264" t="s">
        <v>746</v>
      </c>
      <c r="C264" t="s">
        <v>5043</v>
      </c>
      <c r="D264" t="s">
        <v>8401</v>
      </c>
    </row>
    <row r="265" spans="1:4" x14ac:dyDescent="0.25">
      <c r="A265" s="63" t="s">
        <v>4321</v>
      </c>
      <c r="B265" t="s">
        <v>747</v>
      </c>
      <c r="C265" t="s">
        <v>5043</v>
      </c>
      <c r="D265" t="s">
        <v>8401</v>
      </c>
    </row>
    <row r="266" spans="1:4" x14ac:dyDescent="0.25">
      <c r="A266" s="63" t="s">
        <v>4322</v>
      </c>
      <c r="B266" t="s">
        <v>748</v>
      </c>
      <c r="C266" t="s">
        <v>5043</v>
      </c>
      <c r="D266" t="s">
        <v>8401</v>
      </c>
    </row>
    <row r="267" spans="1:4" x14ac:dyDescent="0.25">
      <c r="A267" s="63" t="s">
        <v>4323</v>
      </c>
      <c r="B267" t="s">
        <v>748</v>
      </c>
      <c r="C267" t="s">
        <v>5043</v>
      </c>
      <c r="D267" t="s">
        <v>8401</v>
      </c>
    </row>
    <row r="268" spans="1:4" x14ac:dyDescent="0.25">
      <c r="A268" s="63" t="s">
        <v>4324</v>
      </c>
      <c r="B268" t="s">
        <v>749</v>
      </c>
      <c r="C268" t="s">
        <v>5043</v>
      </c>
      <c r="D268" t="s">
        <v>8401</v>
      </c>
    </row>
    <row r="269" spans="1:4" x14ac:dyDescent="0.25">
      <c r="A269" s="63" t="s">
        <v>4325</v>
      </c>
      <c r="B269" t="s">
        <v>749</v>
      </c>
      <c r="C269" t="s">
        <v>5043</v>
      </c>
      <c r="D269" t="s">
        <v>8401</v>
      </c>
    </row>
    <row r="270" spans="1:4" x14ac:dyDescent="0.25">
      <c r="A270" s="63" t="s">
        <v>4326</v>
      </c>
      <c r="B270" t="s">
        <v>750</v>
      </c>
      <c r="C270" t="s">
        <v>5043</v>
      </c>
      <c r="D270" t="s">
        <v>8401</v>
      </c>
    </row>
    <row r="271" spans="1:4" x14ac:dyDescent="0.25">
      <c r="A271" s="63" t="s">
        <v>4327</v>
      </c>
      <c r="B271" t="s">
        <v>750</v>
      </c>
      <c r="C271" t="s">
        <v>5043</v>
      </c>
      <c r="D271" t="s">
        <v>8401</v>
      </c>
    </row>
    <row r="272" spans="1:4" x14ac:dyDescent="0.25">
      <c r="A272" s="63" t="s">
        <v>4328</v>
      </c>
      <c r="B272" t="s">
        <v>751</v>
      </c>
      <c r="C272" t="s">
        <v>5043</v>
      </c>
      <c r="D272" t="s">
        <v>8401</v>
      </c>
    </row>
    <row r="273" spans="1:4" x14ac:dyDescent="0.25">
      <c r="A273" s="63" t="s">
        <v>4329</v>
      </c>
      <c r="B273" t="s">
        <v>752</v>
      </c>
      <c r="C273" t="s">
        <v>5043</v>
      </c>
      <c r="D273" t="s">
        <v>8401</v>
      </c>
    </row>
    <row r="274" spans="1:4" x14ac:dyDescent="0.25">
      <c r="A274" s="63" t="s">
        <v>5259</v>
      </c>
      <c r="B274" t="s">
        <v>641</v>
      </c>
      <c r="C274" t="s">
        <v>5043</v>
      </c>
      <c r="D274" t="s">
        <v>8406</v>
      </c>
    </row>
    <row r="275" spans="1:4" x14ac:dyDescent="0.25">
      <c r="A275" s="63" t="s">
        <v>5260</v>
      </c>
      <c r="B275" t="s">
        <v>642</v>
      </c>
      <c r="C275" t="s">
        <v>5043</v>
      </c>
      <c r="D275" t="s">
        <v>8406</v>
      </c>
    </row>
    <row r="276" spans="1:4" x14ac:dyDescent="0.25">
      <c r="A276" s="63" t="s">
        <v>4349</v>
      </c>
      <c r="B276" t="s">
        <v>753</v>
      </c>
      <c r="C276" t="s">
        <v>5043</v>
      </c>
      <c r="D276" t="s">
        <v>8401</v>
      </c>
    </row>
    <row r="277" spans="1:4" x14ac:dyDescent="0.25">
      <c r="A277" s="63" t="s">
        <v>5261</v>
      </c>
      <c r="B277" t="s">
        <v>753</v>
      </c>
      <c r="C277" t="s">
        <v>5043</v>
      </c>
      <c r="D277" t="s">
        <v>8401</v>
      </c>
    </row>
    <row r="278" spans="1:4" x14ac:dyDescent="0.25">
      <c r="A278" s="63" t="s">
        <v>5262</v>
      </c>
      <c r="B278" t="s">
        <v>753</v>
      </c>
      <c r="C278" t="s">
        <v>5043</v>
      </c>
      <c r="D278" t="s">
        <v>8401</v>
      </c>
    </row>
    <row r="279" spans="1:4" x14ac:dyDescent="0.25">
      <c r="A279" s="63" t="s">
        <v>5263</v>
      </c>
      <c r="B279" t="s">
        <v>753</v>
      </c>
      <c r="C279" t="s">
        <v>5043</v>
      </c>
      <c r="D279" t="s">
        <v>8401</v>
      </c>
    </row>
    <row r="280" spans="1:4" x14ac:dyDescent="0.25">
      <c r="A280" s="63" t="s">
        <v>5264</v>
      </c>
      <c r="B280" t="s">
        <v>753</v>
      </c>
      <c r="C280" t="s">
        <v>5043</v>
      </c>
      <c r="D280" t="s">
        <v>8401</v>
      </c>
    </row>
    <row r="281" spans="1:4" x14ac:dyDescent="0.25">
      <c r="A281" s="63" t="s">
        <v>5265</v>
      </c>
      <c r="B281" t="s">
        <v>753</v>
      </c>
      <c r="C281" t="s">
        <v>5043</v>
      </c>
      <c r="D281" t="s">
        <v>8401</v>
      </c>
    </row>
    <row r="282" spans="1:4" x14ac:dyDescent="0.25">
      <c r="A282" s="63" t="s">
        <v>4576</v>
      </c>
      <c r="B282" t="s">
        <v>753</v>
      </c>
      <c r="C282" t="s">
        <v>5043</v>
      </c>
      <c r="D282" t="s">
        <v>8401</v>
      </c>
    </row>
    <row r="283" spans="1:4" x14ac:dyDescent="0.25">
      <c r="A283" s="63" t="s">
        <v>5266</v>
      </c>
      <c r="B283" t="s">
        <v>643</v>
      </c>
      <c r="C283" t="s">
        <v>5043</v>
      </c>
      <c r="D283" t="s">
        <v>8406</v>
      </c>
    </row>
    <row r="284" spans="1:4" x14ac:dyDescent="0.25">
      <c r="A284" s="63" t="s">
        <v>5267</v>
      </c>
      <c r="B284" t="s">
        <v>643</v>
      </c>
      <c r="C284" t="s">
        <v>5043</v>
      </c>
      <c r="D284" t="s">
        <v>8406</v>
      </c>
    </row>
    <row r="285" spans="1:4" x14ac:dyDescent="0.25">
      <c r="A285" s="63" t="s">
        <v>5268</v>
      </c>
      <c r="B285" t="s">
        <v>626</v>
      </c>
      <c r="C285" t="s">
        <v>5043</v>
      </c>
      <c r="D285" t="s">
        <v>8406</v>
      </c>
    </row>
    <row r="286" spans="1:4" x14ac:dyDescent="0.25">
      <c r="A286" s="63" t="s">
        <v>5269</v>
      </c>
      <c r="B286" t="s">
        <v>754</v>
      </c>
      <c r="C286" t="s">
        <v>5043</v>
      </c>
      <c r="D286" t="s">
        <v>8401</v>
      </c>
    </row>
    <row r="287" spans="1:4" x14ac:dyDescent="0.25">
      <c r="A287" s="63" t="s">
        <v>5270</v>
      </c>
      <c r="B287" t="s">
        <v>754</v>
      </c>
      <c r="C287" t="s">
        <v>5043</v>
      </c>
      <c r="D287" t="s">
        <v>8401</v>
      </c>
    </row>
    <row r="288" spans="1:4" x14ac:dyDescent="0.25">
      <c r="A288" s="63" t="s">
        <v>5271</v>
      </c>
      <c r="B288" t="s">
        <v>754</v>
      </c>
      <c r="C288" t="s">
        <v>5043</v>
      </c>
      <c r="D288" t="s">
        <v>8401</v>
      </c>
    </row>
    <row r="289" spans="1:4" x14ac:dyDescent="0.25">
      <c r="A289" s="63" t="s">
        <v>5272</v>
      </c>
      <c r="B289" t="s">
        <v>754</v>
      </c>
      <c r="C289" t="s">
        <v>5043</v>
      </c>
      <c r="D289" t="s">
        <v>8401</v>
      </c>
    </row>
    <row r="290" spans="1:4" x14ac:dyDescent="0.25">
      <c r="A290" s="63" t="s">
        <v>5273</v>
      </c>
      <c r="B290" t="s">
        <v>754</v>
      </c>
      <c r="C290" t="s">
        <v>5043</v>
      </c>
      <c r="D290" t="s">
        <v>8401</v>
      </c>
    </row>
    <row r="291" spans="1:4" x14ac:dyDescent="0.25">
      <c r="A291" s="63" t="s">
        <v>5274</v>
      </c>
      <c r="B291" t="s">
        <v>644</v>
      </c>
      <c r="C291" t="s">
        <v>5043</v>
      </c>
      <c r="D291" t="s">
        <v>8406</v>
      </c>
    </row>
    <row r="292" spans="1:4" x14ac:dyDescent="0.25">
      <c r="A292" s="63" t="s">
        <v>5275</v>
      </c>
      <c r="B292" t="s">
        <v>627</v>
      </c>
      <c r="C292" t="s">
        <v>5043</v>
      </c>
      <c r="D292" t="s">
        <v>8406</v>
      </c>
    </row>
    <row r="293" spans="1:4" x14ac:dyDescent="0.25">
      <c r="A293" s="63" t="s">
        <v>5276</v>
      </c>
      <c r="B293" t="s">
        <v>755</v>
      </c>
      <c r="C293" t="s">
        <v>5043</v>
      </c>
      <c r="D293" t="s">
        <v>8401</v>
      </c>
    </row>
    <row r="294" spans="1:4" x14ac:dyDescent="0.25">
      <c r="A294" s="63" t="s">
        <v>5277</v>
      </c>
      <c r="B294" t="s">
        <v>632</v>
      </c>
      <c r="C294" t="s">
        <v>5043</v>
      </c>
      <c r="D294" t="s">
        <v>8406</v>
      </c>
    </row>
    <row r="295" spans="1:4" x14ac:dyDescent="0.25">
      <c r="A295" s="63" t="s">
        <v>5278</v>
      </c>
      <c r="B295" t="s">
        <v>685</v>
      </c>
      <c r="C295" t="s">
        <v>5043</v>
      </c>
      <c r="D295" t="s">
        <v>8406</v>
      </c>
    </row>
    <row r="296" spans="1:4" x14ac:dyDescent="0.25">
      <c r="A296" s="63" t="s">
        <v>5279</v>
      </c>
      <c r="B296" t="s">
        <v>685</v>
      </c>
      <c r="C296" t="s">
        <v>5043</v>
      </c>
      <c r="D296" t="s">
        <v>8406</v>
      </c>
    </row>
    <row r="297" spans="1:4" x14ac:dyDescent="0.25">
      <c r="A297" s="63" t="s">
        <v>5280</v>
      </c>
      <c r="B297" t="s">
        <v>685</v>
      </c>
      <c r="C297" t="s">
        <v>5043</v>
      </c>
      <c r="D297" t="s">
        <v>8406</v>
      </c>
    </row>
    <row r="298" spans="1:4" x14ac:dyDescent="0.25">
      <c r="A298" s="63" t="s">
        <v>5281</v>
      </c>
      <c r="B298" t="s">
        <v>685</v>
      </c>
      <c r="C298" t="s">
        <v>5043</v>
      </c>
      <c r="D298" t="s">
        <v>8406</v>
      </c>
    </row>
    <row r="299" spans="1:4" x14ac:dyDescent="0.25">
      <c r="A299" s="63" t="s">
        <v>5282</v>
      </c>
      <c r="B299" t="s">
        <v>685</v>
      </c>
      <c r="C299" t="s">
        <v>5043</v>
      </c>
      <c r="D299" t="s">
        <v>8406</v>
      </c>
    </row>
    <row r="300" spans="1:4" x14ac:dyDescent="0.25">
      <c r="A300" s="63" t="s">
        <v>4350</v>
      </c>
      <c r="B300" t="s">
        <v>685</v>
      </c>
      <c r="C300" t="s">
        <v>5043</v>
      </c>
      <c r="D300" t="s">
        <v>8406</v>
      </c>
    </row>
    <row r="301" spans="1:4" x14ac:dyDescent="0.25">
      <c r="A301" s="63" t="s">
        <v>4351</v>
      </c>
      <c r="B301" t="s">
        <v>685</v>
      </c>
      <c r="C301" t="s">
        <v>5043</v>
      </c>
      <c r="D301" t="s">
        <v>8406</v>
      </c>
    </row>
    <row r="302" spans="1:4" x14ac:dyDescent="0.25">
      <c r="A302" s="63" t="s">
        <v>4352</v>
      </c>
      <c r="B302" t="s">
        <v>685</v>
      </c>
      <c r="C302" t="s">
        <v>5043</v>
      </c>
      <c r="D302" t="s">
        <v>8406</v>
      </c>
    </row>
    <row r="303" spans="1:4" x14ac:dyDescent="0.25">
      <c r="A303" s="63" t="s">
        <v>5283</v>
      </c>
      <c r="B303" t="s">
        <v>685</v>
      </c>
      <c r="C303" t="s">
        <v>5043</v>
      </c>
      <c r="D303" t="s">
        <v>8406</v>
      </c>
    </row>
    <row r="304" spans="1:4" x14ac:dyDescent="0.25">
      <c r="A304" s="63" t="s">
        <v>5284</v>
      </c>
      <c r="B304" t="s">
        <v>685</v>
      </c>
      <c r="C304" t="s">
        <v>5043</v>
      </c>
      <c r="D304" t="s">
        <v>8406</v>
      </c>
    </row>
    <row r="305" spans="1:4" x14ac:dyDescent="0.25">
      <c r="A305" s="63" t="s">
        <v>5285</v>
      </c>
      <c r="B305" t="s">
        <v>685</v>
      </c>
      <c r="C305" t="s">
        <v>5043</v>
      </c>
      <c r="D305" t="s">
        <v>8406</v>
      </c>
    </row>
    <row r="306" spans="1:4" x14ac:dyDescent="0.25">
      <c r="A306" s="63" t="s">
        <v>5286</v>
      </c>
      <c r="B306" t="s">
        <v>685</v>
      </c>
      <c r="C306" t="s">
        <v>5043</v>
      </c>
      <c r="D306" t="s">
        <v>8406</v>
      </c>
    </row>
    <row r="307" spans="1:4" x14ac:dyDescent="0.25">
      <c r="A307" s="63" t="s">
        <v>5287</v>
      </c>
      <c r="B307" t="s">
        <v>685</v>
      </c>
      <c r="C307" t="s">
        <v>5043</v>
      </c>
      <c r="D307" t="s">
        <v>8406</v>
      </c>
    </row>
    <row r="308" spans="1:4" x14ac:dyDescent="0.25">
      <c r="A308" s="63" t="s">
        <v>5288</v>
      </c>
      <c r="B308" t="s">
        <v>685</v>
      </c>
      <c r="C308" t="s">
        <v>5043</v>
      </c>
      <c r="D308" t="s">
        <v>8406</v>
      </c>
    </row>
    <row r="309" spans="1:4" x14ac:dyDescent="0.25">
      <c r="A309" s="63" t="s">
        <v>5289</v>
      </c>
      <c r="B309" t="s">
        <v>685</v>
      </c>
      <c r="C309" t="s">
        <v>5043</v>
      </c>
      <c r="D309" t="s">
        <v>8406</v>
      </c>
    </row>
    <row r="310" spans="1:4" x14ac:dyDescent="0.25">
      <c r="A310" s="63" t="s">
        <v>5290</v>
      </c>
      <c r="B310" t="s">
        <v>685</v>
      </c>
      <c r="C310" t="s">
        <v>5043</v>
      </c>
      <c r="D310" t="s">
        <v>8406</v>
      </c>
    </row>
    <row r="311" spans="1:4" x14ac:dyDescent="0.25">
      <c r="A311" s="63" t="s">
        <v>5291</v>
      </c>
      <c r="B311" t="s">
        <v>685</v>
      </c>
      <c r="C311" t="s">
        <v>5043</v>
      </c>
      <c r="D311" t="s">
        <v>8406</v>
      </c>
    </row>
    <row r="312" spans="1:4" x14ac:dyDescent="0.25">
      <c r="A312" s="63" t="s">
        <v>5292</v>
      </c>
      <c r="B312" t="s">
        <v>685</v>
      </c>
      <c r="C312" t="s">
        <v>5043</v>
      </c>
      <c r="D312" t="s">
        <v>8406</v>
      </c>
    </row>
    <row r="313" spans="1:4" x14ac:dyDescent="0.25">
      <c r="A313" s="63" t="s">
        <v>5293</v>
      </c>
      <c r="B313" t="s">
        <v>685</v>
      </c>
      <c r="C313" t="s">
        <v>5043</v>
      </c>
      <c r="D313" t="s">
        <v>8406</v>
      </c>
    </row>
    <row r="314" spans="1:4" x14ac:dyDescent="0.25">
      <c r="A314" s="63" t="s">
        <v>5294</v>
      </c>
      <c r="B314" t="s">
        <v>685</v>
      </c>
      <c r="C314" t="s">
        <v>5043</v>
      </c>
      <c r="D314" t="s">
        <v>8406</v>
      </c>
    </row>
    <row r="315" spans="1:4" x14ac:dyDescent="0.25">
      <c r="A315" s="63" t="s">
        <v>5295</v>
      </c>
      <c r="B315" t="s">
        <v>685</v>
      </c>
      <c r="C315" t="s">
        <v>5043</v>
      </c>
      <c r="D315" t="s">
        <v>8406</v>
      </c>
    </row>
    <row r="316" spans="1:4" x14ac:dyDescent="0.25">
      <c r="A316" s="63" t="s">
        <v>5296</v>
      </c>
      <c r="B316" t="s">
        <v>685</v>
      </c>
      <c r="C316" t="s">
        <v>5043</v>
      </c>
      <c r="D316" t="s">
        <v>8406</v>
      </c>
    </row>
    <row r="317" spans="1:4" x14ac:dyDescent="0.25">
      <c r="A317" s="63" t="s">
        <v>5297</v>
      </c>
      <c r="B317" t="s">
        <v>685</v>
      </c>
      <c r="C317" t="s">
        <v>5043</v>
      </c>
      <c r="D317" t="s">
        <v>8406</v>
      </c>
    </row>
    <row r="318" spans="1:4" x14ac:dyDescent="0.25">
      <c r="A318" s="63" t="s">
        <v>5298</v>
      </c>
      <c r="B318" t="s">
        <v>685</v>
      </c>
      <c r="C318" t="s">
        <v>5043</v>
      </c>
      <c r="D318" t="s">
        <v>8406</v>
      </c>
    </row>
    <row r="319" spans="1:4" x14ac:dyDescent="0.25">
      <c r="A319" s="63" t="s">
        <v>5299</v>
      </c>
      <c r="B319" t="s">
        <v>685</v>
      </c>
      <c r="C319" t="s">
        <v>5043</v>
      </c>
      <c r="D319" t="s">
        <v>8406</v>
      </c>
    </row>
    <row r="320" spans="1:4" x14ac:dyDescent="0.25">
      <c r="A320" s="63" t="s">
        <v>5300</v>
      </c>
      <c r="B320" t="s">
        <v>685</v>
      </c>
      <c r="C320" t="s">
        <v>5043</v>
      </c>
      <c r="D320" t="s">
        <v>8406</v>
      </c>
    </row>
    <row r="321" spans="1:4" x14ac:dyDescent="0.25">
      <c r="A321" s="63" t="s">
        <v>5301</v>
      </c>
      <c r="B321" t="s">
        <v>685</v>
      </c>
      <c r="C321" t="s">
        <v>5043</v>
      </c>
      <c r="D321" t="s">
        <v>8406</v>
      </c>
    </row>
    <row r="322" spans="1:4" x14ac:dyDescent="0.25">
      <c r="A322" s="63" t="s">
        <v>4482</v>
      </c>
      <c r="B322" t="s">
        <v>685</v>
      </c>
      <c r="C322" t="s">
        <v>5043</v>
      </c>
      <c r="D322" t="s">
        <v>8406</v>
      </c>
    </row>
    <row r="323" spans="1:4" x14ac:dyDescent="0.25">
      <c r="A323" s="63" t="s">
        <v>5302</v>
      </c>
      <c r="B323" t="s">
        <v>685</v>
      </c>
      <c r="C323" t="s">
        <v>5043</v>
      </c>
      <c r="D323" t="s">
        <v>8406</v>
      </c>
    </row>
    <row r="324" spans="1:4" x14ac:dyDescent="0.25">
      <c r="A324" s="63" t="s">
        <v>5303</v>
      </c>
      <c r="B324" t="s">
        <v>685</v>
      </c>
      <c r="C324" t="s">
        <v>5043</v>
      </c>
      <c r="D324" t="s">
        <v>8406</v>
      </c>
    </row>
    <row r="325" spans="1:4" x14ac:dyDescent="0.25">
      <c r="A325" s="63" t="s">
        <v>4483</v>
      </c>
      <c r="B325" t="s">
        <v>685</v>
      </c>
      <c r="C325" t="s">
        <v>5043</v>
      </c>
      <c r="D325" t="s">
        <v>8406</v>
      </c>
    </row>
    <row r="326" spans="1:4" x14ac:dyDescent="0.25">
      <c r="A326" s="63" t="s">
        <v>5304</v>
      </c>
      <c r="B326" t="s">
        <v>685</v>
      </c>
      <c r="C326" t="s">
        <v>5043</v>
      </c>
      <c r="D326" t="s">
        <v>8406</v>
      </c>
    </row>
    <row r="327" spans="1:4" x14ac:dyDescent="0.25">
      <c r="A327" s="63" t="s">
        <v>5305</v>
      </c>
      <c r="B327" t="s">
        <v>685</v>
      </c>
      <c r="C327" t="s">
        <v>5043</v>
      </c>
      <c r="D327" t="s">
        <v>8406</v>
      </c>
    </row>
    <row r="328" spans="1:4" x14ac:dyDescent="0.25">
      <c r="A328" s="63" t="s">
        <v>5306</v>
      </c>
      <c r="B328" t="s">
        <v>685</v>
      </c>
      <c r="C328" t="s">
        <v>5043</v>
      </c>
      <c r="D328" t="s">
        <v>8406</v>
      </c>
    </row>
    <row r="329" spans="1:4" x14ac:dyDescent="0.25">
      <c r="A329" s="63" t="s">
        <v>5307</v>
      </c>
      <c r="B329" t="s">
        <v>685</v>
      </c>
      <c r="C329" t="s">
        <v>5043</v>
      </c>
      <c r="D329" t="s">
        <v>8406</v>
      </c>
    </row>
    <row r="330" spans="1:4" x14ac:dyDescent="0.25">
      <c r="A330" s="63" t="s">
        <v>5308</v>
      </c>
      <c r="B330" t="s">
        <v>685</v>
      </c>
      <c r="C330" t="s">
        <v>5043</v>
      </c>
      <c r="D330" t="s">
        <v>8406</v>
      </c>
    </row>
    <row r="331" spans="1:4" x14ac:dyDescent="0.25">
      <c r="A331" s="63" t="s">
        <v>5309</v>
      </c>
      <c r="B331" t="s">
        <v>685</v>
      </c>
      <c r="C331" t="s">
        <v>5043</v>
      </c>
      <c r="D331" t="s">
        <v>8406</v>
      </c>
    </row>
    <row r="332" spans="1:4" x14ac:dyDescent="0.25">
      <c r="A332" s="63" t="s">
        <v>5310</v>
      </c>
      <c r="B332" t="s">
        <v>685</v>
      </c>
      <c r="C332" t="s">
        <v>5043</v>
      </c>
      <c r="D332" t="s">
        <v>8406</v>
      </c>
    </row>
    <row r="333" spans="1:4" x14ac:dyDescent="0.25">
      <c r="A333" s="63" t="s">
        <v>5311</v>
      </c>
      <c r="B333" t="s">
        <v>685</v>
      </c>
      <c r="C333" t="s">
        <v>5043</v>
      </c>
      <c r="D333" t="s">
        <v>8406</v>
      </c>
    </row>
    <row r="334" spans="1:4" x14ac:dyDescent="0.25">
      <c r="A334" s="63" t="s">
        <v>5312</v>
      </c>
      <c r="B334" t="s">
        <v>756</v>
      </c>
      <c r="C334" t="s">
        <v>5043</v>
      </c>
      <c r="D334" t="s">
        <v>8401</v>
      </c>
    </row>
    <row r="335" spans="1:4" x14ac:dyDescent="0.25">
      <c r="A335" s="63" t="s">
        <v>5313</v>
      </c>
      <c r="B335" t="s">
        <v>757</v>
      </c>
      <c r="C335" t="s">
        <v>5043</v>
      </c>
      <c r="D335" t="s">
        <v>8401</v>
      </c>
    </row>
    <row r="336" spans="1:4" x14ac:dyDescent="0.25">
      <c r="A336" s="63" t="s">
        <v>5314</v>
      </c>
      <c r="B336" t="s">
        <v>758</v>
      </c>
      <c r="C336" t="s">
        <v>5043</v>
      </c>
      <c r="D336" t="s">
        <v>8401</v>
      </c>
    </row>
    <row r="337" spans="1:4" x14ac:dyDescent="0.25">
      <c r="A337" s="63" t="s">
        <v>5315</v>
      </c>
      <c r="B337" t="s">
        <v>758</v>
      </c>
      <c r="C337" t="s">
        <v>5043</v>
      </c>
      <c r="D337" t="s">
        <v>8401</v>
      </c>
    </row>
    <row r="338" spans="1:4" x14ac:dyDescent="0.25">
      <c r="A338" s="63" t="s">
        <v>5316</v>
      </c>
      <c r="B338" t="s">
        <v>758</v>
      </c>
      <c r="C338" t="s">
        <v>5043</v>
      </c>
      <c r="D338" t="s">
        <v>8401</v>
      </c>
    </row>
    <row r="339" spans="1:4" x14ac:dyDescent="0.25">
      <c r="A339" s="63" t="s">
        <v>5317</v>
      </c>
      <c r="B339" t="s">
        <v>758</v>
      </c>
      <c r="C339" t="s">
        <v>5043</v>
      </c>
      <c r="D339" t="s">
        <v>8401</v>
      </c>
    </row>
    <row r="340" spans="1:4" x14ac:dyDescent="0.25">
      <c r="A340" s="63" t="s">
        <v>5318</v>
      </c>
      <c r="B340" t="s">
        <v>759</v>
      </c>
      <c r="C340" t="s">
        <v>5043</v>
      </c>
      <c r="D340" t="s">
        <v>8401</v>
      </c>
    </row>
    <row r="341" spans="1:4" x14ac:dyDescent="0.25">
      <c r="A341" s="63" t="s">
        <v>2796</v>
      </c>
      <c r="B341" t="s">
        <v>759</v>
      </c>
      <c r="C341" t="s">
        <v>5043</v>
      </c>
      <c r="D341" t="s">
        <v>8401</v>
      </c>
    </row>
    <row r="342" spans="1:4" x14ac:dyDescent="0.25">
      <c r="A342" s="63" t="s">
        <v>2797</v>
      </c>
      <c r="B342" t="s">
        <v>759</v>
      </c>
      <c r="C342" t="s">
        <v>5043</v>
      </c>
      <c r="D342" t="s">
        <v>8401</v>
      </c>
    </row>
    <row r="343" spans="1:4" x14ac:dyDescent="0.25">
      <c r="A343" s="63" t="s">
        <v>2798</v>
      </c>
      <c r="B343" t="s">
        <v>759</v>
      </c>
      <c r="C343" t="s">
        <v>5043</v>
      </c>
      <c r="D343" t="s">
        <v>8401</v>
      </c>
    </row>
    <row r="344" spans="1:4" x14ac:dyDescent="0.25">
      <c r="A344" s="63" t="s">
        <v>5319</v>
      </c>
      <c r="B344" t="s">
        <v>760</v>
      </c>
      <c r="C344" t="s">
        <v>5043</v>
      </c>
      <c r="D344" t="s">
        <v>8401</v>
      </c>
    </row>
    <row r="345" spans="1:4" x14ac:dyDescent="0.25">
      <c r="A345" s="63" t="s">
        <v>4222</v>
      </c>
      <c r="B345" t="s">
        <v>761</v>
      </c>
      <c r="C345" t="s">
        <v>5043</v>
      </c>
      <c r="D345" t="s">
        <v>8401</v>
      </c>
    </row>
    <row r="346" spans="1:4" x14ac:dyDescent="0.25">
      <c r="A346" s="63" t="s">
        <v>4223</v>
      </c>
      <c r="B346" t="s">
        <v>761</v>
      </c>
      <c r="C346" t="s">
        <v>5043</v>
      </c>
      <c r="D346" t="s">
        <v>8401</v>
      </c>
    </row>
    <row r="347" spans="1:4" x14ac:dyDescent="0.25">
      <c r="A347" s="63" t="s">
        <v>4224</v>
      </c>
      <c r="B347" t="s">
        <v>761</v>
      </c>
      <c r="C347" t="s">
        <v>5043</v>
      </c>
      <c r="D347" t="s">
        <v>8401</v>
      </c>
    </row>
    <row r="348" spans="1:4" x14ac:dyDescent="0.25">
      <c r="A348" s="63" t="s">
        <v>5320</v>
      </c>
      <c r="B348" t="s">
        <v>762</v>
      </c>
      <c r="C348" t="s">
        <v>5043</v>
      </c>
      <c r="D348" t="s">
        <v>8401</v>
      </c>
    </row>
    <row r="349" spans="1:4" x14ac:dyDescent="0.25">
      <c r="A349" s="63" t="s">
        <v>2799</v>
      </c>
      <c r="B349" t="s">
        <v>763</v>
      </c>
      <c r="C349" t="s">
        <v>5043</v>
      </c>
      <c r="D349" t="s">
        <v>8401</v>
      </c>
    </row>
    <row r="350" spans="1:4" x14ac:dyDescent="0.25">
      <c r="A350" s="63" t="s">
        <v>5321</v>
      </c>
      <c r="B350" t="s">
        <v>764</v>
      </c>
      <c r="C350" t="s">
        <v>5043</v>
      </c>
      <c r="D350" t="s">
        <v>8401</v>
      </c>
    </row>
    <row r="351" spans="1:4" x14ac:dyDescent="0.25">
      <c r="A351" s="63" t="s">
        <v>5322</v>
      </c>
      <c r="B351" t="s">
        <v>1154</v>
      </c>
      <c r="C351" t="s">
        <v>5043</v>
      </c>
      <c r="D351" t="s">
        <v>8401</v>
      </c>
    </row>
    <row r="352" spans="1:4" x14ac:dyDescent="0.25">
      <c r="A352" s="63" t="s">
        <v>5323</v>
      </c>
      <c r="B352" t="s">
        <v>765</v>
      </c>
      <c r="C352" t="s">
        <v>5043</v>
      </c>
      <c r="D352" t="s">
        <v>8401</v>
      </c>
    </row>
    <row r="353" spans="1:4" x14ac:dyDescent="0.25">
      <c r="A353" s="63" t="s">
        <v>5324</v>
      </c>
      <c r="B353" t="s">
        <v>765</v>
      </c>
      <c r="C353" t="s">
        <v>5043</v>
      </c>
      <c r="D353" t="s">
        <v>8401</v>
      </c>
    </row>
    <row r="354" spans="1:4" x14ac:dyDescent="0.25">
      <c r="A354" s="63" t="s">
        <v>5325</v>
      </c>
      <c r="B354" t="s">
        <v>766</v>
      </c>
      <c r="C354" t="s">
        <v>5043</v>
      </c>
      <c r="D354" t="s">
        <v>8401</v>
      </c>
    </row>
    <row r="355" spans="1:4" x14ac:dyDescent="0.25">
      <c r="A355" s="63" t="s">
        <v>5326</v>
      </c>
      <c r="B355" t="s">
        <v>767</v>
      </c>
      <c r="C355" t="s">
        <v>5043</v>
      </c>
      <c r="D355" t="s">
        <v>8401</v>
      </c>
    </row>
    <row r="356" spans="1:4" x14ac:dyDescent="0.25">
      <c r="A356" s="63" t="s">
        <v>5327</v>
      </c>
      <c r="B356" t="s">
        <v>768</v>
      </c>
      <c r="C356" t="s">
        <v>5043</v>
      </c>
      <c r="D356" t="s">
        <v>8401</v>
      </c>
    </row>
    <row r="357" spans="1:4" x14ac:dyDescent="0.25">
      <c r="A357" s="63" t="s">
        <v>5328</v>
      </c>
      <c r="B357" t="s">
        <v>768</v>
      </c>
      <c r="C357" t="s">
        <v>5043</v>
      </c>
      <c r="D357" t="s">
        <v>8401</v>
      </c>
    </row>
    <row r="358" spans="1:4" x14ac:dyDescent="0.25">
      <c r="A358" s="63" t="s">
        <v>5329</v>
      </c>
      <c r="B358" t="s">
        <v>769</v>
      </c>
      <c r="C358" t="s">
        <v>5043</v>
      </c>
      <c r="D358" t="s">
        <v>8401</v>
      </c>
    </row>
    <row r="359" spans="1:4" x14ac:dyDescent="0.25">
      <c r="A359" s="63" t="s">
        <v>5330</v>
      </c>
      <c r="B359" t="s">
        <v>770</v>
      </c>
      <c r="C359" t="s">
        <v>5043</v>
      </c>
      <c r="D359" t="s">
        <v>8401</v>
      </c>
    </row>
    <row r="360" spans="1:4" x14ac:dyDescent="0.25">
      <c r="A360" s="63" t="s">
        <v>5331</v>
      </c>
      <c r="B360" t="s">
        <v>770</v>
      </c>
      <c r="C360" t="s">
        <v>5043</v>
      </c>
      <c r="D360" t="s">
        <v>8401</v>
      </c>
    </row>
    <row r="361" spans="1:4" x14ac:dyDescent="0.25">
      <c r="A361" s="63" t="s">
        <v>5332</v>
      </c>
      <c r="B361" t="s">
        <v>770</v>
      </c>
      <c r="C361" t="s">
        <v>5043</v>
      </c>
      <c r="D361" t="s">
        <v>8401</v>
      </c>
    </row>
    <row r="362" spans="1:4" x14ac:dyDescent="0.25">
      <c r="A362" s="63" t="s">
        <v>3256</v>
      </c>
      <c r="B362" t="s">
        <v>770</v>
      </c>
      <c r="C362" t="s">
        <v>5043</v>
      </c>
      <c r="D362" t="s">
        <v>8401</v>
      </c>
    </row>
    <row r="363" spans="1:4" x14ac:dyDescent="0.25">
      <c r="A363" s="63" t="s">
        <v>3257</v>
      </c>
      <c r="B363" t="s">
        <v>770</v>
      </c>
      <c r="C363" t="s">
        <v>5043</v>
      </c>
      <c r="D363" t="s">
        <v>8401</v>
      </c>
    </row>
    <row r="364" spans="1:4" x14ac:dyDescent="0.25">
      <c r="A364" s="63" t="s">
        <v>5333</v>
      </c>
      <c r="B364" t="s">
        <v>770</v>
      </c>
      <c r="C364" t="s">
        <v>5043</v>
      </c>
      <c r="D364" t="s">
        <v>8401</v>
      </c>
    </row>
    <row r="365" spans="1:4" x14ac:dyDescent="0.25">
      <c r="A365" s="63" t="s">
        <v>5334</v>
      </c>
      <c r="B365" t="s">
        <v>770</v>
      </c>
      <c r="C365" t="s">
        <v>5043</v>
      </c>
      <c r="D365" t="s">
        <v>8401</v>
      </c>
    </row>
    <row r="366" spans="1:4" x14ac:dyDescent="0.25">
      <c r="A366" s="63" t="s">
        <v>5335</v>
      </c>
      <c r="B366" t="s">
        <v>770</v>
      </c>
      <c r="C366" t="s">
        <v>5043</v>
      </c>
      <c r="D366" t="s">
        <v>8401</v>
      </c>
    </row>
    <row r="367" spans="1:4" x14ac:dyDescent="0.25">
      <c r="A367" s="63" t="s">
        <v>4107</v>
      </c>
      <c r="B367" t="s">
        <v>770</v>
      </c>
      <c r="C367" t="s">
        <v>5043</v>
      </c>
      <c r="D367" t="s">
        <v>8401</v>
      </c>
    </row>
    <row r="368" spans="1:4" x14ac:dyDescent="0.25">
      <c r="A368" s="63" t="s">
        <v>5336</v>
      </c>
      <c r="B368" t="s">
        <v>771</v>
      </c>
      <c r="C368" t="s">
        <v>5043</v>
      </c>
      <c r="D368" t="s">
        <v>8401</v>
      </c>
    </row>
    <row r="369" spans="1:4" x14ac:dyDescent="0.25">
      <c r="A369" s="63" t="s">
        <v>5337</v>
      </c>
      <c r="B369" t="s">
        <v>771</v>
      </c>
      <c r="C369" t="s">
        <v>5043</v>
      </c>
      <c r="D369" t="s">
        <v>8401</v>
      </c>
    </row>
    <row r="370" spans="1:4" x14ac:dyDescent="0.25">
      <c r="A370" s="63" t="s">
        <v>5338</v>
      </c>
      <c r="B370" t="s">
        <v>771</v>
      </c>
      <c r="C370" t="s">
        <v>5043</v>
      </c>
      <c r="D370" t="s">
        <v>8401</v>
      </c>
    </row>
    <row r="371" spans="1:4" x14ac:dyDescent="0.25">
      <c r="A371" s="63" t="s">
        <v>5339</v>
      </c>
      <c r="B371" t="s">
        <v>771</v>
      </c>
      <c r="C371" t="s">
        <v>5043</v>
      </c>
      <c r="D371" t="s">
        <v>8401</v>
      </c>
    </row>
    <row r="372" spans="1:4" x14ac:dyDescent="0.25">
      <c r="A372" s="63" t="s">
        <v>5340</v>
      </c>
      <c r="B372" t="s">
        <v>771</v>
      </c>
      <c r="C372" t="s">
        <v>5043</v>
      </c>
      <c r="D372" t="s">
        <v>8401</v>
      </c>
    </row>
    <row r="373" spans="1:4" x14ac:dyDescent="0.25">
      <c r="A373" s="63" t="s">
        <v>5341</v>
      </c>
      <c r="B373" t="s">
        <v>771</v>
      </c>
      <c r="C373" t="s">
        <v>5043</v>
      </c>
      <c r="D373" t="s">
        <v>8401</v>
      </c>
    </row>
    <row r="374" spans="1:4" x14ac:dyDescent="0.25">
      <c r="A374" s="63" t="s">
        <v>5342</v>
      </c>
      <c r="B374" t="s">
        <v>771</v>
      </c>
      <c r="C374" t="s">
        <v>5043</v>
      </c>
      <c r="D374" t="s">
        <v>8401</v>
      </c>
    </row>
    <row r="375" spans="1:4" x14ac:dyDescent="0.25">
      <c r="A375" s="63" t="s">
        <v>5343</v>
      </c>
      <c r="B375" t="s">
        <v>771</v>
      </c>
      <c r="C375" t="s">
        <v>5043</v>
      </c>
      <c r="D375" t="s">
        <v>8401</v>
      </c>
    </row>
    <row r="376" spans="1:4" x14ac:dyDescent="0.25">
      <c r="A376" s="63" t="s">
        <v>5344</v>
      </c>
      <c r="B376" t="s">
        <v>771</v>
      </c>
      <c r="C376" t="s">
        <v>5043</v>
      </c>
      <c r="D376" t="s">
        <v>8401</v>
      </c>
    </row>
    <row r="377" spans="1:4" x14ac:dyDescent="0.25">
      <c r="A377" s="63" t="s">
        <v>5345</v>
      </c>
      <c r="B377" t="s">
        <v>771</v>
      </c>
      <c r="C377" t="s">
        <v>5043</v>
      </c>
      <c r="D377" t="s">
        <v>8401</v>
      </c>
    </row>
    <row r="378" spans="1:4" x14ac:dyDescent="0.25">
      <c r="A378" s="63" t="s">
        <v>5346</v>
      </c>
      <c r="B378" t="s">
        <v>771</v>
      </c>
      <c r="C378" t="s">
        <v>5043</v>
      </c>
      <c r="D378" t="s">
        <v>8401</v>
      </c>
    </row>
    <row r="379" spans="1:4" x14ac:dyDescent="0.25">
      <c r="A379" s="63" t="s">
        <v>4313</v>
      </c>
      <c r="B379" t="s">
        <v>772</v>
      </c>
      <c r="C379" t="s">
        <v>5043</v>
      </c>
      <c r="D379" t="s">
        <v>8401</v>
      </c>
    </row>
    <row r="380" spans="1:4" x14ac:dyDescent="0.25">
      <c r="A380" s="63" t="s">
        <v>4314</v>
      </c>
      <c r="B380" t="s">
        <v>772</v>
      </c>
      <c r="C380" t="s">
        <v>5043</v>
      </c>
      <c r="D380" t="s">
        <v>8401</v>
      </c>
    </row>
    <row r="381" spans="1:4" x14ac:dyDescent="0.25">
      <c r="A381" s="63" t="s">
        <v>4315</v>
      </c>
      <c r="B381" t="s">
        <v>772</v>
      </c>
      <c r="C381" t="s">
        <v>5043</v>
      </c>
      <c r="D381" t="s">
        <v>8401</v>
      </c>
    </row>
    <row r="382" spans="1:4" x14ac:dyDescent="0.25">
      <c r="A382" s="63" t="s">
        <v>4316</v>
      </c>
      <c r="B382" t="s">
        <v>772</v>
      </c>
      <c r="C382" t="s">
        <v>5043</v>
      </c>
      <c r="D382" t="s">
        <v>8401</v>
      </c>
    </row>
    <row r="383" spans="1:4" x14ac:dyDescent="0.25">
      <c r="A383" s="63" t="s">
        <v>4317</v>
      </c>
      <c r="B383" t="s">
        <v>772</v>
      </c>
      <c r="C383" t="s">
        <v>5043</v>
      </c>
      <c r="D383" t="s">
        <v>8401</v>
      </c>
    </row>
    <row r="384" spans="1:4" x14ac:dyDescent="0.25">
      <c r="A384" s="63" t="s">
        <v>4318</v>
      </c>
      <c r="B384" t="s">
        <v>772</v>
      </c>
      <c r="C384" t="s">
        <v>5043</v>
      </c>
      <c r="D384" t="s">
        <v>8401</v>
      </c>
    </row>
    <row r="385" spans="1:4" x14ac:dyDescent="0.25">
      <c r="A385" s="63" t="s">
        <v>4319</v>
      </c>
      <c r="B385" t="s">
        <v>772</v>
      </c>
      <c r="C385" t="s">
        <v>5043</v>
      </c>
      <c r="D385" t="s">
        <v>8401</v>
      </c>
    </row>
    <row r="386" spans="1:4" x14ac:dyDescent="0.25">
      <c r="A386" s="63" t="s">
        <v>5347</v>
      </c>
      <c r="B386" t="s">
        <v>1166</v>
      </c>
      <c r="C386" t="s">
        <v>5043</v>
      </c>
      <c r="D386" t="s">
        <v>8401</v>
      </c>
    </row>
    <row r="387" spans="1:4" x14ac:dyDescent="0.25">
      <c r="A387" s="63" t="s">
        <v>5348</v>
      </c>
      <c r="B387" t="s">
        <v>1153</v>
      </c>
      <c r="C387" t="s">
        <v>5043</v>
      </c>
      <c r="D387" t="s">
        <v>8401</v>
      </c>
    </row>
    <row r="388" spans="1:4" x14ac:dyDescent="0.25">
      <c r="A388" s="63" t="s">
        <v>5349</v>
      </c>
      <c r="B388" t="s">
        <v>773</v>
      </c>
      <c r="C388" t="s">
        <v>5043</v>
      </c>
      <c r="D388" t="s">
        <v>8401</v>
      </c>
    </row>
    <row r="389" spans="1:4" x14ac:dyDescent="0.25">
      <c r="A389" s="63" t="s">
        <v>5350</v>
      </c>
      <c r="B389" t="s">
        <v>774</v>
      </c>
      <c r="C389" t="s">
        <v>5043</v>
      </c>
      <c r="D389" t="s">
        <v>8401</v>
      </c>
    </row>
    <row r="390" spans="1:4" x14ac:dyDescent="0.25">
      <c r="A390" s="63" t="s">
        <v>5351</v>
      </c>
      <c r="B390" t="s">
        <v>774</v>
      </c>
      <c r="C390" t="s">
        <v>5043</v>
      </c>
      <c r="D390" t="s">
        <v>8401</v>
      </c>
    </row>
    <row r="391" spans="1:4" x14ac:dyDescent="0.25">
      <c r="A391" s="63" t="s">
        <v>5352</v>
      </c>
      <c r="B391" t="s">
        <v>774</v>
      </c>
      <c r="C391" t="s">
        <v>5043</v>
      </c>
      <c r="D391" t="s">
        <v>8401</v>
      </c>
    </row>
    <row r="392" spans="1:4" x14ac:dyDescent="0.25">
      <c r="A392" s="63" t="s">
        <v>3227</v>
      </c>
      <c r="B392" t="s">
        <v>775</v>
      </c>
      <c r="C392" t="s">
        <v>5043</v>
      </c>
      <c r="D392" t="s">
        <v>8401</v>
      </c>
    </row>
    <row r="393" spans="1:4" x14ac:dyDescent="0.25">
      <c r="A393" s="63" t="s">
        <v>3228</v>
      </c>
      <c r="B393" t="s">
        <v>776</v>
      </c>
      <c r="C393" t="s">
        <v>5043</v>
      </c>
      <c r="D393" t="s">
        <v>8401</v>
      </c>
    </row>
    <row r="394" spans="1:4" x14ac:dyDescent="0.25">
      <c r="A394" s="63" t="s">
        <v>3229</v>
      </c>
      <c r="B394" t="s">
        <v>776</v>
      </c>
      <c r="C394" t="s">
        <v>5043</v>
      </c>
      <c r="D394" t="s">
        <v>8401</v>
      </c>
    </row>
    <row r="395" spans="1:4" x14ac:dyDescent="0.25">
      <c r="A395" s="63" t="s">
        <v>2792</v>
      </c>
      <c r="B395" t="s">
        <v>645</v>
      </c>
      <c r="C395" t="s">
        <v>5043</v>
      </c>
      <c r="D395" t="s">
        <v>8406</v>
      </c>
    </row>
    <row r="396" spans="1:4" x14ac:dyDescent="0.25">
      <c r="A396" s="63" t="s">
        <v>5353</v>
      </c>
      <c r="B396" t="s">
        <v>621</v>
      </c>
      <c r="C396" t="s">
        <v>5043</v>
      </c>
      <c r="D396" t="s">
        <v>8406</v>
      </c>
    </row>
    <row r="397" spans="1:4" x14ac:dyDescent="0.25">
      <c r="A397" s="63" t="s">
        <v>5354</v>
      </c>
      <c r="B397" t="s">
        <v>621</v>
      </c>
      <c r="C397" t="s">
        <v>5043</v>
      </c>
      <c r="D397" t="s">
        <v>8406</v>
      </c>
    </row>
    <row r="398" spans="1:4" x14ac:dyDescent="0.25">
      <c r="A398" s="63" t="s">
        <v>5355</v>
      </c>
      <c r="B398" t="s">
        <v>621</v>
      </c>
      <c r="C398" t="s">
        <v>5043</v>
      </c>
      <c r="D398" t="s">
        <v>8406</v>
      </c>
    </row>
    <row r="399" spans="1:4" x14ac:dyDescent="0.25">
      <c r="A399" s="63" t="s">
        <v>5356</v>
      </c>
      <c r="B399" t="s">
        <v>621</v>
      </c>
      <c r="C399" t="s">
        <v>5043</v>
      </c>
      <c r="D399" t="s">
        <v>8406</v>
      </c>
    </row>
    <row r="400" spans="1:4" x14ac:dyDescent="0.25">
      <c r="A400" s="63" t="s">
        <v>5357</v>
      </c>
      <c r="B400" t="s">
        <v>621</v>
      </c>
      <c r="C400" t="s">
        <v>5043</v>
      </c>
      <c r="D400" t="s">
        <v>8406</v>
      </c>
    </row>
    <row r="401" spans="1:4" x14ac:dyDescent="0.25">
      <c r="A401" s="63" t="s">
        <v>5360</v>
      </c>
      <c r="B401" t="s">
        <v>777</v>
      </c>
      <c r="C401" t="s">
        <v>5043</v>
      </c>
      <c r="D401" t="s">
        <v>8401</v>
      </c>
    </row>
    <row r="402" spans="1:4" x14ac:dyDescent="0.25">
      <c r="A402" s="63" t="s">
        <v>5361</v>
      </c>
      <c r="B402" t="s">
        <v>777</v>
      </c>
      <c r="C402" t="s">
        <v>5043</v>
      </c>
      <c r="D402" t="s">
        <v>8401</v>
      </c>
    </row>
    <row r="403" spans="1:4" x14ac:dyDescent="0.25">
      <c r="A403" s="63" t="s">
        <v>5362</v>
      </c>
      <c r="B403" t="s">
        <v>777</v>
      </c>
      <c r="C403" t="s">
        <v>5043</v>
      </c>
      <c r="D403" t="s">
        <v>8401</v>
      </c>
    </row>
    <row r="404" spans="1:4" x14ac:dyDescent="0.25">
      <c r="A404" s="63" t="s">
        <v>5363</v>
      </c>
      <c r="B404" t="s">
        <v>777</v>
      </c>
      <c r="C404" t="s">
        <v>5043</v>
      </c>
      <c r="D404" t="s">
        <v>8401</v>
      </c>
    </row>
    <row r="405" spans="1:4" x14ac:dyDescent="0.25">
      <c r="A405" s="63" t="s">
        <v>5364</v>
      </c>
      <c r="B405" t="s">
        <v>777</v>
      </c>
      <c r="C405" t="s">
        <v>5043</v>
      </c>
      <c r="D405" t="s">
        <v>8401</v>
      </c>
    </row>
    <row r="406" spans="1:4" x14ac:dyDescent="0.25">
      <c r="A406" s="63" t="s">
        <v>5365</v>
      </c>
      <c r="B406" t="s">
        <v>777</v>
      </c>
      <c r="C406" t="s">
        <v>5043</v>
      </c>
      <c r="D406" t="s">
        <v>8401</v>
      </c>
    </row>
    <row r="407" spans="1:4" x14ac:dyDescent="0.25">
      <c r="A407" s="63" t="s">
        <v>5366</v>
      </c>
      <c r="B407" t="s">
        <v>777</v>
      </c>
      <c r="C407" t="s">
        <v>5043</v>
      </c>
      <c r="D407" t="s">
        <v>8401</v>
      </c>
    </row>
    <row r="408" spans="1:4" x14ac:dyDescent="0.25">
      <c r="A408" s="63" t="s">
        <v>5367</v>
      </c>
      <c r="B408" t="s">
        <v>778</v>
      </c>
      <c r="C408" t="s">
        <v>5043</v>
      </c>
      <c r="D408" t="s">
        <v>8401</v>
      </c>
    </row>
    <row r="409" spans="1:4" x14ac:dyDescent="0.25">
      <c r="A409" s="63" t="s">
        <v>5368</v>
      </c>
      <c r="B409" t="s">
        <v>778</v>
      </c>
      <c r="C409" t="s">
        <v>5043</v>
      </c>
      <c r="D409" t="s">
        <v>8401</v>
      </c>
    </row>
    <row r="410" spans="1:4" x14ac:dyDescent="0.25">
      <c r="A410" s="63" t="s">
        <v>5369</v>
      </c>
      <c r="B410" t="s">
        <v>779</v>
      </c>
      <c r="C410" t="s">
        <v>5043</v>
      </c>
      <c r="D410" t="s">
        <v>8401</v>
      </c>
    </row>
    <row r="411" spans="1:4" x14ac:dyDescent="0.25">
      <c r="A411" s="63" t="s">
        <v>4343</v>
      </c>
      <c r="B411" t="s">
        <v>780</v>
      </c>
      <c r="C411" t="s">
        <v>5043</v>
      </c>
      <c r="D411" t="s">
        <v>8401</v>
      </c>
    </row>
    <row r="412" spans="1:4" x14ac:dyDescent="0.25">
      <c r="A412" s="63" t="s">
        <v>4344</v>
      </c>
      <c r="B412" t="s">
        <v>780</v>
      </c>
      <c r="C412" t="s">
        <v>5043</v>
      </c>
      <c r="D412" t="s">
        <v>8401</v>
      </c>
    </row>
    <row r="413" spans="1:4" x14ac:dyDescent="0.25">
      <c r="A413" s="63" t="s">
        <v>5370</v>
      </c>
      <c r="B413" t="s">
        <v>646</v>
      </c>
      <c r="C413" t="s">
        <v>5043</v>
      </c>
      <c r="D413" t="s">
        <v>8405</v>
      </c>
    </row>
    <row r="414" spans="1:4" x14ac:dyDescent="0.25">
      <c r="A414" s="63" t="s">
        <v>5371</v>
      </c>
      <c r="B414" t="s">
        <v>647</v>
      </c>
      <c r="C414" t="s">
        <v>5043</v>
      </c>
      <c r="D414" t="s">
        <v>8405</v>
      </c>
    </row>
    <row r="415" spans="1:4" x14ac:dyDescent="0.25">
      <c r="A415" s="63" t="s">
        <v>4574</v>
      </c>
      <c r="B415" t="s">
        <v>781</v>
      </c>
      <c r="C415" t="s">
        <v>5043</v>
      </c>
      <c r="D415" t="s">
        <v>8401</v>
      </c>
    </row>
    <row r="416" spans="1:4" x14ac:dyDescent="0.25">
      <c r="A416" s="63" t="s">
        <v>5372</v>
      </c>
      <c r="B416" t="s">
        <v>782</v>
      </c>
      <c r="C416" t="s">
        <v>5043</v>
      </c>
      <c r="D416" t="s">
        <v>8401</v>
      </c>
    </row>
    <row r="417" spans="1:4" x14ac:dyDescent="0.25">
      <c r="A417" s="63" t="s">
        <v>5373</v>
      </c>
      <c r="B417" t="s">
        <v>782</v>
      </c>
      <c r="C417" t="s">
        <v>5043</v>
      </c>
      <c r="D417" t="s">
        <v>8401</v>
      </c>
    </row>
    <row r="418" spans="1:4" x14ac:dyDescent="0.25">
      <c r="A418" s="63" t="s">
        <v>5374</v>
      </c>
      <c r="B418" t="s">
        <v>782</v>
      </c>
      <c r="C418" t="s">
        <v>5043</v>
      </c>
      <c r="D418" t="s">
        <v>8401</v>
      </c>
    </row>
    <row r="419" spans="1:4" x14ac:dyDescent="0.25">
      <c r="A419" s="63" t="s">
        <v>4183</v>
      </c>
      <c r="B419" t="s">
        <v>782</v>
      </c>
      <c r="C419" t="s">
        <v>5043</v>
      </c>
      <c r="D419" t="s">
        <v>8401</v>
      </c>
    </row>
    <row r="420" spans="1:4" x14ac:dyDescent="0.25">
      <c r="A420" s="63" t="s">
        <v>5375</v>
      </c>
      <c r="B420" t="s">
        <v>782</v>
      </c>
      <c r="C420" t="s">
        <v>5043</v>
      </c>
      <c r="D420" t="s">
        <v>8401</v>
      </c>
    </row>
    <row r="421" spans="1:4" x14ac:dyDescent="0.25">
      <c r="A421" s="63" t="s">
        <v>5376</v>
      </c>
      <c r="B421" t="s">
        <v>782</v>
      </c>
      <c r="C421" t="s">
        <v>5043</v>
      </c>
      <c r="D421" t="s">
        <v>8401</v>
      </c>
    </row>
    <row r="422" spans="1:4" x14ac:dyDescent="0.25">
      <c r="A422" s="63" t="s">
        <v>5377</v>
      </c>
      <c r="B422" t="s">
        <v>782</v>
      </c>
      <c r="C422" t="s">
        <v>5043</v>
      </c>
      <c r="D422" t="s">
        <v>8401</v>
      </c>
    </row>
    <row r="423" spans="1:4" x14ac:dyDescent="0.25">
      <c r="A423" s="63" t="s">
        <v>5378</v>
      </c>
      <c r="B423" t="s">
        <v>782</v>
      </c>
      <c r="C423" t="s">
        <v>5043</v>
      </c>
      <c r="D423" t="s">
        <v>8401</v>
      </c>
    </row>
    <row r="424" spans="1:4" x14ac:dyDescent="0.25">
      <c r="A424" s="63" t="s">
        <v>5379</v>
      </c>
      <c r="B424" t="s">
        <v>782</v>
      </c>
      <c r="C424" t="s">
        <v>5043</v>
      </c>
      <c r="D424" t="s">
        <v>8401</v>
      </c>
    </row>
    <row r="425" spans="1:4" x14ac:dyDescent="0.25">
      <c r="A425" s="63" t="s">
        <v>5380</v>
      </c>
      <c r="B425" t="s">
        <v>782</v>
      </c>
      <c r="C425" t="s">
        <v>5043</v>
      </c>
      <c r="D425" t="s">
        <v>8401</v>
      </c>
    </row>
    <row r="426" spans="1:4" x14ac:dyDescent="0.25">
      <c r="A426" s="63" t="s">
        <v>5381</v>
      </c>
      <c r="B426" t="s">
        <v>782</v>
      </c>
      <c r="C426" t="s">
        <v>5043</v>
      </c>
      <c r="D426" t="s">
        <v>8401</v>
      </c>
    </row>
    <row r="427" spans="1:4" x14ac:dyDescent="0.25">
      <c r="A427" s="63" t="s">
        <v>5382</v>
      </c>
      <c r="B427" t="s">
        <v>782</v>
      </c>
      <c r="C427" t="s">
        <v>5043</v>
      </c>
      <c r="D427" t="s">
        <v>8401</v>
      </c>
    </row>
    <row r="428" spans="1:4" x14ac:dyDescent="0.25">
      <c r="A428" s="63" t="s">
        <v>5383</v>
      </c>
      <c r="B428" t="s">
        <v>782</v>
      </c>
      <c r="C428" t="s">
        <v>5043</v>
      </c>
      <c r="D428" t="s">
        <v>8401</v>
      </c>
    </row>
    <row r="429" spans="1:4" x14ac:dyDescent="0.25">
      <c r="A429" s="63" t="s">
        <v>5384</v>
      </c>
      <c r="B429" t="s">
        <v>782</v>
      </c>
      <c r="C429" t="s">
        <v>5043</v>
      </c>
      <c r="D429" t="s">
        <v>8401</v>
      </c>
    </row>
    <row r="430" spans="1:4" x14ac:dyDescent="0.25">
      <c r="A430" s="63" t="s">
        <v>5385</v>
      </c>
      <c r="B430" t="s">
        <v>782</v>
      </c>
      <c r="C430" t="s">
        <v>5043</v>
      </c>
      <c r="D430" t="s">
        <v>8401</v>
      </c>
    </row>
    <row r="431" spans="1:4" x14ac:dyDescent="0.25">
      <c r="A431" s="63" t="s">
        <v>5386</v>
      </c>
      <c r="B431" t="s">
        <v>782</v>
      </c>
      <c r="C431" t="s">
        <v>5043</v>
      </c>
      <c r="D431" t="s">
        <v>8401</v>
      </c>
    </row>
    <row r="432" spans="1:4" x14ac:dyDescent="0.25">
      <c r="A432" s="63" t="s">
        <v>5387</v>
      </c>
      <c r="B432" t="s">
        <v>782</v>
      </c>
      <c r="C432" t="s">
        <v>5043</v>
      </c>
      <c r="D432" t="s">
        <v>8401</v>
      </c>
    </row>
    <row r="433" spans="1:4" x14ac:dyDescent="0.25">
      <c r="A433" s="63" t="s">
        <v>5388</v>
      </c>
      <c r="B433" t="s">
        <v>783</v>
      </c>
      <c r="C433" t="s">
        <v>5043</v>
      </c>
      <c r="D433" t="s">
        <v>8401</v>
      </c>
    </row>
    <row r="434" spans="1:4" x14ac:dyDescent="0.25">
      <c r="A434" s="63" t="s">
        <v>5389</v>
      </c>
      <c r="B434" t="s">
        <v>784</v>
      </c>
      <c r="C434" t="s">
        <v>5043</v>
      </c>
      <c r="D434" t="s">
        <v>8401</v>
      </c>
    </row>
    <row r="435" spans="1:4" x14ac:dyDescent="0.25">
      <c r="A435" s="63" t="s">
        <v>5390</v>
      </c>
      <c r="B435" t="s">
        <v>784</v>
      </c>
      <c r="C435" t="s">
        <v>5043</v>
      </c>
      <c r="D435" t="s">
        <v>8401</v>
      </c>
    </row>
    <row r="436" spans="1:4" x14ac:dyDescent="0.25">
      <c r="A436" s="63" t="s">
        <v>5391</v>
      </c>
      <c r="B436" t="s">
        <v>784</v>
      </c>
      <c r="C436" t="s">
        <v>5043</v>
      </c>
      <c r="D436" t="s">
        <v>8401</v>
      </c>
    </row>
    <row r="437" spans="1:4" x14ac:dyDescent="0.25">
      <c r="A437" s="63" t="s">
        <v>2844</v>
      </c>
      <c r="B437" t="s">
        <v>784</v>
      </c>
      <c r="C437" t="s">
        <v>5043</v>
      </c>
      <c r="D437" t="s">
        <v>8401</v>
      </c>
    </row>
    <row r="438" spans="1:4" x14ac:dyDescent="0.25">
      <c r="A438" s="63" t="s">
        <v>2845</v>
      </c>
      <c r="B438" t="s">
        <v>784</v>
      </c>
      <c r="C438" t="s">
        <v>5043</v>
      </c>
      <c r="D438" t="s">
        <v>8401</v>
      </c>
    </row>
    <row r="439" spans="1:4" x14ac:dyDescent="0.25">
      <c r="A439" s="63" t="s">
        <v>2846</v>
      </c>
      <c r="B439" t="s">
        <v>784</v>
      </c>
      <c r="C439" t="s">
        <v>5043</v>
      </c>
      <c r="D439" t="s">
        <v>8401</v>
      </c>
    </row>
    <row r="440" spans="1:4" x14ac:dyDescent="0.25">
      <c r="A440" s="63" t="s">
        <v>5392</v>
      </c>
      <c r="B440" t="s">
        <v>784</v>
      </c>
      <c r="C440" t="s">
        <v>5043</v>
      </c>
      <c r="D440" t="s">
        <v>8401</v>
      </c>
    </row>
    <row r="441" spans="1:4" x14ac:dyDescent="0.25">
      <c r="A441" s="63" t="s">
        <v>5393</v>
      </c>
      <c r="B441" t="s">
        <v>784</v>
      </c>
      <c r="C441" t="s">
        <v>5043</v>
      </c>
      <c r="D441" t="s">
        <v>8401</v>
      </c>
    </row>
    <row r="442" spans="1:4" x14ac:dyDescent="0.25">
      <c r="A442" s="63" t="s">
        <v>5394</v>
      </c>
      <c r="B442" t="s">
        <v>784</v>
      </c>
      <c r="C442" t="s">
        <v>5043</v>
      </c>
      <c r="D442" t="s">
        <v>8401</v>
      </c>
    </row>
    <row r="443" spans="1:4" x14ac:dyDescent="0.25">
      <c r="A443" s="63" t="s">
        <v>3649</v>
      </c>
      <c r="B443" t="s">
        <v>784</v>
      </c>
      <c r="C443" t="s">
        <v>5043</v>
      </c>
      <c r="D443" t="s">
        <v>8401</v>
      </c>
    </row>
    <row r="444" spans="1:4" x14ac:dyDescent="0.25">
      <c r="A444" s="63" t="s">
        <v>3650</v>
      </c>
      <c r="B444" t="s">
        <v>784</v>
      </c>
      <c r="C444" t="s">
        <v>5043</v>
      </c>
      <c r="D444" t="s">
        <v>8401</v>
      </c>
    </row>
    <row r="445" spans="1:4" x14ac:dyDescent="0.25">
      <c r="A445" s="63" t="s">
        <v>3651</v>
      </c>
      <c r="B445" t="s">
        <v>784</v>
      </c>
      <c r="C445" t="s">
        <v>5043</v>
      </c>
      <c r="D445" t="s">
        <v>8401</v>
      </c>
    </row>
    <row r="446" spans="1:4" x14ac:dyDescent="0.25">
      <c r="A446" s="63" t="s">
        <v>3652</v>
      </c>
      <c r="B446" t="s">
        <v>784</v>
      </c>
      <c r="C446" t="s">
        <v>5043</v>
      </c>
      <c r="D446" t="s">
        <v>8401</v>
      </c>
    </row>
    <row r="447" spans="1:4" x14ac:dyDescent="0.25">
      <c r="A447" s="63" t="s">
        <v>5395</v>
      </c>
      <c r="B447" t="s">
        <v>784</v>
      </c>
      <c r="C447" t="s">
        <v>5043</v>
      </c>
      <c r="D447" t="s">
        <v>8401</v>
      </c>
    </row>
    <row r="448" spans="1:4" x14ac:dyDescent="0.25">
      <c r="A448" s="63" t="s">
        <v>5396</v>
      </c>
      <c r="B448" t="s">
        <v>784</v>
      </c>
      <c r="C448" t="s">
        <v>5043</v>
      </c>
      <c r="D448" t="s">
        <v>8401</v>
      </c>
    </row>
    <row r="449" spans="1:4" x14ac:dyDescent="0.25">
      <c r="A449" s="63" t="s">
        <v>5397</v>
      </c>
      <c r="B449" t="s">
        <v>784</v>
      </c>
      <c r="C449" t="s">
        <v>5043</v>
      </c>
      <c r="D449" t="s">
        <v>8401</v>
      </c>
    </row>
    <row r="450" spans="1:4" x14ac:dyDescent="0.25">
      <c r="A450" s="63" t="s">
        <v>5398</v>
      </c>
      <c r="B450" t="s">
        <v>784</v>
      </c>
      <c r="C450" t="s">
        <v>5043</v>
      </c>
      <c r="D450" t="s">
        <v>8401</v>
      </c>
    </row>
    <row r="451" spans="1:4" x14ac:dyDescent="0.25">
      <c r="A451" s="63" t="s">
        <v>5399</v>
      </c>
      <c r="B451" t="s">
        <v>784</v>
      </c>
      <c r="C451" t="s">
        <v>5043</v>
      </c>
      <c r="D451" t="s">
        <v>8401</v>
      </c>
    </row>
    <row r="452" spans="1:4" x14ac:dyDescent="0.25">
      <c r="A452" s="63" t="s">
        <v>5400</v>
      </c>
      <c r="B452" t="s">
        <v>784</v>
      </c>
      <c r="C452" t="s">
        <v>5043</v>
      </c>
      <c r="D452" t="s">
        <v>8401</v>
      </c>
    </row>
    <row r="453" spans="1:4" x14ac:dyDescent="0.25">
      <c r="A453" s="63" t="s">
        <v>5401</v>
      </c>
      <c r="B453" t="s">
        <v>784</v>
      </c>
      <c r="C453" t="s">
        <v>5043</v>
      </c>
      <c r="D453" t="s">
        <v>8401</v>
      </c>
    </row>
    <row r="454" spans="1:4" x14ac:dyDescent="0.25">
      <c r="A454" s="63" t="s">
        <v>5402</v>
      </c>
      <c r="B454" t="s">
        <v>784</v>
      </c>
      <c r="C454" t="s">
        <v>5043</v>
      </c>
      <c r="D454" t="s">
        <v>8401</v>
      </c>
    </row>
    <row r="455" spans="1:4" x14ac:dyDescent="0.25">
      <c r="A455" s="63" t="s">
        <v>5403</v>
      </c>
      <c r="B455" t="s">
        <v>784</v>
      </c>
      <c r="C455" t="s">
        <v>5043</v>
      </c>
      <c r="D455" t="s">
        <v>8401</v>
      </c>
    </row>
    <row r="456" spans="1:4" x14ac:dyDescent="0.25">
      <c r="A456" s="63" t="s">
        <v>5404</v>
      </c>
      <c r="B456" t="s">
        <v>784</v>
      </c>
      <c r="C456" t="s">
        <v>5043</v>
      </c>
      <c r="D456" t="s">
        <v>8401</v>
      </c>
    </row>
    <row r="457" spans="1:4" x14ac:dyDescent="0.25">
      <c r="A457" s="63" t="s">
        <v>5405</v>
      </c>
      <c r="B457" t="s">
        <v>784</v>
      </c>
      <c r="C457" t="s">
        <v>5043</v>
      </c>
      <c r="D457" t="s">
        <v>8401</v>
      </c>
    </row>
    <row r="458" spans="1:4" x14ac:dyDescent="0.25">
      <c r="A458" s="63" t="s">
        <v>5406</v>
      </c>
      <c r="B458" t="s">
        <v>784</v>
      </c>
      <c r="C458" t="s">
        <v>5043</v>
      </c>
      <c r="D458" t="s">
        <v>8401</v>
      </c>
    </row>
    <row r="459" spans="1:4" x14ac:dyDescent="0.25">
      <c r="A459" s="63" t="s">
        <v>5407</v>
      </c>
      <c r="B459" t="s">
        <v>784</v>
      </c>
      <c r="C459" t="s">
        <v>5043</v>
      </c>
      <c r="D459" t="s">
        <v>8401</v>
      </c>
    </row>
    <row r="460" spans="1:4" x14ac:dyDescent="0.25">
      <c r="A460" s="63" t="s">
        <v>5408</v>
      </c>
      <c r="B460" t="s">
        <v>784</v>
      </c>
      <c r="C460" t="s">
        <v>5043</v>
      </c>
      <c r="D460" t="s">
        <v>8401</v>
      </c>
    </row>
    <row r="461" spans="1:4" x14ac:dyDescent="0.25">
      <c r="A461" s="63" t="s">
        <v>5409</v>
      </c>
      <c r="B461" t="s">
        <v>784</v>
      </c>
      <c r="C461" t="s">
        <v>5043</v>
      </c>
      <c r="D461" t="s">
        <v>8401</v>
      </c>
    </row>
    <row r="462" spans="1:4" x14ac:dyDescent="0.25">
      <c r="A462" s="63" t="s">
        <v>5410</v>
      </c>
      <c r="B462" t="s">
        <v>784</v>
      </c>
      <c r="C462" t="s">
        <v>5043</v>
      </c>
      <c r="D462" t="s">
        <v>8401</v>
      </c>
    </row>
    <row r="463" spans="1:4" x14ac:dyDescent="0.25">
      <c r="A463" s="63" t="s">
        <v>5411</v>
      </c>
      <c r="B463" t="s">
        <v>1162</v>
      </c>
      <c r="C463" t="s">
        <v>5043</v>
      </c>
      <c r="D463" t="s">
        <v>8401</v>
      </c>
    </row>
    <row r="464" spans="1:4" x14ac:dyDescent="0.25">
      <c r="A464" s="63" t="s">
        <v>5412</v>
      </c>
      <c r="B464" t="s">
        <v>1158</v>
      </c>
      <c r="C464" t="s">
        <v>5043</v>
      </c>
      <c r="D464" t="s">
        <v>8401</v>
      </c>
    </row>
    <row r="465" spans="1:4" x14ac:dyDescent="0.25">
      <c r="A465" s="63" t="s">
        <v>5413</v>
      </c>
      <c r="B465" t="s">
        <v>1158</v>
      </c>
      <c r="C465" t="s">
        <v>5043</v>
      </c>
      <c r="D465" t="s">
        <v>8401</v>
      </c>
    </row>
    <row r="466" spans="1:4" x14ac:dyDescent="0.25">
      <c r="A466" s="63" t="s">
        <v>5414</v>
      </c>
      <c r="B466" t="s">
        <v>1158</v>
      </c>
      <c r="C466" t="s">
        <v>5043</v>
      </c>
      <c r="D466" t="s">
        <v>8401</v>
      </c>
    </row>
    <row r="467" spans="1:4" x14ac:dyDescent="0.25">
      <c r="A467" s="63" t="s">
        <v>3234</v>
      </c>
      <c r="B467" t="s">
        <v>1158</v>
      </c>
      <c r="C467" t="s">
        <v>5043</v>
      </c>
      <c r="D467" t="s">
        <v>8401</v>
      </c>
    </row>
    <row r="468" spans="1:4" x14ac:dyDescent="0.25">
      <c r="A468" s="63" t="s">
        <v>3235</v>
      </c>
      <c r="B468" t="s">
        <v>1158</v>
      </c>
      <c r="C468" t="s">
        <v>5043</v>
      </c>
      <c r="D468" t="s">
        <v>8401</v>
      </c>
    </row>
    <row r="469" spans="1:4" x14ac:dyDescent="0.25">
      <c r="A469" s="63" t="s">
        <v>3236</v>
      </c>
      <c r="B469" t="s">
        <v>1158</v>
      </c>
      <c r="C469" t="s">
        <v>5043</v>
      </c>
      <c r="D469" t="s">
        <v>8401</v>
      </c>
    </row>
    <row r="470" spans="1:4" x14ac:dyDescent="0.25">
      <c r="A470" s="63" t="s">
        <v>3237</v>
      </c>
      <c r="B470" t="s">
        <v>1158</v>
      </c>
      <c r="C470" t="s">
        <v>5043</v>
      </c>
      <c r="D470" t="s">
        <v>8401</v>
      </c>
    </row>
    <row r="471" spans="1:4" x14ac:dyDescent="0.25">
      <c r="A471" s="63" t="s">
        <v>3238</v>
      </c>
      <c r="B471" t="s">
        <v>1158</v>
      </c>
      <c r="C471" t="s">
        <v>5043</v>
      </c>
      <c r="D471" t="s">
        <v>8401</v>
      </c>
    </row>
    <row r="472" spans="1:4" x14ac:dyDescent="0.25">
      <c r="A472" s="63" t="s">
        <v>3239</v>
      </c>
      <c r="B472" t="s">
        <v>1158</v>
      </c>
      <c r="C472" t="s">
        <v>5043</v>
      </c>
      <c r="D472" t="s">
        <v>8401</v>
      </c>
    </row>
    <row r="473" spans="1:4" x14ac:dyDescent="0.25">
      <c r="A473" s="63" t="s">
        <v>3248</v>
      </c>
      <c r="B473" t="s">
        <v>1163</v>
      </c>
      <c r="C473" t="s">
        <v>5043</v>
      </c>
      <c r="D473" t="s">
        <v>8401</v>
      </c>
    </row>
    <row r="474" spans="1:4" x14ac:dyDescent="0.25">
      <c r="A474" s="63" t="s">
        <v>5415</v>
      </c>
      <c r="B474" t="s">
        <v>785</v>
      </c>
      <c r="C474" t="s">
        <v>5043</v>
      </c>
      <c r="D474" t="s">
        <v>8401</v>
      </c>
    </row>
    <row r="475" spans="1:4" x14ac:dyDescent="0.25">
      <c r="A475" s="63" t="s">
        <v>5416</v>
      </c>
      <c r="B475" t="s">
        <v>786</v>
      </c>
      <c r="C475" t="s">
        <v>5043</v>
      </c>
      <c r="D475" t="s">
        <v>8401</v>
      </c>
    </row>
    <row r="476" spans="1:4" x14ac:dyDescent="0.25">
      <c r="A476" s="63" t="s">
        <v>4220</v>
      </c>
      <c r="B476" t="s">
        <v>787</v>
      </c>
      <c r="C476" t="s">
        <v>5043</v>
      </c>
      <c r="D476" t="s">
        <v>8401</v>
      </c>
    </row>
    <row r="477" spans="1:4" x14ac:dyDescent="0.25">
      <c r="A477" s="63" t="s">
        <v>4221</v>
      </c>
      <c r="B477" t="s">
        <v>787</v>
      </c>
      <c r="C477" t="s">
        <v>5043</v>
      </c>
      <c r="D477" t="s">
        <v>8401</v>
      </c>
    </row>
    <row r="478" spans="1:4" x14ac:dyDescent="0.25">
      <c r="A478" s="63" t="s">
        <v>5417</v>
      </c>
      <c r="B478" t="s">
        <v>788</v>
      </c>
      <c r="C478" t="s">
        <v>5043</v>
      </c>
      <c r="D478" t="s">
        <v>8401</v>
      </c>
    </row>
    <row r="479" spans="1:4" x14ac:dyDescent="0.25">
      <c r="A479" s="63" t="s">
        <v>5418</v>
      </c>
      <c r="B479" t="s">
        <v>788</v>
      </c>
      <c r="C479" t="s">
        <v>5043</v>
      </c>
      <c r="D479" t="s">
        <v>8401</v>
      </c>
    </row>
    <row r="480" spans="1:4" x14ac:dyDescent="0.25">
      <c r="A480" s="63" t="s">
        <v>5419</v>
      </c>
      <c r="B480" t="s">
        <v>788</v>
      </c>
      <c r="C480" t="s">
        <v>5043</v>
      </c>
      <c r="D480" t="s">
        <v>8401</v>
      </c>
    </row>
    <row r="481" spans="1:4" x14ac:dyDescent="0.25">
      <c r="A481" s="63" t="s">
        <v>5420</v>
      </c>
      <c r="B481" t="s">
        <v>788</v>
      </c>
      <c r="C481" t="s">
        <v>5043</v>
      </c>
      <c r="D481" t="s">
        <v>8401</v>
      </c>
    </row>
    <row r="482" spans="1:4" x14ac:dyDescent="0.25">
      <c r="A482" s="63" t="s">
        <v>5421</v>
      </c>
      <c r="B482" t="s">
        <v>788</v>
      </c>
      <c r="C482" t="s">
        <v>5043</v>
      </c>
      <c r="D482" t="s">
        <v>8401</v>
      </c>
    </row>
    <row r="483" spans="1:4" x14ac:dyDescent="0.25">
      <c r="A483" s="63" t="s">
        <v>5422</v>
      </c>
      <c r="B483" t="s">
        <v>788</v>
      </c>
      <c r="C483" t="s">
        <v>5043</v>
      </c>
      <c r="D483" t="s">
        <v>8401</v>
      </c>
    </row>
    <row r="484" spans="1:4" x14ac:dyDescent="0.25">
      <c r="A484" s="63" t="s">
        <v>5423</v>
      </c>
      <c r="B484" t="s">
        <v>788</v>
      </c>
      <c r="C484" t="s">
        <v>5043</v>
      </c>
      <c r="D484" t="s">
        <v>8401</v>
      </c>
    </row>
    <row r="485" spans="1:4" x14ac:dyDescent="0.25">
      <c r="A485" s="63" t="s">
        <v>5424</v>
      </c>
      <c r="B485" t="s">
        <v>788</v>
      </c>
      <c r="C485" t="s">
        <v>5043</v>
      </c>
      <c r="D485" t="s">
        <v>8401</v>
      </c>
    </row>
    <row r="486" spans="1:4" x14ac:dyDescent="0.25">
      <c r="A486" s="63" t="s">
        <v>5425</v>
      </c>
      <c r="B486" t="s">
        <v>788</v>
      </c>
      <c r="C486" t="s">
        <v>5043</v>
      </c>
      <c r="D486" t="s">
        <v>8401</v>
      </c>
    </row>
    <row r="487" spans="1:4" x14ac:dyDescent="0.25">
      <c r="A487" s="63" t="s">
        <v>5426</v>
      </c>
      <c r="B487" t="s">
        <v>789</v>
      </c>
      <c r="C487" t="s">
        <v>5043</v>
      </c>
      <c r="D487" t="s">
        <v>8401</v>
      </c>
    </row>
    <row r="488" spans="1:4" x14ac:dyDescent="0.25">
      <c r="A488" s="63" t="s">
        <v>5427</v>
      </c>
      <c r="B488" t="s">
        <v>789</v>
      </c>
      <c r="C488" t="s">
        <v>5043</v>
      </c>
      <c r="D488" t="s">
        <v>8401</v>
      </c>
    </row>
    <row r="489" spans="1:4" x14ac:dyDescent="0.25">
      <c r="A489" s="63" t="s">
        <v>5428</v>
      </c>
      <c r="B489" t="s">
        <v>789</v>
      </c>
      <c r="C489" t="s">
        <v>5043</v>
      </c>
      <c r="D489" t="s">
        <v>8401</v>
      </c>
    </row>
    <row r="490" spans="1:4" x14ac:dyDescent="0.25">
      <c r="A490" s="63" t="s">
        <v>5429</v>
      </c>
      <c r="B490" t="s">
        <v>790</v>
      </c>
      <c r="C490" t="s">
        <v>5043</v>
      </c>
      <c r="D490" t="s">
        <v>8401</v>
      </c>
    </row>
    <row r="491" spans="1:4" x14ac:dyDescent="0.25">
      <c r="A491" s="63" t="s">
        <v>4342</v>
      </c>
      <c r="B491" t="s">
        <v>791</v>
      </c>
      <c r="C491" t="s">
        <v>5043</v>
      </c>
      <c r="D491" t="s">
        <v>8401</v>
      </c>
    </row>
    <row r="492" spans="1:4" x14ac:dyDescent="0.25">
      <c r="A492" s="63" t="s">
        <v>5430</v>
      </c>
      <c r="B492" t="s">
        <v>792</v>
      </c>
      <c r="C492" t="s">
        <v>5043</v>
      </c>
      <c r="D492" t="s">
        <v>8401</v>
      </c>
    </row>
    <row r="493" spans="1:4" x14ac:dyDescent="0.25">
      <c r="A493" s="63" t="s">
        <v>5431</v>
      </c>
      <c r="B493" t="s">
        <v>793</v>
      </c>
      <c r="C493" t="s">
        <v>5043</v>
      </c>
      <c r="D493" t="s">
        <v>8401</v>
      </c>
    </row>
    <row r="494" spans="1:4" x14ac:dyDescent="0.25">
      <c r="A494" s="63" t="s">
        <v>5432</v>
      </c>
      <c r="B494" t="s">
        <v>794</v>
      </c>
      <c r="C494" t="s">
        <v>5043</v>
      </c>
      <c r="D494" t="s">
        <v>8401</v>
      </c>
    </row>
    <row r="495" spans="1:4" x14ac:dyDescent="0.25">
      <c r="A495" s="63" t="s">
        <v>5433</v>
      </c>
      <c r="B495" t="s">
        <v>795</v>
      </c>
      <c r="C495" t="s">
        <v>5043</v>
      </c>
      <c r="D495" t="s">
        <v>8401</v>
      </c>
    </row>
    <row r="496" spans="1:4" x14ac:dyDescent="0.25">
      <c r="A496" s="63" t="s">
        <v>5434</v>
      </c>
      <c r="B496" t="s">
        <v>796</v>
      </c>
      <c r="C496" t="s">
        <v>5043</v>
      </c>
      <c r="D496" t="s">
        <v>8401</v>
      </c>
    </row>
    <row r="497" spans="1:4" x14ac:dyDescent="0.25">
      <c r="A497" s="63" t="s">
        <v>4338</v>
      </c>
      <c r="B497" t="s">
        <v>797</v>
      </c>
      <c r="C497" t="s">
        <v>5043</v>
      </c>
      <c r="D497" t="s">
        <v>8401</v>
      </c>
    </row>
    <row r="498" spans="1:4" x14ac:dyDescent="0.25">
      <c r="A498" s="63" t="s">
        <v>4339</v>
      </c>
      <c r="B498" t="s">
        <v>798</v>
      </c>
      <c r="C498" t="s">
        <v>5043</v>
      </c>
      <c r="D498" t="s">
        <v>8401</v>
      </c>
    </row>
    <row r="499" spans="1:4" x14ac:dyDescent="0.25">
      <c r="A499" s="63" t="s">
        <v>4340</v>
      </c>
      <c r="B499" t="s">
        <v>798</v>
      </c>
      <c r="C499" t="s">
        <v>5043</v>
      </c>
      <c r="D499" t="s">
        <v>8401</v>
      </c>
    </row>
    <row r="500" spans="1:4" x14ac:dyDescent="0.25">
      <c r="A500" s="63" t="s">
        <v>4341</v>
      </c>
      <c r="B500" t="s">
        <v>798</v>
      </c>
      <c r="C500" t="s">
        <v>5043</v>
      </c>
      <c r="D500" t="s">
        <v>8401</v>
      </c>
    </row>
    <row r="501" spans="1:4" x14ac:dyDescent="0.25">
      <c r="A501" s="63" t="s">
        <v>5435</v>
      </c>
      <c r="B501" t="s">
        <v>799</v>
      </c>
      <c r="C501" t="s">
        <v>5043</v>
      </c>
      <c r="D501" t="s">
        <v>8401</v>
      </c>
    </row>
    <row r="502" spans="1:4" x14ac:dyDescent="0.25">
      <c r="A502" s="63" t="s">
        <v>5436</v>
      </c>
      <c r="B502" t="s">
        <v>799</v>
      </c>
      <c r="C502" t="s">
        <v>5043</v>
      </c>
      <c r="D502" t="s">
        <v>8401</v>
      </c>
    </row>
    <row r="503" spans="1:4" x14ac:dyDescent="0.25">
      <c r="A503" s="63" t="s">
        <v>5437</v>
      </c>
      <c r="B503" t="s">
        <v>799</v>
      </c>
      <c r="C503" t="s">
        <v>5043</v>
      </c>
      <c r="D503" t="s">
        <v>8401</v>
      </c>
    </row>
    <row r="504" spans="1:4" x14ac:dyDescent="0.25">
      <c r="A504" s="63" t="s">
        <v>5438</v>
      </c>
      <c r="B504" t="s">
        <v>799</v>
      </c>
      <c r="C504" t="s">
        <v>5043</v>
      </c>
      <c r="D504" t="s">
        <v>8401</v>
      </c>
    </row>
    <row r="505" spans="1:4" x14ac:dyDescent="0.25">
      <c r="A505" s="63" t="s">
        <v>3255</v>
      </c>
      <c r="B505" t="s">
        <v>799</v>
      </c>
      <c r="C505" t="s">
        <v>5043</v>
      </c>
      <c r="D505" t="s">
        <v>8401</v>
      </c>
    </row>
    <row r="506" spans="1:4" x14ac:dyDescent="0.25">
      <c r="A506" s="63" t="s">
        <v>5439</v>
      </c>
      <c r="B506" t="s">
        <v>799</v>
      </c>
      <c r="C506" t="s">
        <v>5043</v>
      </c>
      <c r="D506" t="s">
        <v>8401</v>
      </c>
    </row>
    <row r="507" spans="1:4" x14ac:dyDescent="0.25">
      <c r="A507" s="63" t="s">
        <v>5440</v>
      </c>
      <c r="B507" t="s">
        <v>799</v>
      </c>
      <c r="C507" t="s">
        <v>5043</v>
      </c>
      <c r="D507" t="s">
        <v>8401</v>
      </c>
    </row>
    <row r="508" spans="1:4" x14ac:dyDescent="0.25">
      <c r="A508" s="63" t="s">
        <v>5441</v>
      </c>
      <c r="B508" t="s">
        <v>799</v>
      </c>
      <c r="C508" t="s">
        <v>5043</v>
      </c>
      <c r="D508" t="s">
        <v>8401</v>
      </c>
    </row>
    <row r="509" spans="1:4" x14ac:dyDescent="0.25">
      <c r="A509" s="63" t="s">
        <v>2828</v>
      </c>
      <c r="B509" t="s">
        <v>800</v>
      </c>
      <c r="C509" t="s">
        <v>5043</v>
      </c>
      <c r="D509" t="s">
        <v>8401</v>
      </c>
    </row>
    <row r="510" spans="1:4" x14ac:dyDescent="0.25">
      <c r="A510" s="63" t="s">
        <v>5442</v>
      </c>
      <c r="B510" t="s">
        <v>800</v>
      </c>
      <c r="C510" t="s">
        <v>5043</v>
      </c>
      <c r="D510" t="s">
        <v>8401</v>
      </c>
    </row>
    <row r="511" spans="1:4" x14ac:dyDescent="0.25">
      <c r="A511" s="63" t="s">
        <v>5443</v>
      </c>
      <c r="B511" t="s">
        <v>801</v>
      </c>
      <c r="C511" t="s">
        <v>5043</v>
      </c>
      <c r="D511" t="s">
        <v>8401</v>
      </c>
    </row>
    <row r="512" spans="1:4" x14ac:dyDescent="0.25">
      <c r="A512" s="63" t="s">
        <v>5444</v>
      </c>
      <c r="B512" t="s">
        <v>801</v>
      </c>
      <c r="C512" t="s">
        <v>5043</v>
      </c>
      <c r="D512" t="s">
        <v>8401</v>
      </c>
    </row>
    <row r="513" spans="1:4" x14ac:dyDescent="0.25">
      <c r="A513" s="63" t="s">
        <v>5445</v>
      </c>
      <c r="B513" t="s">
        <v>801</v>
      </c>
      <c r="C513" t="s">
        <v>5043</v>
      </c>
      <c r="D513" t="s">
        <v>8401</v>
      </c>
    </row>
    <row r="514" spans="1:4" x14ac:dyDescent="0.25">
      <c r="A514" s="63" t="s">
        <v>4230</v>
      </c>
      <c r="B514" t="s">
        <v>801</v>
      </c>
      <c r="C514" t="s">
        <v>5043</v>
      </c>
      <c r="D514" t="s">
        <v>8401</v>
      </c>
    </row>
    <row r="515" spans="1:4" x14ac:dyDescent="0.25">
      <c r="A515" s="63" t="s">
        <v>5446</v>
      </c>
      <c r="B515" t="s">
        <v>648</v>
      </c>
      <c r="C515" t="s">
        <v>5043</v>
      </c>
      <c r="D515" t="s">
        <v>8407</v>
      </c>
    </row>
    <row r="516" spans="1:4" x14ac:dyDescent="0.25">
      <c r="A516" s="63" t="s">
        <v>4231</v>
      </c>
      <c r="B516" t="s">
        <v>802</v>
      </c>
      <c r="C516" t="s">
        <v>5043</v>
      </c>
      <c r="D516" t="s">
        <v>8401</v>
      </c>
    </row>
    <row r="517" spans="1:4" x14ac:dyDescent="0.25">
      <c r="A517" s="63" t="s">
        <v>4232</v>
      </c>
      <c r="B517" t="s">
        <v>649</v>
      </c>
      <c r="C517" t="s">
        <v>5043</v>
      </c>
      <c r="D517" t="s">
        <v>8407</v>
      </c>
    </row>
    <row r="518" spans="1:4" x14ac:dyDescent="0.25">
      <c r="A518" s="63" t="s">
        <v>4233</v>
      </c>
      <c r="B518" t="s">
        <v>649</v>
      </c>
      <c r="C518" t="s">
        <v>5043</v>
      </c>
      <c r="D518" t="s">
        <v>8407</v>
      </c>
    </row>
    <row r="519" spans="1:4" x14ac:dyDescent="0.25">
      <c r="A519" s="63" t="s">
        <v>4234</v>
      </c>
      <c r="B519" t="s">
        <v>649</v>
      </c>
      <c r="C519" t="s">
        <v>5043</v>
      </c>
      <c r="D519" t="s">
        <v>8407</v>
      </c>
    </row>
    <row r="520" spans="1:4" x14ac:dyDescent="0.25">
      <c r="A520" s="63" t="s">
        <v>4235</v>
      </c>
      <c r="B520" t="s">
        <v>649</v>
      </c>
      <c r="C520" t="s">
        <v>5043</v>
      </c>
      <c r="D520" t="s">
        <v>8407</v>
      </c>
    </row>
    <row r="521" spans="1:4" x14ac:dyDescent="0.25">
      <c r="A521" s="63" t="s">
        <v>5447</v>
      </c>
      <c r="B521" t="s">
        <v>649</v>
      </c>
      <c r="C521" t="s">
        <v>5043</v>
      </c>
      <c r="D521" t="s">
        <v>8407</v>
      </c>
    </row>
    <row r="522" spans="1:4" x14ac:dyDescent="0.25">
      <c r="A522" s="63" t="s">
        <v>5448</v>
      </c>
      <c r="B522" t="s">
        <v>649</v>
      </c>
      <c r="C522" t="s">
        <v>5043</v>
      </c>
      <c r="D522" t="s">
        <v>8407</v>
      </c>
    </row>
    <row r="523" spans="1:4" x14ac:dyDescent="0.25">
      <c r="A523" s="63" t="s">
        <v>5449</v>
      </c>
      <c r="B523" t="s">
        <v>649</v>
      </c>
      <c r="C523" t="s">
        <v>5043</v>
      </c>
      <c r="D523" t="s">
        <v>8407</v>
      </c>
    </row>
    <row r="524" spans="1:4" x14ac:dyDescent="0.25">
      <c r="A524" s="63" t="s">
        <v>5450</v>
      </c>
      <c r="B524" t="s">
        <v>649</v>
      </c>
      <c r="C524" t="s">
        <v>5043</v>
      </c>
      <c r="D524" t="s">
        <v>8407</v>
      </c>
    </row>
    <row r="525" spans="1:4" x14ac:dyDescent="0.25">
      <c r="A525" s="63" t="s">
        <v>5451</v>
      </c>
      <c r="B525" t="s">
        <v>649</v>
      </c>
      <c r="C525" t="s">
        <v>5043</v>
      </c>
      <c r="D525" t="s">
        <v>8407</v>
      </c>
    </row>
    <row r="526" spans="1:4" x14ac:dyDescent="0.25">
      <c r="A526" s="63" t="s">
        <v>5452</v>
      </c>
      <c r="B526" t="s">
        <v>649</v>
      </c>
      <c r="C526" t="s">
        <v>5043</v>
      </c>
      <c r="D526" t="s">
        <v>8407</v>
      </c>
    </row>
    <row r="527" spans="1:4" x14ac:dyDescent="0.25">
      <c r="A527" s="63" t="s">
        <v>5453</v>
      </c>
      <c r="B527" t="s">
        <v>622</v>
      </c>
      <c r="C527" t="s">
        <v>5043</v>
      </c>
      <c r="D527" t="s">
        <v>8407</v>
      </c>
    </row>
    <row r="528" spans="1:4" x14ac:dyDescent="0.25">
      <c r="A528" s="63" t="s">
        <v>5454</v>
      </c>
      <c r="B528" t="s">
        <v>650</v>
      </c>
      <c r="C528" t="s">
        <v>5043</v>
      </c>
      <c r="D528" t="s">
        <v>8407</v>
      </c>
    </row>
    <row r="529" spans="1:4" x14ac:dyDescent="0.25">
      <c r="A529" s="63" t="s">
        <v>5455</v>
      </c>
      <c r="B529" t="s">
        <v>650</v>
      </c>
      <c r="C529" t="s">
        <v>5043</v>
      </c>
      <c r="D529" t="s">
        <v>8407</v>
      </c>
    </row>
    <row r="530" spans="1:4" x14ac:dyDescent="0.25">
      <c r="A530" s="63" t="s">
        <v>5456</v>
      </c>
      <c r="B530" t="s">
        <v>650</v>
      </c>
      <c r="C530" t="s">
        <v>5043</v>
      </c>
      <c r="D530" t="s">
        <v>8407</v>
      </c>
    </row>
    <row r="531" spans="1:4" x14ac:dyDescent="0.25">
      <c r="A531" s="63" t="s">
        <v>5457</v>
      </c>
      <c r="B531" t="s">
        <v>650</v>
      </c>
      <c r="C531" t="s">
        <v>5043</v>
      </c>
      <c r="D531" t="s">
        <v>8407</v>
      </c>
    </row>
    <row r="532" spans="1:4" x14ac:dyDescent="0.25">
      <c r="A532" s="63" t="s">
        <v>5458</v>
      </c>
      <c r="B532" t="s">
        <v>686</v>
      </c>
      <c r="C532" t="s">
        <v>5043</v>
      </c>
      <c r="D532" t="s">
        <v>8407</v>
      </c>
    </row>
    <row r="533" spans="1:4" x14ac:dyDescent="0.25">
      <c r="A533" s="63" t="s">
        <v>5459</v>
      </c>
      <c r="B533" t="s">
        <v>651</v>
      </c>
      <c r="C533" t="s">
        <v>5043</v>
      </c>
      <c r="D533" t="s">
        <v>8407</v>
      </c>
    </row>
    <row r="534" spans="1:4" x14ac:dyDescent="0.25">
      <c r="A534" s="63" t="s">
        <v>5460</v>
      </c>
      <c r="B534" t="s">
        <v>651</v>
      </c>
      <c r="C534" t="s">
        <v>5043</v>
      </c>
      <c r="D534" t="s">
        <v>8407</v>
      </c>
    </row>
    <row r="535" spans="1:4" x14ac:dyDescent="0.25">
      <c r="A535" s="63" t="s">
        <v>5461</v>
      </c>
      <c r="B535" t="s">
        <v>651</v>
      </c>
      <c r="C535" t="s">
        <v>5043</v>
      </c>
      <c r="D535" t="s">
        <v>8407</v>
      </c>
    </row>
    <row r="536" spans="1:4" x14ac:dyDescent="0.25">
      <c r="A536" s="63" t="s">
        <v>5462</v>
      </c>
      <c r="B536" t="s">
        <v>652</v>
      </c>
      <c r="C536" t="s">
        <v>5043</v>
      </c>
      <c r="D536" t="s">
        <v>8407</v>
      </c>
    </row>
    <row r="537" spans="1:4" x14ac:dyDescent="0.25">
      <c r="A537" s="63" t="s">
        <v>5463</v>
      </c>
      <c r="B537" t="s">
        <v>652</v>
      </c>
      <c r="C537" t="s">
        <v>5043</v>
      </c>
      <c r="D537" t="s">
        <v>8407</v>
      </c>
    </row>
    <row r="538" spans="1:4" x14ac:dyDescent="0.25">
      <c r="A538" s="63" t="s">
        <v>5464</v>
      </c>
      <c r="B538" t="s">
        <v>653</v>
      </c>
      <c r="C538" t="s">
        <v>5043</v>
      </c>
      <c r="D538" t="s">
        <v>8407</v>
      </c>
    </row>
    <row r="539" spans="1:4" x14ac:dyDescent="0.25">
      <c r="A539" s="63" t="s">
        <v>3373</v>
      </c>
      <c r="B539" t="s">
        <v>803</v>
      </c>
      <c r="C539" t="s">
        <v>5043</v>
      </c>
      <c r="D539" t="s">
        <v>8401</v>
      </c>
    </row>
    <row r="540" spans="1:4" x14ac:dyDescent="0.25">
      <c r="A540" s="63" t="s">
        <v>5465</v>
      </c>
      <c r="B540" t="s">
        <v>804</v>
      </c>
      <c r="C540" t="s">
        <v>5043</v>
      </c>
      <c r="D540" t="s">
        <v>8401</v>
      </c>
    </row>
    <row r="541" spans="1:4" x14ac:dyDescent="0.25">
      <c r="A541" s="63" t="s">
        <v>5466</v>
      </c>
      <c r="B541" t="s">
        <v>805</v>
      </c>
      <c r="C541" t="s">
        <v>5043</v>
      </c>
      <c r="D541" t="s">
        <v>8401</v>
      </c>
    </row>
    <row r="542" spans="1:4" x14ac:dyDescent="0.25">
      <c r="A542" s="63" t="s">
        <v>5467</v>
      </c>
      <c r="B542" t="s">
        <v>806</v>
      </c>
      <c r="C542" t="s">
        <v>5043</v>
      </c>
      <c r="D542" t="s">
        <v>8401</v>
      </c>
    </row>
    <row r="543" spans="1:4" x14ac:dyDescent="0.25">
      <c r="A543" s="63" t="s">
        <v>5468</v>
      </c>
      <c r="B543" t="s">
        <v>807</v>
      </c>
      <c r="C543" t="s">
        <v>5043</v>
      </c>
      <c r="D543" t="s">
        <v>8401</v>
      </c>
    </row>
    <row r="544" spans="1:4" x14ac:dyDescent="0.25">
      <c r="A544" s="63" t="s">
        <v>5469</v>
      </c>
      <c r="B544" t="s">
        <v>807</v>
      </c>
      <c r="C544" t="s">
        <v>5043</v>
      </c>
      <c r="D544" t="s">
        <v>8401</v>
      </c>
    </row>
    <row r="545" spans="1:4" x14ac:dyDescent="0.25">
      <c r="A545" s="63" t="s">
        <v>5470</v>
      </c>
      <c r="B545" t="s">
        <v>807</v>
      </c>
      <c r="C545" t="s">
        <v>5043</v>
      </c>
      <c r="D545" t="s">
        <v>8401</v>
      </c>
    </row>
    <row r="546" spans="1:4" x14ac:dyDescent="0.25">
      <c r="A546" s="63" t="s">
        <v>5471</v>
      </c>
      <c r="B546" t="s">
        <v>808</v>
      </c>
      <c r="C546" t="s">
        <v>5043</v>
      </c>
      <c r="D546" t="s">
        <v>8401</v>
      </c>
    </row>
    <row r="547" spans="1:4" x14ac:dyDescent="0.25">
      <c r="A547" s="63" t="s">
        <v>5472</v>
      </c>
      <c r="B547" t="s">
        <v>809</v>
      </c>
      <c r="C547" t="s">
        <v>5043</v>
      </c>
      <c r="D547" t="s">
        <v>8401</v>
      </c>
    </row>
    <row r="548" spans="1:4" x14ac:dyDescent="0.25">
      <c r="A548" s="63" t="s">
        <v>4337</v>
      </c>
      <c r="B548" t="s">
        <v>810</v>
      </c>
      <c r="C548" t="s">
        <v>5043</v>
      </c>
      <c r="D548" t="s">
        <v>8401</v>
      </c>
    </row>
    <row r="549" spans="1:4" x14ac:dyDescent="0.25">
      <c r="A549" s="63" t="s">
        <v>5473</v>
      </c>
      <c r="B549" t="s">
        <v>654</v>
      </c>
      <c r="C549" t="s">
        <v>5043</v>
      </c>
      <c r="D549" t="s">
        <v>8405</v>
      </c>
    </row>
    <row r="550" spans="1:4" x14ac:dyDescent="0.25">
      <c r="A550" s="63" t="s">
        <v>5474</v>
      </c>
      <c r="B550" t="s">
        <v>811</v>
      </c>
      <c r="C550" t="s">
        <v>5043</v>
      </c>
      <c r="D550" t="s">
        <v>8401</v>
      </c>
    </row>
    <row r="551" spans="1:4" x14ac:dyDescent="0.25">
      <c r="A551" s="63" t="s">
        <v>5475</v>
      </c>
      <c r="B551" t="s">
        <v>812</v>
      </c>
      <c r="C551" t="s">
        <v>5043</v>
      </c>
      <c r="D551" t="s">
        <v>8401</v>
      </c>
    </row>
    <row r="552" spans="1:4" x14ac:dyDescent="0.25">
      <c r="A552" s="63" t="s">
        <v>5476</v>
      </c>
      <c r="B552" t="s">
        <v>655</v>
      </c>
      <c r="C552" t="s">
        <v>5043</v>
      </c>
      <c r="D552" t="s">
        <v>8405</v>
      </c>
    </row>
    <row r="553" spans="1:4" x14ac:dyDescent="0.25">
      <c r="A553" s="63" t="s">
        <v>5477</v>
      </c>
      <c r="B553" t="s">
        <v>656</v>
      </c>
      <c r="C553" t="s">
        <v>5043</v>
      </c>
      <c r="D553" t="s">
        <v>8405</v>
      </c>
    </row>
    <row r="554" spans="1:4" x14ac:dyDescent="0.25">
      <c r="A554" s="63" t="s">
        <v>5478</v>
      </c>
      <c r="B554" t="s">
        <v>657</v>
      </c>
      <c r="C554" t="s">
        <v>5043</v>
      </c>
      <c r="D554" t="s">
        <v>8405</v>
      </c>
    </row>
    <row r="555" spans="1:4" x14ac:dyDescent="0.25">
      <c r="A555" s="63" t="s">
        <v>5479</v>
      </c>
      <c r="B555" t="s">
        <v>624</v>
      </c>
      <c r="C555" t="s">
        <v>5043</v>
      </c>
      <c r="D555" t="s">
        <v>8405</v>
      </c>
    </row>
    <row r="556" spans="1:4" x14ac:dyDescent="0.25">
      <c r="A556" s="63" t="s">
        <v>5480</v>
      </c>
      <c r="B556" t="s">
        <v>813</v>
      </c>
      <c r="C556" t="s">
        <v>5043</v>
      </c>
      <c r="D556" t="s">
        <v>8401</v>
      </c>
    </row>
    <row r="557" spans="1:4" x14ac:dyDescent="0.25">
      <c r="A557" s="63" t="s">
        <v>5481</v>
      </c>
      <c r="B557" t="s">
        <v>813</v>
      </c>
      <c r="C557" t="s">
        <v>5043</v>
      </c>
      <c r="D557" t="s">
        <v>8401</v>
      </c>
    </row>
    <row r="558" spans="1:4" x14ac:dyDescent="0.25">
      <c r="A558" s="63" t="s">
        <v>5482</v>
      </c>
      <c r="B558" t="s">
        <v>623</v>
      </c>
      <c r="C558" t="s">
        <v>5043</v>
      </c>
      <c r="D558" t="s">
        <v>8405</v>
      </c>
    </row>
    <row r="559" spans="1:4" x14ac:dyDescent="0.25">
      <c r="A559" s="63" t="s">
        <v>5483</v>
      </c>
      <c r="B559" t="s">
        <v>814</v>
      </c>
      <c r="C559" t="s">
        <v>5043</v>
      </c>
      <c r="D559" t="s">
        <v>8401</v>
      </c>
    </row>
    <row r="560" spans="1:4" x14ac:dyDescent="0.25">
      <c r="A560" s="63" t="s">
        <v>5484</v>
      </c>
      <c r="B560" t="s">
        <v>814</v>
      </c>
      <c r="C560" t="s">
        <v>5043</v>
      </c>
      <c r="D560" t="s">
        <v>8401</v>
      </c>
    </row>
    <row r="561" spans="1:4" x14ac:dyDescent="0.25">
      <c r="A561" s="63" t="s">
        <v>5485</v>
      </c>
      <c r="B561" t="s">
        <v>814</v>
      </c>
      <c r="C561" t="s">
        <v>5043</v>
      </c>
      <c r="D561" t="s">
        <v>8401</v>
      </c>
    </row>
    <row r="562" spans="1:4" x14ac:dyDescent="0.25">
      <c r="A562" s="63" t="s">
        <v>5486</v>
      </c>
      <c r="B562" t="s">
        <v>658</v>
      </c>
      <c r="C562" t="s">
        <v>5043</v>
      </c>
      <c r="D562" t="s">
        <v>8401</v>
      </c>
    </row>
    <row r="563" spans="1:4" x14ac:dyDescent="0.25">
      <c r="A563" s="63" t="s">
        <v>5487</v>
      </c>
      <c r="B563" t="s">
        <v>659</v>
      </c>
      <c r="C563" t="s">
        <v>5043</v>
      </c>
      <c r="D563" t="s">
        <v>8405</v>
      </c>
    </row>
    <row r="564" spans="1:4" x14ac:dyDescent="0.25">
      <c r="A564" s="63" t="s">
        <v>5488</v>
      </c>
      <c r="B564" t="s">
        <v>815</v>
      </c>
      <c r="C564" t="s">
        <v>5043</v>
      </c>
      <c r="D564" t="s">
        <v>8401</v>
      </c>
    </row>
    <row r="565" spans="1:4" x14ac:dyDescent="0.25">
      <c r="A565" s="63" t="s">
        <v>5489</v>
      </c>
      <c r="B565" t="s">
        <v>816</v>
      </c>
      <c r="C565" t="s">
        <v>5043</v>
      </c>
      <c r="D565" t="s">
        <v>8401</v>
      </c>
    </row>
    <row r="566" spans="1:4" x14ac:dyDescent="0.25">
      <c r="A566" s="63" t="s">
        <v>5490</v>
      </c>
      <c r="B566" t="s">
        <v>817</v>
      </c>
      <c r="C566" t="s">
        <v>5043</v>
      </c>
      <c r="D566" t="s">
        <v>8401</v>
      </c>
    </row>
    <row r="567" spans="1:4" x14ac:dyDescent="0.25">
      <c r="A567" s="63" t="s">
        <v>5491</v>
      </c>
      <c r="B567" t="s">
        <v>818</v>
      </c>
      <c r="C567" t="s">
        <v>5043</v>
      </c>
      <c r="D567" t="s">
        <v>8401</v>
      </c>
    </row>
    <row r="568" spans="1:4" x14ac:dyDescent="0.25">
      <c r="A568" s="63" t="s">
        <v>5492</v>
      </c>
      <c r="B568" t="s">
        <v>819</v>
      </c>
      <c r="C568" t="s">
        <v>5043</v>
      </c>
      <c r="D568" t="s">
        <v>8401</v>
      </c>
    </row>
    <row r="569" spans="1:4" x14ac:dyDescent="0.25">
      <c r="A569" s="63" t="s">
        <v>5493</v>
      </c>
      <c r="B569" t="s">
        <v>1165</v>
      </c>
      <c r="C569" t="s">
        <v>5043</v>
      </c>
      <c r="D569" t="s">
        <v>8401</v>
      </c>
    </row>
    <row r="570" spans="1:4" x14ac:dyDescent="0.25">
      <c r="A570" s="63" t="s">
        <v>4268</v>
      </c>
      <c r="B570" t="s">
        <v>820</v>
      </c>
      <c r="C570" t="s">
        <v>5043</v>
      </c>
      <c r="D570" t="s">
        <v>8401</v>
      </c>
    </row>
    <row r="571" spans="1:4" x14ac:dyDescent="0.25">
      <c r="A571" s="63" t="s">
        <v>5494</v>
      </c>
      <c r="B571" t="s">
        <v>821</v>
      </c>
      <c r="C571" t="s">
        <v>5043</v>
      </c>
      <c r="D571" t="s">
        <v>8401</v>
      </c>
    </row>
    <row r="572" spans="1:4" x14ac:dyDescent="0.25">
      <c r="A572" s="63" t="s">
        <v>5495</v>
      </c>
      <c r="B572" t="s">
        <v>822</v>
      </c>
      <c r="C572" t="s">
        <v>5043</v>
      </c>
      <c r="D572" t="s">
        <v>8401</v>
      </c>
    </row>
    <row r="573" spans="1:4" x14ac:dyDescent="0.25">
      <c r="A573" s="63" t="s">
        <v>5496</v>
      </c>
      <c r="B573" t="s">
        <v>822</v>
      </c>
      <c r="C573" t="s">
        <v>5043</v>
      </c>
      <c r="D573" t="s">
        <v>8401</v>
      </c>
    </row>
    <row r="574" spans="1:4" x14ac:dyDescent="0.25">
      <c r="A574" s="63" t="s">
        <v>5497</v>
      </c>
      <c r="B574" t="s">
        <v>822</v>
      </c>
      <c r="C574" t="s">
        <v>5043</v>
      </c>
      <c r="D574" t="s">
        <v>8401</v>
      </c>
    </row>
    <row r="575" spans="1:4" x14ac:dyDescent="0.25">
      <c r="A575" s="63" t="s">
        <v>5498</v>
      </c>
      <c r="B575" t="s">
        <v>822</v>
      </c>
      <c r="C575" t="s">
        <v>5043</v>
      </c>
      <c r="D575" t="s">
        <v>8401</v>
      </c>
    </row>
    <row r="576" spans="1:4" x14ac:dyDescent="0.25">
      <c r="A576" s="63" t="s">
        <v>5499</v>
      </c>
      <c r="B576" t="s">
        <v>822</v>
      </c>
      <c r="C576" t="s">
        <v>5043</v>
      </c>
      <c r="D576" t="s">
        <v>8401</v>
      </c>
    </row>
    <row r="577" spans="1:4" x14ac:dyDescent="0.25">
      <c r="A577" s="63" t="s">
        <v>5500</v>
      </c>
      <c r="B577" t="s">
        <v>822</v>
      </c>
      <c r="C577" t="s">
        <v>5043</v>
      </c>
      <c r="D577" t="s">
        <v>8401</v>
      </c>
    </row>
    <row r="578" spans="1:4" x14ac:dyDescent="0.25">
      <c r="A578" s="63" t="s">
        <v>5501</v>
      </c>
      <c r="B578" t="s">
        <v>822</v>
      </c>
      <c r="C578" t="s">
        <v>5043</v>
      </c>
      <c r="D578" t="s">
        <v>8401</v>
      </c>
    </row>
    <row r="579" spans="1:4" x14ac:dyDescent="0.25">
      <c r="A579" s="63" t="s">
        <v>5502</v>
      </c>
      <c r="B579" t="s">
        <v>822</v>
      </c>
      <c r="C579" t="s">
        <v>5043</v>
      </c>
      <c r="D579" t="s">
        <v>8401</v>
      </c>
    </row>
    <row r="580" spans="1:4" x14ac:dyDescent="0.25">
      <c r="A580" s="63" t="s">
        <v>5503</v>
      </c>
      <c r="B580" t="s">
        <v>822</v>
      </c>
      <c r="C580" t="s">
        <v>5043</v>
      </c>
      <c r="D580" t="s">
        <v>8401</v>
      </c>
    </row>
    <row r="581" spans="1:4" x14ac:dyDescent="0.25">
      <c r="A581" s="63" t="s">
        <v>5504</v>
      </c>
      <c r="B581" t="s">
        <v>1152</v>
      </c>
      <c r="C581" t="s">
        <v>5043</v>
      </c>
      <c r="D581" t="s">
        <v>8401</v>
      </c>
    </row>
    <row r="582" spans="1:4" x14ac:dyDescent="0.25">
      <c r="A582" s="63" t="s">
        <v>5505</v>
      </c>
      <c r="B582" t="s">
        <v>823</v>
      </c>
      <c r="C582" t="s">
        <v>5043</v>
      </c>
      <c r="D582" t="s">
        <v>8401</v>
      </c>
    </row>
    <row r="583" spans="1:4" x14ac:dyDescent="0.25">
      <c r="A583" s="63" t="s">
        <v>4090</v>
      </c>
      <c r="B583" t="s">
        <v>824</v>
      </c>
      <c r="C583" t="s">
        <v>5043</v>
      </c>
      <c r="D583" t="s">
        <v>8401</v>
      </c>
    </row>
    <row r="584" spans="1:4" x14ac:dyDescent="0.25">
      <c r="A584" s="63" t="s">
        <v>5506</v>
      </c>
      <c r="B584" t="s">
        <v>660</v>
      </c>
      <c r="C584" t="s">
        <v>5043</v>
      </c>
      <c r="D584" t="s">
        <v>8405</v>
      </c>
    </row>
    <row r="585" spans="1:4" x14ac:dyDescent="0.25">
      <c r="A585" s="63" t="s">
        <v>2892</v>
      </c>
      <c r="B585" t="s">
        <v>5507</v>
      </c>
      <c r="C585" t="s">
        <v>5043</v>
      </c>
      <c r="D585" t="s">
        <v>8401</v>
      </c>
    </row>
    <row r="586" spans="1:4" x14ac:dyDescent="0.25">
      <c r="A586" s="63" t="s">
        <v>5508</v>
      </c>
      <c r="B586" t="s">
        <v>633</v>
      </c>
      <c r="C586" t="s">
        <v>5043</v>
      </c>
      <c r="D586" t="s">
        <v>8405</v>
      </c>
    </row>
    <row r="587" spans="1:4" x14ac:dyDescent="0.25">
      <c r="A587" s="63" t="s">
        <v>5509</v>
      </c>
      <c r="B587" t="s">
        <v>633</v>
      </c>
      <c r="C587" t="s">
        <v>5043</v>
      </c>
      <c r="D587" t="s">
        <v>8405</v>
      </c>
    </row>
    <row r="588" spans="1:4" x14ac:dyDescent="0.25">
      <c r="A588" s="63" t="s">
        <v>5510</v>
      </c>
      <c r="B588" t="s">
        <v>825</v>
      </c>
      <c r="C588" t="s">
        <v>5043</v>
      </c>
      <c r="D588" t="s">
        <v>8401</v>
      </c>
    </row>
    <row r="589" spans="1:4" x14ac:dyDescent="0.25">
      <c r="A589" s="63" t="s">
        <v>2583</v>
      </c>
      <c r="B589" t="s">
        <v>2584</v>
      </c>
      <c r="C589" t="s">
        <v>5043</v>
      </c>
      <c r="D589" t="s">
        <v>8401</v>
      </c>
    </row>
    <row r="590" spans="1:4" x14ac:dyDescent="0.25">
      <c r="A590" s="63" t="s">
        <v>5511</v>
      </c>
      <c r="B590" t="s">
        <v>826</v>
      </c>
      <c r="C590" t="s">
        <v>5043</v>
      </c>
      <c r="D590" t="s">
        <v>8401</v>
      </c>
    </row>
    <row r="591" spans="1:4" x14ac:dyDescent="0.25">
      <c r="A591" s="63" t="s">
        <v>4205</v>
      </c>
      <c r="B591" t="s">
        <v>827</v>
      </c>
      <c r="C591" t="s">
        <v>5043</v>
      </c>
      <c r="D591" t="s">
        <v>8401</v>
      </c>
    </row>
    <row r="592" spans="1:4" x14ac:dyDescent="0.25">
      <c r="A592" s="63" t="s">
        <v>5512</v>
      </c>
      <c r="B592" t="s">
        <v>661</v>
      </c>
      <c r="C592" t="s">
        <v>5043</v>
      </c>
      <c r="D592" t="s">
        <v>8405</v>
      </c>
    </row>
    <row r="593" spans="1:4" x14ac:dyDescent="0.25">
      <c r="A593" s="63" t="s">
        <v>5513</v>
      </c>
      <c r="B593" t="s">
        <v>661</v>
      </c>
      <c r="C593" t="s">
        <v>5043</v>
      </c>
      <c r="D593" t="s">
        <v>8405</v>
      </c>
    </row>
    <row r="594" spans="1:4" x14ac:dyDescent="0.25">
      <c r="A594" s="63" t="s">
        <v>5514</v>
      </c>
      <c r="B594" t="s">
        <v>662</v>
      </c>
      <c r="C594" t="s">
        <v>5043</v>
      </c>
      <c r="D594" t="s">
        <v>8405</v>
      </c>
    </row>
    <row r="595" spans="1:4" x14ac:dyDescent="0.25">
      <c r="A595" s="63" t="s">
        <v>5515</v>
      </c>
      <c r="B595" t="s">
        <v>662</v>
      </c>
      <c r="C595" t="s">
        <v>5043</v>
      </c>
      <c r="D595" t="s">
        <v>8405</v>
      </c>
    </row>
    <row r="596" spans="1:4" x14ac:dyDescent="0.25">
      <c r="A596" s="63" t="s">
        <v>5516</v>
      </c>
      <c r="B596" t="s">
        <v>828</v>
      </c>
      <c r="C596" t="s">
        <v>5043</v>
      </c>
      <c r="D596" t="s">
        <v>8401</v>
      </c>
    </row>
    <row r="597" spans="1:4" x14ac:dyDescent="0.25">
      <c r="A597" s="63" t="s">
        <v>5517</v>
      </c>
      <c r="B597" t="s">
        <v>828</v>
      </c>
      <c r="C597" t="s">
        <v>5043</v>
      </c>
      <c r="D597" t="s">
        <v>8401</v>
      </c>
    </row>
    <row r="598" spans="1:4" x14ac:dyDescent="0.25">
      <c r="A598" s="63" t="s">
        <v>5518</v>
      </c>
      <c r="B598" t="s">
        <v>828</v>
      </c>
      <c r="C598" t="s">
        <v>5043</v>
      </c>
      <c r="D598" t="s">
        <v>8401</v>
      </c>
    </row>
    <row r="599" spans="1:4" x14ac:dyDescent="0.25">
      <c r="A599" s="63" t="s">
        <v>5519</v>
      </c>
      <c r="B599" t="s">
        <v>828</v>
      </c>
      <c r="C599" t="s">
        <v>5043</v>
      </c>
      <c r="D599" t="s">
        <v>8401</v>
      </c>
    </row>
    <row r="600" spans="1:4" x14ac:dyDescent="0.25">
      <c r="A600" s="63" t="s">
        <v>5520</v>
      </c>
      <c r="B600" t="s">
        <v>828</v>
      </c>
      <c r="C600" t="s">
        <v>5043</v>
      </c>
      <c r="D600" t="s">
        <v>8401</v>
      </c>
    </row>
    <row r="601" spans="1:4" x14ac:dyDescent="0.25">
      <c r="A601" s="63" t="s">
        <v>5521</v>
      </c>
      <c r="B601" t="s">
        <v>828</v>
      </c>
      <c r="C601" t="s">
        <v>5043</v>
      </c>
      <c r="D601" t="s">
        <v>8401</v>
      </c>
    </row>
    <row r="602" spans="1:4" x14ac:dyDescent="0.25">
      <c r="A602" s="63" t="s">
        <v>5522</v>
      </c>
      <c r="B602" t="s">
        <v>829</v>
      </c>
      <c r="C602" t="s">
        <v>5043</v>
      </c>
      <c r="D602" t="s">
        <v>8401</v>
      </c>
    </row>
    <row r="603" spans="1:4" x14ac:dyDescent="0.25">
      <c r="A603" s="63" t="s">
        <v>5523</v>
      </c>
      <c r="B603" t="s">
        <v>830</v>
      </c>
      <c r="C603" t="s">
        <v>5043</v>
      </c>
      <c r="D603" t="s">
        <v>8401</v>
      </c>
    </row>
    <row r="604" spans="1:4" x14ac:dyDescent="0.25">
      <c r="A604" s="63" t="s">
        <v>5524</v>
      </c>
      <c r="B604" t="s">
        <v>830</v>
      </c>
      <c r="C604" t="s">
        <v>5043</v>
      </c>
      <c r="D604" t="s">
        <v>8401</v>
      </c>
    </row>
    <row r="605" spans="1:4" x14ac:dyDescent="0.25">
      <c r="A605" s="63" t="s">
        <v>4291</v>
      </c>
      <c r="B605" t="s">
        <v>830</v>
      </c>
      <c r="C605" t="s">
        <v>5043</v>
      </c>
      <c r="D605" t="s">
        <v>8401</v>
      </c>
    </row>
    <row r="606" spans="1:4" x14ac:dyDescent="0.25">
      <c r="A606" s="63" t="s">
        <v>5525</v>
      </c>
      <c r="B606" t="s">
        <v>663</v>
      </c>
      <c r="C606" t="s">
        <v>5043</v>
      </c>
      <c r="D606" t="s">
        <v>8405</v>
      </c>
    </row>
    <row r="607" spans="1:4" x14ac:dyDescent="0.25">
      <c r="A607" s="63" t="s">
        <v>5526</v>
      </c>
      <c r="B607" t="s">
        <v>663</v>
      </c>
      <c r="C607" t="s">
        <v>5043</v>
      </c>
      <c r="D607" t="s">
        <v>8405</v>
      </c>
    </row>
    <row r="608" spans="1:4" x14ac:dyDescent="0.25">
      <c r="A608" s="63" t="s">
        <v>5527</v>
      </c>
      <c r="B608" t="s">
        <v>5528</v>
      </c>
      <c r="C608" t="s">
        <v>5043</v>
      </c>
      <c r="D608" t="s">
        <v>8401</v>
      </c>
    </row>
    <row r="609" spans="1:4" x14ac:dyDescent="0.25">
      <c r="A609" s="63" t="s">
        <v>5529</v>
      </c>
      <c r="B609" t="s">
        <v>5530</v>
      </c>
      <c r="C609" t="s">
        <v>5043</v>
      </c>
      <c r="D609" t="s">
        <v>8401</v>
      </c>
    </row>
    <row r="610" spans="1:4" x14ac:dyDescent="0.25">
      <c r="A610" s="63" t="s">
        <v>7288</v>
      </c>
      <c r="B610" t="s">
        <v>2586</v>
      </c>
      <c r="C610" t="s">
        <v>5043</v>
      </c>
      <c r="D610" t="s">
        <v>8401</v>
      </c>
    </row>
    <row r="611" spans="1:4" x14ac:dyDescent="0.25">
      <c r="A611" s="63" t="s">
        <v>4211</v>
      </c>
      <c r="B611" t="s">
        <v>831</v>
      </c>
      <c r="C611" t="s">
        <v>5043</v>
      </c>
      <c r="D611" t="s">
        <v>8401</v>
      </c>
    </row>
    <row r="612" spans="1:4" x14ac:dyDescent="0.25">
      <c r="A612" s="63" t="s">
        <v>4212</v>
      </c>
      <c r="B612" t="s">
        <v>831</v>
      </c>
      <c r="C612" t="s">
        <v>5043</v>
      </c>
      <c r="D612" t="s">
        <v>8401</v>
      </c>
    </row>
    <row r="613" spans="1:4" x14ac:dyDescent="0.25">
      <c r="A613" s="63" t="s">
        <v>2649</v>
      </c>
      <c r="B613" t="s">
        <v>664</v>
      </c>
      <c r="C613" t="s">
        <v>5043</v>
      </c>
      <c r="D613" t="s">
        <v>8405</v>
      </c>
    </row>
    <row r="614" spans="1:4" x14ac:dyDescent="0.25">
      <c r="A614" s="63" t="s">
        <v>8346</v>
      </c>
      <c r="B614" t="s">
        <v>664</v>
      </c>
      <c r="C614" t="s">
        <v>5043</v>
      </c>
      <c r="D614" t="s">
        <v>8405</v>
      </c>
    </row>
    <row r="615" spans="1:4" x14ac:dyDescent="0.25">
      <c r="A615" s="63" t="s">
        <v>5531</v>
      </c>
      <c r="B615" t="s">
        <v>665</v>
      </c>
      <c r="C615" t="s">
        <v>5043</v>
      </c>
      <c r="D615" t="s">
        <v>8405</v>
      </c>
    </row>
    <row r="616" spans="1:4" x14ac:dyDescent="0.25">
      <c r="A616" s="63" t="s">
        <v>5532</v>
      </c>
      <c r="B616" t="s">
        <v>665</v>
      </c>
      <c r="C616" t="s">
        <v>5043</v>
      </c>
      <c r="D616" t="s">
        <v>8405</v>
      </c>
    </row>
    <row r="617" spans="1:4" x14ac:dyDescent="0.25">
      <c r="A617" s="63" t="s">
        <v>5533</v>
      </c>
      <c r="B617" t="s">
        <v>666</v>
      </c>
      <c r="C617" t="s">
        <v>5043</v>
      </c>
      <c r="D617" t="s">
        <v>8405</v>
      </c>
    </row>
    <row r="618" spans="1:4" x14ac:dyDescent="0.25">
      <c r="A618" s="63" t="s">
        <v>2567</v>
      </c>
      <c r="B618" t="s">
        <v>666</v>
      </c>
      <c r="C618" t="s">
        <v>5043</v>
      </c>
      <c r="D618" t="s">
        <v>8405</v>
      </c>
    </row>
    <row r="619" spans="1:4" x14ac:dyDescent="0.25">
      <c r="A619" s="63" t="s">
        <v>2568</v>
      </c>
      <c r="B619" t="s">
        <v>666</v>
      </c>
      <c r="C619" t="s">
        <v>5043</v>
      </c>
      <c r="D619" t="s">
        <v>8405</v>
      </c>
    </row>
    <row r="620" spans="1:4" x14ac:dyDescent="0.25">
      <c r="A620" s="63" t="s">
        <v>2587</v>
      </c>
      <c r="B620" t="s">
        <v>666</v>
      </c>
      <c r="C620" t="s">
        <v>5043</v>
      </c>
      <c r="D620" t="s">
        <v>8405</v>
      </c>
    </row>
    <row r="621" spans="1:4" x14ac:dyDescent="0.25">
      <c r="A621" s="63" t="s">
        <v>5534</v>
      </c>
      <c r="B621" t="s">
        <v>666</v>
      </c>
      <c r="C621" t="s">
        <v>5043</v>
      </c>
      <c r="D621" t="s">
        <v>8405</v>
      </c>
    </row>
    <row r="622" spans="1:4" x14ac:dyDescent="0.25">
      <c r="A622" s="63" t="s">
        <v>5535</v>
      </c>
      <c r="B622" t="s">
        <v>666</v>
      </c>
      <c r="C622" t="s">
        <v>5043</v>
      </c>
      <c r="D622" t="s">
        <v>8405</v>
      </c>
    </row>
    <row r="623" spans="1:4" x14ac:dyDescent="0.25">
      <c r="A623" s="63" t="s">
        <v>2639</v>
      </c>
      <c r="B623" t="s">
        <v>2640</v>
      </c>
      <c r="C623" t="s">
        <v>5043</v>
      </c>
      <c r="D623" t="s">
        <v>8401</v>
      </c>
    </row>
    <row r="624" spans="1:4" x14ac:dyDescent="0.25">
      <c r="A624" s="63" t="s">
        <v>2569</v>
      </c>
      <c r="B624" t="s">
        <v>2570</v>
      </c>
      <c r="C624" t="s">
        <v>5043</v>
      </c>
      <c r="D624" t="s">
        <v>8401</v>
      </c>
    </row>
    <row r="625" spans="1:4" x14ac:dyDescent="0.25">
      <c r="A625" s="63" t="s">
        <v>2664</v>
      </c>
      <c r="B625" t="s">
        <v>2665</v>
      </c>
      <c r="C625" t="s">
        <v>5043</v>
      </c>
      <c r="D625" t="s">
        <v>8401</v>
      </c>
    </row>
    <row r="626" spans="1:4" x14ac:dyDescent="0.25">
      <c r="A626" s="63" t="s">
        <v>5536</v>
      </c>
      <c r="B626" t="s">
        <v>667</v>
      </c>
      <c r="C626" t="s">
        <v>5043</v>
      </c>
      <c r="D626" t="s">
        <v>8405</v>
      </c>
    </row>
    <row r="627" spans="1:4" x14ac:dyDescent="0.25">
      <c r="A627" s="63" t="s">
        <v>5537</v>
      </c>
      <c r="B627" t="s">
        <v>667</v>
      </c>
      <c r="C627" t="s">
        <v>5043</v>
      </c>
      <c r="D627" t="s">
        <v>8405</v>
      </c>
    </row>
    <row r="628" spans="1:4" x14ac:dyDescent="0.25">
      <c r="A628" s="63" t="s">
        <v>5538</v>
      </c>
      <c r="B628" t="s">
        <v>667</v>
      </c>
      <c r="C628" t="s">
        <v>5043</v>
      </c>
      <c r="D628" t="s">
        <v>8405</v>
      </c>
    </row>
    <row r="629" spans="1:4" x14ac:dyDescent="0.25">
      <c r="A629" s="63" t="s">
        <v>5539</v>
      </c>
      <c r="B629" t="s">
        <v>667</v>
      </c>
      <c r="C629" t="s">
        <v>5043</v>
      </c>
      <c r="D629" t="s">
        <v>8405</v>
      </c>
    </row>
    <row r="630" spans="1:4" x14ac:dyDescent="0.25">
      <c r="A630" s="63" t="s">
        <v>5540</v>
      </c>
      <c r="B630" t="s">
        <v>667</v>
      </c>
      <c r="C630" t="s">
        <v>5043</v>
      </c>
      <c r="D630" t="s">
        <v>8405</v>
      </c>
    </row>
    <row r="631" spans="1:4" x14ac:dyDescent="0.25">
      <c r="A631" s="63" t="s">
        <v>5541</v>
      </c>
      <c r="B631" t="s">
        <v>668</v>
      </c>
      <c r="C631" t="s">
        <v>5043</v>
      </c>
      <c r="D631" t="s">
        <v>8405</v>
      </c>
    </row>
    <row r="632" spans="1:4" x14ac:dyDescent="0.25">
      <c r="A632" s="63" t="s">
        <v>5542</v>
      </c>
      <c r="B632" t="s">
        <v>1167</v>
      </c>
      <c r="C632" t="s">
        <v>5043</v>
      </c>
      <c r="D632" t="s">
        <v>8401</v>
      </c>
    </row>
    <row r="633" spans="1:4" x14ac:dyDescent="0.25">
      <c r="A633" s="63" t="s">
        <v>5543</v>
      </c>
      <c r="B633" t="s">
        <v>669</v>
      </c>
      <c r="C633" t="s">
        <v>5043</v>
      </c>
      <c r="D633" t="s">
        <v>8405</v>
      </c>
    </row>
    <row r="634" spans="1:4" x14ac:dyDescent="0.25">
      <c r="A634" s="63" t="s">
        <v>5544</v>
      </c>
      <c r="B634" t="s">
        <v>669</v>
      </c>
      <c r="C634" t="s">
        <v>5043</v>
      </c>
      <c r="D634" t="s">
        <v>8405</v>
      </c>
    </row>
    <row r="635" spans="1:4" x14ac:dyDescent="0.25">
      <c r="A635" s="63" t="s">
        <v>5545</v>
      </c>
      <c r="B635" t="s">
        <v>670</v>
      </c>
      <c r="C635" t="s">
        <v>5043</v>
      </c>
      <c r="D635" t="s">
        <v>8405</v>
      </c>
    </row>
    <row r="636" spans="1:4" x14ac:dyDescent="0.25">
      <c r="A636" s="63" t="s">
        <v>5546</v>
      </c>
      <c r="B636" t="s">
        <v>670</v>
      </c>
      <c r="C636" t="s">
        <v>5043</v>
      </c>
      <c r="D636" t="s">
        <v>8405</v>
      </c>
    </row>
    <row r="637" spans="1:4" x14ac:dyDescent="0.25">
      <c r="A637" s="63" t="s">
        <v>5547</v>
      </c>
      <c r="B637" t="s">
        <v>832</v>
      </c>
      <c r="C637" t="s">
        <v>5043</v>
      </c>
      <c r="D637" t="s">
        <v>8401</v>
      </c>
    </row>
    <row r="638" spans="1:4" x14ac:dyDescent="0.25">
      <c r="A638" s="63" t="s">
        <v>5548</v>
      </c>
      <c r="B638" t="s">
        <v>671</v>
      </c>
      <c r="C638" t="s">
        <v>5043</v>
      </c>
      <c r="D638" t="s">
        <v>8405</v>
      </c>
    </row>
    <row r="639" spans="1:4" x14ac:dyDescent="0.25">
      <c r="A639" s="63" t="s">
        <v>5549</v>
      </c>
      <c r="B639" t="s">
        <v>672</v>
      </c>
      <c r="C639" t="s">
        <v>5043</v>
      </c>
      <c r="D639" t="s">
        <v>8405</v>
      </c>
    </row>
    <row r="640" spans="1:4" x14ac:dyDescent="0.25">
      <c r="A640" s="63" t="s">
        <v>5550</v>
      </c>
      <c r="B640" t="s">
        <v>673</v>
      </c>
      <c r="C640" t="s">
        <v>5043</v>
      </c>
      <c r="D640" t="s">
        <v>8405</v>
      </c>
    </row>
    <row r="641" spans="1:4" x14ac:dyDescent="0.25">
      <c r="A641" s="63" t="s">
        <v>5551</v>
      </c>
      <c r="B641" t="s">
        <v>674</v>
      </c>
      <c r="C641" t="s">
        <v>5043</v>
      </c>
      <c r="D641" t="s">
        <v>8405</v>
      </c>
    </row>
    <row r="642" spans="1:4" x14ac:dyDescent="0.25">
      <c r="A642" s="63" t="s">
        <v>5552</v>
      </c>
      <c r="B642" t="s">
        <v>833</v>
      </c>
      <c r="C642" t="s">
        <v>5043</v>
      </c>
      <c r="D642" t="s">
        <v>8401</v>
      </c>
    </row>
    <row r="643" spans="1:4" x14ac:dyDescent="0.25">
      <c r="A643" s="63" t="s">
        <v>5553</v>
      </c>
      <c r="B643" t="s">
        <v>834</v>
      </c>
      <c r="C643" t="s">
        <v>5043</v>
      </c>
      <c r="D643" t="s">
        <v>8401</v>
      </c>
    </row>
    <row r="644" spans="1:4" x14ac:dyDescent="0.25">
      <c r="A644" s="63" t="s">
        <v>5554</v>
      </c>
      <c r="B644" t="s">
        <v>675</v>
      </c>
      <c r="C644" t="s">
        <v>5043</v>
      </c>
      <c r="D644" t="s">
        <v>8405</v>
      </c>
    </row>
    <row r="645" spans="1:4" x14ac:dyDescent="0.25">
      <c r="A645" s="63" t="s">
        <v>5555</v>
      </c>
      <c r="B645" t="s">
        <v>625</v>
      </c>
      <c r="C645" t="s">
        <v>5043</v>
      </c>
      <c r="D645" t="s">
        <v>8405</v>
      </c>
    </row>
    <row r="646" spans="1:4" x14ac:dyDescent="0.25">
      <c r="A646" s="63" t="s">
        <v>5556</v>
      </c>
      <c r="B646" t="s">
        <v>5557</v>
      </c>
      <c r="C646" t="s">
        <v>5043</v>
      </c>
      <c r="D646" t="s">
        <v>8401</v>
      </c>
    </row>
    <row r="647" spans="1:4" x14ac:dyDescent="0.25">
      <c r="A647" s="63" t="s">
        <v>5558</v>
      </c>
      <c r="B647" t="s">
        <v>1164</v>
      </c>
      <c r="C647" t="s">
        <v>5043</v>
      </c>
      <c r="D647" t="s">
        <v>8401</v>
      </c>
    </row>
    <row r="648" spans="1:4" x14ac:dyDescent="0.25">
      <c r="A648" s="63" t="s">
        <v>2650</v>
      </c>
      <c r="B648" t="s">
        <v>2651</v>
      </c>
      <c r="C648" t="s">
        <v>5043</v>
      </c>
      <c r="D648" t="s">
        <v>8401</v>
      </c>
    </row>
    <row r="649" spans="1:4" x14ac:dyDescent="0.25">
      <c r="A649" s="63" t="s">
        <v>5559</v>
      </c>
      <c r="B649" t="s">
        <v>676</v>
      </c>
      <c r="C649" t="s">
        <v>5043</v>
      </c>
      <c r="D649" t="s">
        <v>8404</v>
      </c>
    </row>
    <row r="650" spans="1:4" x14ac:dyDescent="0.25">
      <c r="A650" s="63" t="s">
        <v>5560</v>
      </c>
      <c r="B650" t="s">
        <v>677</v>
      </c>
      <c r="C650" t="s">
        <v>5043</v>
      </c>
      <c r="D650" t="s">
        <v>8404</v>
      </c>
    </row>
    <row r="651" spans="1:4" x14ac:dyDescent="0.25">
      <c r="A651" s="63" t="s">
        <v>5561</v>
      </c>
      <c r="B651" t="s">
        <v>677</v>
      </c>
      <c r="C651" t="s">
        <v>5043</v>
      </c>
      <c r="D651" t="s">
        <v>8404</v>
      </c>
    </row>
    <row r="652" spans="1:4" x14ac:dyDescent="0.25">
      <c r="A652" s="63" t="s">
        <v>4255</v>
      </c>
      <c r="B652" t="s">
        <v>835</v>
      </c>
      <c r="C652" t="s">
        <v>5043</v>
      </c>
      <c r="D652" t="s">
        <v>8401</v>
      </c>
    </row>
    <row r="653" spans="1:4" x14ac:dyDescent="0.25">
      <c r="A653" s="63" t="s">
        <v>4256</v>
      </c>
      <c r="B653" t="s">
        <v>835</v>
      </c>
      <c r="C653" t="s">
        <v>5043</v>
      </c>
      <c r="D653" t="s">
        <v>8401</v>
      </c>
    </row>
    <row r="654" spans="1:4" x14ac:dyDescent="0.25">
      <c r="A654" s="63" t="s">
        <v>8347</v>
      </c>
      <c r="B654" t="s">
        <v>8348</v>
      </c>
      <c r="C654" t="s">
        <v>5043</v>
      </c>
      <c r="D654" t="s">
        <v>8401</v>
      </c>
    </row>
    <row r="655" spans="1:4" x14ac:dyDescent="0.25">
      <c r="A655" s="63" t="s">
        <v>8349</v>
      </c>
      <c r="B655" t="s">
        <v>8348</v>
      </c>
      <c r="C655" t="s">
        <v>5043</v>
      </c>
      <c r="D655" t="s">
        <v>8401</v>
      </c>
    </row>
    <row r="656" spans="1:4" x14ac:dyDescent="0.25">
      <c r="A656" s="63" t="s">
        <v>8350</v>
      </c>
      <c r="B656" t="s">
        <v>8348</v>
      </c>
      <c r="C656" t="s">
        <v>5043</v>
      </c>
      <c r="D656" t="s">
        <v>8401</v>
      </c>
    </row>
    <row r="657" spans="1:4" x14ac:dyDescent="0.25">
      <c r="A657" s="63" t="s">
        <v>7305</v>
      </c>
      <c r="B657" t="s">
        <v>8348</v>
      </c>
      <c r="C657" t="s">
        <v>5043</v>
      </c>
      <c r="D657" t="s">
        <v>8401</v>
      </c>
    </row>
    <row r="658" spans="1:4" x14ac:dyDescent="0.25">
      <c r="A658" s="63" t="s">
        <v>8351</v>
      </c>
      <c r="B658" t="s">
        <v>8348</v>
      </c>
      <c r="C658" t="s">
        <v>5043</v>
      </c>
      <c r="D658" t="s">
        <v>8401</v>
      </c>
    </row>
    <row r="659" spans="1:4" x14ac:dyDescent="0.25">
      <c r="A659" s="63" t="s">
        <v>8352</v>
      </c>
      <c r="B659" t="s">
        <v>8348</v>
      </c>
      <c r="C659" t="s">
        <v>5043</v>
      </c>
      <c r="D659" t="s">
        <v>8401</v>
      </c>
    </row>
    <row r="660" spans="1:4" x14ac:dyDescent="0.25">
      <c r="A660" s="63" t="s">
        <v>8353</v>
      </c>
      <c r="B660" t="s">
        <v>8348</v>
      </c>
      <c r="C660" t="s">
        <v>5043</v>
      </c>
      <c r="D660" t="s">
        <v>8401</v>
      </c>
    </row>
    <row r="661" spans="1:4" x14ac:dyDescent="0.25">
      <c r="A661" s="63" t="s">
        <v>7306</v>
      </c>
      <c r="B661" t="s">
        <v>8354</v>
      </c>
      <c r="C661" t="s">
        <v>5043</v>
      </c>
      <c r="D661" t="s">
        <v>8401</v>
      </c>
    </row>
    <row r="662" spans="1:4" x14ac:dyDescent="0.25">
      <c r="A662" s="63" t="s">
        <v>7307</v>
      </c>
      <c r="B662" t="s">
        <v>8354</v>
      </c>
      <c r="C662" t="s">
        <v>5043</v>
      </c>
      <c r="D662" t="s">
        <v>8401</v>
      </c>
    </row>
    <row r="663" spans="1:4" x14ac:dyDescent="0.25">
      <c r="A663" s="63" t="s">
        <v>8355</v>
      </c>
      <c r="B663" t="s">
        <v>8354</v>
      </c>
      <c r="C663" t="s">
        <v>5043</v>
      </c>
      <c r="D663" t="s">
        <v>8401</v>
      </c>
    </row>
    <row r="664" spans="1:4" x14ac:dyDescent="0.25">
      <c r="A664" s="63" t="s">
        <v>8356</v>
      </c>
      <c r="B664" t="s">
        <v>8354</v>
      </c>
      <c r="C664" t="s">
        <v>5043</v>
      </c>
      <c r="D664" t="s">
        <v>8401</v>
      </c>
    </row>
    <row r="665" spans="1:4" x14ac:dyDescent="0.25">
      <c r="A665" s="63" t="s">
        <v>7308</v>
      </c>
      <c r="B665" t="s">
        <v>8354</v>
      </c>
      <c r="C665" t="s">
        <v>5043</v>
      </c>
      <c r="D665" t="s">
        <v>8401</v>
      </c>
    </row>
    <row r="666" spans="1:4" x14ac:dyDescent="0.25">
      <c r="A666" s="63" t="s">
        <v>8357</v>
      </c>
      <c r="B666" t="s">
        <v>8354</v>
      </c>
      <c r="C666" t="s">
        <v>5043</v>
      </c>
      <c r="D666" t="s">
        <v>8401</v>
      </c>
    </row>
    <row r="667" spans="1:4" x14ac:dyDescent="0.25">
      <c r="A667" s="63" t="s">
        <v>7309</v>
      </c>
      <c r="B667" t="s">
        <v>8358</v>
      </c>
      <c r="C667" t="s">
        <v>5043</v>
      </c>
      <c r="D667" t="s">
        <v>8401</v>
      </c>
    </row>
    <row r="668" spans="1:4" x14ac:dyDescent="0.25">
      <c r="A668" s="63" t="s">
        <v>8359</v>
      </c>
      <c r="B668" t="s">
        <v>8358</v>
      </c>
      <c r="C668" t="s">
        <v>5043</v>
      </c>
      <c r="D668" t="s">
        <v>8401</v>
      </c>
    </row>
    <row r="669" spans="1:4" x14ac:dyDescent="0.25">
      <c r="A669" s="63" t="s">
        <v>8360</v>
      </c>
      <c r="B669" t="s">
        <v>8358</v>
      </c>
      <c r="C669" t="s">
        <v>5043</v>
      </c>
      <c r="D669" t="s">
        <v>8401</v>
      </c>
    </row>
    <row r="670" spans="1:4" x14ac:dyDescent="0.25">
      <c r="A670" s="63" t="s">
        <v>7310</v>
      </c>
      <c r="B670" t="s">
        <v>8361</v>
      </c>
      <c r="C670" t="s">
        <v>5043</v>
      </c>
      <c r="D670" t="s">
        <v>8401</v>
      </c>
    </row>
    <row r="671" spans="1:4" x14ac:dyDescent="0.25">
      <c r="A671" s="63" t="s">
        <v>8362</v>
      </c>
      <c r="B671" t="s">
        <v>8361</v>
      </c>
      <c r="C671" t="s">
        <v>5043</v>
      </c>
      <c r="D671" t="s">
        <v>8401</v>
      </c>
    </row>
    <row r="672" spans="1:4" x14ac:dyDescent="0.25">
      <c r="A672" s="63" t="s">
        <v>8363</v>
      </c>
      <c r="B672" t="s">
        <v>8361</v>
      </c>
      <c r="C672" t="s">
        <v>5043</v>
      </c>
      <c r="D672" t="s">
        <v>8401</v>
      </c>
    </row>
    <row r="673" spans="1:4" x14ac:dyDescent="0.25">
      <c r="A673" s="63" t="s">
        <v>8364</v>
      </c>
      <c r="B673" t="s">
        <v>8361</v>
      </c>
      <c r="C673" t="s">
        <v>5043</v>
      </c>
      <c r="D673" t="s">
        <v>8401</v>
      </c>
    </row>
    <row r="674" spans="1:4" x14ac:dyDescent="0.25">
      <c r="A674" s="63" t="s">
        <v>8365</v>
      </c>
      <c r="B674" t="s">
        <v>8361</v>
      </c>
      <c r="C674" t="s">
        <v>5043</v>
      </c>
      <c r="D674" t="s">
        <v>8401</v>
      </c>
    </row>
    <row r="675" spans="1:4" x14ac:dyDescent="0.25">
      <c r="A675" s="63" t="s">
        <v>7311</v>
      </c>
      <c r="B675" t="s">
        <v>8361</v>
      </c>
      <c r="C675" t="s">
        <v>5043</v>
      </c>
      <c r="D675" t="s">
        <v>8401</v>
      </c>
    </row>
    <row r="676" spans="1:4" x14ac:dyDescent="0.25">
      <c r="A676" s="63" t="s">
        <v>2719</v>
      </c>
      <c r="B676" t="s">
        <v>8366</v>
      </c>
      <c r="C676" t="s">
        <v>5043</v>
      </c>
      <c r="D676" t="s">
        <v>8401</v>
      </c>
    </row>
    <row r="677" spans="1:4" x14ac:dyDescent="0.25">
      <c r="A677" s="63" t="s">
        <v>8382</v>
      </c>
      <c r="B677" t="s">
        <v>8383</v>
      </c>
      <c r="C677" t="s">
        <v>5043</v>
      </c>
      <c r="D677" t="s">
        <v>8401</v>
      </c>
    </row>
    <row r="678" spans="1:4" x14ac:dyDescent="0.25">
      <c r="A678" s="63" t="s">
        <v>7325</v>
      </c>
      <c r="B678" t="s">
        <v>8383</v>
      </c>
      <c r="C678" t="s">
        <v>5043</v>
      </c>
      <c r="D678" t="s">
        <v>8401</v>
      </c>
    </row>
    <row r="679" spans="1:4" x14ac:dyDescent="0.25">
      <c r="A679" s="63" t="s">
        <v>7326</v>
      </c>
      <c r="B679" t="s">
        <v>8383</v>
      </c>
      <c r="C679" t="s">
        <v>5043</v>
      </c>
      <c r="D679" t="s">
        <v>8401</v>
      </c>
    </row>
    <row r="680" spans="1:4" x14ac:dyDescent="0.25">
      <c r="A680" s="63" t="s">
        <v>8384</v>
      </c>
      <c r="B680" t="s">
        <v>8383</v>
      </c>
      <c r="C680" t="s">
        <v>5043</v>
      </c>
      <c r="D680" t="s">
        <v>8401</v>
      </c>
    </row>
    <row r="681" spans="1:4" x14ac:dyDescent="0.25">
      <c r="A681" s="63" t="s">
        <v>2720</v>
      </c>
      <c r="B681" t="s">
        <v>8367</v>
      </c>
      <c r="C681" t="s">
        <v>5043</v>
      </c>
      <c r="D681" t="s">
        <v>8401</v>
      </c>
    </row>
    <row r="682" spans="1:4" x14ac:dyDescent="0.25">
      <c r="A682" s="63" t="s">
        <v>2721</v>
      </c>
      <c r="B682" t="s">
        <v>8368</v>
      </c>
      <c r="C682" t="s">
        <v>5043</v>
      </c>
      <c r="D682" t="s">
        <v>8401</v>
      </c>
    </row>
    <row r="683" spans="1:4" x14ac:dyDescent="0.25">
      <c r="A683" s="63" t="s">
        <v>8369</v>
      </c>
      <c r="B683" t="s">
        <v>8370</v>
      </c>
      <c r="C683" t="s">
        <v>5043</v>
      </c>
      <c r="D683" t="s">
        <v>8401</v>
      </c>
    </row>
    <row r="684" spans="1:4" x14ac:dyDescent="0.25">
      <c r="A684" s="63" t="s">
        <v>8371</v>
      </c>
      <c r="B684" t="s">
        <v>8372</v>
      </c>
      <c r="C684" t="s">
        <v>5043</v>
      </c>
      <c r="D684" t="s">
        <v>8401</v>
      </c>
    </row>
    <row r="685" spans="1:4" x14ac:dyDescent="0.25">
      <c r="A685" s="63" t="s">
        <v>2722</v>
      </c>
      <c r="B685" t="s">
        <v>8372</v>
      </c>
      <c r="C685" t="s">
        <v>5043</v>
      </c>
      <c r="D685" t="s">
        <v>8401</v>
      </c>
    </row>
    <row r="686" spans="1:4" x14ac:dyDescent="0.25">
      <c r="A686" s="63" t="s">
        <v>2723</v>
      </c>
      <c r="B686" t="s">
        <v>8372</v>
      </c>
      <c r="C686" t="s">
        <v>5043</v>
      </c>
      <c r="D686" t="s">
        <v>8401</v>
      </c>
    </row>
    <row r="687" spans="1:4" x14ac:dyDescent="0.25">
      <c r="A687" s="63" t="s">
        <v>2724</v>
      </c>
      <c r="B687" t="s">
        <v>8372</v>
      </c>
      <c r="C687" t="s">
        <v>5043</v>
      </c>
      <c r="D687" t="s">
        <v>8401</v>
      </c>
    </row>
    <row r="688" spans="1:4" x14ac:dyDescent="0.25">
      <c r="A688" s="63" t="s">
        <v>2725</v>
      </c>
      <c r="B688" t="s">
        <v>8373</v>
      </c>
      <c r="C688" t="s">
        <v>5043</v>
      </c>
      <c r="D688" t="s">
        <v>8401</v>
      </c>
    </row>
    <row r="689" spans="1:4" x14ac:dyDescent="0.25">
      <c r="A689" s="63" t="s">
        <v>8374</v>
      </c>
      <c r="B689" t="s">
        <v>8373</v>
      </c>
      <c r="C689" t="s">
        <v>5043</v>
      </c>
      <c r="D689" t="s">
        <v>8401</v>
      </c>
    </row>
    <row r="690" spans="1:4" x14ac:dyDescent="0.25">
      <c r="A690" s="63" t="s">
        <v>8375</v>
      </c>
      <c r="B690" t="s">
        <v>8376</v>
      </c>
      <c r="C690" t="s">
        <v>5043</v>
      </c>
      <c r="D690" t="s">
        <v>8401</v>
      </c>
    </row>
    <row r="691" spans="1:4" x14ac:dyDescent="0.25">
      <c r="A691" s="63" t="s">
        <v>2726</v>
      </c>
      <c r="B691" t="s">
        <v>8376</v>
      </c>
      <c r="C691" t="s">
        <v>5043</v>
      </c>
      <c r="D691" t="s">
        <v>8401</v>
      </c>
    </row>
    <row r="692" spans="1:4" x14ac:dyDescent="0.25">
      <c r="A692" s="63" t="s">
        <v>8377</v>
      </c>
      <c r="B692" t="s">
        <v>8378</v>
      </c>
      <c r="C692" t="s">
        <v>5043</v>
      </c>
      <c r="D692" t="s">
        <v>8401</v>
      </c>
    </row>
    <row r="693" spans="1:4" x14ac:dyDescent="0.25">
      <c r="A693" s="63" t="s">
        <v>8379</v>
      </c>
      <c r="B693" t="s">
        <v>8378</v>
      </c>
      <c r="C693" t="s">
        <v>5043</v>
      </c>
      <c r="D693" t="s">
        <v>8401</v>
      </c>
    </row>
    <row r="694" spans="1:4" x14ac:dyDescent="0.25">
      <c r="A694" s="63" t="s">
        <v>5562</v>
      </c>
      <c r="B694" t="s">
        <v>628</v>
      </c>
      <c r="C694" t="s">
        <v>5043</v>
      </c>
      <c r="D694" t="s">
        <v>8404</v>
      </c>
    </row>
    <row r="695" spans="1:4" x14ac:dyDescent="0.25">
      <c r="A695" s="63" t="s">
        <v>5563</v>
      </c>
      <c r="B695" t="s">
        <v>836</v>
      </c>
      <c r="C695" t="s">
        <v>5043</v>
      </c>
      <c r="D695" t="s">
        <v>8401</v>
      </c>
    </row>
    <row r="696" spans="1:4" x14ac:dyDescent="0.25">
      <c r="A696" s="63" t="s">
        <v>5564</v>
      </c>
      <c r="B696" t="s">
        <v>836</v>
      </c>
      <c r="C696" t="s">
        <v>5043</v>
      </c>
      <c r="D696" t="s">
        <v>8401</v>
      </c>
    </row>
    <row r="697" spans="1:4" x14ac:dyDescent="0.25">
      <c r="A697" s="63" t="s">
        <v>2571</v>
      </c>
      <c r="B697" t="s">
        <v>678</v>
      </c>
      <c r="C697" t="s">
        <v>5043</v>
      </c>
      <c r="D697" t="s">
        <v>8404</v>
      </c>
    </row>
    <row r="698" spans="1:4" x14ac:dyDescent="0.25">
      <c r="A698" s="63" t="s">
        <v>5565</v>
      </c>
      <c r="B698" t="s">
        <v>678</v>
      </c>
      <c r="C698" t="s">
        <v>5043</v>
      </c>
      <c r="D698" t="s">
        <v>8404</v>
      </c>
    </row>
    <row r="699" spans="1:4" x14ac:dyDescent="0.25">
      <c r="A699" s="63" t="s">
        <v>5566</v>
      </c>
      <c r="B699" t="s">
        <v>679</v>
      </c>
      <c r="C699" t="s">
        <v>5043</v>
      </c>
      <c r="D699" t="s">
        <v>8404</v>
      </c>
    </row>
    <row r="700" spans="1:4" x14ac:dyDescent="0.25">
      <c r="A700" s="63" t="s">
        <v>5567</v>
      </c>
      <c r="B700" t="s">
        <v>634</v>
      </c>
      <c r="C700" t="s">
        <v>5043</v>
      </c>
      <c r="D700" t="s">
        <v>8404</v>
      </c>
    </row>
    <row r="701" spans="1:4" x14ac:dyDescent="0.25">
      <c r="A701" s="63" t="s">
        <v>5568</v>
      </c>
      <c r="B701" t="s">
        <v>680</v>
      </c>
      <c r="C701" t="s">
        <v>5043</v>
      </c>
      <c r="D701" t="s">
        <v>8404</v>
      </c>
    </row>
    <row r="702" spans="1:4" x14ac:dyDescent="0.25">
      <c r="A702" s="63" t="s">
        <v>5569</v>
      </c>
      <c r="B702" t="s">
        <v>5570</v>
      </c>
      <c r="C702" t="s">
        <v>5043</v>
      </c>
      <c r="D702" t="s">
        <v>8401</v>
      </c>
    </row>
    <row r="703" spans="1:4" x14ac:dyDescent="0.25">
      <c r="A703" s="63" t="s">
        <v>5571</v>
      </c>
      <c r="B703" t="s">
        <v>5570</v>
      </c>
      <c r="C703" t="s">
        <v>5043</v>
      </c>
      <c r="D703" t="s">
        <v>8401</v>
      </c>
    </row>
    <row r="704" spans="1:4" x14ac:dyDescent="0.25">
      <c r="A704" s="63" t="s">
        <v>5572</v>
      </c>
      <c r="B704" t="s">
        <v>5570</v>
      </c>
      <c r="C704" t="s">
        <v>5043</v>
      </c>
      <c r="D704" t="s">
        <v>8401</v>
      </c>
    </row>
    <row r="705" spans="1:4" x14ac:dyDescent="0.25">
      <c r="A705" s="63" t="s">
        <v>5573</v>
      </c>
      <c r="B705" t="s">
        <v>5570</v>
      </c>
      <c r="C705" t="s">
        <v>5043</v>
      </c>
      <c r="D705" t="s">
        <v>8401</v>
      </c>
    </row>
    <row r="706" spans="1:4" x14ac:dyDescent="0.25">
      <c r="A706" s="63" t="s">
        <v>5574</v>
      </c>
      <c r="B706" t="s">
        <v>5570</v>
      </c>
      <c r="C706" t="s">
        <v>5043</v>
      </c>
      <c r="D706" t="s">
        <v>8401</v>
      </c>
    </row>
    <row r="707" spans="1:4" x14ac:dyDescent="0.25">
      <c r="A707" s="63" t="s">
        <v>5575</v>
      </c>
      <c r="B707" t="s">
        <v>5570</v>
      </c>
      <c r="C707" t="s">
        <v>5043</v>
      </c>
      <c r="D707" t="s">
        <v>8401</v>
      </c>
    </row>
    <row r="708" spans="1:4" x14ac:dyDescent="0.25">
      <c r="A708" s="63" t="s">
        <v>5576</v>
      </c>
      <c r="B708" t="s">
        <v>5570</v>
      </c>
      <c r="C708" t="s">
        <v>5043</v>
      </c>
      <c r="D708" t="s">
        <v>8401</v>
      </c>
    </row>
    <row r="709" spans="1:4" x14ac:dyDescent="0.25">
      <c r="A709" s="63" t="s">
        <v>5577</v>
      </c>
      <c r="B709" t="s">
        <v>5570</v>
      </c>
      <c r="C709" t="s">
        <v>5043</v>
      </c>
      <c r="D709" t="s">
        <v>8401</v>
      </c>
    </row>
    <row r="710" spans="1:4" x14ac:dyDescent="0.25">
      <c r="A710" s="63" t="s">
        <v>5578</v>
      </c>
      <c r="B710" t="s">
        <v>5570</v>
      </c>
      <c r="C710" t="s">
        <v>5043</v>
      </c>
      <c r="D710" t="s">
        <v>8401</v>
      </c>
    </row>
    <row r="711" spans="1:4" x14ac:dyDescent="0.25">
      <c r="A711" s="63" t="s">
        <v>5579</v>
      </c>
      <c r="B711" t="s">
        <v>5570</v>
      </c>
      <c r="C711" t="s">
        <v>5043</v>
      </c>
      <c r="D711" t="s">
        <v>8401</v>
      </c>
    </row>
    <row r="712" spans="1:4" x14ac:dyDescent="0.25">
      <c r="A712" s="63" t="s">
        <v>5580</v>
      </c>
      <c r="B712" t="s">
        <v>5570</v>
      </c>
      <c r="C712" t="s">
        <v>5043</v>
      </c>
      <c r="D712" t="s">
        <v>8401</v>
      </c>
    </row>
    <row r="713" spans="1:4" x14ac:dyDescent="0.25">
      <c r="A713" s="63" t="s">
        <v>5581</v>
      </c>
      <c r="B713" t="s">
        <v>5570</v>
      </c>
      <c r="C713" t="s">
        <v>5043</v>
      </c>
      <c r="D713" t="s">
        <v>8401</v>
      </c>
    </row>
    <row r="714" spans="1:4" x14ac:dyDescent="0.25">
      <c r="A714" s="63" t="s">
        <v>4288</v>
      </c>
      <c r="B714" t="s">
        <v>5570</v>
      </c>
      <c r="C714" t="s">
        <v>5043</v>
      </c>
      <c r="D714" t="s">
        <v>8401</v>
      </c>
    </row>
    <row r="715" spans="1:4" x14ac:dyDescent="0.25">
      <c r="A715" s="63" t="s">
        <v>5582</v>
      </c>
      <c r="B715" t="s">
        <v>5570</v>
      </c>
      <c r="C715" t="s">
        <v>5043</v>
      </c>
      <c r="D715" t="s">
        <v>8401</v>
      </c>
    </row>
    <row r="716" spans="1:4" x14ac:dyDescent="0.25">
      <c r="A716" s="63" t="s">
        <v>5583</v>
      </c>
      <c r="B716" t="s">
        <v>5570</v>
      </c>
      <c r="C716" t="s">
        <v>5043</v>
      </c>
      <c r="D716" t="s">
        <v>8401</v>
      </c>
    </row>
    <row r="717" spans="1:4" x14ac:dyDescent="0.25">
      <c r="A717" s="63" t="s">
        <v>5584</v>
      </c>
      <c r="B717" t="s">
        <v>5570</v>
      </c>
      <c r="C717" t="s">
        <v>5043</v>
      </c>
      <c r="D717" t="s">
        <v>8401</v>
      </c>
    </row>
    <row r="718" spans="1:4" x14ac:dyDescent="0.25">
      <c r="A718" s="63" t="s">
        <v>5585</v>
      </c>
      <c r="B718" t="s">
        <v>5570</v>
      </c>
      <c r="C718" t="s">
        <v>5043</v>
      </c>
      <c r="D718" t="s">
        <v>8401</v>
      </c>
    </row>
    <row r="719" spans="1:4" x14ac:dyDescent="0.25">
      <c r="A719" s="63" t="s">
        <v>5586</v>
      </c>
      <c r="B719" t="s">
        <v>5570</v>
      </c>
      <c r="C719" t="s">
        <v>5043</v>
      </c>
      <c r="D719" t="s">
        <v>8401</v>
      </c>
    </row>
    <row r="720" spans="1:4" x14ac:dyDescent="0.25">
      <c r="A720" s="63" t="s">
        <v>4620</v>
      </c>
      <c r="B720" t="s">
        <v>4621</v>
      </c>
      <c r="C720" t="s">
        <v>5043</v>
      </c>
      <c r="D720" t="s">
        <v>8401</v>
      </c>
    </row>
    <row r="721" spans="1:4" x14ac:dyDescent="0.25">
      <c r="A721" s="63" t="s">
        <v>5587</v>
      </c>
      <c r="B721" t="s">
        <v>681</v>
      </c>
      <c r="C721" t="s">
        <v>5043</v>
      </c>
      <c r="D721" t="s">
        <v>8405</v>
      </c>
    </row>
    <row r="722" spans="1:4" x14ac:dyDescent="0.25">
      <c r="A722" s="63" t="s">
        <v>3015</v>
      </c>
      <c r="B722" t="s">
        <v>681</v>
      </c>
      <c r="C722" t="s">
        <v>5043</v>
      </c>
      <c r="D722" t="s">
        <v>8405</v>
      </c>
    </row>
    <row r="723" spans="1:4" x14ac:dyDescent="0.25">
      <c r="A723" s="63" t="s">
        <v>5588</v>
      </c>
      <c r="B723" t="s">
        <v>837</v>
      </c>
      <c r="C723" t="s">
        <v>5043</v>
      </c>
      <c r="D723" t="s">
        <v>8401</v>
      </c>
    </row>
    <row r="724" spans="1:4" x14ac:dyDescent="0.25">
      <c r="A724" s="63" t="s">
        <v>5589</v>
      </c>
      <c r="B724" t="s">
        <v>682</v>
      </c>
      <c r="C724" t="s">
        <v>5043</v>
      </c>
      <c r="D724" t="s">
        <v>8405</v>
      </c>
    </row>
    <row r="725" spans="1:4" x14ac:dyDescent="0.25">
      <c r="A725" s="63" t="s">
        <v>5590</v>
      </c>
      <c r="B725" t="s">
        <v>838</v>
      </c>
      <c r="C725" t="s">
        <v>5043</v>
      </c>
      <c r="D725" t="s">
        <v>8401</v>
      </c>
    </row>
    <row r="726" spans="1:4" x14ac:dyDescent="0.25">
      <c r="A726" s="63" t="s">
        <v>8380</v>
      </c>
      <c r="B726" t="s">
        <v>8381</v>
      </c>
      <c r="C726" t="s">
        <v>5043</v>
      </c>
      <c r="D726" t="s">
        <v>8401</v>
      </c>
    </row>
    <row r="727" spans="1:4" x14ac:dyDescent="0.25">
      <c r="A727" s="63" t="s">
        <v>3495</v>
      </c>
      <c r="B727" t="s">
        <v>5591</v>
      </c>
      <c r="C727" t="s">
        <v>5043</v>
      </c>
      <c r="D727" t="s">
        <v>8401</v>
      </c>
    </row>
    <row r="728" spans="1:4" x14ac:dyDescent="0.25">
      <c r="A728" s="63" t="s">
        <v>5592</v>
      </c>
      <c r="B728" t="s">
        <v>5591</v>
      </c>
      <c r="C728" t="s">
        <v>5043</v>
      </c>
      <c r="D728" t="s">
        <v>8401</v>
      </c>
    </row>
    <row r="729" spans="1:4" x14ac:dyDescent="0.25">
      <c r="A729" s="63" t="s">
        <v>5593</v>
      </c>
      <c r="B729" t="s">
        <v>5591</v>
      </c>
      <c r="C729" t="s">
        <v>5043</v>
      </c>
      <c r="D729" t="s">
        <v>8401</v>
      </c>
    </row>
    <row r="730" spans="1:4" x14ac:dyDescent="0.25">
      <c r="A730" s="63" t="s">
        <v>5594</v>
      </c>
      <c r="B730" t="s">
        <v>629</v>
      </c>
      <c r="C730" t="s">
        <v>5043</v>
      </c>
      <c r="D730" t="s">
        <v>8405</v>
      </c>
    </row>
    <row r="731" spans="1:4" x14ac:dyDescent="0.25">
      <c r="A731" s="63" t="s">
        <v>5595</v>
      </c>
      <c r="B731" t="s">
        <v>629</v>
      </c>
      <c r="C731" t="s">
        <v>5043</v>
      </c>
      <c r="D731" t="s">
        <v>8405</v>
      </c>
    </row>
    <row r="732" spans="1:4" x14ac:dyDescent="0.25">
      <c r="A732" s="63" t="s">
        <v>5596</v>
      </c>
      <c r="B732" t="s">
        <v>839</v>
      </c>
      <c r="C732" t="s">
        <v>5043</v>
      </c>
      <c r="D732" t="s">
        <v>8401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W121"/>
  <sheetViews>
    <sheetView workbookViewId="0">
      <pane ySplit="10305" topLeftCell="A57"/>
      <selection activeCell="E13" sqref="E13"/>
      <selection pane="bottomLeft" activeCell="C58" sqref="C58"/>
    </sheetView>
  </sheetViews>
  <sheetFormatPr defaultRowHeight="15" x14ac:dyDescent="0.25"/>
  <cols>
    <col min="1" max="1" width="9.140625" style="25"/>
    <col min="2" max="2" width="14.140625" style="25" customWidth="1"/>
    <col min="3" max="23" width="6.85546875" customWidth="1"/>
  </cols>
  <sheetData>
    <row r="1" spans="1:1" x14ac:dyDescent="0.25">
      <c r="A1" s="25" t="s">
        <v>104</v>
      </c>
    </row>
    <row r="26" spans="1:23" x14ac:dyDescent="0.25">
      <c r="B26" s="18" t="s">
        <v>107</v>
      </c>
      <c r="C26" s="27">
        <v>40938</v>
      </c>
      <c r="D26" s="27">
        <v>40945</v>
      </c>
      <c r="E26" s="27">
        <v>40952</v>
      </c>
      <c r="F26" s="27">
        <v>40959</v>
      </c>
      <c r="G26" s="27">
        <v>40966</v>
      </c>
      <c r="H26" s="27">
        <v>40973</v>
      </c>
      <c r="I26" s="27">
        <v>40980</v>
      </c>
      <c r="J26" s="27">
        <v>40987</v>
      </c>
      <c r="K26" s="27">
        <v>40994</v>
      </c>
      <c r="L26" s="27">
        <v>41001</v>
      </c>
      <c r="M26" s="27">
        <v>41008</v>
      </c>
      <c r="N26" s="27">
        <v>41015</v>
      </c>
      <c r="O26" s="27">
        <v>41022</v>
      </c>
      <c r="P26" s="27">
        <v>41029</v>
      </c>
      <c r="Q26" s="27">
        <v>41036</v>
      </c>
      <c r="R26" s="27">
        <v>41043</v>
      </c>
      <c r="S26" s="27">
        <v>41050</v>
      </c>
      <c r="T26" s="27">
        <v>41057</v>
      </c>
      <c r="U26" s="27">
        <v>41064</v>
      </c>
      <c r="V26" s="27">
        <v>41071</v>
      </c>
      <c r="W26" s="27">
        <v>41078</v>
      </c>
    </row>
    <row r="27" spans="1:23" x14ac:dyDescent="0.25">
      <c r="B27" s="18" t="s">
        <v>103</v>
      </c>
      <c r="C27" s="18">
        <v>3</v>
      </c>
      <c r="D27" s="18">
        <v>1</v>
      </c>
      <c r="E27" s="18">
        <v>1</v>
      </c>
      <c r="F27" s="18">
        <v>1</v>
      </c>
      <c r="G27" s="18">
        <v>0</v>
      </c>
      <c r="H27" s="18">
        <v>4</v>
      </c>
      <c r="I27" s="18">
        <v>0</v>
      </c>
      <c r="J27" s="18">
        <v>0</v>
      </c>
      <c r="K27" s="18">
        <v>0</v>
      </c>
      <c r="L27" s="18">
        <v>0</v>
      </c>
      <c r="M27" s="18">
        <v>1</v>
      </c>
      <c r="N27" s="18">
        <v>1</v>
      </c>
      <c r="O27" s="18">
        <v>1</v>
      </c>
      <c r="P27" s="18">
        <v>2</v>
      </c>
      <c r="Q27" s="18">
        <v>8</v>
      </c>
      <c r="R27" s="18">
        <v>5</v>
      </c>
      <c r="S27" s="18">
        <v>15</v>
      </c>
      <c r="T27" s="18">
        <v>22</v>
      </c>
      <c r="U27" s="18">
        <v>10</v>
      </c>
      <c r="V27" s="18">
        <v>7</v>
      </c>
      <c r="W27" s="18">
        <v>4</v>
      </c>
    </row>
    <row r="28" spans="1:23" x14ac:dyDescent="0.25">
      <c r="B28" s="25" t="s">
        <v>0</v>
      </c>
      <c r="C28">
        <f>SUM(C27:W27)</f>
        <v>86</v>
      </c>
    </row>
    <row r="30" spans="1:23" x14ac:dyDescent="0.25">
      <c r="A30" s="26" t="s">
        <v>105</v>
      </c>
      <c r="B30" s="26" t="s">
        <v>155</v>
      </c>
      <c r="C30" s="3" t="s">
        <v>106</v>
      </c>
    </row>
    <row r="31" spans="1:23" x14ac:dyDescent="0.25">
      <c r="A31">
        <v>594786</v>
      </c>
      <c r="B31" t="s">
        <v>99</v>
      </c>
      <c r="C31" t="s">
        <v>100</v>
      </c>
    </row>
    <row r="32" spans="1:23" x14ac:dyDescent="0.25">
      <c r="A32">
        <v>594774</v>
      </c>
      <c r="B32" t="s">
        <v>99</v>
      </c>
      <c r="C32" t="s">
        <v>101</v>
      </c>
    </row>
    <row r="33" spans="1:3" x14ac:dyDescent="0.25">
      <c r="A33">
        <v>594683</v>
      </c>
      <c r="B33" t="s">
        <v>99</v>
      </c>
      <c r="C33" t="s">
        <v>102</v>
      </c>
    </row>
    <row r="34" spans="1:3" x14ac:dyDescent="0.25">
      <c r="A34">
        <v>595531</v>
      </c>
      <c r="B34" t="s">
        <v>97</v>
      </c>
      <c r="C34" t="s">
        <v>98</v>
      </c>
    </row>
    <row r="35" spans="1:3" x14ac:dyDescent="0.25">
      <c r="A35">
        <v>596352</v>
      </c>
      <c r="B35" t="s">
        <v>95</v>
      </c>
      <c r="C35" t="s">
        <v>96</v>
      </c>
    </row>
    <row r="36" spans="1:3" x14ac:dyDescent="0.25">
      <c r="A36">
        <v>597229</v>
      </c>
      <c r="B36" t="s">
        <v>93</v>
      </c>
      <c r="C36" t="s">
        <v>94</v>
      </c>
    </row>
    <row r="37" spans="1:3" x14ac:dyDescent="0.25">
      <c r="A37">
        <v>598628</v>
      </c>
      <c r="B37" t="s">
        <v>91</v>
      </c>
      <c r="C37" t="s">
        <v>92</v>
      </c>
    </row>
    <row r="38" spans="1:3" x14ac:dyDescent="0.25">
      <c r="A38">
        <v>598800</v>
      </c>
      <c r="B38" t="s">
        <v>89</v>
      </c>
      <c r="C38" t="s">
        <v>90</v>
      </c>
    </row>
    <row r="39" spans="1:3" x14ac:dyDescent="0.25">
      <c r="A39">
        <v>602431</v>
      </c>
      <c r="B39" t="s">
        <v>87</v>
      </c>
      <c r="C39" t="s">
        <v>88</v>
      </c>
    </row>
    <row r="40" spans="1:3" x14ac:dyDescent="0.25">
      <c r="A40">
        <v>602677</v>
      </c>
      <c r="B40" t="s">
        <v>85</v>
      </c>
      <c r="C40" t="s">
        <v>86</v>
      </c>
    </row>
    <row r="41" spans="1:3" x14ac:dyDescent="0.25">
      <c r="A41">
        <v>603514</v>
      </c>
      <c r="B41" t="s">
        <v>83</v>
      </c>
      <c r="C41" t="s">
        <v>84</v>
      </c>
    </row>
    <row r="42" spans="1:3" x14ac:dyDescent="0.25">
      <c r="A42">
        <v>604002</v>
      </c>
      <c r="B42" t="s">
        <v>82</v>
      </c>
      <c r="C42" t="s">
        <v>114</v>
      </c>
    </row>
    <row r="43" spans="1:3" x14ac:dyDescent="0.25">
      <c r="A43">
        <v>604525</v>
      </c>
      <c r="B43" t="s">
        <v>80</v>
      </c>
      <c r="C43" t="s">
        <v>81</v>
      </c>
    </row>
    <row r="44" spans="1:3" x14ac:dyDescent="0.25">
      <c r="A44">
        <v>604810</v>
      </c>
      <c r="B44" t="s">
        <v>78</v>
      </c>
      <c r="C44" t="s">
        <v>79</v>
      </c>
    </row>
    <row r="45" spans="1:3" x14ac:dyDescent="0.25">
      <c r="A45">
        <v>605333</v>
      </c>
      <c r="B45" t="s">
        <v>77</v>
      </c>
      <c r="C45" t="s">
        <v>69</v>
      </c>
    </row>
    <row r="46" spans="1:3" x14ac:dyDescent="0.25">
      <c r="A46">
        <v>605385</v>
      </c>
      <c r="B46" t="s">
        <v>75</v>
      </c>
      <c r="C46" t="s">
        <v>76</v>
      </c>
    </row>
    <row r="47" spans="1:3" x14ac:dyDescent="0.25">
      <c r="A47">
        <v>605668</v>
      </c>
      <c r="B47" t="s">
        <v>70</v>
      </c>
      <c r="C47" t="s">
        <v>71</v>
      </c>
    </row>
    <row r="48" spans="1:3" x14ac:dyDescent="0.25">
      <c r="A48">
        <v>605656</v>
      </c>
      <c r="B48" t="s">
        <v>70</v>
      </c>
      <c r="C48" t="s">
        <v>72</v>
      </c>
    </row>
    <row r="49" spans="1:4" x14ac:dyDescent="0.25">
      <c r="A49">
        <v>605648</v>
      </c>
      <c r="B49" t="s">
        <v>70</v>
      </c>
      <c r="C49" t="s">
        <v>73</v>
      </c>
    </row>
    <row r="50" spans="1:4" x14ac:dyDescent="0.25">
      <c r="A50">
        <v>605647</v>
      </c>
      <c r="B50" t="s">
        <v>70</v>
      </c>
      <c r="C50" t="s">
        <v>74</v>
      </c>
    </row>
    <row r="51" spans="1:4" x14ac:dyDescent="0.25">
      <c r="A51">
        <v>605748</v>
      </c>
      <c r="B51" t="s">
        <v>67</v>
      </c>
      <c r="C51" t="s">
        <v>68</v>
      </c>
    </row>
    <row r="52" spans="1:4" x14ac:dyDescent="0.25">
      <c r="A52">
        <v>605700</v>
      </c>
      <c r="B52" t="s">
        <v>67</v>
      </c>
      <c r="C52" t="s">
        <v>69</v>
      </c>
    </row>
    <row r="53" spans="1:4" x14ac:dyDescent="0.25">
      <c r="A53">
        <v>606096</v>
      </c>
      <c r="B53" t="s">
        <v>65</v>
      </c>
      <c r="C53" t="s">
        <v>66</v>
      </c>
    </row>
    <row r="54" spans="1:4" x14ac:dyDescent="0.25">
      <c r="A54">
        <v>606466</v>
      </c>
      <c r="B54" t="s">
        <v>63</v>
      </c>
      <c r="C54" t="s">
        <v>62</v>
      </c>
    </row>
    <row r="55" spans="1:4" x14ac:dyDescent="0.25">
      <c r="A55">
        <v>606367</v>
      </c>
      <c r="B55" t="s">
        <v>63</v>
      </c>
      <c r="C55" t="s">
        <v>64</v>
      </c>
    </row>
    <row r="56" spans="1:4" x14ac:dyDescent="0.25">
      <c r="A56">
        <v>606640</v>
      </c>
      <c r="B56" t="s">
        <v>61</v>
      </c>
      <c r="C56" t="s">
        <v>62</v>
      </c>
    </row>
    <row r="57" spans="1:4" x14ac:dyDescent="0.25">
      <c r="A57">
        <v>606732</v>
      </c>
      <c r="B57" t="s">
        <v>59</v>
      </c>
      <c r="C57" t="s">
        <v>60</v>
      </c>
    </row>
    <row r="58" spans="1:4" ht="14.45" x14ac:dyDescent="0.3">
      <c r="A58">
        <v>607050</v>
      </c>
      <c r="B58" t="s">
        <v>53</v>
      </c>
      <c r="C58" t="s">
        <v>54</v>
      </c>
    </row>
    <row r="59" spans="1:4" ht="14.45" x14ac:dyDescent="0.3">
      <c r="A59">
        <v>607005</v>
      </c>
      <c r="B59" t="s">
        <v>53</v>
      </c>
      <c r="C59" t="s">
        <v>55</v>
      </c>
    </row>
    <row r="60" spans="1:4" ht="14.45" x14ac:dyDescent="0.3">
      <c r="A60">
        <v>607004</v>
      </c>
      <c r="B60" t="s">
        <v>53</v>
      </c>
      <c r="C60" t="s">
        <v>56</v>
      </c>
    </row>
    <row r="61" spans="1:4" ht="14.45" x14ac:dyDescent="0.3">
      <c r="A61">
        <v>606975</v>
      </c>
      <c r="B61" t="s">
        <v>53</v>
      </c>
      <c r="C61" t="s">
        <v>57</v>
      </c>
    </row>
    <row r="62" spans="1:4" ht="14.45" x14ac:dyDescent="0.3">
      <c r="A62">
        <v>606937</v>
      </c>
      <c r="B62" t="s">
        <v>53</v>
      </c>
      <c r="C62" t="s">
        <v>58</v>
      </c>
    </row>
    <row r="63" spans="1:4" ht="14.45" x14ac:dyDescent="0.3">
      <c r="A63">
        <v>607062</v>
      </c>
      <c r="B63" t="s">
        <v>51</v>
      </c>
      <c r="C63" t="s">
        <v>52</v>
      </c>
      <c r="D63" t="s">
        <v>115</v>
      </c>
    </row>
    <row r="64" spans="1:4" ht="14.45" x14ac:dyDescent="0.3">
      <c r="A64">
        <v>607276</v>
      </c>
      <c r="B64" t="s">
        <v>46</v>
      </c>
      <c r="C64" t="s">
        <v>47</v>
      </c>
    </row>
    <row r="65" spans="1:10" x14ac:dyDescent="0.25">
      <c r="A65">
        <v>607259</v>
      </c>
      <c r="B65" t="s">
        <v>46</v>
      </c>
      <c r="C65" t="s">
        <v>48</v>
      </c>
    </row>
    <row r="66" spans="1:10" x14ac:dyDescent="0.25">
      <c r="A66">
        <v>607258</v>
      </c>
      <c r="B66" t="s">
        <v>46</v>
      </c>
      <c r="C66" t="s">
        <v>49</v>
      </c>
    </row>
    <row r="67" spans="1:10" x14ac:dyDescent="0.25">
      <c r="A67">
        <v>607254</v>
      </c>
      <c r="B67" t="s">
        <v>46</v>
      </c>
      <c r="C67" t="s">
        <v>50</v>
      </c>
    </row>
    <row r="68" spans="1:10" x14ac:dyDescent="0.25">
      <c r="A68">
        <v>607485</v>
      </c>
      <c r="B68" t="s">
        <v>41</v>
      </c>
      <c r="C68" t="s">
        <v>42</v>
      </c>
      <c r="D68">
        <v>4538</v>
      </c>
      <c r="E68" t="s">
        <v>116</v>
      </c>
    </row>
    <row r="69" spans="1:10" x14ac:dyDescent="0.25">
      <c r="A69">
        <v>607481</v>
      </c>
      <c r="B69" t="s">
        <v>41</v>
      </c>
      <c r="C69" t="s">
        <v>43</v>
      </c>
    </row>
    <row r="70" spans="1:10" x14ac:dyDescent="0.25">
      <c r="A70">
        <v>607470</v>
      </c>
      <c r="B70" t="s">
        <v>41</v>
      </c>
      <c r="C70" t="s">
        <v>44</v>
      </c>
    </row>
    <row r="71" spans="1:10" x14ac:dyDescent="0.25">
      <c r="A71">
        <v>607456</v>
      </c>
      <c r="B71" t="s">
        <v>41</v>
      </c>
      <c r="C71" t="s">
        <v>45</v>
      </c>
      <c r="D71">
        <v>3935</v>
      </c>
      <c r="E71">
        <v>3913</v>
      </c>
      <c r="F71">
        <v>3897</v>
      </c>
      <c r="G71">
        <v>3943</v>
      </c>
      <c r="H71">
        <v>3946</v>
      </c>
      <c r="I71">
        <v>4035</v>
      </c>
      <c r="J71" t="s">
        <v>117</v>
      </c>
    </row>
    <row r="72" spans="1:10" x14ac:dyDescent="0.25">
      <c r="A72">
        <v>607434</v>
      </c>
      <c r="B72" t="s">
        <v>41</v>
      </c>
      <c r="C72" t="s">
        <v>35</v>
      </c>
    </row>
    <row r="73" spans="1:10" x14ac:dyDescent="0.25">
      <c r="A73">
        <v>607745</v>
      </c>
      <c r="B73" t="s">
        <v>37</v>
      </c>
      <c r="C73" t="s">
        <v>38</v>
      </c>
    </row>
    <row r="74" spans="1:10" x14ac:dyDescent="0.25">
      <c r="A74">
        <v>607679</v>
      </c>
      <c r="B74" t="s">
        <v>37</v>
      </c>
      <c r="C74" t="s">
        <v>39</v>
      </c>
    </row>
    <row r="75" spans="1:10" x14ac:dyDescent="0.25">
      <c r="A75">
        <v>607678</v>
      </c>
      <c r="B75" t="s">
        <v>37</v>
      </c>
      <c r="C75" t="s">
        <v>40</v>
      </c>
    </row>
    <row r="76" spans="1:10" x14ac:dyDescent="0.25">
      <c r="A76">
        <v>607948</v>
      </c>
      <c r="B76" t="s">
        <v>23</v>
      </c>
      <c r="C76" t="s">
        <v>24</v>
      </c>
    </row>
    <row r="77" spans="1:10" x14ac:dyDescent="0.25">
      <c r="A77">
        <v>607938</v>
      </c>
      <c r="B77" t="s">
        <v>23</v>
      </c>
      <c r="C77" t="s">
        <v>25</v>
      </c>
    </row>
    <row r="78" spans="1:10" x14ac:dyDescent="0.25">
      <c r="A78">
        <v>607935</v>
      </c>
      <c r="B78" t="s">
        <v>23</v>
      </c>
      <c r="C78" t="s">
        <v>26</v>
      </c>
    </row>
    <row r="79" spans="1:10" x14ac:dyDescent="0.25">
      <c r="A79">
        <v>607933</v>
      </c>
      <c r="B79" t="s">
        <v>23</v>
      </c>
      <c r="C79" t="s">
        <v>24</v>
      </c>
    </row>
    <row r="80" spans="1:10" x14ac:dyDescent="0.25">
      <c r="A80">
        <v>607928</v>
      </c>
      <c r="B80" t="s">
        <v>23</v>
      </c>
      <c r="C80" t="s">
        <v>27</v>
      </c>
    </row>
    <row r="81" spans="1:15" x14ac:dyDescent="0.25">
      <c r="A81">
        <v>607926</v>
      </c>
      <c r="B81" t="s">
        <v>23</v>
      </c>
      <c r="C81" t="s">
        <v>28</v>
      </c>
    </row>
    <row r="82" spans="1:15" x14ac:dyDescent="0.25">
      <c r="A82">
        <v>607925</v>
      </c>
      <c r="B82" t="s">
        <v>23</v>
      </c>
      <c r="C82" t="s">
        <v>29</v>
      </c>
    </row>
    <row r="83" spans="1:15" x14ac:dyDescent="0.25">
      <c r="A83">
        <v>607913</v>
      </c>
      <c r="B83" t="s">
        <v>23</v>
      </c>
      <c r="C83" t="s">
        <v>30</v>
      </c>
      <c r="D83">
        <v>4761</v>
      </c>
      <c r="E83">
        <v>4762</v>
      </c>
      <c r="F83">
        <v>4763</v>
      </c>
      <c r="G83">
        <v>4644</v>
      </c>
      <c r="H83">
        <v>4648</v>
      </c>
      <c r="I83">
        <v>4799</v>
      </c>
      <c r="J83">
        <v>4820</v>
      </c>
      <c r="K83">
        <v>4821</v>
      </c>
      <c r="L83">
        <v>4841</v>
      </c>
      <c r="M83">
        <v>4895</v>
      </c>
      <c r="N83">
        <v>5018</v>
      </c>
      <c r="O83" t="s">
        <v>118</v>
      </c>
    </row>
    <row r="84" spans="1:15" x14ac:dyDescent="0.25">
      <c r="A84">
        <v>607909</v>
      </c>
      <c r="B84" t="s">
        <v>23</v>
      </c>
      <c r="C84" t="s">
        <v>31</v>
      </c>
    </row>
    <row r="85" spans="1:15" x14ac:dyDescent="0.25">
      <c r="A85">
        <v>607908</v>
      </c>
      <c r="B85" t="s">
        <v>23</v>
      </c>
      <c r="C85" t="s">
        <v>32</v>
      </c>
    </row>
    <row r="86" spans="1:15" x14ac:dyDescent="0.25">
      <c r="A86">
        <v>607891</v>
      </c>
      <c r="B86" t="s">
        <v>23</v>
      </c>
      <c r="C86" t="s">
        <v>33</v>
      </c>
    </row>
    <row r="87" spans="1:15" x14ac:dyDescent="0.25">
      <c r="A87">
        <v>607880</v>
      </c>
      <c r="B87" t="s">
        <v>23</v>
      </c>
      <c r="C87" t="s">
        <v>34</v>
      </c>
    </row>
    <row r="88" spans="1:15" x14ac:dyDescent="0.25">
      <c r="A88">
        <v>607875</v>
      </c>
      <c r="B88" t="s">
        <v>23</v>
      </c>
      <c r="C88" t="s">
        <v>30</v>
      </c>
      <c r="D88">
        <v>4761</v>
      </c>
      <c r="E88">
        <v>4762</v>
      </c>
      <c r="F88">
        <v>4763</v>
      </c>
      <c r="G88">
        <v>4644</v>
      </c>
      <c r="H88">
        <v>4648</v>
      </c>
      <c r="I88">
        <v>4799</v>
      </c>
      <c r="J88">
        <v>4820</v>
      </c>
      <c r="K88">
        <v>4821</v>
      </c>
      <c r="L88">
        <v>4841</v>
      </c>
      <c r="M88">
        <v>4895</v>
      </c>
      <c r="N88">
        <v>5018</v>
      </c>
      <c r="O88" t="s">
        <v>118</v>
      </c>
    </row>
    <row r="89" spans="1:15" x14ac:dyDescent="0.25">
      <c r="A89">
        <v>607861</v>
      </c>
      <c r="B89" t="s">
        <v>23</v>
      </c>
      <c r="C89" t="s">
        <v>35</v>
      </c>
    </row>
    <row r="90" spans="1:15" x14ac:dyDescent="0.25">
      <c r="A90">
        <v>607854</v>
      </c>
      <c r="B90" t="s">
        <v>23</v>
      </c>
      <c r="C90" t="s">
        <v>36</v>
      </c>
    </row>
    <row r="91" spans="1:15" x14ac:dyDescent="0.25">
      <c r="A91">
        <v>608097</v>
      </c>
      <c r="B91" t="s">
        <v>20</v>
      </c>
      <c r="C91" t="s">
        <v>21</v>
      </c>
    </row>
    <row r="92" spans="1:15" x14ac:dyDescent="0.25">
      <c r="A92">
        <v>608040</v>
      </c>
      <c r="B92" t="s">
        <v>20</v>
      </c>
      <c r="C92" t="s">
        <v>22</v>
      </c>
    </row>
    <row r="93" spans="1:15" x14ac:dyDescent="0.25">
      <c r="A93">
        <v>608196</v>
      </c>
      <c r="B93" t="s">
        <v>18</v>
      </c>
      <c r="C93" t="s">
        <v>19</v>
      </c>
    </row>
    <row r="94" spans="1:15" x14ac:dyDescent="0.25">
      <c r="A94">
        <v>608298</v>
      </c>
      <c r="B94" t="s">
        <v>16</v>
      </c>
      <c r="C94" t="s">
        <v>17</v>
      </c>
    </row>
    <row r="95" spans="1:15" x14ac:dyDescent="0.25">
      <c r="A95">
        <v>608478</v>
      </c>
      <c r="B95" t="s">
        <v>119</v>
      </c>
      <c r="C95" t="s">
        <v>120</v>
      </c>
    </row>
    <row r="96" spans="1:15" x14ac:dyDescent="0.25">
      <c r="A96">
        <v>608460</v>
      </c>
      <c r="B96" t="s">
        <v>119</v>
      </c>
      <c r="C96" t="s">
        <v>121</v>
      </c>
    </row>
    <row r="97" spans="1:4" x14ac:dyDescent="0.25">
      <c r="A97">
        <v>608415</v>
      </c>
      <c r="B97" t="s">
        <v>119</v>
      </c>
      <c r="C97" t="s">
        <v>122</v>
      </c>
    </row>
    <row r="98" spans="1:4" x14ac:dyDescent="0.25">
      <c r="A98">
        <v>608599</v>
      </c>
      <c r="B98" t="s">
        <v>123</v>
      </c>
      <c r="C98" t="s">
        <v>124</v>
      </c>
    </row>
    <row r="99" spans="1:4" x14ac:dyDescent="0.25">
      <c r="A99">
        <v>608562</v>
      </c>
      <c r="B99" t="s">
        <v>123</v>
      </c>
      <c r="C99" t="s">
        <v>125</v>
      </c>
    </row>
    <row r="100" spans="1:4" x14ac:dyDescent="0.25">
      <c r="A100">
        <v>608555</v>
      </c>
      <c r="B100" t="s">
        <v>123</v>
      </c>
      <c r="C100" t="s">
        <v>126</v>
      </c>
    </row>
    <row r="101" spans="1:4" x14ac:dyDescent="0.25">
      <c r="A101">
        <v>608770</v>
      </c>
      <c r="B101" t="s">
        <v>127</v>
      </c>
      <c r="C101" t="s">
        <v>128</v>
      </c>
    </row>
    <row r="102" spans="1:4" x14ac:dyDescent="0.25">
      <c r="A102">
        <v>608696</v>
      </c>
      <c r="B102" t="s">
        <v>127</v>
      </c>
      <c r="C102" t="s">
        <v>129</v>
      </c>
    </row>
    <row r="103" spans="1:4" x14ac:dyDescent="0.25">
      <c r="A103">
        <v>608695</v>
      </c>
      <c r="B103" t="s">
        <v>127</v>
      </c>
      <c r="C103" t="s">
        <v>130</v>
      </c>
    </row>
    <row r="104" spans="1:4" x14ac:dyDescent="0.25">
      <c r="A104">
        <v>608880</v>
      </c>
      <c r="B104" t="s">
        <v>131</v>
      </c>
      <c r="C104" t="s">
        <v>132</v>
      </c>
    </row>
    <row r="105" spans="1:4" x14ac:dyDescent="0.25">
      <c r="A105">
        <v>609231</v>
      </c>
      <c r="B105" t="s">
        <v>133</v>
      </c>
      <c r="C105" t="s">
        <v>134</v>
      </c>
      <c r="D105" t="s">
        <v>135</v>
      </c>
    </row>
    <row r="106" spans="1:4" x14ac:dyDescent="0.25">
      <c r="A106">
        <v>609554</v>
      </c>
      <c r="B106" t="s">
        <v>136</v>
      </c>
      <c r="C106" t="s">
        <v>137</v>
      </c>
      <c r="D106">
        <v>1692</v>
      </c>
    </row>
    <row r="107" spans="1:4" x14ac:dyDescent="0.25">
      <c r="A107">
        <v>609684</v>
      </c>
      <c r="B107" t="s">
        <v>138</v>
      </c>
      <c r="C107" t="s">
        <v>139</v>
      </c>
    </row>
    <row r="108" spans="1:4" x14ac:dyDescent="0.25">
      <c r="A108">
        <v>609641</v>
      </c>
      <c r="B108" t="s">
        <v>138</v>
      </c>
      <c r="C108" t="s">
        <v>140</v>
      </c>
    </row>
    <row r="109" spans="1:4" x14ac:dyDescent="0.25">
      <c r="A109">
        <v>609635</v>
      </c>
      <c r="B109" t="s">
        <v>138</v>
      </c>
      <c r="C109" t="s">
        <v>141</v>
      </c>
    </row>
    <row r="110" spans="1:4" x14ac:dyDescent="0.25">
      <c r="A110">
        <v>609632</v>
      </c>
      <c r="B110" t="s">
        <v>138</v>
      </c>
      <c r="C110" t="s">
        <v>142</v>
      </c>
    </row>
    <row r="111" spans="1:4" x14ac:dyDescent="0.25">
      <c r="A111">
        <v>609770</v>
      </c>
      <c r="B111" t="s">
        <v>143</v>
      </c>
      <c r="C111" t="s">
        <v>144</v>
      </c>
    </row>
    <row r="112" spans="1:4" x14ac:dyDescent="0.25">
      <c r="A112">
        <v>609976</v>
      </c>
      <c r="B112" t="s">
        <v>145</v>
      </c>
      <c r="C112" t="s">
        <v>146</v>
      </c>
    </row>
    <row r="113" spans="1:5" x14ac:dyDescent="0.25">
      <c r="A113">
        <v>610278</v>
      </c>
      <c r="B113" t="s">
        <v>147</v>
      </c>
      <c r="C113" t="s">
        <v>148</v>
      </c>
      <c r="D113" t="s">
        <v>149</v>
      </c>
      <c r="E113" t="s">
        <v>150</v>
      </c>
    </row>
    <row r="114" spans="1:5" x14ac:dyDescent="0.25">
      <c r="A114">
        <v>610225</v>
      </c>
      <c r="B114" t="s">
        <v>147</v>
      </c>
      <c r="C114" t="s">
        <v>151</v>
      </c>
    </row>
    <row r="115" spans="1:5" x14ac:dyDescent="0.25">
      <c r="A115">
        <v>610496</v>
      </c>
      <c r="B115" t="s">
        <v>152</v>
      </c>
      <c r="C115" t="s">
        <v>153</v>
      </c>
      <c r="D115" t="s">
        <v>154</v>
      </c>
    </row>
    <row r="116" spans="1:5" x14ac:dyDescent="0.25">
      <c r="A116"/>
      <c r="B116"/>
    </row>
    <row r="117" spans="1:5" x14ac:dyDescent="0.25">
      <c r="A117"/>
      <c r="B117"/>
    </row>
    <row r="118" spans="1:5" x14ac:dyDescent="0.25">
      <c r="A118"/>
      <c r="B118"/>
    </row>
    <row r="119" spans="1:5" x14ac:dyDescent="0.25">
      <c r="A119"/>
      <c r="B119"/>
    </row>
    <row r="120" spans="1:5" x14ac:dyDescent="0.25">
      <c r="A120"/>
      <c r="B120"/>
    </row>
    <row r="121" spans="1:5" x14ac:dyDescent="0.25">
      <c r="A121"/>
      <c r="B121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2:B7"/>
  <sheetViews>
    <sheetView workbookViewId="0">
      <selection activeCell="A2" sqref="A2:B7"/>
    </sheetView>
  </sheetViews>
  <sheetFormatPr defaultRowHeight="15" x14ac:dyDescent="0.25"/>
  <cols>
    <col min="1" max="1" width="48.5703125" customWidth="1"/>
    <col min="3" max="3" width="22.140625" customWidth="1"/>
  </cols>
  <sheetData>
    <row r="2" spans="1:2" x14ac:dyDescent="0.25">
      <c r="A2" s="17" t="s">
        <v>188</v>
      </c>
      <c r="B2" s="42">
        <v>0.1</v>
      </c>
    </row>
    <row r="3" spans="1:2" x14ac:dyDescent="0.25">
      <c r="A3" s="17" t="s">
        <v>187</v>
      </c>
      <c r="B3" s="42">
        <f>(0.5+1+2)/3</f>
        <v>1.1666666666666667</v>
      </c>
    </row>
    <row r="4" spans="1:2" x14ac:dyDescent="0.25">
      <c r="A4" s="17" t="s">
        <v>189</v>
      </c>
      <c r="B4" s="17">
        <v>1.3</v>
      </c>
    </row>
    <row r="6" spans="1:2" x14ac:dyDescent="0.25">
      <c r="A6" s="17" t="s">
        <v>190</v>
      </c>
      <c r="B6" s="17">
        <v>86</v>
      </c>
    </row>
    <row r="7" spans="1:2" x14ac:dyDescent="0.25">
      <c r="A7" s="17" t="s">
        <v>191</v>
      </c>
      <c r="B7" s="17">
        <f>B4*B6</f>
        <v>111.8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29"/>
  <sheetViews>
    <sheetView topLeftCell="A6" workbookViewId="0">
      <pane ySplit="7200" topLeftCell="A426" activePane="bottomLeft"/>
      <selection activeCell="A22" sqref="A22:XFD426"/>
      <selection pane="bottomLeft" activeCell="B432" sqref="B432"/>
    </sheetView>
  </sheetViews>
  <sheetFormatPr defaultRowHeight="15" x14ac:dyDescent="0.25"/>
  <cols>
    <col min="1" max="1" width="9.140625" style="40"/>
    <col min="2" max="2" width="76" style="2" customWidth="1"/>
    <col min="3" max="3" width="17" style="2" customWidth="1"/>
  </cols>
  <sheetData>
    <row r="1" spans="1:3" ht="21.75" x14ac:dyDescent="0.25">
      <c r="A1" s="34" t="s">
        <v>15</v>
      </c>
    </row>
    <row r="2" spans="1:3" x14ac:dyDescent="0.25">
      <c r="A2" s="35" t="s">
        <v>158</v>
      </c>
      <c r="B2"/>
    </row>
    <row r="3" spans="1:3" x14ac:dyDescent="0.25">
      <c r="A3" s="36" t="s">
        <v>157</v>
      </c>
      <c r="B3"/>
    </row>
    <row r="6" spans="1:3" x14ac:dyDescent="0.25">
      <c r="A6" s="37" t="s">
        <v>110</v>
      </c>
      <c r="B6" s="38" t="s">
        <v>159</v>
      </c>
      <c r="C6" s="38" t="s">
        <v>160</v>
      </c>
    </row>
    <row r="7" spans="1:3" x14ac:dyDescent="0.25">
      <c r="A7" s="39"/>
      <c r="B7" s="33"/>
      <c r="C7" s="32"/>
    </row>
    <row r="8" spans="1:3" x14ac:dyDescent="0.25">
      <c r="A8" s="39"/>
      <c r="B8" s="33"/>
      <c r="C8" s="32"/>
    </row>
    <row r="9" spans="1:3" x14ac:dyDescent="0.25">
      <c r="A9" s="39"/>
      <c r="B9" s="33"/>
      <c r="C9" s="32"/>
    </row>
    <row r="10" spans="1:3" x14ac:dyDescent="0.25">
      <c r="A10" s="39"/>
      <c r="B10" s="33"/>
      <c r="C10" s="32"/>
    </row>
    <row r="11" spans="1:3" x14ac:dyDescent="0.25">
      <c r="A11" s="39"/>
      <c r="B11" s="33"/>
      <c r="C11" s="32"/>
    </row>
    <row r="12" spans="1:3" x14ac:dyDescent="0.25">
      <c r="A12" s="39"/>
      <c r="B12" s="33"/>
      <c r="C12" s="32"/>
    </row>
    <row r="13" spans="1:3" x14ac:dyDescent="0.25">
      <c r="A13" s="39"/>
      <c r="B13" s="33"/>
      <c r="C13" s="32"/>
    </row>
    <row r="14" spans="1:3" x14ac:dyDescent="0.25">
      <c r="A14" s="39"/>
      <c r="B14" s="33"/>
      <c r="C14" s="32"/>
    </row>
    <row r="15" spans="1:3" x14ac:dyDescent="0.25">
      <c r="A15" s="39"/>
      <c r="B15" s="33"/>
      <c r="C15" s="32"/>
    </row>
    <row r="16" spans="1:3" x14ac:dyDescent="0.25">
      <c r="A16" s="39"/>
      <c r="B16" s="33"/>
      <c r="C16" s="32"/>
    </row>
    <row r="17" spans="1:3" x14ac:dyDescent="0.25">
      <c r="A17" s="39"/>
      <c r="B17" s="33"/>
      <c r="C17" s="32"/>
    </row>
    <row r="18" spans="1:3" x14ac:dyDescent="0.25">
      <c r="A18" s="39"/>
      <c r="B18" s="33"/>
      <c r="C18" s="32"/>
    </row>
    <row r="19" spans="1:3" x14ac:dyDescent="0.25">
      <c r="A19" s="39"/>
      <c r="B19" s="33"/>
      <c r="C19" s="32"/>
    </row>
    <row r="20" spans="1:3" x14ac:dyDescent="0.25">
      <c r="A20" s="39"/>
      <c r="B20" s="33"/>
      <c r="C20" s="32"/>
    </row>
    <row r="21" spans="1:3" x14ac:dyDescent="0.25">
      <c r="A21" s="39"/>
      <c r="B21" s="33"/>
      <c r="C21" s="32"/>
    </row>
    <row r="22" spans="1:3" x14ac:dyDescent="0.25">
      <c r="A22" s="40" t="e">
        <f>SUM(#REF!)</f>
        <v>#REF!</v>
      </c>
    </row>
    <row r="24" spans="1:3" x14ac:dyDescent="0.25">
      <c r="A24" s="37" t="s">
        <v>161</v>
      </c>
      <c r="B24" s="38" t="s">
        <v>165</v>
      </c>
    </row>
    <row r="25" spans="1:3" x14ac:dyDescent="0.25">
      <c r="A25" s="39"/>
      <c r="B25" s="32"/>
    </row>
    <row r="26" spans="1:3" x14ac:dyDescent="0.25">
      <c r="A26" s="39"/>
      <c r="B26" s="32"/>
    </row>
    <row r="27" spans="1:3" x14ac:dyDescent="0.25">
      <c r="A27" s="39"/>
      <c r="B27" s="32"/>
    </row>
    <row r="28" spans="1:3" x14ac:dyDescent="0.25">
      <c r="A28" s="39"/>
      <c r="B28" s="32"/>
    </row>
    <row r="29" spans="1:3" x14ac:dyDescent="0.25">
      <c r="A29" s="40">
        <f>SUM(A25:A28)</f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5"/>
  <sheetViews>
    <sheetView workbookViewId="0">
      <selection activeCell="B9" sqref="B9"/>
    </sheetView>
  </sheetViews>
  <sheetFormatPr defaultRowHeight="15" x14ac:dyDescent="0.25"/>
  <sheetData>
    <row r="1" spans="1:2" x14ac:dyDescent="0.25">
      <c r="A1" t="s">
        <v>186</v>
      </c>
    </row>
    <row r="3" spans="1:2" x14ac:dyDescent="0.25">
      <c r="A3" s="17" t="s">
        <v>184</v>
      </c>
      <c r="B3" s="17">
        <v>348</v>
      </c>
    </row>
    <row r="4" spans="1:2" x14ac:dyDescent="0.25">
      <c r="A4" s="17" t="s">
        <v>185</v>
      </c>
      <c r="B4" s="17">
        <v>393</v>
      </c>
    </row>
    <row r="5" spans="1:2" x14ac:dyDescent="0.25">
      <c r="A5" s="17"/>
      <c r="B5" s="17">
        <f>SUM(B3:B4)</f>
        <v>741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29"/>
  <sheetViews>
    <sheetView topLeftCell="B1" workbookViewId="0">
      <pane ySplit="6060" topLeftCell="A516" activePane="bottomLeft"/>
      <selection activeCell="A15" sqref="A15:XFD518"/>
      <selection pane="bottomLeft" activeCell="K528" sqref="K528"/>
    </sheetView>
  </sheetViews>
  <sheetFormatPr defaultRowHeight="15" x14ac:dyDescent="0.25"/>
  <cols>
    <col min="1" max="1" width="9.140625" style="2"/>
    <col min="2" max="2" width="81.140625" style="2" customWidth="1"/>
    <col min="3" max="3" width="17.5703125" style="2" customWidth="1"/>
  </cols>
  <sheetData>
    <row r="1" spans="1:3" ht="18.75" x14ac:dyDescent="0.3">
      <c r="A1" s="23" t="s">
        <v>14</v>
      </c>
      <c r="B1"/>
      <c r="C1"/>
    </row>
    <row r="2" spans="1:3" x14ac:dyDescent="0.25">
      <c r="A2" s="21" t="s">
        <v>183</v>
      </c>
      <c r="B2"/>
      <c r="C2"/>
    </row>
    <row r="3" spans="1:3" x14ac:dyDescent="0.25">
      <c r="A3"/>
      <c r="B3"/>
      <c r="C3"/>
    </row>
    <row r="4" spans="1:3" ht="18.75" x14ac:dyDescent="0.3">
      <c r="A4" s="22" t="s">
        <v>156</v>
      </c>
      <c r="B4"/>
      <c r="C4"/>
    </row>
    <row r="5" spans="1:3" ht="18.75" x14ac:dyDescent="0.3">
      <c r="A5" s="22"/>
      <c r="B5"/>
      <c r="C5"/>
    </row>
    <row r="6" spans="1:3" ht="18.75" x14ac:dyDescent="0.3">
      <c r="A6" s="22" t="s">
        <v>110</v>
      </c>
      <c r="B6" t="s">
        <v>159</v>
      </c>
      <c r="C6"/>
    </row>
    <row r="7" spans="1:3" x14ac:dyDescent="0.25">
      <c r="B7" s="41"/>
    </row>
    <row r="8" spans="1:3" x14ac:dyDescent="0.25">
      <c r="B8" s="41"/>
    </row>
    <row r="9" spans="1:3" x14ac:dyDescent="0.25">
      <c r="B9" s="41"/>
    </row>
    <row r="10" spans="1:3" x14ac:dyDescent="0.25">
      <c r="B10" s="41"/>
    </row>
    <row r="11" spans="1:3" x14ac:dyDescent="0.25">
      <c r="B11" s="41"/>
    </row>
    <row r="12" spans="1:3" x14ac:dyDescent="0.25">
      <c r="B12" s="41"/>
    </row>
    <row r="13" spans="1:3" x14ac:dyDescent="0.25">
      <c r="B13" s="41"/>
    </row>
    <row r="14" spans="1:3" x14ac:dyDescent="0.25">
      <c r="B14" s="41"/>
    </row>
    <row r="15" spans="1:3" s="2" customFormat="1" x14ac:dyDescent="0.25">
      <c r="A15" s="37" t="s">
        <v>161</v>
      </c>
      <c r="B15" s="38" t="s">
        <v>159</v>
      </c>
    </row>
    <row r="16" spans="1:3" s="2" customFormat="1" x14ac:dyDescent="0.25">
      <c r="A16" s="39"/>
      <c r="B16" s="32"/>
    </row>
    <row r="17" spans="1:2" s="2" customFormat="1" x14ac:dyDescent="0.25">
      <c r="A17" s="39"/>
      <c r="B17" s="32"/>
    </row>
    <row r="18" spans="1:2" s="2" customFormat="1" x14ac:dyDescent="0.25">
      <c r="A18" s="39"/>
      <c r="B18" s="32"/>
    </row>
    <row r="19" spans="1:2" s="2" customFormat="1" x14ac:dyDescent="0.25">
      <c r="A19" s="39"/>
      <c r="B19" s="32"/>
    </row>
    <row r="20" spans="1:2" s="2" customFormat="1" x14ac:dyDescent="0.25">
      <c r="A20" s="39"/>
      <c r="B20" s="32"/>
    </row>
    <row r="21" spans="1:2" s="2" customFormat="1" x14ac:dyDescent="0.25">
      <c r="A21" s="39"/>
      <c r="B21" s="32"/>
    </row>
    <row r="22" spans="1:2" s="2" customFormat="1" x14ac:dyDescent="0.25">
      <c r="A22" s="40">
        <f>SUM(A16:A21)</f>
        <v>0</v>
      </c>
    </row>
    <row r="23" spans="1:2" s="2" customFormat="1" x14ac:dyDescent="0.25">
      <c r="A23" s="40"/>
    </row>
    <row r="24" spans="1:2" s="2" customFormat="1" x14ac:dyDescent="0.25">
      <c r="A24" s="37" t="s">
        <v>161</v>
      </c>
      <c r="B24" s="38" t="s">
        <v>165</v>
      </c>
    </row>
    <row r="25" spans="1:2" s="2" customFormat="1" x14ac:dyDescent="0.25">
      <c r="A25" s="39">
        <v>105</v>
      </c>
      <c r="B25" s="32" t="s">
        <v>182</v>
      </c>
    </row>
    <row r="26" spans="1:2" s="2" customFormat="1" x14ac:dyDescent="0.25">
      <c r="A26" s="39">
        <v>271</v>
      </c>
      <c r="B26" s="32" t="s">
        <v>166</v>
      </c>
    </row>
    <row r="27" spans="1:2" s="2" customFormat="1" x14ac:dyDescent="0.25">
      <c r="A27" s="39">
        <v>75</v>
      </c>
      <c r="B27" s="32" t="s">
        <v>167</v>
      </c>
    </row>
    <row r="28" spans="1:2" s="2" customFormat="1" x14ac:dyDescent="0.25">
      <c r="A28" s="39">
        <v>61</v>
      </c>
      <c r="B28" s="32" t="s">
        <v>168</v>
      </c>
    </row>
    <row r="29" spans="1:2" s="2" customFormat="1" x14ac:dyDescent="0.25">
      <c r="A29" s="40">
        <f>SUM(A25:A28)</f>
        <v>512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1:BZ46"/>
  <sheetViews>
    <sheetView topLeftCell="A19" workbookViewId="0">
      <selection activeCell="CL33" sqref="CL33"/>
    </sheetView>
  </sheetViews>
  <sheetFormatPr defaultRowHeight="15" outlineLevelRow="1" outlineLevelCol="1" x14ac:dyDescent="0.25"/>
  <cols>
    <col min="1" max="1" width="3.42578125" customWidth="1"/>
    <col min="2" max="2" width="26.7109375" customWidth="1"/>
    <col min="3" max="4" width="11.85546875" style="2" hidden="1" customWidth="1"/>
    <col min="5" max="5" width="4.28515625" style="2" hidden="1" customWidth="1"/>
    <col min="6" max="7" width="4.28515625" style="2" hidden="1" customWidth="1" outlineLevel="1"/>
    <col min="8" max="8" width="3.85546875" style="2" hidden="1" customWidth="1" outlineLevel="1"/>
    <col min="9" max="24" width="2.28515625" style="2" hidden="1" customWidth="1" outlineLevel="1"/>
    <col min="25" max="38" width="2.28515625" hidden="1" customWidth="1" outlineLevel="1"/>
    <col min="39" max="39" width="4.7109375" hidden="1" customWidth="1" outlineLevel="1"/>
    <col min="40" max="62" width="2.28515625" hidden="1" customWidth="1" outlineLevel="1"/>
    <col min="63" max="70" width="2.28515625" customWidth="1" outlineLevel="1"/>
    <col min="71" max="75" width="2.28515625" customWidth="1"/>
    <col min="76" max="78" width="5.42578125" customWidth="1"/>
  </cols>
  <sheetData>
    <row r="1" spans="2:2" x14ac:dyDescent="0.25">
      <c r="B1" s="3" t="s">
        <v>688</v>
      </c>
    </row>
    <row r="3" spans="2:2" ht="10.5" customHeight="1" x14ac:dyDescent="0.25"/>
    <row r="4" spans="2:2" ht="54.75" customHeight="1" x14ac:dyDescent="0.25"/>
    <row r="9" spans="2:2" ht="49.5" customHeight="1" x14ac:dyDescent="0.25"/>
    <row r="10" spans="2:2" ht="21" customHeight="1" x14ac:dyDescent="0.25"/>
    <row r="15" spans="2:2" ht="38.25" customHeight="1" x14ac:dyDescent="0.25"/>
    <row r="16" spans="2:2" ht="9" customHeight="1" outlineLevel="1" x14ac:dyDescent="0.25"/>
    <row r="17" spans="2:78" ht="57" customHeight="1" outlineLevel="1" x14ac:dyDescent="0.25">
      <c r="B17" s="1" t="s">
        <v>3</v>
      </c>
      <c r="C17" s="4">
        <v>40923</v>
      </c>
      <c r="D17" s="4">
        <v>40930</v>
      </c>
      <c r="E17" s="4">
        <v>40937</v>
      </c>
      <c r="F17" s="4">
        <v>40944</v>
      </c>
      <c r="G17" s="4">
        <v>40951</v>
      </c>
      <c r="H17" s="4">
        <v>40958</v>
      </c>
      <c r="I17" s="4">
        <v>40965</v>
      </c>
      <c r="J17" s="4">
        <v>40972</v>
      </c>
      <c r="K17" s="4">
        <v>40980</v>
      </c>
      <c r="L17" s="4">
        <v>40995</v>
      </c>
      <c r="M17" s="4">
        <v>41008</v>
      </c>
      <c r="N17" s="4">
        <v>41016</v>
      </c>
      <c r="O17" s="4">
        <v>41022</v>
      </c>
      <c r="P17" s="4">
        <v>41029</v>
      </c>
      <c r="Q17" s="4">
        <v>41043</v>
      </c>
      <c r="R17" s="4">
        <v>41049</v>
      </c>
      <c r="S17" s="4">
        <v>41058</v>
      </c>
      <c r="T17" s="4">
        <v>41064</v>
      </c>
      <c r="U17" s="4">
        <v>41072</v>
      </c>
      <c r="V17" s="4">
        <v>41078</v>
      </c>
      <c r="W17" s="4">
        <v>41085</v>
      </c>
      <c r="X17" s="4">
        <v>41092</v>
      </c>
      <c r="Y17" s="4">
        <v>41099</v>
      </c>
      <c r="Z17" s="4">
        <v>41106</v>
      </c>
      <c r="AA17" s="4">
        <v>41113</v>
      </c>
      <c r="AB17" s="4">
        <v>41120</v>
      </c>
      <c r="AC17" s="4">
        <v>41127</v>
      </c>
      <c r="AD17" s="4">
        <v>41159</v>
      </c>
      <c r="AE17" s="4">
        <v>41170</v>
      </c>
      <c r="AF17" s="4">
        <v>41184</v>
      </c>
      <c r="AG17" s="4">
        <v>41190</v>
      </c>
      <c r="AH17" s="4">
        <v>41204</v>
      </c>
      <c r="AI17" s="4">
        <v>41215</v>
      </c>
      <c r="AJ17" s="4">
        <v>41227</v>
      </c>
      <c r="AK17" s="4">
        <v>41238</v>
      </c>
      <c r="AL17" s="4">
        <v>41252</v>
      </c>
      <c r="AM17" s="4">
        <v>41281</v>
      </c>
      <c r="AN17" s="4">
        <v>41288</v>
      </c>
      <c r="AO17" s="4">
        <v>41295</v>
      </c>
      <c r="AP17" s="4">
        <v>41308</v>
      </c>
      <c r="AQ17" s="4">
        <v>41315</v>
      </c>
      <c r="AR17" s="4">
        <v>41330</v>
      </c>
      <c r="AS17" s="4">
        <v>41337</v>
      </c>
      <c r="AT17" s="4">
        <v>41344</v>
      </c>
      <c r="AU17" s="4">
        <v>41351</v>
      </c>
      <c r="AV17" s="4">
        <v>41358</v>
      </c>
      <c r="AW17" s="4">
        <v>41364</v>
      </c>
      <c r="AX17" s="4">
        <v>41372</v>
      </c>
      <c r="AY17" s="4">
        <v>41379</v>
      </c>
      <c r="AZ17" s="4">
        <v>41385</v>
      </c>
      <c r="BA17" s="4">
        <v>41392</v>
      </c>
      <c r="BB17" s="4">
        <v>41400</v>
      </c>
      <c r="BC17" s="4">
        <v>41406</v>
      </c>
      <c r="BD17" s="4">
        <v>41413</v>
      </c>
      <c r="BE17" s="4">
        <v>41420</v>
      </c>
      <c r="BF17" s="4">
        <v>41427</v>
      </c>
      <c r="BG17" s="4">
        <v>41434</v>
      </c>
      <c r="BH17" s="4">
        <v>41441</v>
      </c>
      <c r="BI17" s="4">
        <v>41448</v>
      </c>
      <c r="BJ17" s="4">
        <v>41455</v>
      </c>
      <c r="BK17" s="4">
        <v>41462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</row>
    <row r="18" spans="2:78" outlineLevel="1" x14ac:dyDescent="0.25">
      <c r="B18" s="5" t="s">
        <v>689</v>
      </c>
      <c r="C18" s="5">
        <v>4042</v>
      </c>
      <c r="D18" s="5">
        <v>4037</v>
      </c>
      <c r="E18" s="5">
        <v>4041</v>
      </c>
      <c r="F18" s="5">
        <v>3963</v>
      </c>
      <c r="G18" s="5">
        <v>3966</v>
      </c>
      <c r="H18" s="5">
        <v>3881</v>
      </c>
      <c r="I18" s="5">
        <v>3880</v>
      </c>
      <c r="J18" s="5">
        <v>3880</v>
      </c>
      <c r="K18" s="5">
        <v>3883</v>
      </c>
      <c r="L18" s="5">
        <v>3928</v>
      </c>
      <c r="M18" s="5">
        <v>3913</v>
      </c>
      <c r="N18" s="5">
        <v>3831</v>
      </c>
      <c r="O18" s="5">
        <v>3831</v>
      </c>
      <c r="P18" s="5">
        <v>3789</v>
      </c>
      <c r="Q18" s="5">
        <v>3711</v>
      </c>
      <c r="R18" s="5">
        <v>3660</v>
      </c>
      <c r="S18" s="5">
        <v>3608</v>
      </c>
      <c r="T18" s="5">
        <v>3576</v>
      </c>
      <c r="U18" s="5">
        <v>3416</v>
      </c>
      <c r="V18" s="5">
        <v>3336</v>
      </c>
      <c r="W18" s="5">
        <v>3287</v>
      </c>
      <c r="X18" s="5">
        <v>3142</v>
      </c>
      <c r="Y18" s="5">
        <v>3147</v>
      </c>
      <c r="Z18" s="5">
        <v>3149</v>
      </c>
      <c r="AA18" s="5">
        <v>3148</v>
      </c>
      <c r="AB18" s="5">
        <v>3145</v>
      </c>
      <c r="AC18" s="5">
        <v>3145</v>
      </c>
      <c r="AD18" s="5">
        <v>2891</v>
      </c>
      <c r="AE18" s="5">
        <v>2852</v>
      </c>
      <c r="AF18" s="5">
        <v>2852</v>
      </c>
      <c r="AG18" s="5">
        <v>2747</v>
      </c>
      <c r="AH18" s="5">
        <v>2706</v>
      </c>
      <c r="AI18" s="5">
        <v>2687</v>
      </c>
      <c r="AJ18" s="5">
        <v>2685</v>
      </c>
      <c r="AK18" s="5">
        <v>5476</v>
      </c>
      <c r="AL18" s="5">
        <v>4084</v>
      </c>
      <c r="AM18" s="5">
        <v>4071</v>
      </c>
      <c r="AN18" s="5">
        <v>4068</v>
      </c>
      <c r="AO18" s="5">
        <v>4067</v>
      </c>
      <c r="AP18" s="5">
        <v>4082</v>
      </c>
      <c r="AQ18" s="5">
        <v>3961</v>
      </c>
      <c r="AR18" s="5">
        <v>4420</v>
      </c>
      <c r="AS18" s="5">
        <v>4547</v>
      </c>
      <c r="AT18" s="5">
        <v>3712</v>
      </c>
      <c r="AU18" s="5">
        <v>3543</v>
      </c>
      <c r="AV18" s="5">
        <v>3204</v>
      </c>
      <c r="AW18" s="5">
        <v>3148</v>
      </c>
      <c r="AX18" s="5">
        <v>3067</v>
      </c>
      <c r="AY18" s="5">
        <v>3060</v>
      </c>
      <c r="AZ18" s="5">
        <v>3015</v>
      </c>
      <c r="BA18" s="5">
        <v>3375</v>
      </c>
      <c r="BB18" s="5">
        <v>2728</v>
      </c>
      <c r="BC18" s="5">
        <v>2708</v>
      </c>
      <c r="BD18" s="5">
        <v>2708</v>
      </c>
      <c r="BE18" s="5">
        <v>2706</v>
      </c>
      <c r="BF18" s="5">
        <v>2726</v>
      </c>
      <c r="BG18" s="5">
        <v>2732</v>
      </c>
      <c r="BH18" s="5">
        <v>2731</v>
      </c>
      <c r="BI18" s="5">
        <v>2687</v>
      </c>
      <c r="BJ18" s="5">
        <v>2690</v>
      </c>
      <c r="BK18" s="5">
        <v>2694</v>
      </c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</row>
    <row r="19" spans="2:78" outlineLevel="1" x14ac:dyDescent="0.25">
      <c r="B19" s="5" t="s">
        <v>690</v>
      </c>
      <c r="C19" s="5">
        <v>1700</v>
      </c>
      <c r="D19" s="5">
        <v>1700</v>
      </c>
      <c r="E19" s="5">
        <v>1700</v>
      </c>
      <c r="F19" s="5">
        <v>1700</v>
      </c>
      <c r="G19" s="5">
        <v>1700</v>
      </c>
      <c r="H19" s="5">
        <v>1700</v>
      </c>
      <c r="I19" s="5">
        <v>1700</v>
      </c>
      <c r="J19" s="5">
        <v>1700</v>
      </c>
      <c r="K19" s="5">
        <v>1700</v>
      </c>
      <c r="L19" s="5">
        <v>1700</v>
      </c>
      <c r="M19" s="5">
        <v>1700</v>
      </c>
      <c r="N19" s="5">
        <v>1700</v>
      </c>
      <c r="O19" s="5">
        <v>1682</v>
      </c>
      <c r="P19" s="5">
        <v>1666</v>
      </c>
      <c r="Q19" s="5">
        <v>1651</v>
      </c>
      <c r="R19" s="5">
        <v>1637</v>
      </c>
      <c r="S19" s="5">
        <v>1504</v>
      </c>
      <c r="T19" s="5">
        <v>1210</v>
      </c>
      <c r="U19" s="5">
        <v>1121</v>
      </c>
      <c r="V19" s="5">
        <v>1121</v>
      </c>
      <c r="W19" s="5">
        <v>1046</v>
      </c>
      <c r="X19" s="5">
        <v>955</v>
      </c>
      <c r="Y19" s="5">
        <v>947</v>
      </c>
      <c r="Z19" s="5">
        <v>944</v>
      </c>
      <c r="AA19" s="5">
        <v>942</v>
      </c>
      <c r="AB19" s="5">
        <v>924</v>
      </c>
      <c r="AC19" s="5">
        <v>926</v>
      </c>
      <c r="AD19" s="5">
        <v>926</v>
      </c>
      <c r="AE19" s="5">
        <v>926</v>
      </c>
      <c r="AF19" s="5">
        <v>822</v>
      </c>
      <c r="AG19" s="5">
        <v>815</v>
      </c>
      <c r="AH19" s="5">
        <v>783</v>
      </c>
      <c r="AI19" s="5">
        <v>804</v>
      </c>
      <c r="AJ19" s="5">
        <v>781</v>
      </c>
      <c r="AK19" s="5">
        <v>2674</v>
      </c>
      <c r="AL19" s="5">
        <v>1987</v>
      </c>
      <c r="AM19" s="5">
        <v>1809</v>
      </c>
      <c r="AN19" s="5">
        <v>1809</v>
      </c>
      <c r="AO19" s="5">
        <v>1809</v>
      </c>
      <c r="AP19" s="5">
        <v>1805</v>
      </c>
      <c r="AQ19" s="5">
        <v>1631</v>
      </c>
      <c r="AR19" s="5">
        <v>1631</v>
      </c>
      <c r="AS19" s="5">
        <v>1631</v>
      </c>
      <c r="AT19" s="5">
        <v>1562</v>
      </c>
      <c r="AU19" s="5">
        <v>1427</v>
      </c>
      <c r="AV19" s="5">
        <v>1429</v>
      </c>
      <c r="AW19" s="5">
        <v>1426</v>
      </c>
      <c r="AX19" s="5">
        <v>1430</v>
      </c>
      <c r="AY19" s="5">
        <v>1453</v>
      </c>
      <c r="AZ19" s="5">
        <v>1450</v>
      </c>
      <c r="BA19" s="5">
        <v>1450</v>
      </c>
      <c r="BB19" s="5">
        <v>1554</v>
      </c>
      <c r="BC19" s="5">
        <v>1441</v>
      </c>
      <c r="BD19" s="5">
        <v>1440</v>
      </c>
      <c r="BE19" s="5">
        <v>1388</v>
      </c>
      <c r="BF19" s="5">
        <v>1382</v>
      </c>
      <c r="BG19" s="5">
        <v>1336</v>
      </c>
      <c r="BH19" s="5">
        <v>1337</v>
      </c>
      <c r="BI19" s="5">
        <v>1339</v>
      </c>
      <c r="BJ19" s="5">
        <v>1336</v>
      </c>
      <c r="BK19" s="5">
        <v>1330</v>
      </c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</row>
    <row r="20" spans="2:78" outlineLevel="1" x14ac:dyDescent="0.25">
      <c r="B20" s="6" t="s">
        <v>691</v>
      </c>
      <c r="C20" s="5">
        <f t="shared" ref="C20:BK20" si="0">C18+C19</f>
        <v>5742</v>
      </c>
      <c r="D20" s="5">
        <f t="shared" si="0"/>
        <v>5737</v>
      </c>
      <c r="E20" s="5">
        <f t="shared" si="0"/>
        <v>5741</v>
      </c>
      <c r="F20" s="5">
        <f t="shared" si="0"/>
        <v>5663</v>
      </c>
      <c r="G20" s="5">
        <f t="shared" si="0"/>
        <v>5666</v>
      </c>
      <c r="H20" s="5">
        <f t="shared" si="0"/>
        <v>5581</v>
      </c>
      <c r="I20" s="5">
        <f t="shared" si="0"/>
        <v>5580</v>
      </c>
      <c r="J20" s="5">
        <f t="shared" si="0"/>
        <v>5580</v>
      </c>
      <c r="K20" s="5">
        <f t="shared" si="0"/>
        <v>5583</v>
      </c>
      <c r="L20" s="5">
        <f t="shared" si="0"/>
        <v>5628</v>
      </c>
      <c r="M20" s="5">
        <f t="shared" si="0"/>
        <v>5613</v>
      </c>
      <c r="N20" s="5">
        <f t="shared" si="0"/>
        <v>5531</v>
      </c>
      <c r="O20" s="5">
        <f t="shared" si="0"/>
        <v>5513</v>
      </c>
      <c r="P20" s="5">
        <f t="shared" si="0"/>
        <v>5455</v>
      </c>
      <c r="Q20" s="5">
        <f t="shared" si="0"/>
        <v>5362</v>
      </c>
      <c r="R20" s="5">
        <f t="shared" si="0"/>
        <v>5297</v>
      </c>
      <c r="S20" s="5">
        <f t="shared" si="0"/>
        <v>5112</v>
      </c>
      <c r="T20" s="5">
        <f t="shared" si="0"/>
        <v>4786</v>
      </c>
      <c r="U20" s="5">
        <f t="shared" si="0"/>
        <v>4537</v>
      </c>
      <c r="V20" s="5">
        <f t="shared" si="0"/>
        <v>4457</v>
      </c>
      <c r="W20" s="5">
        <f t="shared" si="0"/>
        <v>4333</v>
      </c>
      <c r="X20" s="5">
        <f t="shared" si="0"/>
        <v>4097</v>
      </c>
      <c r="Y20" s="5">
        <f t="shared" si="0"/>
        <v>4094</v>
      </c>
      <c r="Z20" s="5">
        <f t="shared" si="0"/>
        <v>4093</v>
      </c>
      <c r="AA20" s="5">
        <f t="shared" si="0"/>
        <v>4090</v>
      </c>
      <c r="AB20" s="5">
        <f t="shared" si="0"/>
        <v>4069</v>
      </c>
      <c r="AC20" s="5">
        <f t="shared" si="0"/>
        <v>4071</v>
      </c>
      <c r="AD20" s="5">
        <f t="shared" si="0"/>
        <v>3817</v>
      </c>
      <c r="AE20" s="5">
        <f t="shared" si="0"/>
        <v>3778</v>
      </c>
      <c r="AF20" s="5">
        <f t="shared" si="0"/>
        <v>3674</v>
      </c>
      <c r="AG20" s="5">
        <f t="shared" si="0"/>
        <v>3562</v>
      </c>
      <c r="AH20" s="5">
        <f t="shared" si="0"/>
        <v>3489</v>
      </c>
      <c r="AI20" s="5">
        <f t="shared" si="0"/>
        <v>3491</v>
      </c>
      <c r="AJ20" s="5">
        <f t="shared" si="0"/>
        <v>3466</v>
      </c>
      <c r="AK20" s="5">
        <f t="shared" si="0"/>
        <v>8150</v>
      </c>
      <c r="AL20" s="5">
        <f t="shared" si="0"/>
        <v>6071</v>
      </c>
      <c r="AM20" s="5">
        <f t="shared" si="0"/>
        <v>5880</v>
      </c>
      <c r="AN20" s="5">
        <f t="shared" si="0"/>
        <v>5877</v>
      </c>
      <c r="AO20" s="5">
        <f t="shared" si="0"/>
        <v>5876</v>
      </c>
      <c r="AP20" s="5">
        <f t="shared" si="0"/>
        <v>5887</v>
      </c>
      <c r="AQ20" s="5">
        <f t="shared" si="0"/>
        <v>5592</v>
      </c>
      <c r="AR20" s="5">
        <f t="shared" si="0"/>
        <v>6051</v>
      </c>
      <c r="AS20" s="5">
        <f t="shared" si="0"/>
        <v>6178</v>
      </c>
      <c r="AT20" s="5">
        <f t="shared" si="0"/>
        <v>5274</v>
      </c>
      <c r="AU20" s="5">
        <f t="shared" si="0"/>
        <v>4970</v>
      </c>
      <c r="AV20" s="5">
        <f t="shared" si="0"/>
        <v>4633</v>
      </c>
      <c r="AW20" s="5">
        <f t="shared" si="0"/>
        <v>4574</v>
      </c>
      <c r="AX20" s="5">
        <f t="shared" si="0"/>
        <v>4497</v>
      </c>
      <c r="AY20" s="5">
        <f t="shared" si="0"/>
        <v>4513</v>
      </c>
      <c r="AZ20" s="5">
        <f t="shared" si="0"/>
        <v>4465</v>
      </c>
      <c r="BA20" s="5">
        <f t="shared" si="0"/>
        <v>4825</v>
      </c>
      <c r="BB20" s="5">
        <f t="shared" si="0"/>
        <v>4282</v>
      </c>
      <c r="BC20" s="5">
        <f t="shared" si="0"/>
        <v>4149</v>
      </c>
      <c r="BD20" s="5">
        <f t="shared" si="0"/>
        <v>4148</v>
      </c>
      <c r="BE20" s="5">
        <f t="shared" si="0"/>
        <v>4094</v>
      </c>
      <c r="BF20" s="5">
        <f t="shared" si="0"/>
        <v>4108</v>
      </c>
      <c r="BG20" s="5">
        <f t="shared" si="0"/>
        <v>4068</v>
      </c>
      <c r="BH20" s="5">
        <f t="shared" si="0"/>
        <v>4068</v>
      </c>
      <c r="BI20" s="5">
        <f t="shared" si="0"/>
        <v>4026</v>
      </c>
      <c r="BJ20" s="5">
        <f t="shared" si="0"/>
        <v>4026</v>
      </c>
      <c r="BK20" s="5">
        <f t="shared" si="0"/>
        <v>4024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</row>
    <row r="21" spans="2:78" outlineLevel="1" x14ac:dyDescent="0.25">
      <c r="B21" s="6" t="s">
        <v>687</v>
      </c>
      <c r="C21" s="5">
        <v>0</v>
      </c>
      <c r="D21" s="5">
        <f>$C$20-D20</f>
        <v>5</v>
      </c>
      <c r="E21" s="5">
        <f t="shared" ref="E21:AJ21" si="1">$C$20-E20</f>
        <v>1</v>
      </c>
      <c r="F21" s="5">
        <f t="shared" si="1"/>
        <v>79</v>
      </c>
      <c r="G21" s="5">
        <f t="shared" si="1"/>
        <v>76</v>
      </c>
      <c r="H21" s="5">
        <f t="shared" si="1"/>
        <v>161</v>
      </c>
      <c r="I21" s="5">
        <f t="shared" si="1"/>
        <v>162</v>
      </c>
      <c r="J21" s="5">
        <f t="shared" si="1"/>
        <v>162</v>
      </c>
      <c r="K21" s="5">
        <f t="shared" si="1"/>
        <v>159</v>
      </c>
      <c r="L21" s="5">
        <f t="shared" si="1"/>
        <v>114</v>
      </c>
      <c r="M21" s="5">
        <f t="shared" si="1"/>
        <v>129</v>
      </c>
      <c r="N21" s="5">
        <f t="shared" si="1"/>
        <v>211</v>
      </c>
      <c r="O21" s="5">
        <f t="shared" si="1"/>
        <v>229</v>
      </c>
      <c r="P21" s="5">
        <f t="shared" si="1"/>
        <v>287</v>
      </c>
      <c r="Q21" s="5">
        <f t="shared" si="1"/>
        <v>380</v>
      </c>
      <c r="R21" s="5">
        <f t="shared" si="1"/>
        <v>445</v>
      </c>
      <c r="S21" s="5">
        <f t="shared" si="1"/>
        <v>630</v>
      </c>
      <c r="T21" s="5">
        <f t="shared" si="1"/>
        <v>956</v>
      </c>
      <c r="U21" s="5">
        <f t="shared" si="1"/>
        <v>1205</v>
      </c>
      <c r="V21" s="5">
        <f t="shared" si="1"/>
        <v>1285</v>
      </c>
      <c r="W21" s="5">
        <f t="shared" si="1"/>
        <v>1409</v>
      </c>
      <c r="X21" s="5">
        <f t="shared" si="1"/>
        <v>1645</v>
      </c>
      <c r="Y21" s="5">
        <f t="shared" si="1"/>
        <v>1648</v>
      </c>
      <c r="Z21" s="5">
        <f t="shared" si="1"/>
        <v>1649</v>
      </c>
      <c r="AA21" s="5">
        <f t="shared" si="1"/>
        <v>1652</v>
      </c>
      <c r="AB21" s="5">
        <f t="shared" si="1"/>
        <v>1673</v>
      </c>
      <c r="AC21" s="5">
        <f t="shared" si="1"/>
        <v>1671</v>
      </c>
      <c r="AD21" s="5">
        <f t="shared" si="1"/>
        <v>1925</v>
      </c>
      <c r="AE21" s="5">
        <f t="shared" si="1"/>
        <v>1964</v>
      </c>
      <c r="AF21" s="5">
        <f t="shared" si="1"/>
        <v>2068</v>
      </c>
      <c r="AG21" s="5">
        <f t="shared" si="1"/>
        <v>2180</v>
      </c>
      <c r="AH21" s="5">
        <f t="shared" si="1"/>
        <v>2253</v>
      </c>
      <c r="AI21" s="5">
        <f t="shared" si="1"/>
        <v>2251</v>
      </c>
      <c r="AJ21" s="5">
        <f t="shared" si="1"/>
        <v>2276</v>
      </c>
      <c r="AK21" s="5">
        <f t="shared" ref="AK21:BJ21" si="2">($C$20+1893+2791)-AK20</f>
        <v>2276</v>
      </c>
      <c r="AL21" s="5">
        <f t="shared" si="2"/>
        <v>4355</v>
      </c>
      <c r="AM21" s="5">
        <f t="shared" si="2"/>
        <v>4546</v>
      </c>
      <c r="AN21" s="5">
        <f t="shared" si="2"/>
        <v>4549</v>
      </c>
      <c r="AO21" s="5">
        <f t="shared" si="2"/>
        <v>4550</v>
      </c>
      <c r="AP21" s="5">
        <f t="shared" si="2"/>
        <v>4539</v>
      </c>
      <c r="AQ21" s="5">
        <f t="shared" si="2"/>
        <v>4834</v>
      </c>
      <c r="AR21" s="5">
        <f t="shared" si="2"/>
        <v>4375</v>
      </c>
      <c r="AS21" s="5">
        <f t="shared" si="2"/>
        <v>4248</v>
      </c>
      <c r="AT21" s="5">
        <f t="shared" si="2"/>
        <v>5152</v>
      </c>
      <c r="AU21" s="5">
        <f t="shared" si="2"/>
        <v>5456</v>
      </c>
      <c r="AV21" s="5">
        <f t="shared" si="2"/>
        <v>5793</v>
      </c>
      <c r="AW21" s="5">
        <f t="shared" si="2"/>
        <v>5852</v>
      </c>
      <c r="AX21" s="5">
        <f t="shared" si="2"/>
        <v>5929</v>
      </c>
      <c r="AY21" s="5">
        <f t="shared" si="2"/>
        <v>5913</v>
      </c>
      <c r="AZ21" s="5">
        <f t="shared" si="2"/>
        <v>5961</v>
      </c>
      <c r="BA21" s="5">
        <f t="shared" si="2"/>
        <v>5601</v>
      </c>
      <c r="BB21" s="5">
        <f t="shared" si="2"/>
        <v>6144</v>
      </c>
      <c r="BC21" s="5">
        <f t="shared" si="2"/>
        <v>6277</v>
      </c>
      <c r="BD21" s="5">
        <f t="shared" si="2"/>
        <v>6278</v>
      </c>
      <c r="BE21" s="5">
        <f t="shared" si="2"/>
        <v>6332</v>
      </c>
      <c r="BF21" s="5">
        <f t="shared" si="2"/>
        <v>6318</v>
      </c>
      <c r="BG21" s="5">
        <f t="shared" si="2"/>
        <v>6358</v>
      </c>
      <c r="BH21" s="5">
        <f t="shared" si="2"/>
        <v>6358</v>
      </c>
      <c r="BI21" s="5">
        <f t="shared" si="2"/>
        <v>6400</v>
      </c>
      <c r="BJ21" s="5">
        <f t="shared" si="2"/>
        <v>6400</v>
      </c>
      <c r="BK21" s="5">
        <f>($C$20+1893+2791)-BK20</f>
        <v>6402</v>
      </c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</row>
    <row r="22" spans="2:78" ht="15" customHeight="1" x14ac:dyDescent="0.25">
      <c r="B22" s="47"/>
    </row>
    <row r="23" spans="2:78" ht="60" customHeight="1" x14ac:dyDescent="0.25">
      <c r="B23" s="1" t="s">
        <v>3</v>
      </c>
      <c r="C23" s="4">
        <v>40923</v>
      </c>
      <c r="D23" s="4">
        <v>40930</v>
      </c>
      <c r="E23" s="4">
        <v>40937</v>
      </c>
      <c r="F23" s="4">
        <v>40944</v>
      </c>
      <c r="G23" s="4">
        <v>40951</v>
      </c>
      <c r="H23" s="4">
        <v>40958</v>
      </c>
      <c r="I23" s="4">
        <v>40965</v>
      </c>
      <c r="J23" s="4">
        <v>40972</v>
      </c>
      <c r="K23" s="4">
        <v>40980</v>
      </c>
      <c r="L23" s="4">
        <v>40995</v>
      </c>
      <c r="M23" s="4">
        <v>41008</v>
      </c>
      <c r="N23" s="4">
        <v>41016</v>
      </c>
      <c r="O23" s="4">
        <v>41022</v>
      </c>
      <c r="P23" s="4">
        <v>41029</v>
      </c>
      <c r="Q23" s="4">
        <v>41043</v>
      </c>
      <c r="R23" s="4">
        <v>41049</v>
      </c>
      <c r="S23" s="4">
        <v>41058</v>
      </c>
      <c r="T23" s="4">
        <v>41064</v>
      </c>
      <c r="U23" s="4">
        <v>41072</v>
      </c>
      <c r="V23" s="4">
        <v>41078</v>
      </c>
      <c r="W23" s="4">
        <v>41085</v>
      </c>
      <c r="X23" s="4">
        <v>41092</v>
      </c>
      <c r="Y23" s="4">
        <v>41099</v>
      </c>
      <c r="Z23" s="4">
        <v>41106</v>
      </c>
      <c r="AA23" s="4">
        <v>41113</v>
      </c>
      <c r="AB23" s="4">
        <v>41120</v>
      </c>
      <c r="AC23" s="4">
        <v>41127</v>
      </c>
      <c r="AD23" s="4">
        <v>41159</v>
      </c>
      <c r="AE23" s="4">
        <v>41170</v>
      </c>
      <c r="AF23" s="4">
        <v>41184</v>
      </c>
      <c r="AG23" s="4">
        <v>41190</v>
      </c>
      <c r="AH23" s="4">
        <v>41204</v>
      </c>
      <c r="AI23" s="4">
        <v>41215</v>
      </c>
      <c r="AJ23" s="4">
        <v>41227</v>
      </c>
      <c r="AK23" s="4">
        <v>41238</v>
      </c>
      <c r="AL23" s="4">
        <v>41252</v>
      </c>
      <c r="AM23" s="4">
        <v>41281</v>
      </c>
      <c r="AN23" s="4">
        <v>41288</v>
      </c>
      <c r="AO23" s="4">
        <v>41295</v>
      </c>
      <c r="AP23" s="4">
        <v>41308</v>
      </c>
      <c r="AQ23" s="4">
        <v>41315</v>
      </c>
      <c r="AR23" s="4">
        <v>41330</v>
      </c>
      <c r="AS23" s="4">
        <v>41337</v>
      </c>
      <c r="AT23" s="4">
        <v>41344</v>
      </c>
      <c r="AU23" s="4">
        <v>41351</v>
      </c>
      <c r="AV23" s="4">
        <v>41358</v>
      </c>
      <c r="AW23" s="4">
        <v>41364</v>
      </c>
      <c r="AX23" s="4">
        <v>41372</v>
      </c>
      <c r="AY23" s="4">
        <v>41379</v>
      </c>
      <c r="AZ23" s="4">
        <v>41385</v>
      </c>
      <c r="BA23" s="4">
        <v>41392</v>
      </c>
      <c r="BB23" s="4">
        <v>41400</v>
      </c>
      <c r="BC23" s="4">
        <v>41406</v>
      </c>
      <c r="BD23" s="4">
        <v>41413</v>
      </c>
      <c r="BE23" s="4">
        <v>41420</v>
      </c>
      <c r="BF23" s="4">
        <v>41427</v>
      </c>
      <c r="BG23" s="4">
        <v>41434</v>
      </c>
      <c r="BH23" s="4">
        <v>41441</v>
      </c>
      <c r="BI23" s="4">
        <v>41448</v>
      </c>
      <c r="BJ23" s="4">
        <v>41455</v>
      </c>
      <c r="BK23" s="4">
        <v>41462</v>
      </c>
      <c r="BL23" s="4">
        <v>41469</v>
      </c>
      <c r="BM23" s="4">
        <v>41483</v>
      </c>
      <c r="BN23" s="4">
        <v>41490</v>
      </c>
      <c r="BO23" s="4">
        <v>41497</v>
      </c>
      <c r="BP23" s="4">
        <v>41514</v>
      </c>
      <c r="BQ23" s="4">
        <v>41533</v>
      </c>
      <c r="BR23" s="4">
        <v>41542</v>
      </c>
      <c r="BS23" s="4">
        <v>41560</v>
      </c>
      <c r="BT23" s="4">
        <v>41567</v>
      </c>
      <c r="BU23" s="4">
        <v>41574</v>
      </c>
      <c r="BV23" s="4">
        <v>41581</v>
      </c>
      <c r="BW23" s="4">
        <v>41588</v>
      </c>
      <c r="BX23" s="4">
        <v>41595</v>
      </c>
      <c r="BY23" s="4">
        <v>41602</v>
      </c>
      <c r="BZ23" s="4">
        <v>41609</v>
      </c>
    </row>
    <row r="24" spans="2:78" x14ac:dyDescent="0.25">
      <c r="B24" s="5" t="s">
        <v>2529</v>
      </c>
      <c r="C24" s="5">
        <f t="shared" ref="C24:AH24" si="3">4524-$D$44</f>
        <v>4325</v>
      </c>
      <c r="D24" s="5">
        <f t="shared" si="3"/>
        <v>4325</v>
      </c>
      <c r="E24" s="5">
        <f t="shared" si="3"/>
        <v>4325</v>
      </c>
      <c r="F24" s="5">
        <f t="shared" si="3"/>
        <v>4325</v>
      </c>
      <c r="G24" s="5">
        <f t="shared" si="3"/>
        <v>4325</v>
      </c>
      <c r="H24" s="5">
        <f t="shared" si="3"/>
        <v>4325</v>
      </c>
      <c r="I24" s="5">
        <f t="shared" si="3"/>
        <v>4325</v>
      </c>
      <c r="J24" s="5">
        <f t="shared" si="3"/>
        <v>4325</v>
      </c>
      <c r="K24" s="5">
        <f t="shared" si="3"/>
        <v>4325</v>
      </c>
      <c r="L24" s="5">
        <f t="shared" si="3"/>
        <v>4325</v>
      </c>
      <c r="M24" s="5">
        <f t="shared" si="3"/>
        <v>4325</v>
      </c>
      <c r="N24" s="5">
        <f t="shared" si="3"/>
        <v>4325</v>
      </c>
      <c r="O24" s="5">
        <f t="shared" si="3"/>
        <v>4325</v>
      </c>
      <c r="P24" s="5">
        <f t="shared" si="3"/>
        <v>4325</v>
      </c>
      <c r="Q24" s="5">
        <f t="shared" si="3"/>
        <v>4325</v>
      </c>
      <c r="R24" s="5">
        <f t="shared" si="3"/>
        <v>4325</v>
      </c>
      <c r="S24" s="5">
        <f t="shared" si="3"/>
        <v>4325</v>
      </c>
      <c r="T24" s="5">
        <f t="shared" si="3"/>
        <v>4325</v>
      </c>
      <c r="U24" s="5">
        <f t="shared" si="3"/>
        <v>4325</v>
      </c>
      <c r="V24" s="5">
        <f t="shared" si="3"/>
        <v>4325</v>
      </c>
      <c r="W24" s="5">
        <f t="shared" si="3"/>
        <v>4325</v>
      </c>
      <c r="X24" s="5">
        <f t="shared" si="3"/>
        <v>4325</v>
      </c>
      <c r="Y24" s="5">
        <f t="shared" si="3"/>
        <v>4325</v>
      </c>
      <c r="Z24" s="5">
        <f t="shared" si="3"/>
        <v>4325</v>
      </c>
      <c r="AA24" s="5">
        <f t="shared" si="3"/>
        <v>4325</v>
      </c>
      <c r="AB24" s="5">
        <f t="shared" si="3"/>
        <v>4325</v>
      </c>
      <c r="AC24" s="5">
        <f t="shared" si="3"/>
        <v>4325</v>
      </c>
      <c r="AD24" s="5">
        <f t="shared" si="3"/>
        <v>4325</v>
      </c>
      <c r="AE24" s="5">
        <f t="shared" si="3"/>
        <v>4325</v>
      </c>
      <c r="AF24" s="5">
        <f t="shared" si="3"/>
        <v>4325</v>
      </c>
      <c r="AG24" s="5">
        <f t="shared" si="3"/>
        <v>4325</v>
      </c>
      <c r="AH24" s="5">
        <f t="shared" si="3"/>
        <v>4325</v>
      </c>
      <c r="AI24" s="5">
        <f t="shared" ref="AI24:AZ24" si="4">4524-$D$44</f>
        <v>4325</v>
      </c>
      <c r="AJ24" s="5">
        <f t="shared" si="4"/>
        <v>4325</v>
      </c>
      <c r="AK24" s="5">
        <f t="shared" si="4"/>
        <v>4325</v>
      </c>
      <c r="AL24" s="5">
        <f t="shared" si="4"/>
        <v>4325</v>
      </c>
      <c r="AM24" s="5">
        <f t="shared" si="4"/>
        <v>4325</v>
      </c>
      <c r="AN24" s="5">
        <f t="shared" si="4"/>
        <v>4325</v>
      </c>
      <c r="AO24" s="5">
        <f t="shared" si="4"/>
        <v>4325</v>
      </c>
      <c r="AP24" s="5">
        <f t="shared" si="4"/>
        <v>4325</v>
      </c>
      <c r="AQ24" s="5">
        <f t="shared" si="4"/>
        <v>4325</v>
      </c>
      <c r="AR24" s="5">
        <f t="shared" si="4"/>
        <v>4325</v>
      </c>
      <c r="AS24" s="5">
        <f t="shared" si="4"/>
        <v>4325</v>
      </c>
      <c r="AT24" s="5">
        <f t="shared" si="4"/>
        <v>4325</v>
      </c>
      <c r="AU24" s="5">
        <f t="shared" si="4"/>
        <v>4325</v>
      </c>
      <c r="AV24" s="5">
        <f t="shared" si="4"/>
        <v>4325</v>
      </c>
      <c r="AW24" s="5">
        <f t="shared" si="4"/>
        <v>4325</v>
      </c>
      <c r="AX24" s="5">
        <f t="shared" si="4"/>
        <v>4325</v>
      </c>
      <c r="AY24" s="5">
        <f t="shared" si="4"/>
        <v>4325</v>
      </c>
      <c r="AZ24" s="5">
        <f t="shared" si="4"/>
        <v>4325</v>
      </c>
      <c r="BA24" s="5">
        <f>4563-$D$44</f>
        <v>4364</v>
      </c>
      <c r="BB24" s="5">
        <f>4565-$D$44</f>
        <v>4366</v>
      </c>
      <c r="BC24" s="5">
        <f>4564-$D$44</f>
        <v>4365</v>
      </c>
      <c r="BD24" s="5">
        <f>4577-$D$44</f>
        <v>4378</v>
      </c>
      <c r="BE24" s="5">
        <f>4577-$D44</f>
        <v>4378</v>
      </c>
      <c r="BF24" s="5">
        <f>4488-$D$44</f>
        <v>4289</v>
      </c>
      <c r="BG24" s="5">
        <f>4485-$D$44</f>
        <v>4286</v>
      </c>
      <c r="BH24" s="5">
        <f>4430-$D$44</f>
        <v>4231</v>
      </c>
      <c r="BI24" s="5">
        <f>4429-$D$44</f>
        <v>4230</v>
      </c>
      <c r="BJ24" s="5">
        <f>4418-$D$44</f>
        <v>4219</v>
      </c>
      <c r="BK24" s="5">
        <f>4419-$D44</f>
        <v>4220</v>
      </c>
      <c r="BL24" s="5">
        <f>4422-$D$44</f>
        <v>4223</v>
      </c>
      <c r="BM24" s="5">
        <f>4352-$D$44</f>
        <v>4153</v>
      </c>
      <c r="BN24" s="5">
        <f>4320-$D$44</f>
        <v>4121</v>
      </c>
      <c r="BO24" s="5">
        <f>4324-$D$44</f>
        <v>4125</v>
      </c>
      <c r="BP24" s="5">
        <f>4320-$D$44</f>
        <v>4121</v>
      </c>
      <c r="BQ24" s="5">
        <f>4256-$D$44</f>
        <v>4057</v>
      </c>
      <c r="BR24" s="5">
        <f>3989-$D$44</f>
        <v>3790</v>
      </c>
      <c r="BS24" s="5">
        <f>3999-$D$44</f>
        <v>3800</v>
      </c>
      <c r="BT24" s="5">
        <f>4000-$D$44</f>
        <v>3801</v>
      </c>
      <c r="BU24" s="5">
        <f>3888-$D$44</f>
        <v>3689</v>
      </c>
      <c r="BV24" s="5">
        <f>3886-$D$44</f>
        <v>3687</v>
      </c>
      <c r="BW24" s="5">
        <f>3783-$D$44</f>
        <v>3584</v>
      </c>
      <c r="BX24" s="5">
        <f>3793-$D$44</f>
        <v>3594</v>
      </c>
      <c r="BY24" s="5">
        <f>3793-$D$44</f>
        <v>3594</v>
      </c>
      <c r="BZ24" s="5">
        <v>3595</v>
      </c>
    </row>
    <row r="25" spans="2:78" x14ac:dyDescent="0.25">
      <c r="B25" s="5" t="s">
        <v>8305</v>
      </c>
      <c r="C25" s="5">
        <v>3586</v>
      </c>
      <c r="D25" s="5">
        <v>3586</v>
      </c>
      <c r="E25" s="5">
        <v>3586</v>
      </c>
      <c r="F25" s="5">
        <v>3586</v>
      </c>
      <c r="G25" s="5">
        <v>3586</v>
      </c>
      <c r="H25" s="5">
        <v>3586</v>
      </c>
      <c r="I25" s="5">
        <v>3586</v>
      </c>
      <c r="J25" s="5">
        <v>3586</v>
      </c>
      <c r="K25" s="5">
        <v>3586</v>
      </c>
      <c r="L25" s="5">
        <v>3586</v>
      </c>
      <c r="M25" s="5">
        <v>3586</v>
      </c>
      <c r="N25" s="5">
        <v>3586</v>
      </c>
      <c r="O25" s="5">
        <v>3586</v>
      </c>
      <c r="P25" s="5">
        <v>3586</v>
      </c>
      <c r="Q25" s="5">
        <v>3586</v>
      </c>
      <c r="R25" s="5">
        <v>3586</v>
      </c>
      <c r="S25" s="5">
        <v>3586</v>
      </c>
      <c r="T25" s="5">
        <v>3586</v>
      </c>
      <c r="U25" s="5">
        <v>3586</v>
      </c>
      <c r="V25" s="5">
        <v>3586</v>
      </c>
      <c r="W25" s="5">
        <v>3586</v>
      </c>
      <c r="X25" s="5">
        <v>3586</v>
      </c>
      <c r="Y25" s="5">
        <v>3586</v>
      </c>
      <c r="Z25" s="5">
        <v>3586</v>
      </c>
      <c r="AA25" s="5">
        <v>3586</v>
      </c>
      <c r="AB25" s="5">
        <v>3586</v>
      </c>
      <c r="AC25" s="5">
        <v>3586</v>
      </c>
      <c r="AD25" s="5">
        <v>3586</v>
      </c>
      <c r="AE25" s="5">
        <v>3586</v>
      </c>
      <c r="AF25" s="5">
        <v>3586</v>
      </c>
      <c r="AG25" s="5">
        <v>3586</v>
      </c>
      <c r="AH25" s="5">
        <v>3586</v>
      </c>
      <c r="AI25" s="5">
        <v>3586</v>
      </c>
      <c r="AJ25" s="5">
        <v>3586</v>
      </c>
      <c r="AK25" s="5">
        <v>3586</v>
      </c>
      <c r="AL25" s="5">
        <v>3586</v>
      </c>
      <c r="AM25" s="5">
        <v>3586</v>
      </c>
      <c r="AN25" s="5">
        <v>3586</v>
      </c>
      <c r="AO25" s="5">
        <v>3586</v>
      </c>
      <c r="AP25" s="5">
        <v>3586</v>
      </c>
      <c r="AQ25" s="5">
        <v>3586</v>
      </c>
      <c r="AR25" s="5">
        <v>3586</v>
      </c>
      <c r="AS25" s="5">
        <v>3586</v>
      </c>
      <c r="AT25" s="5">
        <v>3586</v>
      </c>
      <c r="AU25" s="5">
        <v>3586</v>
      </c>
      <c r="AV25" s="5">
        <v>3586</v>
      </c>
      <c r="AW25" s="5">
        <v>3586</v>
      </c>
      <c r="AX25" s="5">
        <v>3586</v>
      </c>
      <c r="AY25" s="5">
        <v>3586</v>
      </c>
      <c r="AZ25" s="5">
        <v>3586</v>
      </c>
      <c r="BA25" s="5">
        <v>3586</v>
      </c>
      <c r="BB25" s="5">
        <v>3586</v>
      </c>
      <c r="BC25" s="5">
        <v>3586</v>
      </c>
      <c r="BD25" s="5">
        <v>3586</v>
      </c>
      <c r="BE25" s="5">
        <v>3586</v>
      </c>
      <c r="BF25" s="5">
        <v>3586</v>
      </c>
      <c r="BG25" s="5">
        <v>3586</v>
      </c>
      <c r="BH25" s="5">
        <v>3586</v>
      </c>
      <c r="BI25" s="5">
        <v>3586</v>
      </c>
      <c r="BJ25" s="5">
        <v>3586</v>
      </c>
      <c r="BK25" s="5">
        <v>3586</v>
      </c>
      <c r="BL25" s="5">
        <v>3586</v>
      </c>
      <c r="BM25" s="5">
        <v>3586</v>
      </c>
      <c r="BN25" s="5">
        <v>3586</v>
      </c>
      <c r="BO25" s="5">
        <v>3586</v>
      </c>
      <c r="BP25" s="5">
        <v>3586</v>
      </c>
      <c r="BQ25" s="5">
        <v>3586</v>
      </c>
      <c r="BR25" s="5">
        <v>3586</v>
      </c>
      <c r="BS25" s="5">
        <v>3586</v>
      </c>
      <c r="BT25" s="5">
        <v>3586</v>
      </c>
      <c r="BU25" s="5">
        <v>3586</v>
      </c>
      <c r="BV25" s="5">
        <v>3586</v>
      </c>
      <c r="BW25" s="5">
        <v>3586</v>
      </c>
      <c r="BX25" s="5">
        <v>3586</v>
      </c>
      <c r="BY25" s="5">
        <v>3586</v>
      </c>
      <c r="BZ25" s="5">
        <v>3586</v>
      </c>
    </row>
    <row r="26" spans="2:78" ht="9.75" customHeight="1" x14ac:dyDescent="0.3"/>
    <row r="27" spans="2:78" ht="9.75" customHeight="1" x14ac:dyDescent="0.3">
      <c r="BZ27" t="e">
        <f>#REF!-#REF!</f>
        <v>#REF!</v>
      </c>
    </row>
    <row r="28" spans="2:78" ht="62.25" customHeight="1" x14ac:dyDescent="0.3">
      <c r="B28" s="5" t="s">
        <v>2539</v>
      </c>
      <c r="C28" s="4">
        <v>41609</v>
      </c>
      <c r="D28" s="57" t="s">
        <v>2540</v>
      </c>
    </row>
    <row r="29" spans="2:78" ht="14.45" x14ac:dyDescent="0.3">
      <c r="B29" s="5" t="s">
        <v>2529</v>
      </c>
      <c r="C29" s="5">
        <v>3595</v>
      </c>
      <c r="D29" s="56">
        <f>C24-C29</f>
        <v>730</v>
      </c>
    </row>
    <row r="30" spans="2:78" s="2" customFormat="1" ht="14.45" x14ac:dyDescent="0.3">
      <c r="B30" s="5" t="s">
        <v>689</v>
      </c>
      <c r="C30" s="5">
        <v>2899</v>
      </c>
      <c r="D30" s="56">
        <f>C25-C30</f>
        <v>687</v>
      </c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</row>
    <row r="31" spans="2:78" s="2" customFormat="1" ht="14.45" x14ac:dyDescent="0.3">
      <c r="B31" s="5" t="s">
        <v>690</v>
      </c>
      <c r="C31" s="5">
        <v>700</v>
      </c>
      <c r="D31" s="56" t="e">
        <f>#REF!-C31</f>
        <v>#REF!</v>
      </c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</row>
    <row r="32" spans="2:78" s="2" customFormat="1" ht="14.45" x14ac:dyDescent="0.3">
      <c r="B32" s="6" t="s">
        <v>2572</v>
      </c>
      <c r="C32" s="5">
        <f t="shared" ref="C32" si="5">C30+C31+C29</f>
        <v>7194</v>
      </c>
      <c r="D32" s="56" t="e">
        <f>D30+D31+D29</f>
        <v>#REF!</v>
      </c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</row>
    <row r="33" spans="2:78" s="2" customFormat="1" ht="14.45" x14ac:dyDescent="0.3">
      <c r="B33" s="55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</row>
    <row r="34" spans="2:78" s="2" customFormat="1" ht="14.45" x14ac:dyDescent="0.3">
      <c r="B34" s="47" t="s">
        <v>2515</v>
      </c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</row>
    <row r="35" spans="2:78" s="2" customFormat="1" ht="14.45" x14ac:dyDescent="0.3">
      <c r="B35" s="48" t="s">
        <v>2522</v>
      </c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</row>
    <row r="36" spans="2:78" s="2" customFormat="1" ht="14.45" x14ac:dyDescent="0.3">
      <c r="B36" s="48" t="s">
        <v>2518</v>
      </c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</row>
    <row r="37" spans="2:78" s="2" customFormat="1" ht="14.45" x14ac:dyDescent="0.3">
      <c r="B37" s="47" t="s">
        <v>2517</v>
      </c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</row>
    <row r="38" spans="2:78" s="2" customFormat="1" ht="14.45" x14ac:dyDescent="0.3">
      <c r="B38" s="2" t="s">
        <v>2520</v>
      </c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</row>
    <row r="39" spans="2:78" s="2" customFormat="1" ht="14.45" x14ac:dyDescent="0.3">
      <c r="B39" s="2" t="s">
        <v>2519</v>
      </c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</row>
    <row r="40" spans="2:78" s="2" customFormat="1" ht="14.45" x14ac:dyDescent="0.3">
      <c r="B40" s="15" t="s">
        <v>2521</v>
      </c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</row>
    <row r="41" spans="2:78" s="2" customFormat="1" ht="14.45" x14ac:dyDescent="0.3">
      <c r="B41" s="15" t="s">
        <v>2530</v>
      </c>
      <c r="D41" s="2">
        <f>AK18-AJ18</f>
        <v>2791</v>
      </c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</row>
    <row r="42" spans="2:78" s="2" customFormat="1" ht="14.45" x14ac:dyDescent="0.3">
      <c r="B42" s="15" t="s">
        <v>2531</v>
      </c>
      <c r="D42" s="2">
        <f>AK19-AJ19</f>
        <v>1893</v>
      </c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</row>
    <row r="43" spans="2:78" s="2" customFormat="1" ht="14.45" x14ac:dyDescent="0.3">
      <c r="B43" s="15" t="s">
        <v>2532</v>
      </c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</row>
    <row r="44" spans="2:78" s="2" customFormat="1" ht="14.45" x14ac:dyDescent="0.3">
      <c r="B44" s="15" t="s">
        <v>8302</v>
      </c>
      <c r="D44" s="2">
        <f>(3787-3594)+6</f>
        <v>199</v>
      </c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</row>
    <row r="45" spans="2:78" s="2" customFormat="1" ht="14.45" x14ac:dyDescent="0.3">
      <c r="B45" s="15" t="s">
        <v>8303</v>
      </c>
      <c r="D45" s="2">
        <f>(1230-704)+23</f>
        <v>549</v>
      </c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</row>
    <row r="46" spans="2:78" s="2" customFormat="1" ht="14.45" x14ac:dyDescent="0.3">
      <c r="B46" s="15" t="s">
        <v>8304</v>
      </c>
      <c r="D46" s="2">
        <f>2902-2634</f>
        <v>268</v>
      </c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</row>
  </sheetData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B1:BZ46"/>
  <sheetViews>
    <sheetView topLeftCell="A22" workbookViewId="0">
      <selection activeCell="CL35" sqref="CL35"/>
    </sheetView>
  </sheetViews>
  <sheetFormatPr defaultRowHeight="15" outlineLevelRow="1" outlineLevelCol="1" x14ac:dyDescent="0.25"/>
  <cols>
    <col min="1" max="1" width="3.42578125" customWidth="1"/>
    <col min="2" max="2" width="26.7109375" customWidth="1"/>
    <col min="3" max="4" width="11.85546875" style="2" hidden="1" customWidth="1"/>
    <col min="5" max="5" width="4.28515625" style="2" hidden="1" customWidth="1"/>
    <col min="6" max="7" width="4.28515625" style="2" hidden="1" customWidth="1" outlineLevel="1"/>
    <col min="8" max="8" width="3.85546875" style="2" hidden="1" customWidth="1" outlineLevel="1"/>
    <col min="9" max="24" width="2.28515625" style="2" hidden="1" customWidth="1" outlineLevel="1"/>
    <col min="25" max="38" width="2.28515625" hidden="1" customWidth="1" outlineLevel="1"/>
    <col min="39" max="39" width="4.7109375" hidden="1" customWidth="1" outlineLevel="1"/>
    <col min="40" max="62" width="2.28515625" hidden="1" customWidth="1" outlineLevel="1"/>
    <col min="63" max="70" width="2.28515625" customWidth="1" outlineLevel="1"/>
    <col min="71" max="75" width="2.28515625" customWidth="1"/>
    <col min="76" max="78" width="5.42578125" customWidth="1"/>
  </cols>
  <sheetData>
    <row r="1" spans="2:2" x14ac:dyDescent="0.25">
      <c r="B1" s="3" t="s">
        <v>688</v>
      </c>
    </row>
    <row r="3" spans="2:2" ht="10.5" customHeight="1" x14ac:dyDescent="0.25"/>
    <row r="4" spans="2:2" ht="54.75" customHeight="1" x14ac:dyDescent="0.25"/>
    <row r="9" spans="2:2" ht="49.5" customHeight="1" x14ac:dyDescent="0.25"/>
    <row r="10" spans="2:2" ht="21" customHeight="1" x14ac:dyDescent="0.25"/>
    <row r="15" spans="2:2" ht="38.25" customHeight="1" x14ac:dyDescent="0.3"/>
    <row r="16" spans="2:2" ht="9" customHeight="1" outlineLevel="1" x14ac:dyDescent="0.3"/>
    <row r="17" spans="2:78" ht="57" customHeight="1" outlineLevel="1" x14ac:dyDescent="0.25">
      <c r="B17" s="1" t="s">
        <v>3</v>
      </c>
      <c r="C17" s="4">
        <v>40923</v>
      </c>
      <c r="D17" s="4">
        <v>40930</v>
      </c>
      <c r="E17" s="4">
        <v>40937</v>
      </c>
      <c r="F17" s="4">
        <v>40944</v>
      </c>
      <c r="G17" s="4">
        <v>40951</v>
      </c>
      <c r="H17" s="4">
        <v>40958</v>
      </c>
      <c r="I17" s="4">
        <v>40965</v>
      </c>
      <c r="J17" s="4">
        <v>40972</v>
      </c>
      <c r="K17" s="4">
        <v>40980</v>
      </c>
      <c r="L17" s="4">
        <v>40995</v>
      </c>
      <c r="M17" s="4">
        <v>41008</v>
      </c>
      <c r="N17" s="4">
        <v>41016</v>
      </c>
      <c r="O17" s="4">
        <v>41022</v>
      </c>
      <c r="P17" s="4">
        <v>41029</v>
      </c>
      <c r="Q17" s="4">
        <v>41043</v>
      </c>
      <c r="R17" s="4">
        <v>41049</v>
      </c>
      <c r="S17" s="4">
        <v>41058</v>
      </c>
      <c r="T17" s="4">
        <v>41064</v>
      </c>
      <c r="U17" s="4">
        <v>41072</v>
      </c>
      <c r="V17" s="4">
        <v>41078</v>
      </c>
      <c r="W17" s="4">
        <v>41085</v>
      </c>
      <c r="X17" s="4">
        <v>41092</v>
      </c>
      <c r="Y17" s="4">
        <v>41099</v>
      </c>
      <c r="Z17" s="4">
        <v>41106</v>
      </c>
      <c r="AA17" s="4">
        <v>41113</v>
      </c>
      <c r="AB17" s="4">
        <v>41120</v>
      </c>
      <c r="AC17" s="4">
        <v>41127</v>
      </c>
      <c r="AD17" s="4">
        <v>41159</v>
      </c>
      <c r="AE17" s="4">
        <v>41170</v>
      </c>
      <c r="AF17" s="4">
        <v>41184</v>
      </c>
      <c r="AG17" s="4">
        <v>41190</v>
      </c>
      <c r="AH17" s="4">
        <v>41204</v>
      </c>
      <c r="AI17" s="4">
        <v>41215</v>
      </c>
      <c r="AJ17" s="4">
        <v>41227</v>
      </c>
      <c r="AK17" s="4">
        <v>41238</v>
      </c>
      <c r="AL17" s="4">
        <v>41252</v>
      </c>
      <c r="AM17" s="4">
        <v>41281</v>
      </c>
      <c r="AN17" s="4">
        <v>41288</v>
      </c>
      <c r="AO17" s="4">
        <v>41295</v>
      </c>
      <c r="AP17" s="4">
        <v>41308</v>
      </c>
      <c r="AQ17" s="4">
        <v>41315</v>
      </c>
      <c r="AR17" s="4">
        <v>41330</v>
      </c>
      <c r="AS17" s="4">
        <v>41337</v>
      </c>
      <c r="AT17" s="4">
        <v>41344</v>
      </c>
      <c r="AU17" s="4">
        <v>41351</v>
      </c>
      <c r="AV17" s="4">
        <v>41358</v>
      </c>
      <c r="AW17" s="4">
        <v>41364</v>
      </c>
      <c r="AX17" s="4">
        <v>41372</v>
      </c>
      <c r="AY17" s="4">
        <v>41379</v>
      </c>
      <c r="AZ17" s="4">
        <v>41385</v>
      </c>
      <c r="BA17" s="4">
        <v>41392</v>
      </c>
      <c r="BB17" s="4">
        <v>41400</v>
      </c>
      <c r="BC17" s="4">
        <v>41406</v>
      </c>
      <c r="BD17" s="4">
        <v>41413</v>
      </c>
      <c r="BE17" s="4">
        <v>41420</v>
      </c>
      <c r="BF17" s="4">
        <v>41427</v>
      </c>
      <c r="BG17" s="4">
        <v>41434</v>
      </c>
      <c r="BH17" s="4">
        <v>41441</v>
      </c>
      <c r="BI17" s="4">
        <v>41448</v>
      </c>
      <c r="BJ17" s="4">
        <v>41455</v>
      </c>
      <c r="BK17" s="4">
        <v>41462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</row>
    <row r="18" spans="2:78" ht="14.45" outlineLevel="1" x14ac:dyDescent="0.3">
      <c r="B18" s="5" t="s">
        <v>689</v>
      </c>
      <c r="C18" s="5">
        <v>4042</v>
      </c>
      <c r="D18" s="5">
        <v>4037</v>
      </c>
      <c r="E18" s="5">
        <v>4041</v>
      </c>
      <c r="F18" s="5">
        <v>3963</v>
      </c>
      <c r="G18" s="5">
        <v>3966</v>
      </c>
      <c r="H18" s="5">
        <v>3881</v>
      </c>
      <c r="I18" s="5">
        <v>3880</v>
      </c>
      <c r="J18" s="5">
        <v>3880</v>
      </c>
      <c r="K18" s="5">
        <v>3883</v>
      </c>
      <c r="L18" s="5">
        <v>3928</v>
      </c>
      <c r="M18" s="5">
        <v>3913</v>
      </c>
      <c r="N18" s="5">
        <v>3831</v>
      </c>
      <c r="O18" s="5">
        <v>3831</v>
      </c>
      <c r="P18" s="5">
        <v>3789</v>
      </c>
      <c r="Q18" s="5">
        <v>3711</v>
      </c>
      <c r="R18" s="5">
        <v>3660</v>
      </c>
      <c r="S18" s="5">
        <v>3608</v>
      </c>
      <c r="T18" s="5">
        <v>3576</v>
      </c>
      <c r="U18" s="5">
        <v>3416</v>
      </c>
      <c r="V18" s="5">
        <v>3336</v>
      </c>
      <c r="W18" s="5">
        <v>3287</v>
      </c>
      <c r="X18" s="5">
        <v>3142</v>
      </c>
      <c r="Y18" s="5">
        <v>3147</v>
      </c>
      <c r="Z18" s="5">
        <v>3149</v>
      </c>
      <c r="AA18" s="5">
        <v>3148</v>
      </c>
      <c r="AB18" s="5">
        <v>3145</v>
      </c>
      <c r="AC18" s="5">
        <v>3145</v>
      </c>
      <c r="AD18" s="5">
        <v>2891</v>
      </c>
      <c r="AE18" s="5">
        <v>2852</v>
      </c>
      <c r="AF18" s="5">
        <v>2852</v>
      </c>
      <c r="AG18" s="5">
        <v>2747</v>
      </c>
      <c r="AH18" s="5">
        <v>2706</v>
      </c>
      <c r="AI18" s="5">
        <v>2687</v>
      </c>
      <c r="AJ18" s="5">
        <v>2685</v>
      </c>
      <c r="AK18" s="5">
        <v>5476</v>
      </c>
      <c r="AL18" s="5">
        <v>4084</v>
      </c>
      <c r="AM18" s="5">
        <v>4071</v>
      </c>
      <c r="AN18" s="5">
        <v>4068</v>
      </c>
      <c r="AO18" s="5">
        <v>4067</v>
      </c>
      <c r="AP18" s="5">
        <v>4082</v>
      </c>
      <c r="AQ18" s="5">
        <v>3961</v>
      </c>
      <c r="AR18" s="5">
        <v>4420</v>
      </c>
      <c r="AS18" s="5">
        <v>4547</v>
      </c>
      <c r="AT18" s="5">
        <v>3712</v>
      </c>
      <c r="AU18" s="5">
        <v>3543</v>
      </c>
      <c r="AV18" s="5">
        <v>3204</v>
      </c>
      <c r="AW18" s="5">
        <v>3148</v>
      </c>
      <c r="AX18" s="5">
        <v>3067</v>
      </c>
      <c r="AY18" s="5">
        <v>3060</v>
      </c>
      <c r="AZ18" s="5">
        <v>3015</v>
      </c>
      <c r="BA18" s="5">
        <v>3375</v>
      </c>
      <c r="BB18" s="5">
        <v>2728</v>
      </c>
      <c r="BC18" s="5">
        <v>2708</v>
      </c>
      <c r="BD18" s="5">
        <v>2708</v>
      </c>
      <c r="BE18" s="5">
        <v>2706</v>
      </c>
      <c r="BF18" s="5">
        <v>2726</v>
      </c>
      <c r="BG18" s="5">
        <v>2732</v>
      </c>
      <c r="BH18" s="5">
        <v>2731</v>
      </c>
      <c r="BI18" s="5">
        <v>2687</v>
      </c>
      <c r="BJ18" s="5">
        <v>2690</v>
      </c>
      <c r="BK18" s="5">
        <v>2694</v>
      </c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</row>
    <row r="19" spans="2:78" ht="14.45" outlineLevel="1" x14ac:dyDescent="0.3">
      <c r="B19" s="5" t="s">
        <v>690</v>
      </c>
      <c r="C19" s="5">
        <v>1700</v>
      </c>
      <c r="D19" s="5">
        <v>1700</v>
      </c>
      <c r="E19" s="5">
        <v>1700</v>
      </c>
      <c r="F19" s="5">
        <v>1700</v>
      </c>
      <c r="G19" s="5">
        <v>1700</v>
      </c>
      <c r="H19" s="5">
        <v>1700</v>
      </c>
      <c r="I19" s="5">
        <v>1700</v>
      </c>
      <c r="J19" s="5">
        <v>1700</v>
      </c>
      <c r="K19" s="5">
        <v>1700</v>
      </c>
      <c r="L19" s="5">
        <v>1700</v>
      </c>
      <c r="M19" s="5">
        <v>1700</v>
      </c>
      <c r="N19" s="5">
        <v>1700</v>
      </c>
      <c r="O19" s="5">
        <v>1682</v>
      </c>
      <c r="P19" s="5">
        <v>1666</v>
      </c>
      <c r="Q19" s="5">
        <v>1651</v>
      </c>
      <c r="R19" s="5">
        <v>1637</v>
      </c>
      <c r="S19" s="5">
        <v>1504</v>
      </c>
      <c r="T19" s="5">
        <v>1210</v>
      </c>
      <c r="U19" s="5">
        <v>1121</v>
      </c>
      <c r="V19" s="5">
        <v>1121</v>
      </c>
      <c r="W19" s="5">
        <v>1046</v>
      </c>
      <c r="X19" s="5">
        <v>955</v>
      </c>
      <c r="Y19" s="5">
        <v>947</v>
      </c>
      <c r="Z19" s="5">
        <v>944</v>
      </c>
      <c r="AA19" s="5">
        <v>942</v>
      </c>
      <c r="AB19" s="5">
        <v>924</v>
      </c>
      <c r="AC19" s="5">
        <v>926</v>
      </c>
      <c r="AD19" s="5">
        <v>926</v>
      </c>
      <c r="AE19" s="5">
        <v>926</v>
      </c>
      <c r="AF19" s="5">
        <v>822</v>
      </c>
      <c r="AG19" s="5">
        <v>815</v>
      </c>
      <c r="AH19" s="5">
        <v>783</v>
      </c>
      <c r="AI19" s="5">
        <v>804</v>
      </c>
      <c r="AJ19" s="5">
        <v>781</v>
      </c>
      <c r="AK19" s="5">
        <v>2674</v>
      </c>
      <c r="AL19" s="5">
        <v>1987</v>
      </c>
      <c r="AM19" s="5">
        <v>1809</v>
      </c>
      <c r="AN19" s="5">
        <v>1809</v>
      </c>
      <c r="AO19" s="5">
        <v>1809</v>
      </c>
      <c r="AP19" s="5">
        <v>1805</v>
      </c>
      <c r="AQ19" s="5">
        <v>1631</v>
      </c>
      <c r="AR19" s="5">
        <v>1631</v>
      </c>
      <c r="AS19" s="5">
        <v>1631</v>
      </c>
      <c r="AT19" s="5">
        <v>1562</v>
      </c>
      <c r="AU19" s="5">
        <v>1427</v>
      </c>
      <c r="AV19" s="5">
        <v>1429</v>
      </c>
      <c r="AW19" s="5">
        <v>1426</v>
      </c>
      <c r="AX19" s="5">
        <v>1430</v>
      </c>
      <c r="AY19" s="5">
        <v>1453</v>
      </c>
      <c r="AZ19" s="5">
        <v>1450</v>
      </c>
      <c r="BA19" s="5">
        <v>1450</v>
      </c>
      <c r="BB19" s="5">
        <v>1554</v>
      </c>
      <c r="BC19" s="5">
        <v>1441</v>
      </c>
      <c r="BD19" s="5">
        <v>1440</v>
      </c>
      <c r="BE19" s="5">
        <v>1388</v>
      </c>
      <c r="BF19" s="5">
        <v>1382</v>
      </c>
      <c r="BG19" s="5">
        <v>1336</v>
      </c>
      <c r="BH19" s="5">
        <v>1337</v>
      </c>
      <c r="BI19" s="5">
        <v>1339</v>
      </c>
      <c r="BJ19" s="5">
        <v>1336</v>
      </c>
      <c r="BK19" s="5">
        <v>1330</v>
      </c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</row>
    <row r="20" spans="2:78" ht="14.45" outlineLevel="1" x14ac:dyDescent="0.3">
      <c r="B20" s="6" t="s">
        <v>691</v>
      </c>
      <c r="C20" s="5">
        <f t="shared" ref="C20:BK20" si="0">C18+C19</f>
        <v>5742</v>
      </c>
      <c r="D20" s="5">
        <f t="shared" si="0"/>
        <v>5737</v>
      </c>
      <c r="E20" s="5">
        <f t="shared" si="0"/>
        <v>5741</v>
      </c>
      <c r="F20" s="5">
        <f t="shared" si="0"/>
        <v>5663</v>
      </c>
      <c r="G20" s="5">
        <f t="shared" si="0"/>
        <v>5666</v>
      </c>
      <c r="H20" s="5">
        <f t="shared" si="0"/>
        <v>5581</v>
      </c>
      <c r="I20" s="5">
        <f t="shared" si="0"/>
        <v>5580</v>
      </c>
      <c r="J20" s="5">
        <f t="shared" si="0"/>
        <v>5580</v>
      </c>
      <c r="K20" s="5">
        <f t="shared" si="0"/>
        <v>5583</v>
      </c>
      <c r="L20" s="5">
        <f t="shared" si="0"/>
        <v>5628</v>
      </c>
      <c r="M20" s="5">
        <f t="shared" si="0"/>
        <v>5613</v>
      </c>
      <c r="N20" s="5">
        <f t="shared" si="0"/>
        <v>5531</v>
      </c>
      <c r="O20" s="5">
        <f t="shared" si="0"/>
        <v>5513</v>
      </c>
      <c r="P20" s="5">
        <f t="shared" si="0"/>
        <v>5455</v>
      </c>
      <c r="Q20" s="5">
        <f t="shared" si="0"/>
        <v>5362</v>
      </c>
      <c r="R20" s="5">
        <f t="shared" si="0"/>
        <v>5297</v>
      </c>
      <c r="S20" s="5">
        <f t="shared" si="0"/>
        <v>5112</v>
      </c>
      <c r="T20" s="5">
        <f t="shared" si="0"/>
        <v>4786</v>
      </c>
      <c r="U20" s="5">
        <f t="shared" si="0"/>
        <v>4537</v>
      </c>
      <c r="V20" s="5">
        <f t="shared" si="0"/>
        <v>4457</v>
      </c>
      <c r="W20" s="5">
        <f t="shared" si="0"/>
        <v>4333</v>
      </c>
      <c r="X20" s="5">
        <f t="shared" si="0"/>
        <v>4097</v>
      </c>
      <c r="Y20" s="5">
        <f t="shared" si="0"/>
        <v>4094</v>
      </c>
      <c r="Z20" s="5">
        <f t="shared" si="0"/>
        <v>4093</v>
      </c>
      <c r="AA20" s="5">
        <f t="shared" si="0"/>
        <v>4090</v>
      </c>
      <c r="AB20" s="5">
        <f t="shared" si="0"/>
        <v>4069</v>
      </c>
      <c r="AC20" s="5">
        <f t="shared" si="0"/>
        <v>4071</v>
      </c>
      <c r="AD20" s="5">
        <f t="shared" si="0"/>
        <v>3817</v>
      </c>
      <c r="AE20" s="5">
        <f t="shared" si="0"/>
        <v>3778</v>
      </c>
      <c r="AF20" s="5">
        <f t="shared" si="0"/>
        <v>3674</v>
      </c>
      <c r="AG20" s="5">
        <f t="shared" si="0"/>
        <v>3562</v>
      </c>
      <c r="AH20" s="5">
        <f t="shared" si="0"/>
        <v>3489</v>
      </c>
      <c r="AI20" s="5">
        <f t="shared" si="0"/>
        <v>3491</v>
      </c>
      <c r="AJ20" s="5">
        <f t="shared" si="0"/>
        <v>3466</v>
      </c>
      <c r="AK20" s="5">
        <f t="shared" si="0"/>
        <v>8150</v>
      </c>
      <c r="AL20" s="5">
        <f t="shared" si="0"/>
        <v>6071</v>
      </c>
      <c r="AM20" s="5">
        <f t="shared" si="0"/>
        <v>5880</v>
      </c>
      <c r="AN20" s="5">
        <f t="shared" si="0"/>
        <v>5877</v>
      </c>
      <c r="AO20" s="5">
        <f t="shared" si="0"/>
        <v>5876</v>
      </c>
      <c r="AP20" s="5">
        <f t="shared" si="0"/>
        <v>5887</v>
      </c>
      <c r="AQ20" s="5">
        <f t="shared" si="0"/>
        <v>5592</v>
      </c>
      <c r="AR20" s="5">
        <f t="shared" si="0"/>
        <v>6051</v>
      </c>
      <c r="AS20" s="5">
        <f t="shared" si="0"/>
        <v>6178</v>
      </c>
      <c r="AT20" s="5">
        <f t="shared" si="0"/>
        <v>5274</v>
      </c>
      <c r="AU20" s="5">
        <f t="shared" si="0"/>
        <v>4970</v>
      </c>
      <c r="AV20" s="5">
        <f t="shared" si="0"/>
        <v>4633</v>
      </c>
      <c r="AW20" s="5">
        <f t="shared" si="0"/>
        <v>4574</v>
      </c>
      <c r="AX20" s="5">
        <f t="shared" si="0"/>
        <v>4497</v>
      </c>
      <c r="AY20" s="5">
        <f t="shared" si="0"/>
        <v>4513</v>
      </c>
      <c r="AZ20" s="5">
        <f t="shared" si="0"/>
        <v>4465</v>
      </c>
      <c r="BA20" s="5">
        <f t="shared" si="0"/>
        <v>4825</v>
      </c>
      <c r="BB20" s="5">
        <f t="shared" si="0"/>
        <v>4282</v>
      </c>
      <c r="BC20" s="5">
        <f t="shared" si="0"/>
        <v>4149</v>
      </c>
      <c r="BD20" s="5">
        <f t="shared" si="0"/>
        <v>4148</v>
      </c>
      <c r="BE20" s="5">
        <f t="shared" si="0"/>
        <v>4094</v>
      </c>
      <c r="BF20" s="5">
        <f t="shared" si="0"/>
        <v>4108</v>
      </c>
      <c r="BG20" s="5">
        <f t="shared" si="0"/>
        <v>4068</v>
      </c>
      <c r="BH20" s="5">
        <f t="shared" si="0"/>
        <v>4068</v>
      </c>
      <c r="BI20" s="5">
        <f t="shared" si="0"/>
        <v>4026</v>
      </c>
      <c r="BJ20" s="5">
        <f t="shared" si="0"/>
        <v>4026</v>
      </c>
      <c r="BK20" s="5">
        <f t="shared" si="0"/>
        <v>4024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</row>
    <row r="21" spans="2:78" ht="14.45" outlineLevel="1" x14ac:dyDescent="0.3">
      <c r="B21" s="6" t="s">
        <v>687</v>
      </c>
      <c r="C21" s="5">
        <v>0</v>
      </c>
      <c r="D21" s="5">
        <f>$C$20-D20</f>
        <v>5</v>
      </c>
      <c r="E21" s="5">
        <f t="shared" ref="E21:AJ21" si="1">$C$20-E20</f>
        <v>1</v>
      </c>
      <c r="F21" s="5">
        <f t="shared" si="1"/>
        <v>79</v>
      </c>
      <c r="G21" s="5">
        <f t="shared" si="1"/>
        <v>76</v>
      </c>
      <c r="H21" s="5">
        <f t="shared" si="1"/>
        <v>161</v>
      </c>
      <c r="I21" s="5">
        <f t="shared" si="1"/>
        <v>162</v>
      </c>
      <c r="J21" s="5">
        <f t="shared" si="1"/>
        <v>162</v>
      </c>
      <c r="K21" s="5">
        <f t="shared" si="1"/>
        <v>159</v>
      </c>
      <c r="L21" s="5">
        <f t="shared" si="1"/>
        <v>114</v>
      </c>
      <c r="M21" s="5">
        <f t="shared" si="1"/>
        <v>129</v>
      </c>
      <c r="N21" s="5">
        <f t="shared" si="1"/>
        <v>211</v>
      </c>
      <c r="O21" s="5">
        <f t="shared" si="1"/>
        <v>229</v>
      </c>
      <c r="P21" s="5">
        <f t="shared" si="1"/>
        <v>287</v>
      </c>
      <c r="Q21" s="5">
        <f t="shared" si="1"/>
        <v>380</v>
      </c>
      <c r="R21" s="5">
        <f t="shared" si="1"/>
        <v>445</v>
      </c>
      <c r="S21" s="5">
        <f t="shared" si="1"/>
        <v>630</v>
      </c>
      <c r="T21" s="5">
        <f t="shared" si="1"/>
        <v>956</v>
      </c>
      <c r="U21" s="5">
        <f t="shared" si="1"/>
        <v>1205</v>
      </c>
      <c r="V21" s="5">
        <f t="shared" si="1"/>
        <v>1285</v>
      </c>
      <c r="W21" s="5">
        <f t="shared" si="1"/>
        <v>1409</v>
      </c>
      <c r="X21" s="5">
        <f t="shared" si="1"/>
        <v>1645</v>
      </c>
      <c r="Y21" s="5">
        <f t="shared" si="1"/>
        <v>1648</v>
      </c>
      <c r="Z21" s="5">
        <f t="shared" si="1"/>
        <v>1649</v>
      </c>
      <c r="AA21" s="5">
        <f t="shared" si="1"/>
        <v>1652</v>
      </c>
      <c r="AB21" s="5">
        <f t="shared" si="1"/>
        <v>1673</v>
      </c>
      <c r="AC21" s="5">
        <f t="shared" si="1"/>
        <v>1671</v>
      </c>
      <c r="AD21" s="5">
        <f t="shared" si="1"/>
        <v>1925</v>
      </c>
      <c r="AE21" s="5">
        <f t="shared" si="1"/>
        <v>1964</v>
      </c>
      <c r="AF21" s="5">
        <f t="shared" si="1"/>
        <v>2068</v>
      </c>
      <c r="AG21" s="5">
        <f t="shared" si="1"/>
        <v>2180</v>
      </c>
      <c r="AH21" s="5">
        <f t="shared" si="1"/>
        <v>2253</v>
      </c>
      <c r="AI21" s="5">
        <f t="shared" si="1"/>
        <v>2251</v>
      </c>
      <c r="AJ21" s="5">
        <f t="shared" si="1"/>
        <v>2276</v>
      </c>
      <c r="AK21" s="5">
        <f t="shared" ref="AK21:BK21" si="2">($C$20+1893+2791)-AK20</f>
        <v>2276</v>
      </c>
      <c r="AL21" s="5">
        <f t="shared" si="2"/>
        <v>4355</v>
      </c>
      <c r="AM21" s="5">
        <f t="shared" si="2"/>
        <v>4546</v>
      </c>
      <c r="AN21" s="5">
        <f t="shared" si="2"/>
        <v>4549</v>
      </c>
      <c r="AO21" s="5">
        <f t="shared" si="2"/>
        <v>4550</v>
      </c>
      <c r="AP21" s="5">
        <f t="shared" si="2"/>
        <v>4539</v>
      </c>
      <c r="AQ21" s="5">
        <f t="shared" si="2"/>
        <v>4834</v>
      </c>
      <c r="AR21" s="5">
        <f t="shared" si="2"/>
        <v>4375</v>
      </c>
      <c r="AS21" s="5">
        <f t="shared" si="2"/>
        <v>4248</v>
      </c>
      <c r="AT21" s="5">
        <f t="shared" si="2"/>
        <v>5152</v>
      </c>
      <c r="AU21" s="5">
        <f t="shared" si="2"/>
        <v>5456</v>
      </c>
      <c r="AV21" s="5">
        <f t="shared" si="2"/>
        <v>5793</v>
      </c>
      <c r="AW21" s="5">
        <f t="shared" si="2"/>
        <v>5852</v>
      </c>
      <c r="AX21" s="5">
        <f t="shared" si="2"/>
        <v>5929</v>
      </c>
      <c r="AY21" s="5">
        <f t="shared" si="2"/>
        <v>5913</v>
      </c>
      <c r="AZ21" s="5">
        <f t="shared" si="2"/>
        <v>5961</v>
      </c>
      <c r="BA21" s="5">
        <f t="shared" si="2"/>
        <v>5601</v>
      </c>
      <c r="BB21" s="5">
        <f t="shared" si="2"/>
        <v>6144</v>
      </c>
      <c r="BC21" s="5">
        <f t="shared" si="2"/>
        <v>6277</v>
      </c>
      <c r="BD21" s="5">
        <f t="shared" si="2"/>
        <v>6278</v>
      </c>
      <c r="BE21" s="5">
        <f t="shared" si="2"/>
        <v>6332</v>
      </c>
      <c r="BF21" s="5">
        <f t="shared" si="2"/>
        <v>6318</v>
      </c>
      <c r="BG21" s="5">
        <f t="shared" si="2"/>
        <v>6358</v>
      </c>
      <c r="BH21" s="5">
        <f t="shared" si="2"/>
        <v>6358</v>
      </c>
      <c r="BI21" s="5">
        <f t="shared" si="2"/>
        <v>6400</v>
      </c>
      <c r="BJ21" s="5">
        <f t="shared" si="2"/>
        <v>6400</v>
      </c>
      <c r="BK21" s="5">
        <f t="shared" si="2"/>
        <v>6402</v>
      </c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</row>
    <row r="22" spans="2:78" ht="15" customHeight="1" x14ac:dyDescent="0.3">
      <c r="B22" s="47"/>
    </row>
    <row r="23" spans="2:78" ht="60" customHeight="1" x14ac:dyDescent="0.3">
      <c r="B23" s="1" t="s">
        <v>3</v>
      </c>
      <c r="C23" s="4">
        <v>40923</v>
      </c>
      <c r="D23" s="4">
        <v>40930</v>
      </c>
      <c r="E23" s="4">
        <v>40937</v>
      </c>
      <c r="F23" s="4">
        <v>40944</v>
      </c>
      <c r="G23" s="4">
        <v>40951</v>
      </c>
      <c r="H23" s="4">
        <v>40958</v>
      </c>
      <c r="I23" s="4">
        <v>40965</v>
      </c>
      <c r="J23" s="4">
        <v>40972</v>
      </c>
      <c r="K23" s="4">
        <v>40980</v>
      </c>
      <c r="L23" s="4">
        <v>40995</v>
      </c>
      <c r="M23" s="4">
        <v>41008</v>
      </c>
      <c r="N23" s="4">
        <v>41016</v>
      </c>
      <c r="O23" s="4">
        <v>41022</v>
      </c>
      <c r="P23" s="4">
        <v>41029</v>
      </c>
      <c r="Q23" s="4">
        <v>41043</v>
      </c>
      <c r="R23" s="4">
        <v>41049</v>
      </c>
      <c r="S23" s="4">
        <v>41058</v>
      </c>
      <c r="T23" s="4">
        <v>41064</v>
      </c>
      <c r="U23" s="4">
        <v>41072</v>
      </c>
      <c r="V23" s="4">
        <v>41078</v>
      </c>
      <c r="W23" s="4">
        <v>41085</v>
      </c>
      <c r="X23" s="4">
        <v>41092</v>
      </c>
      <c r="Y23" s="4">
        <v>41099</v>
      </c>
      <c r="Z23" s="4">
        <v>41106</v>
      </c>
      <c r="AA23" s="4">
        <v>41113</v>
      </c>
      <c r="AB23" s="4">
        <v>41120</v>
      </c>
      <c r="AC23" s="4">
        <v>41127</v>
      </c>
      <c r="AD23" s="4">
        <v>41159</v>
      </c>
      <c r="AE23" s="4">
        <v>41170</v>
      </c>
      <c r="AF23" s="4">
        <v>41184</v>
      </c>
      <c r="AG23" s="4">
        <v>41190</v>
      </c>
      <c r="AH23" s="4">
        <v>41204</v>
      </c>
      <c r="AI23" s="4">
        <v>41215</v>
      </c>
      <c r="AJ23" s="4">
        <v>41227</v>
      </c>
      <c r="AK23" s="4">
        <v>41238</v>
      </c>
      <c r="AL23" s="4">
        <v>41252</v>
      </c>
      <c r="AM23" s="4">
        <v>41281</v>
      </c>
      <c r="AN23" s="4">
        <v>41288</v>
      </c>
      <c r="AO23" s="4">
        <v>41295</v>
      </c>
      <c r="AP23" s="4">
        <v>41308</v>
      </c>
      <c r="AQ23" s="4">
        <v>41315</v>
      </c>
      <c r="AR23" s="4">
        <v>41330</v>
      </c>
      <c r="AS23" s="4">
        <v>41337</v>
      </c>
      <c r="AT23" s="4">
        <v>41344</v>
      </c>
      <c r="AU23" s="4">
        <v>41351</v>
      </c>
      <c r="AV23" s="4">
        <v>41358</v>
      </c>
      <c r="AW23" s="4">
        <v>41364</v>
      </c>
      <c r="AX23" s="4">
        <v>41372</v>
      </c>
      <c r="AY23" s="4">
        <v>41379</v>
      </c>
      <c r="AZ23" s="4">
        <v>41385</v>
      </c>
      <c r="BA23" s="4">
        <v>41392</v>
      </c>
      <c r="BB23" s="4">
        <v>41400</v>
      </c>
      <c r="BC23" s="4">
        <v>41406</v>
      </c>
      <c r="BD23" s="4">
        <v>41413</v>
      </c>
      <c r="BE23" s="4">
        <v>41420</v>
      </c>
      <c r="BF23" s="4">
        <v>41427</v>
      </c>
      <c r="BG23" s="4">
        <v>41434</v>
      </c>
      <c r="BH23" s="4">
        <v>41441</v>
      </c>
      <c r="BI23" s="4">
        <v>41448</v>
      </c>
      <c r="BJ23" s="4">
        <v>41455</v>
      </c>
      <c r="BK23" s="4">
        <v>41462</v>
      </c>
      <c r="BL23" s="4">
        <v>41469</v>
      </c>
      <c r="BM23" s="4">
        <v>41483</v>
      </c>
      <c r="BN23" s="4">
        <v>41490</v>
      </c>
      <c r="BO23" s="4">
        <v>41497</v>
      </c>
      <c r="BP23" s="4">
        <v>41514</v>
      </c>
      <c r="BQ23" s="4">
        <v>41533</v>
      </c>
      <c r="BR23" s="4">
        <v>41542</v>
      </c>
      <c r="BS23" s="4">
        <v>41560</v>
      </c>
      <c r="BT23" s="4">
        <v>41567</v>
      </c>
      <c r="BU23" s="4">
        <v>41574</v>
      </c>
      <c r="BV23" s="4">
        <v>41581</v>
      </c>
      <c r="BW23" s="4">
        <v>41588</v>
      </c>
      <c r="BX23" s="4">
        <v>41595</v>
      </c>
      <c r="BY23" s="4">
        <v>41602</v>
      </c>
      <c r="BZ23" s="4">
        <v>41609</v>
      </c>
    </row>
    <row r="24" spans="2:78" ht="14.45" x14ac:dyDescent="0.3">
      <c r="B24" s="5" t="s">
        <v>689</v>
      </c>
      <c r="C24" s="5">
        <f>C18+$D$41+D46</f>
        <v>7101</v>
      </c>
      <c r="D24" s="5">
        <f>D18+$D$41+D46</f>
        <v>7096</v>
      </c>
      <c r="E24" s="5">
        <f>E18+$D$41+D46</f>
        <v>7100</v>
      </c>
      <c r="F24" s="5">
        <f>F18+$D$41+D46</f>
        <v>7022</v>
      </c>
      <c r="G24" s="5">
        <f>G18+$D$41+D46</f>
        <v>7025</v>
      </c>
      <c r="H24" s="5">
        <f>H18+$D$41+D46</f>
        <v>6940</v>
      </c>
      <c r="I24" s="5">
        <f>I18+$D$41</f>
        <v>6671</v>
      </c>
      <c r="J24" s="5">
        <f>J18+$D$41+D46</f>
        <v>6939</v>
      </c>
      <c r="K24" s="5">
        <f>K18+$D$41+D46</f>
        <v>6942</v>
      </c>
      <c r="L24" s="5">
        <f>L18+$D$41+D46</f>
        <v>6987</v>
      </c>
      <c r="M24" s="5">
        <f>M18+$D$41+D46</f>
        <v>6972</v>
      </c>
      <c r="N24" s="5">
        <f>N18+$D$41+D46</f>
        <v>6890</v>
      </c>
      <c r="O24" s="5">
        <f>O18+$D$41+D46</f>
        <v>6890</v>
      </c>
      <c r="P24" s="5">
        <f>P18+$D$41+D46</f>
        <v>6848</v>
      </c>
      <c r="Q24" s="5">
        <f>Q18+$D$41+D46</f>
        <v>6770</v>
      </c>
      <c r="R24" s="5">
        <f>R18+$D$41+D46</f>
        <v>6719</v>
      </c>
      <c r="S24" s="5">
        <f>S18+$D$41+D46</f>
        <v>6667</v>
      </c>
      <c r="T24" s="5">
        <f>T18+$D$41+D46</f>
        <v>6635</v>
      </c>
      <c r="U24" s="5">
        <f>U18+$D$41+D46</f>
        <v>6475</v>
      </c>
      <c r="V24" s="5">
        <f>V18+$D$41+D46</f>
        <v>6395</v>
      </c>
      <c r="W24" s="5">
        <f>W18+$D$41+D46</f>
        <v>6346</v>
      </c>
      <c r="X24" s="5">
        <f>X18+$D$41+D46</f>
        <v>6201</v>
      </c>
      <c r="Y24" s="5">
        <f>Y18+$D$41+D46</f>
        <v>6206</v>
      </c>
      <c r="Z24" s="5">
        <f>Z18+$D$41+D46</f>
        <v>6208</v>
      </c>
      <c r="AA24" s="5">
        <f>AA18+$D$41+D46</f>
        <v>6207</v>
      </c>
      <c r="AB24" s="5">
        <f>AB18+$D$41+D46</f>
        <v>6204</v>
      </c>
      <c r="AC24" s="5">
        <f>AC18+$D$41+D46</f>
        <v>6204</v>
      </c>
      <c r="AD24" s="5">
        <f>AD18+$D$41+D46</f>
        <v>5950</v>
      </c>
      <c r="AE24" s="5">
        <f>AE18+$D$41+D46</f>
        <v>5911</v>
      </c>
      <c r="AF24" s="5">
        <f>AF18+$D$41+D46</f>
        <v>5911</v>
      </c>
      <c r="AG24" s="5">
        <f>AG18+$D$41+D46</f>
        <v>5806</v>
      </c>
      <c r="AH24" s="5">
        <f>AH18+$D$41+D46</f>
        <v>5765</v>
      </c>
      <c r="AI24" s="5">
        <f>AI18+$D$41+D46</f>
        <v>5746</v>
      </c>
      <c r="AJ24" s="5">
        <f>AJ18+$D$41+D46</f>
        <v>5744</v>
      </c>
      <c r="AK24" s="5">
        <f>5476+D46</f>
        <v>5744</v>
      </c>
      <c r="AL24" s="5">
        <f>4084+D46</f>
        <v>4352</v>
      </c>
      <c r="AM24" s="5">
        <f>4071+D46</f>
        <v>4339</v>
      </c>
      <c r="AN24" s="5">
        <f>4068+D46</f>
        <v>4336</v>
      </c>
      <c r="AO24" s="5">
        <f>4067+D46</f>
        <v>4335</v>
      </c>
      <c r="AP24" s="5">
        <f>4082+D46</f>
        <v>4350</v>
      </c>
      <c r="AQ24" s="5">
        <f>3961+D46</f>
        <v>4229</v>
      </c>
      <c r="AR24" s="5">
        <f>4420+D46</f>
        <v>4688</v>
      </c>
      <c r="AS24" s="5">
        <f>4547+D46</f>
        <v>4815</v>
      </c>
      <c r="AT24" s="5">
        <f>3712+D46</f>
        <v>3980</v>
      </c>
      <c r="AU24" s="5">
        <f>3543+D46</f>
        <v>3811</v>
      </c>
      <c r="AV24" s="5">
        <f>3204+D46</f>
        <v>3472</v>
      </c>
      <c r="AW24" s="5">
        <f>3148+D46</f>
        <v>3416</v>
      </c>
      <c r="AX24" s="5">
        <f>3067+D46</f>
        <v>3335</v>
      </c>
      <c r="AY24" s="5">
        <f>3060+D46</f>
        <v>3328</v>
      </c>
      <c r="AZ24" s="5">
        <f>3015+D46</f>
        <v>3283</v>
      </c>
      <c r="BA24" s="5">
        <f>3375+D46</f>
        <v>3643</v>
      </c>
      <c r="BB24" s="5">
        <f>2728+D46</f>
        <v>2996</v>
      </c>
      <c r="BC24" s="5">
        <f>2708+D46</f>
        <v>2976</v>
      </c>
      <c r="BD24" s="5">
        <f>2708+D46</f>
        <v>2976</v>
      </c>
      <c r="BE24" s="5">
        <f>2706+D46</f>
        <v>2974</v>
      </c>
      <c r="BF24" s="5">
        <f>2726+D46</f>
        <v>2994</v>
      </c>
      <c r="BG24" s="5">
        <f>2732+D46</f>
        <v>3000</v>
      </c>
      <c r="BH24" s="5">
        <f>2731+D46</f>
        <v>2999</v>
      </c>
      <c r="BI24" s="5">
        <f>2687+D46</f>
        <v>2955</v>
      </c>
      <c r="BJ24" s="5">
        <f>2690+D46</f>
        <v>2958</v>
      </c>
      <c r="BK24" s="5">
        <f>2694+D46</f>
        <v>2962</v>
      </c>
      <c r="BL24" s="5">
        <f>2692+D46</f>
        <v>2960</v>
      </c>
      <c r="BM24" s="5">
        <f>2693+D46</f>
        <v>2961</v>
      </c>
      <c r="BN24" s="5">
        <f>2692+D46</f>
        <v>2960</v>
      </c>
      <c r="BO24" s="5">
        <f>2697+D46</f>
        <v>2965</v>
      </c>
      <c r="BP24" s="5">
        <f>2746+D46</f>
        <v>3014</v>
      </c>
      <c r="BQ24" s="5">
        <f>2754+D46</f>
        <v>3022</v>
      </c>
      <c r="BR24" s="5">
        <f>2732+D46</f>
        <v>3000</v>
      </c>
      <c r="BS24" s="5">
        <f>2733+D46</f>
        <v>3001</v>
      </c>
      <c r="BT24" s="5">
        <f>2740+D46</f>
        <v>3008</v>
      </c>
      <c r="BU24" s="5">
        <f>2634+D46</f>
        <v>2902</v>
      </c>
      <c r="BV24" s="5">
        <f>2634+D46</f>
        <v>2902</v>
      </c>
      <c r="BW24" s="5">
        <f>2634+D46</f>
        <v>2902</v>
      </c>
      <c r="BX24" s="5">
        <f>2634+D46</f>
        <v>2902</v>
      </c>
      <c r="BY24" s="5">
        <f>2634+D46</f>
        <v>2902</v>
      </c>
      <c r="BZ24" s="5">
        <v>2899</v>
      </c>
    </row>
    <row r="25" spans="2:78" ht="14.45" x14ac:dyDescent="0.3">
      <c r="B25" s="5" t="s">
        <v>8306</v>
      </c>
      <c r="C25" s="5">
        <v>2514</v>
      </c>
      <c r="D25" s="5">
        <v>2514</v>
      </c>
      <c r="E25" s="5">
        <v>2514</v>
      </c>
      <c r="F25" s="5">
        <v>2514</v>
      </c>
      <c r="G25" s="5">
        <v>2514</v>
      </c>
      <c r="H25" s="5">
        <v>2514</v>
      </c>
      <c r="I25" s="5">
        <v>2514</v>
      </c>
      <c r="J25" s="5">
        <v>2514</v>
      </c>
      <c r="K25" s="5">
        <v>2514</v>
      </c>
      <c r="L25" s="5">
        <v>2514</v>
      </c>
      <c r="M25" s="5">
        <v>2514</v>
      </c>
      <c r="N25" s="5">
        <v>2514</v>
      </c>
      <c r="O25" s="5">
        <v>2514</v>
      </c>
      <c r="P25" s="5">
        <v>2514</v>
      </c>
      <c r="Q25" s="5">
        <v>2514</v>
      </c>
      <c r="R25" s="5">
        <v>2514</v>
      </c>
      <c r="S25" s="5">
        <v>2514</v>
      </c>
      <c r="T25" s="5">
        <v>2514</v>
      </c>
      <c r="U25" s="5">
        <v>2514</v>
      </c>
      <c r="V25" s="5">
        <v>2514</v>
      </c>
      <c r="W25" s="5">
        <v>2514</v>
      </c>
      <c r="X25" s="5">
        <v>2514</v>
      </c>
      <c r="Y25" s="5">
        <v>2514</v>
      </c>
      <c r="Z25" s="5">
        <v>2514</v>
      </c>
      <c r="AA25" s="5">
        <v>2514</v>
      </c>
      <c r="AB25" s="5">
        <v>2514</v>
      </c>
      <c r="AC25" s="5">
        <v>2514</v>
      </c>
      <c r="AD25" s="5">
        <v>2514</v>
      </c>
      <c r="AE25" s="5">
        <v>2514</v>
      </c>
      <c r="AF25" s="5">
        <v>2514</v>
      </c>
      <c r="AG25" s="5">
        <v>2514</v>
      </c>
      <c r="AH25" s="5">
        <v>2514</v>
      </c>
      <c r="AI25" s="5">
        <v>2514</v>
      </c>
      <c r="AJ25" s="5">
        <v>2514</v>
      </c>
      <c r="AK25" s="5">
        <v>2514</v>
      </c>
      <c r="AL25" s="5">
        <v>2514</v>
      </c>
      <c r="AM25" s="5">
        <v>2514</v>
      </c>
      <c r="AN25" s="5">
        <v>2514</v>
      </c>
      <c r="AO25" s="5">
        <v>2514</v>
      </c>
      <c r="AP25" s="5">
        <v>2514</v>
      </c>
      <c r="AQ25" s="5">
        <v>2514</v>
      </c>
      <c r="AR25" s="5">
        <v>2514</v>
      </c>
      <c r="AS25" s="5">
        <v>2514</v>
      </c>
      <c r="AT25" s="5">
        <v>2514</v>
      </c>
      <c r="AU25" s="5">
        <v>2514</v>
      </c>
      <c r="AV25" s="5">
        <v>2514</v>
      </c>
      <c r="AW25" s="5">
        <v>2514</v>
      </c>
      <c r="AX25" s="5">
        <v>2514</v>
      </c>
      <c r="AY25" s="5">
        <v>2514</v>
      </c>
      <c r="AZ25" s="5">
        <v>2514</v>
      </c>
      <c r="BA25" s="5">
        <v>2514</v>
      </c>
      <c r="BB25" s="5">
        <v>2514</v>
      </c>
      <c r="BC25" s="5">
        <v>2514</v>
      </c>
      <c r="BD25" s="5">
        <v>2514</v>
      </c>
      <c r="BE25" s="5">
        <v>2514</v>
      </c>
      <c r="BF25" s="5">
        <v>2514</v>
      </c>
      <c r="BG25" s="5">
        <v>2514</v>
      </c>
      <c r="BH25" s="5">
        <v>2514</v>
      </c>
      <c r="BI25" s="5">
        <v>2514</v>
      </c>
      <c r="BJ25" s="5">
        <v>2514</v>
      </c>
      <c r="BK25" s="5">
        <v>2514</v>
      </c>
      <c r="BL25" s="5">
        <v>2514</v>
      </c>
      <c r="BM25" s="5">
        <v>2514</v>
      </c>
      <c r="BN25" s="5">
        <v>2514</v>
      </c>
      <c r="BO25" s="5">
        <v>2514</v>
      </c>
      <c r="BP25" s="5">
        <v>2514</v>
      </c>
      <c r="BQ25" s="5">
        <v>2514</v>
      </c>
      <c r="BR25" s="5">
        <v>2514</v>
      </c>
      <c r="BS25" s="5">
        <v>2514</v>
      </c>
      <c r="BT25" s="5">
        <v>2514</v>
      </c>
      <c r="BU25" s="5">
        <v>2514</v>
      </c>
      <c r="BV25" s="5">
        <v>2514</v>
      </c>
      <c r="BW25" s="5">
        <v>2514</v>
      </c>
      <c r="BX25" s="5">
        <v>2514</v>
      </c>
      <c r="BY25" s="5">
        <v>2514</v>
      </c>
      <c r="BZ25" s="5">
        <v>2514</v>
      </c>
    </row>
    <row r="26" spans="2:78" ht="9.75" customHeight="1" x14ac:dyDescent="0.3"/>
    <row r="27" spans="2:78" ht="9.75" customHeight="1" x14ac:dyDescent="0.3">
      <c r="BZ27" t="e">
        <f>#REF!-#REF!</f>
        <v>#REF!</v>
      </c>
    </row>
    <row r="28" spans="2:78" ht="62.25" customHeight="1" x14ac:dyDescent="0.3">
      <c r="B28" s="5" t="s">
        <v>2539</v>
      </c>
      <c r="C28" s="4">
        <v>41609</v>
      </c>
      <c r="D28" s="57" t="s">
        <v>2540</v>
      </c>
    </row>
    <row r="29" spans="2:78" ht="14.45" x14ac:dyDescent="0.3">
      <c r="B29" s="5" t="s">
        <v>2529</v>
      </c>
      <c r="C29" s="5">
        <v>3595</v>
      </c>
      <c r="D29" s="56" t="e">
        <f>#REF!-C29</f>
        <v>#REF!</v>
      </c>
    </row>
    <row r="30" spans="2:78" s="2" customFormat="1" ht="14.45" x14ac:dyDescent="0.3">
      <c r="B30" s="5" t="s">
        <v>689</v>
      </c>
      <c r="C30" s="5">
        <v>2899</v>
      </c>
      <c r="D30" s="56">
        <f>C24-C30</f>
        <v>4202</v>
      </c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</row>
    <row r="31" spans="2:78" s="2" customFormat="1" ht="14.45" x14ac:dyDescent="0.3">
      <c r="B31" s="5" t="s">
        <v>690</v>
      </c>
      <c r="C31" s="5">
        <v>700</v>
      </c>
      <c r="D31" s="56">
        <f>C25-C31</f>
        <v>1814</v>
      </c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</row>
    <row r="32" spans="2:78" s="2" customFormat="1" ht="14.45" x14ac:dyDescent="0.3">
      <c r="B32" s="6" t="s">
        <v>2572</v>
      </c>
      <c r="C32" s="5">
        <f t="shared" ref="C32" si="3">C30+C31+C29</f>
        <v>7194</v>
      </c>
      <c r="D32" s="56" t="e">
        <f>D30+D31+D29</f>
        <v>#REF!</v>
      </c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</row>
    <row r="33" spans="2:78" s="2" customFormat="1" ht="14.45" x14ac:dyDescent="0.3">
      <c r="B33" s="55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</row>
    <row r="34" spans="2:78" s="2" customFormat="1" ht="14.45" x14ac:dyDescent="0.3">
      <c r="B34" s="47" t="s">
        <v>2515</v>
      </c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</row>
    <row r="35" spans="2:78" s="2" customFormat="1" ht="14.45" x14ac:dyDescent="0.3">
      <c r="B35" s="48" t="s">
        <v>2522</v>
      </c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</row>
    <row r="36" spans="2:78" s="2" customFormat="1" ht="14.45" x14ac:dyDescent="0.3">
      <c r="B36" s="48" t="s">
        <v>2518</v>
      </c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</row>
    <row r="37" spans="2:78" s="2" customFormat="1" ht="14.45" x14ac:dyDescent="0.3">
      <c r="B37" s="47" t="s">
        <v>2517</v>
      </c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</row>
    <row r="38" spans="2:78" s="2" customFormat="1" ht="14.45" x14ac:dyDescent="0.3">
      <c r="B38" s="2" t="s">
        <v>2520</v>
      </c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</row>
    <row r="39" spans="2:78" s="2" customFormat="1" ht="14.45" x14ac:dyDescent="0.3">
      <c r="B39" s="2" t="s">
        <v>2519</v>
      </c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</row>
    <row r="40" spans="2:78" s="2" customFormat="1" ht="14.45" x14ac:dyDescent="0.3">
      <c r="B40" s="15" t="s">
        <v>2521</v>
      </c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</row>
    <row r="41" spans="2:78" s="2" customFormat="1" ht="14.45" x14ac:dyDescent="0.3">
      <c r="B41" s="15" t="s">
        <v>2530</v>
      </c>
      <c r="D41" s="2">
        <f>AK18-AJ18</f>
        <v>2791</v>
      </c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</row>
    <row r="42" spans="2:78" s="2" customFormat="1" ht="14.45" x14ac:dyDescent="0.3">
      <c r="B42" s="15" t="s">
        <v>2531</v>
      </c>
      <c r="D42" s="2">
        <f>AK19-AJ19</f>
        <v>1893</v>
      </c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</row>
    <row r="43" spans="2:78" s="2" customFormat="1" ht="14.45" x14ac:dyDescent="0.3">
      <c r="B43" s="15" t="s">
        <v>2532</v>
      </c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</row>
    <row r="44" spans="2:78" s="2" customFormat="1" ht="14.45" x14ac:dyDescent="0.3">
      <c r="B44" s="15" t="s">
        <v>8302</v>
      </c>
      <c r="D44" s="2">
        <f>(3787-3594)+6</f>
        <v>199</v>
      </c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</row>
    <row r="45" spans="2:78" s="2" customFormat="1" ht="14.45" x14ac:dyDescent="0.3">
      <c r="B45" s="15" t="s">
        <v>8303</v>
      </c>
      <c r="D45" s="2">
        <f>(1230-704)+23</f>
        <v>549</v>
      </c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</row>
    <row r="46" spans="2:78" s="2" customFormat="1" ht="14.45" x14ac:dyDescent="0.3">
      <c r="B46" s="15" t="s">
        <v>8304</v>
      </c>
      <c r="D46" s="2">
        <f>2902-2634</f>
        <v>268</v>
      </c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</row>
  </sheetData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Q6"/>
  <sheetViews>
    <sheetView workbookViewId="0">
      <selection activeCell="P26" sqref="P26"/>
    </sheetView>
  </sheetViews>
  <sheetFormatPr defaultRowHeight="15" x14ac:dyDescent="0.25"/>
  <cols>
    <col min="1" max="1" width="3.42578125" customWidth="1"/>
    <col min="2" max="2" width="15.28515625" customWidth="1"/>
    <col min="3" max="5" width="9.7109375" hidden="1" customWidth="1"/>
    <col min="6" max="7" width="9.140625" hidden="1" customWidth="1"/>
    <col min="8" max="9" width="9.7109375" hidden="1" customWidth="1"/>
    <col min="10" max="10" width="10.7109375" hidden="1" customWidth="1"/>
    <col min="11" max="17" width="11.28515625" customWidth="1"/>
    <col min="18" max="18" width="4" customWidth="1"/>
  </cols>
  <sheetData>
    <row r="3" spans="2:17" x14ac:dyDescent="0.25">
      <c r="B3" s="18" t="s">
        <v>8453</v>
      </c>
      <c r="C3" s="85">
        <v>41407</v>
      </c>
      <c r="D3" s="85">
        <v>41439</v>
      </c>
      <c r="E3" s="85">
        <v>41452</v>
      </c>
      <c r="F3" s="85">
        <v>41457</v>
      </c>
      <c r="G3" s="85">
        <v>41463</v>
      </c>
      <c r="H3" s="85">
        <v>41502</v>
      </c>
      <c r="I3" s="85">
        <v>41515</v>
      </c>
      <c r="J3" s="85">
        <v>41603</v>
      </c>
      <c r="K3" s="85">
        <v>41407</v>
      </c>
      <c r="L3" s="85">
        <v>41468</v>
      </c>
      <c r="M3" s="85">
        <v>41502</v>
      </c>
      <c r="N3" s="85">
        <v>41603</v>
      </c>
      <c r="O3" s="85">
        <v>41617</v>
      </c>
      <c r="P3" s="85">
        <v>41729</v>
      </c>
      <c r="Q3" s="85">
        <v>41753</v>
      </c>
    </row>
    <row r="4" spans="2:17" x14ac:dyDescent="0.25">
      <c r="B4" s="18" t="s">
        <v>8456</v>
      </c>
      <c r="C4" s="18">
        <v>3402</v>
      </c>
      <c r="D4" s="18">
        <v>3304</v>
      </c>
      <c r="E4" s="18">
        <v>3491</v>
      </c>
      <c r="F4" s="18">
        <v>3490</v>
      </c>
      <c r="G4" s="18">
        <v>3118</v>
      </c>
      <c r="H4" s="18">
        <v>2888</v>
      </c>
      <c r="I4" s="18">
        <v>2783</v>
      </c>
      <c r="J4" s="18">
        <v>2806</v>
      </c>
      <c r="K4" s="87">
        <v>3402</v>
      </c>
      <c r="L4" s="87">
        <v>3118</v>
      </c>
      <c r="M4" s="87">
        <v>2888</v>
      </c>
      <c r="N4" s="87">
        <v>2806</v>
      </c>
      <c r="O4" s="87">
        <v>2211</v>
      </c>
      <c r="P4" s="87">
        <v>2032</v>
      </c>
      <c r="Q4" s="88">
        <v>1613</v>
      </c>
    </row>
    <row r="5" spans="2:17" x14ac:dyDescent="0.25">
      <c r="B5" s="18" t="s">
        <v>108</v>
      </c>
      <c r="C5" s="18">
        <v>0</v>
      </c>
      <c r="D5" s="18">
        <f>$C$4-D4</f>
        <v>98</v>
      </c>
      <c r="E5" s="18">
        <f t="shared" ref="E5:J5" si="0">$C$4-E4</f>
        <v>-89</v>
      </c>
      <c r="F5" s="18">
        <f t="shared" si="0"/>
        <v>-88</v>
      </c>
      <c r="G5" s="18">
        <f t="shared" si="0"/>
        <v>284</v>
      </c>
      <c r="H5" s="18">
        <f t="shared" si="0"/>
        <v>514</v>
      </c>
      <c r="I5" s="18">
        <f t="shared" si="0"/>
        <v>619</v>
      </c>
      <c r="J5" s="18">
        <f t="shared" si="0"/>
        <v>596</v>
      </c>
      <c r="K5" s="87">
        <v>0</v>
      </c>
      <c r="L5" s="87">
        <f>$K$4-L4</f>
        <v>284</v>
      </c>
      <c r="M5" s="87">
        <f t="shared" ref="M5:Q5" si="1">$K$4-M4</f>
        <v>514</v>
      </c>
      <c r="N5" s="87">
        <f t="shared" si="1"/>
        <v>596</v>
      </c>
      <c r="O5" s="87">
        <f t="shared" si="1"/>
        <v>1191</v>
      </c>
      <c r="P5" s="87">
        <f t="shared" si="1"/>
        <v>1370</v>
      </c>
      <c r="Q5" s="87">
        <f t="shared" si="1"/>
        <v>1789</v>
      </c>
    </row>
    <row r="6" spans="2:17" x14ac:dyDescent="0.25">
      <c r="K6" s="86"/>
      <c r="L6" s="86"/>
      <c r="M6" s="86"/>
      <c r="N6" s="86"/>
      <c r="O6" s="86"/>
      <c r="P6" s="86"/>
      <c r="Q6" s="86"/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5"/>
  <sheetViews>
    <sheetView workbookViewId="0">
      <selection activeCell="O4" sqref="O4"/>
    </sheetView>
  </sheetViews>
  <sheetFormatPr defaultRowHeight="15" x14ac:dyDescent="0.25"/>
  <cols>
    <col min="1" max="1" width="9.5703125" bestFit="1" customWidth="1"/>
    <col min="2" max="2" width="15.42578125" bestFit="1" customWidth="1"/>
    <col min="6" max="6" width="7.42578125" bestFit="1" customWidth="1"/>
    <col min="7" max="7" width="10.42578125" bestFit="1" customWidth="1"/>
  </cols>
  <sheetData>
    <row r="1" spans="1:10" ht="18" x14ac:dyDescent="0.3">
      <c r="A1" s="105" t="s">
        <v>11530</v>
      </c>
    </row>
    <row r="2" spans="1:10" ht="18.600000000000001" thickBot="1" x14ac:dyDescent="0.35">
      <c r="A2" s="105"/>
    </row>
    <row r="3" spans="1:10" ht="16.5" thickBot="1" x14ac:dyDescent="0.3">
      <c r="A3" s="106" t="s">
        <v>155</v>
      </c>
      <c r="B3" s="108" t="s">
        <v>11519</v>
      </c>
      <c r="C3" s="109"/>
      <c r="D3" s="110"/>
      <c r="E3" s="93"/>
      <c r="F3" s="111" t="s">
        <v>11520</v>
      </c>
      <c r="G3" s="112"/>
      <c r="H3" s="112"/>
      <c r="I3" s="112"/>
      <c r="J3" s="113"/>
    </row>
    <row r="4" spans="1:10" ht="16.5" thickTop="1" thickBot="1" x14ac:dyDescent="0.3">
      <c r="A4" s="107"/>
      <c r="B4" s="94" t="s">
        <v>11521</v>
      </c>
      <c r="C4" s="94" t="s">
        <v>11522</v>
      </c>
      <c r="D4" s="95" t="s">
        <v>11523</v>
      </c>
      <c r="E4" s="96" t="s">
        <v>11524</v>
      </c>
      <c r="F4" s="97" t="s">
        <v>11525</v>
      </c>
      <c r="G4" s="97" t="s">
        <v>11526</v>
      </c>
      <c r="H4" s="97" t="s">
        <v>11527</v>
      </c>
      <c r="I4" s="98" t="s">
        <v>11528</v>
      </c>
      <c r="J4" s="99" t="s">
        <v>11529</v>
      </c>
    </row>
    <row r="5" spans="1:10" thickBot="1" x14ac:dyDescent="0.35">
      <c r="A5" s="100">
        <v>42408</v>
      </c>
      <c r="B5" s="101">
        <v>242</v>
      </c>
      <c r="C5" s="101">
        <v>13</v>
      </c>
      <c r="D5" s="102">
        <v>78</v>
      </c>
      <c r="E5" s="103">
        <f>SUM(B5:D5)</f>
        <v>333</v>
      </c>
      <c r="F5" s="101">
        <v>0</v>
      </c>
      <c r="G5" s="101">
        <v>0</v>
      </c>
      <c r="H5" s="101">
        <v>0</v>
      </c>
      <c r="I5" s="101">
        <v>0</v>
      </c>
      <c r="J5" s="104">
        <f t="shared" ref="J5:J15" si="0">SUM(F5:I5)</f>
        <v>0</v>
      </c>
    </row>
    <row r="6" spans="1:10" thickBot="1" x14ac:dyDescent="0.35">
      <c r="A6" s="100">
        <v>42409</v>
      </c>
      <c r="B6" s="101">
        <v>242</v>
      </c>
      <c r="C6" s="101">
        <v>13</v>
      </c>
      <c r="D6" s="102">
        <v>78</v>
      </c>
      <c r="E6" s="103">
        <f t="shared" ref="E6:E15" si="1">SUM(B6:D6)</f>
        <v>333</v>
      </c>
      <c r="F6" s="101">
        <v>0</v>
      </c>
      <c r="G6" s="101">
        <v>0</v>
      </c>
      <c r="H6" s="101">
        <v>0</v>
      </c>
      <c r="I6" s="101">
        <v>0</v>
      </c>
      <c r="J6" s="104">
        <f t="shared" si="0"/>
        <v>0</v>
      </c>
    </row>
    <row r="7" spans="1:10" thickBot="1" x14ac:dyDescent="0.35">
      <c r="A7" s="100">
        <v>42410</v>
      </c>
      <c r="B7" s="101">
        <v>242</v>
      </c>
      <c r="C7" s="101">
        <v>13</v>
      </c>
      <c r="D7" s="102">
        <v>78</v>
      </c>
      <c r="E7" s="103">
        <f t="shared" si="1"/>
        <v>333</v>
      </c>
      <c r="F7" s="101">
        <v>0</v>
      </c>
      <c r="G7" s="101">
        <v>0</v>
      </c>
      <c r="H7" s="101">
        <v>0</v>
      </c>
      <c r="I7" s="101">
        <v>0</v>
      </c>
      <c r="J7" s="104">
        <f t="shared" si="0"/>
        <v>0</v>
      </c>
    </row>
    <row r="8" spans="1:10" thickBot="1" x14ac:dyDescent="0.35">
      <c r="A8" s="100">
        <v>42411</v>
      </c>
      <c r="B8" s="101">
        <v>276</v>
      </c>
      <c r="C8" s="101">
        <v>13</v>
      </c>
      <c r="D8" s="102">
        <v>78</v>
      </c>
      <c r="E8" s="103">
        <f t="shared" si="1"/>
        <v>367</v>
      </c>
      <c r="F8" s="101">
        <v>0</v>
      </c>
      <c r="G8" s="101">
        <v>0</v>
      </c>
      <c r="H8" s="101">
        <v>0</v>
      </c>
      <c r="I8" s="101">
        <v>0</v>
      </c>
      <c r="J8" s="104">
        <f t="shared" si="0"/>
        <v>0</v>
      </c>
    </row>
    <row r="9" spans="1:10" thickBot="1" x14ac:dyDescent="0.35">
      <c r="A9" s="100">
        <v>42412</v>
      </c>
      <c r="B9" s="101">
        <v>276</v>
      </c>
      <c r="C9" s="101">
        <v>13</v>
      </c>
      <c r="D9" s="102">
        <v>56</v>
      </c>
      <c r="E9" s="103">
        <f t="shared" si="1"/>
        <v>345</v>
      </c>
      <c r="F9" s="101">
        <v>0</v>
      </c>
      <c r="G9" s="101">
        <v>0</v>
      </c>
      <c r="H9" s="101">
        <v>0</v>
      </c>
      <c r="I9" s="101">
        <v>0</v>
      </c>
      <c r="J9" s="104">
        <f t="shared" si="0"/>
        <v>0</v>
      </c>
    </row>
    <row r="10" spans="1:10" thickBot="1" x14ac:dyDescent="0.35">
      <c r="A10" s="100">
        <v>42413</v>
      </c>
      <c r="B10" s="101">
        <v>242</v>
      </c>
      <c r="C10" s="101">
        <v>13</v>
      </c>
      <c r="D10" s="102">
        <v>46</v>
      </c>
      <c r="E10" s="103">
        <f t="shared" si="1"/>
        <v>301</v>
      </c>
      <c r="F10" s="101">
        <v>0</v>
      </c>
      <c r="G10" s="101">
        <v>0</v>
      </c>
      <c r="H10" s="101">
        <v>0</v>
      </c>
      <c r="I10" s="101">
        <v>0</v>
      </c>
      <c r="J10" s="104">
        <f t="shared" si="0"/>
        <v>0</v>
      </c>
    </row>
    <row r="11" spans="1:10" thickBot="1" x14ac:dyDescent="0.35">
      <c r="A11" s="100">
        <v>42414</v>
      </c>
      <c r="B11" s="101">
        <v>242</v>
      </c>
      <c r="C11" s="101">
        <v>13</v>
      </c>
      <c r="D11" s="102">
        <v>41</v>
      </c>
      <c r="E11" s="103">
        <f t="shared" si="1"/>
        <v>296</v>
      </c>
      <c r="F11" s="101">
        <v>0</v>
      </c>
      <c r="G11" s="101">
        <v>0</v>
      </c>
      <c r="H11" s="101">
        <v>0</v>
      </c>
      <c r="I11" s="101">
        <v>0</v>
      </c>
      <c r="J11" s="104">
        <f t="shared" si="0"/>
        <v>0</v>
      </c>
    </row>
    <row r="12" spans="1:10" thickBot="1" x14ac:dyDescent="0.35">
      <c r="A12" s="100">
        <v>42415</v>
      </c>
      <c r="B12" s="101">
        <v>242</v>
      </c>
      <c r="C12" s="101">
        <v>13</v>
      </c>
      <c r="D12" s="102">
        <v>41</v>
      </c>
      <c r="E12" s="103">
        <f t="shared" si="1"/>
        <v>296</v>
      </c>
      <c r="F12" s="101">
        <v>0</v>
      </c>
      <c r="G12" s="101">
        <v>0</v>
      </c>
      <c r="H12" s="101">
        <v>0</v>
      </c>
      <c r="I12" s="101">
        <v>0</v>
      </c>
      <c r="J12" s="104">
        <f t="shared" si="0"/>
        <v>0</v>
      </c>
    </row>
    <row r="13" spans="1:10" thickBot="1" x14ac:dyDescent="0.35">
      <c r="A13" s="100">
        <v>42416</v>
      </c>
      <c r="B13" s="101">
        <v>242</v>
      </c>
      <c r="C13" s="101">
        <v>13</v>
      </c>
      <c r="D13" s="102">
        <v>41</v>
      </c>
      <c r="E13" s="103">
        <f t="shared" si="1"/>
        <v>296</v>
      </c>
      <c r="F13" s="101">
        <v>0</v>
      </c>
      <c r="G13" s="101">
        <v>0</v>
      </c>
      <c r="H13" s="101">
        <v>0</v>
      </c>
      <c r="I13" s="101">
        <v>0</v>
      </c>
      <c r="J13" s="104">
        <f t="shared" si="0"/>
        <v>0</v>
      </c>
    </row>
    <row r="14" spans="1:10" thickBot="1" x14ac:dyDescent="0.35">
      <c r="A14" s="100">
        <v>42417</v>
      </c>
      <c r="B14" s="101">
        <v>242</v>
      </c>
      <c r="C14" s="101">
        <v>13</v>
      </c>
      <c r="D14" s="102">
        <v>41</v>
      </c>
      <c r="E14" s="103">
        <f t="shared" si="1"/>
        <v>296</v>
      </c>
      <c r="F14" s="101">
        <v>0</v>
      </c>
      <c r="G14" s="101">
        <v>0</v>
      </c>
      <c r="H14" s="101">
        <v>0</v>
      </c>
      <c r="I14" s="101">
        <v>0</v>
      </c>
      <c r="J14" s="104">
        <f t="shared" si="0"/>
        <v>0</v>
      </c>
    </row>
    <row r="15" spans="1:10" thickBot="1" x14ac:dyDescent="0.35">
      <c r="A15" s="100">
        <v>42418</v>
      </c>
      <c r="B15" s="101">
        <v>242</v>
      </c>
      <c r="C15" s="101">
        <v>13</v>
      </c>
      <c r="D15" s="102">
        <v>41</v>
      </c>
      <c r="E15" s="103">
        <f t="shared" si="1"/>
        <v>296</v>
      </c>
      <c r="F15" s="101">
        <v>0</v>
      </c>
      <c r="G15" s="101">
        <v>0</v>
      </c>
      <c r="H15" s="101">
        <v>0</v>
      </c>
      <c r="I15" s="101">
        <v>0</v>
      </c>
      <c r="J15" s="104">
        <f t="shared" si="0"/>
        <v>0</v>
      </c>
    </row>
  </sheetData>
  <mergeCells count="3">
    <mergeCell ref="A3:A4"/>
    <mergeCell ref="B3:D3"/>
    <mergeCell ref="F3:J3"/>
  </mergeCells>
  <pageMargins left="0.7" right="0.7" top="0.75" bottom="0.75" header="0.3" footer="0.3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371</vt:i4>
      </vt:variant>
    </vt:vector>
  </HeadingPairs>
  <TitlesOfParts>
    <vt:vector size="400" baseType="lpstr">
      <vt:lpstr>IPS_PGA_Win_BLL</vt:lpstr>
      <vt:lpstr>Summary</vt:lpstr>
      <vt:lpstr>BKLG</vt:lpstr>
      <vt:lpstr>Long BKLG</vt:lpstr>
      <vt:lpstr>ML Trend</vt:lpstr>
      <vt:lpstr>UNINIT IL</vt:lpstr>
      <vt:lpstr>UNINIT BLL</vt:lpstr>
      <vt:lpstr>New UI</vt:lpstr>
      <vt:lpstr>New IL</vt:lpstr>
      <vt:lpstr>New BLL</vt:lpstr>
      <vt:lpstr>BKLG UI</vt:lpstr>
      <vt:lpstr>BKLG IL</vt:lpstr>
      <vt:lpstr>BKLG BLL</vt:lpstr>
      <vt:lpstr>UI Leaks</vt:lpstr>
      <vt:lpstr>IL Leaks</vt:lpstr>
      <vt:lpstr>BLL Leaks</vt:lpstr>
      <vt:lpstr>UI Owners</vt:lpstr>
      <vt:lpstr>IL Owners</vt:lpstr>
      <vt:lpstr>BLL Owners</vt:lpstr>
      <vt:lpstr>SW Changes</vt:lpstr>
      <vt:lpstr>ROI</vt:lpstr>
      <vt:lpstr>BLL fixed</vt:lpstr>
      <vt:lpstr>False Positives</vt:lpstr>
      <vt:lpstr>IL fixed </vt:lpstr>
      <vt:lpstr>Long Term Backlog GUI</vt:lpstr>
      <vt:lpstr>Long Term Backlog IL</vt:lpstr>
      <vt:lpstr>Landslide</vt:lpstr>
      <vt:lpstr>IPS_PGA_UI</vt:lpstr>
      <vt:lpstr>Sheet32</vt:lpstr>
      <vt:lpstr>'BKLG BLL'!integration_Win_BLL_baseline_backlog_20131120</vt:lpstr>
      <vt:lpstr>'BLL Owners'!integration_Win_BLL_baseline_backlog_20131216</vt:lpstr>
      <vt:lpstr>'BKLG BLL'!integration_Win_BLL_baseline_backlog_20131222</vt:lpstr>
      <vt:lpstr>'BKLG BLL'!integration_Win_BLL_baseline_backlog_20131229</vt:lpstr>
      <vt:lpstr>'BKLG BLL'!integration_Win_BLL_baseline_backlog_20140105</vt:lpstr>
      <vt:lpstr>'BKLG BLL'!integration_Win_BLL_baseline_backlog_20140119</vt:lpstr>
      <vt:lpstr>'BKLG BLL'!integration_Win_BLL_baseline_backlog_20140202</vt:lpstr>
      <vt:lpstr>'BKLG BLL'!integration_Win_BLL_baseline_backlog_20140216</vt:lpstr>
      <vt:lpstr>'BKLG BLL'!integration_Win_BLL_baseline_backlog_20140223</vt:lpstr>
      <vt:lpstr>'BKLG BLL'!integration_Win_BLL_baseline_backlog_20140302</vt:lpstr>
      <vt:lpstr>'BKLG BLL'!integration_Win_BLL_baseline_backlog_20140309</vt:lpstr>
      <vt:lpstr>'BKLG BLL'!integration_Win_BLL_baseline_backlog_20140323</vt:lpstr>
      <vt:lpstr>'BKLG BLL'!integration_Win_BLL_baseline_backlog_20140413</vt:lpstr>
      <vt:lpstr>'BKLG BLL'!integration_Win_BLL_baseline_backlog_20140429</vt:lpstr>
      <vt:lpstr>'BKLG BLL'!integration_Win_BLL_baseline_backlog_20140504</vt:lpstr>
      <vt:lpstr>'BKLG BLL'!integration_Win_BLL_baseline_backlog_20140511</vt:lpstr>
      <vt:lpstr>'BKLG BLL'!integration_Win_BLL_baseline_backlog_20140518</vt:lpstr>
      <vt:lpstr>'BKLG BLL'!integration_Win_BLL_baseline_backlog_20140602</vt:lpstr>
      <vt:lpstr>'BKLG BLL'!integration_Win_BLL_baseline_backlog_20140608</vt:lpstr>
      <vt:lpstr>'BKLG BLL'!integration_Win_BLL_baseline_backlog_20140629</vt:lpstr>
      <vt:lpstr>'BKLG BLL'!integration_Win_BLL_baseline_backlog_20140921</vt:lpstr>
      <vt:lpstr>'BKLG BLL'!integration_Win_BLL_baseline_backlog_20141012</vt:lpstr>
      <vt:lpstr>'BKLG BLL'!integration_Win_BLL_baseline_backlog_20141207</vt:lpstr>
      <vt:lpstr>'BKLG BLL'!integration_Win_BLL_baseline_backlog_20150104</vt:lpstr>
      <vt:lpstr>'BKLG BLL'!integration_Win_BLL_baseline_backlog_20150219</vt:lpstr>
      <vt:lpstr>'BKLG BLL'!integration_Win_BLL_baseline_backlog_20150329</vt:lpstr>
      <vt:lpstr>'BKLG BLL'!integration_Win_BLL_baseline_backlog_20150830</vt:lpstr>
      <vt:lpstr>'BKLG BLL'!integration_Win_BLL_baseline_backlog_20160115</vt:lpstr>
      <vt:lpstr>'BKLG BLL'!integration_Win_BLL_baseline_backlog_20160214</vt:lpstr>
      <vt:lpstr>'BKLG BLL'!integration_Win_BLL_baseline_backlog_20160703</vt:lpstr>
      <vt:lpstr>'BLL Leaks'!integration_Win_BLL_baseline_mem_leak_20131028</vt:lpstr>
      <vt:lpstr>'BLL Leaks'!integration_Win_BLL_baseline_mem_leak_20140105</vt:lpstr>
      <vt:lpstr>'BLL Leaks'!integration_Win_BLL_baseline_mem_leak_20140119</vt:lpstr>
      <vt:lpstr>'BLL Leaks'!integration_Win_BLL_baseline_mem_leak_20140202</vt:lpstr>
      <vt:lpstr>'BLL Leaks'!integration_Win_BLL_baseline_mem_leak_20140216</vt:lpstr>
      <vt:lpstr>'BLL Leaks'!integration_Win_BLL_baseline_mem_leak_20140223</vt:lpstr>
      <vt:lpstr>'BLL Leaks'!integration_Win_BLL_baseline_mem_leak_20140302</vt:lpstr>
      <vt:lpstr>'BLL Leaks'!integration_Win_BLL_baseline_mem_leak_20140309</vt:lpstr>
      <vt:lpstr>'BLL Leaks'!integration_Win_BLL_baseline_mem_leak_20140323</vt:lpstr>
      <vt:lpstr>'BLL Leaks'!integration_Win_BLL_baseline_mem_leak_20140413</vt:lpstr>
      <vt:lpstr>'BLL Leaks'!integration_Win_BLL_baseline_mem_leak_20140429</vt:lpstr>
      <vt:lpstr>'BLL Leaks'!integration_Win_BLL_baseline_mem_leak_20140504</vt:lpstr>
      <vt:lpstr>'BLL Leaks'!integration_Win_BLL_baseline_mem_leak_20140602</vt:lpstr>
      <vt:lpstr>'BLL Leaks'!integration_Win_BLL_baseline_mem_leak_20140608</vt:lpstr>
      <vt:lpstr>'BLL Leaks'!integration_Win_BLL_baseline_mem_leak_20140629</vt:lpstr>
      <vt:lpstr>'BLL Leaks'!integration_Win_BLL_baseline_mem_leak_20140921</vt:lpstr>
      <vt:lpstr>'BLL Leaks'!integration_Win_BLL_baseline_mem_leak_20141012</vt:lpstr>
      <vt:lpstr>'BLL Leaks'!integration_Win_BLL_baseline_mem_leak_20141207</vt:lpstr>
      <vt:lpstr>'BLL Leaks'!integration_Win_BLL_baseline_mem_leak_20150104</vt:lpstr>
      <vt:lpstr>'BLL Leaks'!integration_Win_BLL_baseline_mem_leak_20150219</vt:lpstr>
      <vt:lpstr>'BLL Leaks'!integration_Win_BLL_baseline_mem_leak_20150329</vt:lpstr>
      <vt:lpstr>'BLL Leaks'!integration_Win_BLL_baseline_mem_leak_20150830</vt:lpstr>
      <vt:lpstr>'BLL Leaks'!integration_Win_BLL_baseline_mem_leak_20150920</vt:lpstr>
      <vt:lpstr>'BLL Leaks'!integration_Win_BLL_baseline_mem_leak_20160115</vt:lpstr>
      <vt:lpstr>'BLL Leaks'!integration_Win_BLL_baseline_mem_leak_20160214</vt:lpstr>
      <vt:lpstr>'BLL Leaks'!integration_Win_BLL_baseline_mem_leak_20160703</vt:lpstr>
      <vt:lpstr>'BLL Leaks'!integration_Win_BLL_baseline_mem_leak_20160704</vt:lpstr>
      <vt:lpstr>'BKLG BLL'!integration_Win_BLL_baseline_uninit_20140602</vt:lpstr>
      <vt:lpstr>'UNINIT BLL'!integration_Win_BLL_baseline_uninit_20140602</vt:lpstr>
      <vt:lpstr>'UNINIT BLL'!integration_Win_BLL_baseline_uninit_20140608</vt:lpstr>
      <vt:lpstr>'UNINIT BLL'!integration_Win_BLL_baseline_uninit_20140629</vt:lpstr>
      <vt:lpstr>'UNINIT BLL'!integration_Win_BLL_baseline_uninit_20140921</vt:lpstr>
      <vt:lpstr>'UNINIT BLL'!integration_Win_BLL_baseline_uninit_20141012</vt:lpstr>
      <vt:lpstr>'UNINIT BLL'!integration_Win_BLL_baseline_uninit_20141207</vt:lpstr>
      <vt:lpstr>'UNINIT BLL'!integration_Win_BLL_baseline_uninit_20150104</vt:lpstr>
      <vt:lpstr>'UNINIT BLL'!integration_Win_BLL_baseline_uninit_20150219</vt:lpstr>
      <vt:lpstr>'UNINIT BLL'!integration_Win_BLL_baseline_uninit_20150329</vt:lpstr>
      <vt:lpstr>'UNINIT BLL'!integration_Win_BLL_baseline_uninit_20150830</vt:lpstr>
      <vt:lpstr>'UNINIT BLL'!integration_Win_BLL_baseline_uninit_20150920</vt:lpstr>
      <vt:lpstr>'UNINIT BLL'!integration_Win_BLL_baseline_uninit_20160115</vt:lpstr>
      <vt:lpstr>'UNINIT BLL'!integration_Win_BLL_baseline_uninit_20160214</vt:lpstr>
      <vt:lpstr>'UNINIT BLL'!integration_Win_BLL_baseline_uninit_20160703</vt:lpstr>
      <vt:lpstr>'BKLG UI'!integration_win_ui_backlog_20131120</vt:lpstr>
      <vt:lpstr>'UI Owners'!integration_win_ui_backlog_20131216</vt:lpstr>
      <vt:lpstr>'BKLG UI'!integration_win_ui_backlog_20131229</vt:lpstr>
      <vt:lpstr>'BKLG UI'!integration_win_ui_backlog_20140105</vt:lpstr>
      <vt:lpstr>'BKLG UI'!integration_win_ui_backlog_20140119</vt:lpstr>
      <vt:lpstr>'BKLG UI'!integration_win_ui_backlog_20140202</vt:lpstr>
      <vt:lpstr>'BKLG UI'!integration_win_ui_backlog_20140216</vt:lpstr>
      <vt:lpstr>'BKLG UI'!integration_win_ui_backlog_20140223</vt:lpstr>
      <vt:lpstr>'BKLG UI'!integration_win_ui_backlog_20140302</vt:lpstr>
      <vt:lpstr>'BKLG UI'!integration_win_ui_backlog_20140309</vt:lpstr>
      <vt:lpstr>'BKLG UI'!integration_win_ui_backlog_20140323</vt:lpstr>
      <vt:lpstr>'BKLG UI'!integration_win_ui_backlog_20140413</vt:lpstr>
      <vt:lpstr>'BKLG UI'!integration_win_ui_backlog_20140429</vt:lpstr>
      <vt:lpstr>'BKLG UI'!integration_win_ui_backlog_20140504</vt:lpstr>
      <vt:lpstr>'BKLG UI'!integration_win_ui_backlog_20140511</vt:lpstr>
      <vt:lpstr>'BKLG UI'!integration_win_ui_backlog_20140518</vt:lpstr>
      <vt:lpstr>'BKLG UI'!integration_win_ui_backlog_20140602</vt:lpstr>
      <vt:lpstr>'BKLG UI'!integration_win_ui_backlog_20140608</vt:lpstr>
      <vt:lpstr>'BKLG UI'!integration_win_ui_backlog_20140629</vt:lpstr>
      <vt:lpstr>'BKLG UI'!integration_win_ui_backlog_20140921</vt:lpstr>
      <vt:lpstr>'BKLG UI'!integration_win_ui_backlog_20140922</vt:lpstr>
      <vt:lpstr>'BKLG UI'!integration_win_ui_backlog_20141012</vt:lpstr>
      <vt:lpstr>'BKLG UI'!integration_win_ui_backlog_20141207</vt:lpstr>
      <vt:lpstr>'BKLG UI'!integration_win_ui_backlog_20150104</vt:lpstr>
      <vt:lpstr>'BKLG UI'!integration_win_ui_backlog_20150219</vt:lpstr>
      <vt:lpstr>'BKLG UI'!integration_win_ui_backlog_20150329</vt:lpstr>
      <vt:lpstr>'BKLG UI'!integration_win_ui_backlog_20150830</vt:lpstr>
      <vt:lpstr>'BKLG UI'!integration_win_ui_backlog_20150920</vt:lpstr>
      <vt:lpstr>'BKLG UI'!integration_win_ui_backlog_20160115</vt:lpstr>
      <vt:lpstr>'BKLG UI'!integration_win_ui_backlog_20160214</vt:lpstr>
      <vt:lpstr>'BKLG UI'!integration_win_ui_backlog_20160703</vt:lpstr>
      <vt:lpstr>'UI Leaks'!integration_win_ui_mem_leak_20131028</vt:lpstr>
      <vt:lpstr>'UI Leaks'!integration_win_ui_mem_leak_20131222</vt:lpstr>
      <vt:lpstr>'UI Leaks'!integration_win_ui_mem_leak_20131223</vt:lpstr>
      <vt:lpstr>'UI Leaks'!integration_win_ui_mem_leak_20131229</vt:lpstr>
      <vt:lpstr>'UI Leaks'!integration_win_ui_mem_leak_20140105</vt:lpstr>
      <vt:lpstr>'UI Leaks'!integration_win_ui_mem_leak_20140119</vt:lpstr>
      <vt:lpstr>'UI Leaks'!integration_win_ui_mem_leak_20140202</vt:lpstr>
      <vt:lpstr>'UI Leaks'!integration_win_ui_mem_leak_20140216</vt:lpstr>
      <vt:lpstr>'UI Leaks'!integration_win_ui_mem_leak_20140223</vt:lpstr>
      <vt:lpstr>'UI Leaks'!integration_win_ui_mem_leak_20140302</vt:lpstr>
      <vt:lpstr>'UI Leaks'!integration_win_ui_mem_leak_20140309</vt:lpstr>
      <vt:lpstr>'UI Leaks'!integration_win_ui_mem_leak_20140323</vt:lpstr>
      <vt:lpstr>'UI Leaks'!integration_win_ui_mem_leak_20140413</vt:lpstr>
      <vt:lpstr>'UI Leaks'!integration_win_ui_mem_leak_20140429</vt:lpstr>
      <vt:lpstr>'UI Leaks'!integration_win_ui_mem_leak_20140504</vt:lpstr>
      <vt:lpstr>'UI Leaks'!integration_win_ui_mem_leak_20140511</vt:lpstr>
      <vt:lpstr>'UI Leaks'!integration_win_ui_mem_leak_20140518</vt:lpstr>
      <vt:lpstr>'UI Leaks'!integration_win_ui_mem_leak_20140602</vt:lpstr>
      <vt:lpstr>'UI Leaks'!integration_win_ui_mem_leak_20140608</vt:lpstr>
      <vt:lpstr>'UI Leaks'!integration_win_ui_mem_leak_20140629</vt:lpstr>
      <vt:lpstr>'UI Leaks'!integration_win_ui_mem_leak_20140921</vt:lpstr>
      <vt:lpstr>'UI Leaks'!integration_win_ui_mem_leak_20140922</vt:lpstr>
      <vt:lpstr>'UI Leaks'!integration_win_ui_mem_leak_20141012</vt:lpstr>
      <vt:lpstr>'UI Leaks'!integration_win_ui_mem_leak_20141207</vt:lpstr>
      <vt:lpstr>'UI Leaks'!integration_win_ui_mem_leak_20150104</vt:lpstr>
      <vt:lpstr>'UI Leaks'!integration_win_ui_mem_leak_20150219</vt:lpstr>
      <vt:lpstr>'UI Leaks'!integration_win_ui_mem_leak_20150329</vt:lpstr>
      <vt:lpstr>'UI Leaks'!integration_win_ui_mem_leak_20150830</vt:lpstr>
      <vt:lpstr>'UI Leaks'!integration_win_ui_mem_leak_20150920</vt:lpstr>
      <vt:lpstr>'UI Leaks'!integration_win_ui_mem_leak_20160115</vt:lpstr>
      <vt:lpstr>'UI Leaks'!integration_win_ui_mem_leak_20160214</vt:lpstr>
      <vt:lpstr>'UI Leaks'!integration_win_ui_mem_leak_20160703</vt:lpstr>
      <vt:lpstr>'BKLG IL'!integration_x86_baseline_backlog_20131120</vt:lpstr>
      <vt:lpstr>'IL Owners'!integration_x86_baseline_backlog_20131216</vt:lpstr>
      <vt:lpstr>'BKLG IL'!integration_x86_baseline_backlog_20131222</vt:lpstr>
      <vt:lpstr>'BKLG IL'!integration_x86_baseline_backlog_20131229</vt:lpstr>
      <vt:lpstr>'BKLG IL'!integration_x86_baseline_backlog_20140105</vt:lpstr>
      <vt:lpstr>'BKLG IL'!integration_x86_baseline_backlog_20140119</vt:lpstr>
      <vt:lpstr>'BKLG IL'!integration_x86_baseline_backlog_20140202</vt:lpstr>
      <vt:lpstr>'BKLG IL'!integration_x86_baseline_backlog_20140216</vt:lpstr>
      <vt:lpstr>'BKLG IL'!integration_x86_baseline_backlog_20140223</vt:lpstr>
      <vt:lpstr>'BKLG IL'!integration_x86_baseline_backlog_20140302</vt:lpstr>
      <vt:lpstr>'BKLG IL'!integration_x86_baseline_backlog_20140309</vt:lpstr>
      <vt:lpstr>'BKLG IL'!integration_x86_baseline_backlog_20140323</vt:lpstr>
      <vt:lpstr>'BKLG IL'!integration_x86_baseline_backlog_20140413</vt:lpstr>
      <vt:lpstr>'BKLG IL'!integration_x86_baseline_backlog_20140429</vt:lpstr>
      <vt:lpstr>'BKLG IL'!integration_x86_baseline_backlog_20140504</vt:lpstr>
      <vt:lpstr>'BKLG IL'!integration_x86_baseline_backlog_20140511</vt:lpstr>
      <vt:lpstr>'BKLG IL'!integration_x86_baseline_backlog_20140518</vt:lpstr>
      <vt:lpstr>'BKLG IL'!integration_x86_baseline_backlog_20140602</vt:lpstr>
      <vt:lpstr>'BKLG IL'!integration_x86_baseline_backlog_20140608</vt:lpstr>
      <vt:lpstr>'BKLG IL'!integration_x86_baseline_backlog_20140629</vt:lpstr>
      <vt:lpstr>'BKLG IL'!integration_x86_baseline_backlog_20140921</vt:lpstr>
      <vt:lpstr>'BKLG IL'!integration_x86_baseline_backlog_20141012</vt:lpstr>
      <vt:lpstr>'BKLG IL'!integration_x86_baseline_backlog_20141207</vt:lpstr>
      <vt:lpstr>'BKLG IL'!integration_x86_baseline_backlog_20150104</vt:lpstr>
      <vt:lpstr>'BKLG IL'!integration_x86_baseline_backlog_20150219</vt:lpstr>
      <vt:lpstr>'BKLG IL'!integration_x86_baseline_backlog_20150329</vt:lpstr>
      <vt:lpstr>'BKLG IL'!integration_x86_baseline_backlog_20150830</vt:lpstr>
      <vt:lpstr>'BKLG IL'!integration_x86_baseline_backlog_20150920</vt:lpstr>
      <vt:lpstr>'BKLG IL'!integration_x86_baseline_backlog_20150921</vt:lpstr>
      <vt:lpstr>'BKLG IL'!integration_x86_baseline_backlog_20160115</vt:lpstr>
      <vt:lpstr>'BKLG IL'!integration_x86_baseline_backlog_20160214</vt:lpstr>
      <vt:lpstr>'BKLG IL'!integration_x86_baseline_backlog_20160703</vt:lpstr>
      <vt:lpstr>'IL Leaks'!integration_x86_baseline_mem_leak_20131028</vt:lpstr>
      <vt:lpstr>'IL Leaks'!integration_x86_baseline_mem_leak_20131222</vt:lpstr>
      <vt:lpstr>'IL Leaks'!integration_x86_baseline_mem_leak_20140119</vt:lpstr>
      <vt:lpstr>'IL Leaks'!integration_x86_baseline_mem_leak_20140202</vt:lpstr>
      <vt:lpstr>'IL Leaks'!integration_x86_baseline_mem_leak_20140216</vt:lpstr>
      <vt:lpstr>'IL Leaks'!integration_x86_baseline_mem_leak_20140223</vt:lpstr>
      <vt:lpstr>'IL Leaks'!integration_x86_baseline_mem_leak_20140302</vt:lpstr>
      <vt:lpstr>'IL Leaks'!integration_x86_baseline_mem_leak_20140309</vt:lpstr>
      <vt:lpstr>'IL Leaks'!integration_x86_baseline_mem_leak_20140323</vt:lpstr>
      <vt:lpstr>'IL Leaks'!integration_x86_baseline_mem_leak_20140413</vt:lpstr>
      <vt:lpstr>'IL Leaks'!integration_x86_baseline_mem_leak_20140429</vt:lpstr>
      <vt:lpstr>'IL Leaks'!integration_x86_baseline_mem_leak_20140504</vt:lpstr>
      <vt:lpstr>'IL Leaks'!integration_x86_baseline_mem_leak_20140602</vt:lpstr>
      <vt:lpstr>'IL Leaks'!integration_x86_baseline_mem_leak_20140608</vt:lpstr>
      <vt:lpstr>'IL Leaks'!integration_x86_baseline_mem_leak_20140629</vt:lpstr>
      <vt:lpstr>'IL Leaks'!integration_x86_baseline_mem_leak_20140921</vt:lpstr>
      <vt:lpstr>'IL Leaks'!integration_x86_baseline_mem_leak_20141012</vt:lpstr>
      <vt:lpstr>'IL Leaks'!integration_x86_baseline_mem_leak_20141207</vt:lpstr>
      <vt:lpstr>'IL Leaks'!integration_x86_baseline_mem_leak_20150104</vt:lpstr>
      <vt:lpstr>'IL Leaks'!integration_x86_baseline_mem_leak_20150219</vt:lpstr>
      <vt:lpstr>'IL Leaks'!integration_x86_baseline_mem_leak_20150329</vt:lpstr>
      <vt:lpstr>'IL Leaks'!integration_x86_baseline_mem_leak_20150830</vt:lpstr>
      <vt:lpstr>'IL Leaks'!integration_x86_baseline_mem_leak_20150920</vt:lpstr>
      <vt:lpstr>'IL Leaks'!integration_x86_baseline_mem_leak_20160115</vt:lpstr>
      <vt:lpstr>'IL Leaks'!integration_x86_baseline_mem_leak_20160214</vt:lpstr>
      <vt:lpstr>'IL Leaks'!integration_x86_baseline_mem_leak_20160703</vt:lpstr>
      <vt:lpstr>'UNINIT IL'!integration_x86_baseline_uninit_20140602</vt:lpstr>
      <vt:lpstr>'UNINIT IL'!integration_x86_baseline_uninit_20140608</vt:lpstr>
      <vt:lpstr>'UNINIT IL'!integration_x86_baseline_uninit_20140629</vt:lpstr>
      <vt:lpstr>'UNINIT IL'!integration_x86_baseline_uninit_20140921</vt:lpstr>
      <vt:lpstr>'UNINIT IL'!integration_x86_baseline_uninit_20141012</vt:lpstr>
      <vt:lpstr>'UNINIT IL'!integration_x86_baseline_uninit_20141207</vt:lpstr>
      <vt:lpstr>'UNINIT IL'!integration_x86_baseline_uninit_20150104</vt:lpstr>
      <vt:lpstr>'UNINIT IL'!integration_x86_baseline_uninit_20150219</vt:lpstr>
      <vt:lpstr>'UNINIT IL'!integration_x86_baseline_uninit_20150329</vt:lpstr>
      <vt:lpstr>'UNINIT IL'!integration_x86_baseline_uninit_20150830</vt:lpstr>
      <vt:lpstr>'UNINIT IL'!integration_x86_baseline_uninit_20150920</vt:lpstr>
      <vt:lpstr>'UNINIT IL'!integration_x86_baseline_uninit_20160115</vt:lpstr>
      <vt:lpstr>'UNINIT IL'!integration_x86_baseline_uninit_20160214</vt:lpstr>
      <vt:lpstr>'UNINIT IL'!integration_x86_baseline_uninit_20160703</vt:lpstr>
      <vt:lpstr>'UNINIT IL'!integration_x86_baseline_uninit_20160704</vt:lpstr>
      <vt:lpstr>'New BLL'!kw_integration_Win_BLL_baseline_diff_integration_2013630_vs_integration_2013728</vt:lpstr>
      <vt:lpstr>'New BLL'!kw_integration_Win_BLL_baseline_diff_integration_2013630_vs_integration_2013804</vt:lpstr>
      <vt:lpstr>'New BLL'!kw_integration_Win_BLL_baseline_diff_integration_2013630_vs_integration_2014_05_30</vt:lpstr>
      <vt:lpstr>'New BLL'!kw_integration_Win_BLL_baseline_diff_integration_2014105_vs_integration_2014_01_19_1</vt:lpstr>
      <vt:lpstr>'New BLL'!kw_integration_Win_BLL_baseline_diff_integration_2014105_vs_integration_2014_01_31_1</vt:lpstr>
      <vt:lpstr>'New BLL'!kw_integration_Win_BLL_baseline_diff_integration_2014105_vs_integration_2014_02_13_1</vt:lpstr>
      <vt:lpstr>'New BLL'!kw_integration_Win_BLL_baseline_diff_integration_2014105_vs_integration_2014_02_22_1</vt:lpstr>
      <vt:lpstr>'New BLL'!kw_integration_Win_BLL_baseline_diff_integration_2014105_vs_integration_2014_03_02_1</vt:lpstr>
      <vt:lpstr>'New BLL'!kw_integration_Win_BLL_baseline_diff_integration_2014105_vs_integration_2014_03_22</vt:lpstr>
      <vt:lpstr>'New BLL'!kw_integration_Win_BLL_baseline_diff_integration_2014105_vs_integration_2014_04_12_1</vt:lpstr>
      <vt:lpstr>'New BLL'!kw_integration_Win_BLL_baseline_diff_integration_2014105_vs_integration_2014_04_26</vt:lpstr>
      <vt:lpstr>'New BLL'!kw_integration_Win_BLL_baseline_diff_integration_2014105_vs_integration_2014_05_04</vt:lpstr>
      <vt:lpstr>'New BLL'!kw_integration_Win_BLL_baseline_diff_integration_2014105_vs_integration_2014_05_11_1</vt:lpstr>
      <vt:lpstr>'New BLL'!kw_integration_Win_BLL_baseline_diff_integration_2014105_vs_integration_2014_05_18_1</vt:lpstr>
      <vt:lpstr>'New BLL'!kw_integration_Win_BLL_baseline_diff_integration_2014105_vs_integration_2014_06_07_1</vt:lpstr>
      <vt:lpstr>'New BLL'!kw_integration_Win_BLL_baseline_diff_integration_2014105_vs_integration_2014_06_28_1</vt:lpstr>
      <vt:lpstr>'New BLL'!kw_integration_Win_BLL_baseline_diff_integration_2014105_vs_integration_2014_07_05_1</vt:lpstr>
      <vt:lpstr>'BKLG BLL'!kw_integration_Win_BLL_baseline_diff_integration_2014105_vs_integration_2014_08_02</vt:lpstr>
      <vt:lpstr>'BKLG IL'!kw_integration_Win_BLL_baseline_diff_integration_2014105_vs_integration_2014_08_02</vt:lpstr>
      <vt:lpstr>'BKLG UI'!kw_integration_Win_BLL_baseline_diff_integration_2014105_vs_integration_2014_08_02</vt:lpstr>
      <vt:lpstr>'BLL Leaks'!kw_integration_Win_BLL_baseline_diff_integration_2014105_vs_integration_2014_08_02</vt:lpstr>
      <vt:lpstr>'IL Leaks'!kw_integration_Win_BLL_baseline_diff_integration_2014105_vs_integration_2014_08_02</vt:lpstr>
      <vt:lpstr>'New BLL'!kw_integration_Win_BLL_baseline_diff_integration_2014105_vs_integration_2014_08_02</vt:lpstr>
      <vt:lpstr>'New IL'!kw_integration_Win_BLL_baseline_diff_integration_2014105_vs_integration_2014_08_02</vt:lpstr>
      <vt:lpstr>'New UI'!kw_integration_Win_BLL_baseline_diff_integration_2014105_vs_integration_2014_08_02</vt:lpstr>
      <vt:lpstr>'UI Leaks'!kw_integration_Win_BLL_baseline_diff_integration_2014105_vs_integration_2014_08_02</vt:lpstr>
      <vt:lpstr>'UNINIT BLL'!kw_integration_Win_BLL_baseline_diff_integration_2014105_vs_integration_2014_08_02</vt:lpstr>
      <vt:lpstr>'UNINIT IL'!kw_integration_Win_BLL_baseline_diff_integration_2014105_vs_integration_2014_08_02</vt:lpstr>
      <vt:lpstr>'BKLG BLL'!kw_integration_Win_BLL_baseline_diff_integration_2014105_vs_integration_2014_08_02_1</vt:lpstr>
      <vt:lpstr>'BKLG IL'!kw_integration_Win_BLL_baseline_diff_integration_2014105_vs_integration_2014_08_02_1</vt:lpstr>
      <vt:lpstr>'BKLG UI'!kw_integration_Win_BLL_baseline_diff_integration_2014105_vs_integration_2014_08_02_1</vt:lpstr>
      <vt:lpstr>'BLL Leaks'!kw_integration_Win_BLL_baseline_diff_integration_2014105_vs_integration_2014_08_02_1</vt:lpstr>
      <vt:lpstr>'IL Leaks'!kw_integration_Win_BLL_baseline_diff_integration_2014105_vs_integration_2014_08_02_1</vt:lpstr>
      <vt:lpstr>'New BLL'!kw_integration_Win_BLL_baseline_diff_integration_2014105_vs_integration_2014_08_02_1</vt:lpstr>
      <vt:lpstr>'New IL'!kw_integration_Win_BLL_baseline_diff_integration_2014105_vs_integration_2014_08_02_1</vt:lpstr>
      <vt:lpstr>'New UI'!kw_integration_Win_BLL_baseline_diff_integration_2014105_vs_integration_2014_08_02_1</vt:lpstr>
      <vt:lpstr>'UI Leaks'!kw_integration_Win_BLL_baseline_diff_integration_2014105_vs_integration_2014_08_02_1</vt:lpstr>
      <vt:lpstr>'UNINIT BLL'!kw_integration_Win_BLL_baseline_diff_integration_2014105_vs_integration_2014_08_02_1</vt:lpstr>
      <vt:lpstr>'UNINIT IL'!kw_integration_Win_BLL_baseline_diff_integration_2014105_vs_integration_2014_08_02_1</vt:lpstr>
      <vt:lpstr>'BKLG BLL'!kw_integration_Win_BLL_baseline_diff_integration_2014105_vs_integration_2014_08_02_2</vt:lpstr>
      <vt:lpstr>'BKLG IL'!kw_integration_Win_BLL_baseline_diff_integration_2014105_vs_integration_2014_08_02_2</vt:lpstr>
      <vt:lpstr>'BKLG UI'!kw_integration_Win_BLL_baseline_diff_integration_2014105_vs_integration_2014_08_02_2</vt:lpstr>
      <vt:lpstr>'BLL Leaks'!kw_integration_Win_BLL_baseline_diff_integration_2014105_vs_integration_2014_08_02_2</vt:lpstr>
      <vt:lpstr>'IL Leaks'!kw_integration_Win_BLL_baseline_diff_integration_2014105_vs_integration_2014_08_02_2</vt:lpstr>
      <vt:lpstr>'New BLL'!kw_integration_Win_BLL_baseline_diff_integration_2014105_vs_integration_2014_08_02_2</vt:lpstr>
      <vt:lpstr>'New IL'!kw_integration_Win_BLL_baseline_diff_integration_2014105_vs_integration_2014_08_02_2</vt:lpstr>
      <vt:lpstr>'New UI'!kw_integration_Win_BLL_baseline_diff_integration_2014105_vs_integration_2014_08_02_2</vt:lpstr>
      <vt:lpstr>'UI Leaks'!kw_integration_Win_BLL_baseline_diff_integration_2014105_vs_integration_2014_08_02_2</vt:lpstr>
      <vt:lpstr>'UNINIT BLL'!kw_integration_Win_BLL_baseline_diff_integration_2014105_vs_integration_2014_08_02_2</vt:lpstr>
      <vt:lpstr>'UNINIT IL'!kw_integration_Win_BLL_baseline_diff_integration_2014105_vs_integration_2014_08_02_2</vt:lpstr>
      <vt:lpstr>'BKLG IL'!kw_integration_Win_BLL_baseline_diff_integration_2014105_vs_integration_2014_08_02_3</vt:lpstr>
      <vt:lpstr>'BKLG UI'!kw_integration_Win_BLL_baseline_diff_integration_2014105_vs_integration_2014_08_02_3</vt:lpstr>
      <vt:lpstr>'IL Leaks'!kw_integration_Win_BLL_baseline_diff_integration_2014105_vs_integration_2014_08_02_3</vt:lpstr>
      <vt:lpstr>'New IL'!kw_integration_Win_BLL_baseline_diff_integration_2014105_vs_integration_2014_08_02_3</vt:lpstr>
      <vt:lpstr>'New BLL'!kw_integration_Win_BLL_baseline_diff_integration_2014105_vs_integration_2014_09_20</vt:lpstr>
      <vt:lpstr>'New BLL'!kw_integration_Win_BLL_baseline_diff_integration_2014105_vs_integration_2014_10_12</vt:lpstr>
      <vt:lpstr>'New BLL'!kw_integration_Win_BLL_baseline_diff_integration_2014105_vs_integration_2014_12_05</vt:lpstr>
      <vt:lpstr>'New BLL'!kw_integration_Win_BLL_baseline_diff_integration_2014105_vs_integration_2014_12_05_1</vt:lpstr>
      <vt:lpstr>'New BLL'!kw_integration_Win_BLL_baseline_diff_integration_2014105_vs_integration_2015_01_04</vt:lpstr>
      <vt:lpstr>'New BLL'!kw_integration_Win_BLL_baseline_diff_integration_2015_02_15_vs_integration_2015_03_27</vt:lpstr>
      <vt:lpstr>'New BLL'!kw_integration_Win_BLL_baseline_diff_integration_2015_02_15_vs_integration_2015_08_30</vt:lpstr>
      <vt:lpstr>'New BLL'!kw_integration_Win_BLL_baseline_diff_integration_2015_02_15_vs_integration_2015_09_20</vt:lpstr>
      <vt:lpstr>'New BLL'!kw_integration_Win_BLL_baseline_diff_integration_2015_12_23_vs_integration_2016_01_14</vt:lpstr>
      <vt:lpstr>'New BLL'!kw_integration_Win_BLL_baseline_diff_integration_2015_12_23_vs_integration_2016_02_13</vt:lpstr>
      <vt:lpstr>'New BLL'!kw_integration_Win_BLL_baseline_diff_integration_2015_12_23_vs_integration_2016_07_03</vt:lpstr>
      <vt:lpstr>'New UI'!kw_integration_win_ui_diff_integration_ui_2013114_vs_integration_ui_2013415</vt:lpstr>
      <vt:lpstr>'New UI'!kw_integration_win_ui_diff_integration_ui_2013114_vs_integration_ui_2013420</vt:lpstr>
      <vt:lpstr>'New UI'!kw_integration_win_ui_diff_integration_ui_2013114_vs_integration_ui_2013427</vt:lpstr>
      <vt:lpstr>'New UI'!kw_integration_win_ui_diff_integration_ui_2013114_vs_integration_ui_2013504</vt:lpstr>
      <vt:lpstr>'New UI'!kw_integration_win_ui_diff_integration_ui_2013114_vs_integration_ui_2013511</vt:lpstr>
      <vt:lpstr>'New UI'!kw_integration_win_ui_diff_integration_ui_2013114_vs_integration_ui_2013518</vt:lpstr>
      <vt:lpstr>'New UI'!kw_integration_win_ui_diff_integration_ui_2013114_vs_integration_ui_2013525</vt:lpstr>
      <vt:lpstr>'New UI'!kw_integration_win_ui_diff_integration_ui_2013114_vs_integration_ui_2013601</vt:lpstr>
      <vt:lpstr>'New UI'!kw_integration_win_ui_diff_integration_ui_2013114_vs_integration_ui_2013608</vt:lpstr>
      <vt:lpstr>'New UI'!kw_integration_win_ui_diff_integration_ui_2013114_vs_integration_ui_2013615</vt:lpstr>
      <vt:lpstr>'New UI'!kw_integration_win_ui_diff_integration_ui_2013114_vs_integration_ui_2013622</vt:lpstr>
      <vt:lpstr>'New UI'!kw_integration_win_ui_diff_integration_ui_2013114_vs_integration_ui_2013629</vt:lpstr>
      <vt:lpstr>'New UI'!kw_integration_win_ui_diff_integration_ui_2013629_vs_integration_ui_2013713</vt:lpstr>
      <vt:lpstr>'New UI'!kw_integration_win_ui_diff_integration_ui_2013629_vs_integration_ui_2013727</vt:lpstr>
      <vt:lpstr>'New UI'!kw_integration_win_ui_diff_integration_ui_2013629_vs_integration_ui_2013804</vt:lpstr>
      <vt:lpstr>'New UI'!kw_integration_win_ui_diff_integration_ui_2013629_vs_integration_ui_2014_05_30_1</vt:lpstr>
      <vt:lpstr>'New UI'!kw_integration_win_ui_diff_integration_ui_2013629_vs_integration_ui_2014104</vt:lpstr>
      <vt:lpstr>'New UI'!kw_integration_win_ui_diff_integration_ui_2014105_vs_integration_ui_2014_01_19</vt:lpstr>
      <vt:lpstr>'New UI'!kw_integration_win_ui_diff_integration_ui_2014105_vs_integration_ui_2014_01_31</vt:lpstr>
      <vt:lpstr>'New UI'!kw_integration_win_ui_diff_integration_ui_2014105_vs_integration_ui_2014_02_13_1</vt:lpstr>
      <vt:lpstr>'New UI'!kw_integration_win_ui_diff_integration_ui_2014105_vs_integration_ui_2014_02_22_1</vt:lpstr>
      <vt:lpstr>'New UI'!kw_integration_win_ui_diff_integration_ui_2014105_vs_integration_ui_2014_03_02_1</vt:lpstr>
      <vt:lpstr>'New UI'!kw_integration_win_ui_diff_integration_ui_2014105_vs_integration_ui_2014_03_08</vt:lpstr>
      <vt:lpstr>'New UI'!kw_integration_win_ui_diff_integration_ui_2014105_vs_integration_ui_2014_03_22_1</vt:lpstr>
      <vt:lpstr>'New UI'!kw_integration_win_ui_diff_integration_ui_2014105_vs_integration_ui_2014_04_12_1</vt:lpstr>
      <vt:lpstr>'New UI'!kw_integration_win_ui_diff_integration_ui_2014105_vs_integration_ui_2014_04_26</vt:lpstr>
      <vt:lpstr>'New UI'!kw_integration_win_ui_diff_integration_ui_2014105_vs_integration_ui_2014_05_04</vt:lpstr>
      <vt:lpstr>'New UI'!kw_integration_win_ui_diff_integration_ui_2014105_vs_integration_ui_2014_05_11_1</vt:lpstr>
      <vt:lpstr>'New UI'!kw_integration_win_ui_diff_integration_ui_2014105_vs_integration_ui_2014_05_18</vt:lpstr>
      <vt:lpstr>'New UI'!kw_integration_win_ui_diff_integration_ui_2014105_vs_integration_ui_2014_06_07</vt:lpstr>
      <vt:lpstr>'New UI'!kw_integration_win_ui_diff_integration_ui_2014105_vs_integration_ui_2014_06_28</vt:lpstr>
      <vt:lpstr>'BKLG IL'!kw_integration_win_ui_diff_integration_ui_2014105_vs_integration_ui_2014_07_05</vt:lpstr>
      <vt:lpstr>'BKLG UI'!kw_integration_win_ui_diff_integration_ui_2014105_vs_integration_ui_2014_07_05</vt:lpstr>
      <vt:lpstr>'BLL Leaks'!kw_integration_win_ui_diff_integration_ui_2014105_vs_integration_ui_2014_07_05</vt:lpstr>
      <vt:lpstr>'New UI'!kw_integration_win_ui_diff_integration_ui_2014105_vs_integration_ui_2014_07_05</vt:lpstr>
      <vt:lpstr>'UNINIT BLL'!kw_integration_win_ui_diff_integration_ui_2014105_vs_integration_ui_2014_07_05</vt:lpstr>
      <vt:lpstr>'UNINIT IL'!kw_integration_win_ui_diff_integration_ui_2014105_vs_integration_ui_2014_07_05</vt:lpstr>
      <vt:lpstr>'BKLG BLL'!kw_integration_win_ui_diff_integration_ui_2014105_vs_integration_ui_2014_07_05_1</vt:lpstr>
      <vt:lpstr>'BKLG IL'!kw_integration_win_ui_diff_integration_ui_2014105_vs_integration_ui_2014_07_05_1</vt:lpstr>
      <vt:lpstr>'IL Leaks'!kw_integration_win_ui_diff_integration_ui_2014105_vs_integration_ui_2014_07_05_1</vt:lpstr>
      <vt:lpstr>'UI Leaks'!kw_integration_win_ui_diff_integration_ui_2014105_vs_integration_ui_2014_07_05_1</vt:lpstr>
      <vt:lpstr>'New UI'!kw_integration_win_ui_diff_integration_ui_2014105_vs_integration_ui_2014_09_20</vt:lpstr>
      <vt:lpstr>'New UI'!kw_integration_win_ui_diff_integration_ui_2014105_vs_integration_ui_2014_09_20_1</vt:lpstr>
      <vt:lpstr>'New UI'!kw_integration_win_ui_diff_integration_ui_2014105_vs_integration_ui_2014_10_12</vt:lpstr>
      <vt:lpstr>'New UI'!kw_integration_win_ui_diff_integration_ui_2014105_vs_integration_ui_2014_12_05</vt:lpstr>
      <vt:lpstr>'New UI'!kw_integration_win_ui_diff_integration_ui_2014105_vs_integration_ui_2015_01_04</vt:lpstr>
      <vt:lpstr>'New UI'!kw_integration_win_ui_diff_integration_ui_2015_02_15_vs_integration_ui_2015_02_19</vt:lpstr>
      <vt:lpstr>'New UI'!kw_integration_win_ui_diff_integration_ui_2015_02_15_vs_integration_ui_2015_02_19_1</vt:lpstr>
      <vt:lpstr>'New UI'!kw_integration_win_ui_diff_integration_ui_2015_02_15_vs_integration_ui_2015_03_28_1</vt:lpstr>
      <vt:lpstr>'New UI'!kw_integration_win_ui_diff_integration_ui_2015_02_15_vs_integration_ui_2015_08_30</vt:lpstr>
      <vt:lpstr>'BKLG UI'!kw_integration_win_ui_diff_integration_ui_2015_02_15_vs_integration_ui_2015_09_20</vt:lpstr>
      <vt:lpstr>'New UI'!kw_integration_win_ui_diff_integration_ui_2015_02_15_vs_integration_ui_2015_09_20</vt:lpstr>
      <vt:lpstr>'New UI'!kw_integration_win_ui_diff_integration_ui_2015_02_15_vs_integration_ui_2015_09_20_1</vt:lpstr>
      <vt:lpstr>'New UI'!kw_integration_win_ui_diff_integration_ui_2015_10_11_vs_integration_ui_2016_01_14</vt:lpstr>
      <vt:lpstr>'New UI'!kw_integration_win_ui_diff_integration_ui_2015_10_11_vs_integration_ui_2016_02_13</vt:lpstr>
      <vt:lpstr>'New UI'!kw_integration_win_ui_diff_integration_ui_2015_10_11_vs_integration_ui_2016_07_03</vt:lpstr>
      <vt:lpstr>'New IL'!kw_integration_x86_baseline_diff_integration_2013_6_30_vs_integration_2013_12_21</vt:lpstr>
      <vt:lpstr>'New IL'!kw_integration_x86_baseline_diff_integration_2013_6_30_vs_integration_2013_12_29</vt:lpstr>
      <vt:lpstr>'New IL'!kw_integration_x86_baseline_diff_integration_2013_6_30_vs_integration_2014_06_01</vt:lpstr>
      <vt:lpstr>'New IL'!kw_integration_x86_baseline_diff_integration_2013_6_30_vs_integration_2014_1_5</vt:lpstr>
      <vt:lpstr>'New IL'!kw_integration_x86_baseline_diff_integration_2014_1_5_vs_integration_2014_01_18_1</vt:lpstr>
      <vt:lpstr>'New IL'!kw_integration_x86_baseline_diff_integration_2014_1_5_vs_integration_2014_02_02_1</vt:lpstr>
      <vt:lpstr>'New IL'!kw_integration_x86_baseline_diff_integration_2014_1_5_vs_integration_2014_02_16</vt:lpstr>
      <vt:lpstr>'New IL'!kw_integration_x86_baseline_diff_integration_2014_1_5_vs_integration_2014_02_23_1</vt:lpstr>
      <vt:lpstr>'New IL'!kw_integration_x86_baseline_diff_integration_2014_1_5_vs_integration_2014_03_02_1</vt:lpstr>
      <vt:lpstr>'New IL'!kw_integration_x86_baseline_diff_integration_2014_1_5_vs_integration_2014_03_09_1</vt:lpstr>
      <vt:lpstr>'New IL'!kw_integration_x86_baseline_diff_integration_2014_1_5_vs_integration_2014_03_23</vt:lpstr>
      <vt:lpstr>'New IL'!kw_integration_x86_baseline_diff_integration_2014_1_5_vs_integration_2014_04_29</vt:lpstr>
      <vt:lpstr>'New IL'!kw_integration_x86_baseline_diff_integration_2014_1_5_vs_integration_2014_05_04_1</vt:lpstr>
      <vt:lpstr>'New IL'!kw_integration_x86_baseline_diff_integration_2014_1_5_vs_integration_2014_05_11</vt:lpstr>
      <vt:lpstr>'New IL'!kw_integration_x86_baseline_diff_integration_2014_1_5_vs_integration_2014_05_18_1</vt:lpstr>
      <vt:lpstr>'New IL'!kw_integration_x86_baseline_diff_integration_2014_1_5_vs_integration_2014_06_08_1</vt:lpstr>
      <vt:lpstr>'New IL'!kw_integration_x86_baseline_diff_integration_2014_1_5_vs_integration_2014_06_29</vt:lpstr>
      <vt:lpstr>'BKLG BLL'!kw_integration_x86_baseline_diff_integration_2014_1_5_vs_integration_2014_07_20</vt:lpstr>
      <vt:lpstr>'BKLG IL'!kw_integration_x86_baseline_diff_integration_2014_1_5_vs_integration_2014_07_20</vt:lpstr>
      <vt:lpstr>'BLL Leaks'!kw_integration_x86_baseline_diff_integration_2014_1_5_vs_integration_2014_07_20</vt:lpstr>
      <vt:lpstr>'IL Leaks'!kw_integration_x86_baseline_diff_integration_2014_1_5_vs_integration_2014_07_20</vt:lpstr>
      <vt:lpstr>'New BLL'!kw_integration_x86_baseline_diff_integration_2014_1_5_vs_integration_2014_07_20</vt:lpstr>
      <vt:lpstr>'UI Leaks'!kw_integration_x86_baseline_diff_integration_2014_1_5_vs_integration_2014_07_20</vt:lpstr>
      <vt:lpstr>'UNINIT BLL'!kw_integration_x86_baseline_diff_integration_2014_1_5_vs_integration_2014_07_20</vt:lpstr>
      <vt:lpstr>'UNINIT IL'!kw_integration_x86_baseline_diff_integration_2014_1_5_vs_integration_2014_07_20</vt:lpstr>
      <vt:lpstr>'BKLG UI'!kw_integration_x86_baseline_diff_integration_2014_1_5_vs_integration_2014_07_20_1</vt:lpstr>
      <vt:lpstr>'New IL'!kw_integration_x86_baseline_diff_integration_2014_1_5_vs_integration_2014_07_20_1</vt:lpstr>
      <vt:lpstr>'BKLG UI'!kw_integration_x86_baseline_diff_integration_2014_1_5_vs_integration_2014_07_20_2</vt:lpstr>
      <vt:lpstr>'New BLL'!kw_integration_x86_baseline_diff_integration_2014_1_5_vs_integration_2014_09_21</vt:lpstr>
      <vt:lpstr>'New IL'!kw_integration_x86_baseline_diff_integration_2014_1_5_vs_integration_2014_09_21_1</vt:lpstr>
      <vt:lpstr>'New IL'!kw_integration_x86_baseline_diff_integration_2014_1_5_vs_integration_2014_10_12</vt:lpstr>
      <vt:lpstr>'New IL'!kw_integration_x86_baseline_diff_integration_2014_1_5_vs_integration_2014_12_07</vt:lpstr>
      <vt:lpstr>'New IL'!kw_integration_x86_baseline_diff_integration_2014_1_5_vs_integration_2014_12_07_1</vt:lpstr>
      <vt:lpstr>'New IL'!kw_integration_x86_baseline_diff_integration_2014_1_5_vs_integration_2014_12_07_2</vt:lpstr>
      <vt:lpstr>'New IL'!kw_integration_x86_baseline_diff_integration_2014_1_5_vs_integration_2014_12_07_3</vt:lpstr>
      <vt:lpstr>'New IL'!kw_integration_x86_baseline_diff_integration_2014_1_5_vs_integration_2015_01_04</vt:lpstr>
      <vt:lpstr>'New IL'!kw_integration_x86_baseline_diff_integration_2015_01_29_vs_integration_2015_02_19</vt:lpstr>
      <vt:lpstr>'New IL'!kw_integration_x86_baseline_diff_integration_2015_01_29_vs_integration_2015_03_28</vt:lpstr>
      <vt:lpstr>'New IL'!kw_integration_x86_baseline_diff_integration_2015_01_29_vs_integration_2015_08_30_1</vt:lpstr>
      <vt:lpstr>'New IL'!kw_integration_x86_baseline_diff_integration_2015_01_29_vs_integration_2015_09_20_1</vt:lpstr>
      <vt:lpstr>'New IL'!kw_integration_x86_baseline_diff_integration_2015_12_27_vs_integration_2016_02_14</vt:lpstr>
      <vt:lpstr>'New IL'!kw_integration_x86_baseline_diff_integration_2015_12_27_vs_integration_2016_07_03</vt:lpstr>
    </vt:vector>
  </TitlesOfParts>
  <Company>Spirent Communications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Hornbeek, Marc</dc:creator>
  <cp:lastModifiedBy>Somboon Ongkamongkol</cp:lastModifiedBy>
  <cp:lastPrinted>2012-01-30T18:41:00Z</cp:lastPrinted>
  <dcterms:created xsi:type="dcterms:W3CDTF">2012-01-25T00:56:29Z</dcterms:created>
  <dcterms:modified xsi:type="dcterms:W3CDTF">2016-07-08T02:50:50Z</dcterms:modified>
</cp:coreProperties>
</file>